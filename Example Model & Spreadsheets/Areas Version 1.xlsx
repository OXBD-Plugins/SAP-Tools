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Building Design\CAD &amp; Software\SketchUp\SAP Tools (2024 -)\Example Model &amp; Spreadsheets\"/>
    </mc:Choice>
  </mc:AlternateContent>
  <xr:revisionPtr revIDLastSave="0" documentId="13_ncr:1_{DFF4ED6A-9922-4624-AFA5-39140C2E8D17}" xr6:coauthVersionLast="47" xr6:coauthVersionMax="47" xr10:uidLastSave="{00000000-0000-0000-0000-000000000000}"/>
  <bookViews>
    <workbookView xWindow="-120" yWindow="-16320" windowWidth="29040" windowHeight="15720" tabRatio="912" xr2:uid="{95697461-1F19-4C3E-A73A-3295C921C874}"/>
  </bookViews>
  <sheets>
    <sheet name="Areas" sheetId="3" r:id="rId1"/>
    <sheet name="Pasted Areas" sheetId="7" r:id="rId2"/>
  </sheets>
  <definedNames>
    <definedName name="_xlnm._FilterDatabase" localSheetId="0" hidden="1">Areas!$B$6:$BY$25</definedName>
    <definedName name="_xlnm._FilterDatabase" localSheetId="1" hidden="1">'Pasted Areas'!$C$5:$I$733</definedName>
    <definedName name="BridgeCodes">#REF!</definedName>
    <definedName name="JunctionCode">#REF!</definedName>
    <definedName name="JunctionXML">#REF!</definedName>
    <definedName name="Scheme">#REF!</definedName>
    <definedName name="SchemeXM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X26" i="3" l="1"/>
  <c r="K7" i="7" l="1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6" i="7"/>
  <c r="B8" i="3" s="1" a="1"/>
  <c r="BC19" i="3"/>
  <c r="BD19" i="3"/>
  <c r="BE19" i="3"/>
  <c r="BC20" i="3"/>
  <c r="BD20" i="3"/>
  <c r="BE20" i="3"/>
  <c r="BC21" i="3"/>
  <c r="BD21" i="3"/>
  <c r="BE21" i="3"/>
  <c r="BC22" i="3"/>
  <c r="BD22" i="3"/>
  <c r="BE22" i="3"/>
  <c r="BC23" i="3"/>
  <c r="BD23" i="3"/>
  <c r="BE23" i="3"/>
  <c r="BC24" i="3"/>
  <c r="BD24" i="3"/>
  <c r="BE24" i="3"/>
  <c r="BC25" i="3"/>
  <c r="BD25" i="3"/>
  <c r="BE25" i="3"/>
  <c r="AH9" i="3" l="1"/>
  <c r="AH13" i="3"/>
  <c r="AH17" i="3"/>
  <c r="AH21" i="3"/>
  <c r="AH25" i="3"/>
  <c r="Z17" i="3"/>
  <c r="AI9" i="3"/>
  <c r="AI13" i="3"/>
  <c r="AI17" i="3"/>
  <c r="AI21" i="3"/>
  <c r="AI25" i="3"/>
  <c r="Z18" i="3"/>
  <c r="AJ13" i="3"/>
  <c r="AJ17" i="3"/>
  <c r="Z19" i="3"/>
  <c r="AK21" i="3"/>
  <c r="AJ9" i="3"/>
  <c r="AK9" i="3"/>
  <c r="AH10" i="3"/>
  <c r="AH14" i="3"/>
  <c r="AH18" i="3"/>
  <c r="AH22" i="3"/>
  <c r="Z21" i="3"/>
  <c r="Z24" i="3"/>
  <c r="AJ15" i="3"/>
  <c r="AK23" i="3"/>
  <c r="Z20" i="3"/>
  <c r="AI10" i="3"/>
  <c r="AI14" i="3"/>
  <c r="AI18" i="3"/>
  <c r="AI22" i="3"/>
  <c r="Z22" i="3"/>
  <c r="AK10" i="3"/>
  <c r="AK14" i="3"/>
  <c r="AJ23" i="3"/>
  <c r="AK15" i="3"/>
  <c r="AJ10" i="3"/>
  <c r="AJ14" i="3"/>
  <c r="AJ18" i="3"/>
  <c r="AJ22" i="3"/>
  <c r="Z23" i="3"/>
  <c r="AK18" i="3"/>
  <c r="AK22" i="3"/>
  <c r="AJ19" i="3"/>
  <c r="AK19" i="3"/>
  <c r="Z12" i="3"/>
  <c r="AH11" i="3"/>
  <c r="AH15" i="3"/>
  <c r="AH19" i="3"/>
  <c r="AH23" i="3"/>
  <c r="Z9" i="3"/>
  <c r="Z25" i="3"/>
  <c r="AI15" i="3"/>
  <c r="AI19" i="3"/>
  <c r="AI23" i="3"/>
  <c r="Z10" i="3"/>
  <c r="AJ11" i="3"/>
  <c r="Z11" i="3"/>
  <c r="AK25" i="3"/>
  <c r="AI11" i="3"/>
  <c r="AK11" i="3"/>
  <c r="AH12" i="3"/>
  <c r="AH16" i="3"/>
  <c r="AH20" i="3"/>
  <c r="AH24" i="3"/>
  <c r="Z13" i="3"/>
  <c r="AK16" i="3"/>
  <c r="AK24" i="3"/>
  <c r="AJ21" i="3"/>
  <c r="AK13" i="3"/>
  <c r="AI12" i="3"/>
  <c r="AI16" i="3"/>
  <c r="AI20" i="3"/>
  <c r="AI24" i="3"/>
  <c r="Z14" i="3"/>
  <c r="AJ16" i="3"/>
  <c r="AJ20" i="3"/>
  <c r="AJ24" i="3"/>
  <c r="Z15" i="3"/>
  <c r="AK12" i="3"/>
  <c r="AK20" i="3"/>
  <c r="Z16" i="3"/>
  <c r="AJ25" i="3"/>
  <c r="AK17" i="3"/>
  <c r="AJ12" i="3"/>
  <c r="B8" i="3"/>
  <c r="Y22" i="3"/>
  <c r="Y21" i="3"/>
  <c r="Y16" i="3"/>
  <c r="Y20" i="3"/>
  <c r="Y17" i="3"/>
  <c r="Y19" i="3"/>
  <c r="Y18" i="3"/>
  <c r="Y15" i="3"/>
  <c r="Y11" i="3"/>
  <c r="Y14" i="3"/>
  <c r="Y9" i="3"/>
  <c r="Y13" i="3"/>
  <c r="Y12" i="3"/>
  <c r="Y24" i="3"/>
  <c r="Y10" i="3"/>
  <c r="Y25" i="3"/>
  <c r="Y23" i="3"/>
  <c r="L3" i="7"/>
  <c r="BY8" i="3" s="1"/>
  <c r="Y8" i="3" l="1"/>
  <c r="AI8" i="3"/>
  <c r="AJ8" i="3"/>
  <c r="AK8" i="3"/>
  <c r="AH8" i="3"/>
  <c r="Z8" i="3"/>
  <c r="AM8" i="3"/>
  <c r="AN8" i="3"/>
  <c r="V8" i="3"/>
  <c r="W8" i="3"/>
  <c r="X8" i="3"/>
  <c r="AA8" i="3"/>
  <c r="AC8" i="3"/>
  <c r="AD8" i="3"/>
  <c r="AE8" i="3"/>
  <c r="AF8" i="3"/>
  <c r="AN21" i="3"/>
  <c r="K10" i="3"/>
  <c r="M11" i="3"/>
  <c r="O12" i="3"/>
  <c r="P13" i="3"/>
  <c r="R14" i="3"/>
  <c r="W16" i="3"/>
  <c r="R23" i="3"/>
  <c r="AM20" i="3"/>
  <c r="M10" i="3"/>
  <c r="N11" i="3"/>
  <c r="P12" i="3"/>
  <c r="Q13" i="3"/>
  <c r="S14" i="3"/>
  <c r="T14" i="3" s="1"/>
  <c r="V15" i="3"/>
  <c r="X16" i="3"/>
  <c r="AC18" i="3"/>
  <c r="M20" i="3"/>
  <c r="O21" i="3"/>
  <c r="Q22" i="3"/>
  <c r="S23" i="3"/>
  <c r="T23" i="3" s="1"/>
  <c r="V24" i="3"/>
  <c r="X25" i="3"/>
  <c r="AR19" i="3"/>
  <c r="AN20" i="3"/>
  <c r="AD22" i="3"/>
  <c r="AR23" i="3"/>
  <c r="AN24" i="3"/>
  <c r="AE22" i="3"/>
  <c r="AO24" i="3"/>
  <c r="K9" i="3"/>
  <c r="N10" i="3"/>
  <c r="O11" i="3"/>
  <c r="Q12" i="3"/>
  <c r="R13" i="3"/>
  <c r="W15" i="3"/>
  <c r="AA17" i="3"/>
  <c r="K19" i="3"/>
  <c r="N20" i="3"/>
  <c r="P21" i="3"/>
  <c r="R22" i="3"/>
  <c r="W24" i="3"/>
  <c r="AS19" i="3"/>
  <c r="AO20" i="3"/>
  <c r="AS23" i="3"/>
  <c r="M9" i="3"/>
  <c r="O10" i="3"/>
  <c r="P11" i="3"/>
  <c r="R12" i="3"/>
  <c r="S13" i="3"/>
  <c r="T13" i="3" s="1"/>
  <c r="V14" i="3"/>
  <c r="X15" i="3"/>
  <c r="AA16" i="3"/>
  <c r="AC17" i="3"/>
  <c r="M19" i="3"/>
  <c r="O20" i="3"/>
  <c r="Q21" i="3"/>
  <c r="S22" i="3"/>
  <c r="T22" i="3" s="1"/>
  <c r="V23" i="3"/>
  <c r="X24" i="3"/>
  <c r="AA25" i="3"/>
  <c r="AT19" i="3"/>
  <c r="AP20" i="3"/>
  <c r="AF22" i="3"/>
  <c r="AT23" i="3"/>
  <c r="AP24" i="3"/>
  <c r="AR24" i="3"/>
  <c r="AP21" i="3"/>
  <c r="AT24" i="3"/>
  <c r="M16" i="3"/>
  <c r="AA22" i="3"/>
  <c r="AQ21" i="3"/>
  <c r="AV24" i="3"/>
  <c r="K8" i="3"/>
  <c r="N9" i="3"/>
  <c r="P10" i="3"/>
  <c r="Q11" i="3"/>
  <c r="S12" i="3"/>
  <c r="T12" i="3" s="1"/>
  <c r="V13" i="3"/>
  <c r="W14" i="3"/>
  <c r="AC16" i="3"/>
  <c r="K18" i="3"/>
  <c r="N19" i="3"/>
  <c r="P20" i="3"/>
  <c r="R21" i="3"/>
  <c r="V22" i="3"/>
  <c r="W23" i="3"/>
  <c r="AC25" i="3"/>
  <c r="AV19" i="3"/>
  <c r="AQ20" i="3"/>
  <c r="AM21" i="3"/>
  <c r="BF22" i="3"/>
  <c r="AV23" i="3"/>
  <c r="AQ24" i="3"/>
  <c r="AM25" i="3"/>
  <c r="AD23" i="3"/>
  <c r="AN25" i="3"/>
  <c r="AF19" i="3"/>
  <c r="AF23" i="3"/>
  <c r="P18" i="3"/>
  <c r="X21" i="3"/>
  <c r="M25" i="3"/>
  <c r="AV20" i="3"/>
  <c r="BF23" i="3"/>
  <c r="AQ25" i="3"/>
  <c r="AE25" i="3"/>
  <c r="M8" i="3"/>
  <c r="O9" i="3"/>
  <c r="Q10" i="3"/>
  <c r="R11" i="3"/>
  <c r="W13" i="3"/>
  <c r="X14" i="3"/>
  <c r="AA15" i="3"/>
  <c r="K17" i="3"/>
  <c r="M18" i="3"/>
  <c r="O19" i="3"/>
  <c r="Q20" i="3"/>
  <c r="S21" i="3"/>
  <c r="T21" i="3" s="1"/>
  <c r="W22" i="3"/>
  <c r="X23" i="3"/>
  <c r="AA24" i="3"/>
  <c r="AD19" i="3"/>
  <c r="AR20" i="3"/>
  <c r="N8" i="3"/>
  <c r="P9" i="3"/>
  <c r="R10" i="3"/>
  <c r="S11" i="3"/>
  <c r="T11" i="3" s="1"/>
  <c r="V12" i="3"/>
  <c r="X13" i="3"/>
  <c r="AC15" i="3"/>
  <c r="M17" i="3"/>
  <c r="N18" i="3"/>
  <c r="P19" i="3"/>
  <c r="R20" i="3"/>
  <c r="V21" i="3"/>
  <c r="X22" i="3"/>
  <c r="AC24" i="3"/>
  <c r="AE19" i="3"/>
  <c r="AS20" i="3"/>
  <c r="AO21" i="3"/>
  <c r="AE23" i="3"/>
  <c r="AS24" i="3"/>
  <c r="AO25" i="3"/>
  <c r="AT20" i="3"/>
  <c r="AP25" i="3"/>
  <c r="R19" i="3"/>
  <c r="AC23" i="3"/>
  <c r="BF19" i="3"/>
  <c r="Q24" i="3"/>
  <c r="AO23" i="3"/>
  <c r="O8" i="3"/>
  <c r="Q9" i="3"/>
  <c r="S10" i="3"/>
  <c r="T10" i="3" s="1"/>
  <c r="V11" i="3"/>
  <c r="W12" i="3"/>
  <c r="AA14" i="3"/>
  <c r="K16" i="3"/>
  <c r="N17" i="3"/>
  <c r="O18" i="3"/>
  <c r="Q19" i="3"/>
  <c r="S20" i="3"/>
  <c r="T20" i="3" s="1"/>
  <c r="W21" i="3"/>
  <c r="AA23" i="3"/>
  <c r="K25" i="3"/>
  <c r="V20" i="3"/>
  <c r="P8" i="3"/>
  <c r="R9" i="3"/>
  <c r="W11" i="3"/>
  <c r="X12" i="3"/>
  <c r="AA13" i="3"/>
  <c r="AC14" i="3"/>
  <c r="O17" i="3"/>
  <c r="AM22" i="3"/>
  <c r="Q8" i="3"/>
  <c r="S9" i="3"/>
  <c r="T9" i="3" s="1"/>
  <c r="V10" i="3"/>
  <c r="X11" i="3"/>
  <c r="AC13" i="3"/>
  <c r="K15" i="3"/>
  <c r="N16" i="3"/>
  <c r="P17" i="3"/>
  <c r="Q18" i="3"/>
  <c r="S19" i="3"/>
  <c r="T19" i="3" s="1"/>
  <c r="W20" i="3"/>
  <c r="AC22" i="3"/>
  <c r="K24" i="3"/>
  <c r="N25" i="3"/>
  <c r="AD20" i="3"/>
  <c r="AR21" i="3"/>
  <c r="AN22" i="3"/>
  <c r="AD24" i="3"/>
  <c r="AR25" i="3"/>
  <c r="N13" i="3"/>
  <c r="K21" i="3"/>
  <c r="AO19" i="3"/>
  <c r="R8" i="3"/>
  <c r="V9" i="3"/>
  <c r="W10" i="3"/>
  <c r="AA12" i="3"/>
  <c r="K14" i="3"/>
  <c r="M15" i="3"/>
  <c r="O16" i="3"/>
  <c r="Q17" i="3"/>
  <c r="R18" i="3"/>
  <c r="V19" i="3"/>
  <c r="X20" i="3"/>
  <c r="AA21" i="3"/>
  <c r="K23" i="3"/>
  <c r="M24" i="3"/>
  <c r="O25" i="3"/>
  <c r="AE20" i="3"/>
  <c r="AS21" i="3"/>
  <c r="AO22" i="3"/>
  <c r="AE24" i="3"/>
  <c r="AS25" i="3"/>
  <c r="AA10" i="3"/>
  <c r="O14" i="3"/>
  <c r="W18" i="3"/>
  <c r="P24" i="3"/>
  <c r="AN19" i="3"/>
  <c r="AR22" i="3"/>
  <c r="AD25" i="3"/>
  <c r="AC10" i="3"/>
  <c r="Q15" i="3"/>
  <c r="X18" i="3"/>
  <c r="N22" i="3"/>
  <c r="AE21" i="3"/>
  <c r="S8" i="3"/>
  <c r="W9" i="3"/>
  <c r="X10" i="3"/>
  <c r="AA11" i="3"/>
  <c r="AC12" i="3"/>
  <c r="M14" i="3"/>
  <c r="N15" i="3"/>
  <c r="P16" i="3"/>
  <c r="R17" i="3"/>
  <c r="S18" i="3"/>
  <c r="T18" i="3" s="1"/>
  <c r="W19" i="3"/>
  <c r="AC21" i="3"/>
  <c r="M23" i="3"/>
  <c r="N24" i="3"/>
  <c r="P25" i="3"/>
  <c r="AF20" i="3"/>
  <c r="AT21" i="3"/>
  <c r="AP22" i="3"/>
  <c r="AF24" i="3"/>
  <c r="AT25" i="3"/>
  <c r="K12" i="3"/>
  <c r="P15" i="3"/>
  <c r="M22" i="3"/>
  <c r="AN23" i="3"/>
  <c r="AA9" i="3"/>
  <c r="P14" i="3"/>
  <c r="V17" i="3"/>
  <c r="P23" i="3"/>
  <c r="X9" i="3"/>
  <c r="AC11" i="3"/>
  <c r="K13" i="3"/>
  <c r="N14" i="3"/>
  <c r="O15" i="3"/>
  <c r="Q16" i="3"/>
  <c r="S17" i="3"/>
  <c r="T17" i="3" s="1"/>
  <c r="V18" i="3"/>
  <c r="X19" i="3"/>
  <c r="AA20" i="3"/>
  <c r="K22" i="3"/>
  <c r="N23" i="3"/>
  <c r="O24" i="3"/>
  <c r="Q25" i="3"/>
  <c r="AM19" i="3"/>
  <c r="BF20" i="3"/>
  <c r="AV21" i="3"/>
  <c r="AQ22" i="3"/>
  <c r="AM23" i="3"/>
  <c r="BF24" i="3"/>
  <c r="AV25" i="3"/>
  <c r="M13" i="3"/>
  <c r="R16" i="3"/>
  <c r="AC20" i="3"/>
  <c r="O23" i="3"/>
  <c r="R25" i="3"/>
  <c r="AD21" i="3"/>
  <c r="M12" i="3"/>
  <c r="S16" i="3"/>
  <c r="T16" i="3" s="1"/>
  <c r="AA19" i="3"/>
  <c r="S25" i="3"/>
  <c r="T25" i="3" s="1"/>
  <c r="AS22" i="3"/>
  <c r="AC9" i="3"/>
  <c r="K11" i="3"/>
  <c r="N12" i="3"/>
  <c r="O13" i="3"/>
  <c r="Q14" i="3"/>
  <c r="R15" i="3"/>
  <c r="V16" i="3"/>
  <c r="W17" i="3"/>
  <c r="AC19" i="3"/>
  <c r="M21" i="3"/>
  <c r="O22" i="3"/>
  <c r="Q23" i="3"/>
  <c r="R24" i="3"/>
  <c r="V25" i="3"/>
  <c r="AP19" i="3"/>
  <c r="AF21" i="3"/>
  <c r="AT22" i="3"/>
  <c r="AP23" i="3"/>
  <c r="AF25" i="3"/>
  <c r="S15" i="3"/>
  <c r="T15" i="3" s="1"/>
  <c r="X17" i="3"/>
  <c r="AA18" i="3"/>
  <c r="K20" i="3"/>
  <c r="N21" i="3"/>
  <c r="P22" i="3"/>
  <c r="S24" i="3"/>
  <c r="T24" i="3" s="1"/>
  <c r="W25" i="3"/>
  <c r="AQ19" i="3"/>
  <c r="BF21" i="3"/>
  <c r="AV22" i="3"/>
  <c r="AQ23" i="3"/>
  <c r="AM24" i="3"/>
  <c r="BF25" i="3"/>
  <c r="BC13" i="3"/>
  <c r="BD13" i="3"/>
  <c r="BE13" i="3"/>
  <c r="BC8" i="3"/>
  <c r="BD8" i="3"/>
  <c r="BE8" i="3"/>
  <c r="BS24" i="3" l="1"/>
  <c r="BT24" i="3"/>
  <c r="BT15" i="3"/>
  <c r="BT11" i="3"/>
  <c r="BT16" i="3"/>
  <c r="BT12" i="3"/>
  <c r="BS23" i="3"/>
  <c r="BS20" i="3"/>
  <c r="BS21" i="3"/>
  <c r="BT22" i="3"/>
  <c r="BT18" i="3"/>
  <c r="BT14" i="3"/>
  <c r="BS19" i="3"/>
  <c r="BT10" i="3"/>
  <c r="BT23" i="3"/>
  <c r="BS22" i="3"/>
  <c r="BT19" i="3"/>
  <c r="BT25" i="3"/>
  <c r="BT21" i="3"/>
  <c r="BT17" i="3"/>
  <c r="BT13" i="3"/>
  <c r="BT9" i="3"/>
  <c r="BT20" i="3"/>
  <c r="BT8" i="3"/>
  <c r="BS25" i="3"/>
  <c r="I19" i="3"/>
  <c r="BV19" i="3" s="1"/>
  <c r="I22" i="3"/>
  <c r="BV22" i="3" s="1"/>
  <c r="T8" i="3"/>
  <c r="I23" i="3"/>
  <c r="BV23" i="3" s="1"/>
  <c r="I25" i="3"/>
  <c r="BV25" i="3" s="1"/>
  <c r="I24" i="3"/>
  <c r="BV24" i="3" s="1"/>
  <c r="I20" i="3"/>
  <c r="BV20" i="3" s="1"/>
  <c r="BX22" i="3"/>
  <c r="BU22" i="3"/>
  <c r="BX23" i="3"/>
  <c r="BU23" i="3"/>
  <c r="I21" i="3"/>
  <c r="BV21" i="3" s="1"/>
  <c r="BX20" i="3"/>
  <c r="BU20" i="3"/>
  <c r="BX21" i="3"/>
  <c r="BU21" i="3"/>
  <c r="BU19" i="3"/>
  <c r="BX19" i="3"/>
  <c r="BX24" i="3"/>
  <c r="BU24" i="3"/>
  <c r="BX25" i="3"/>
  <c r="BU25" i="3"/>
  <c r="BE12" i="3"/>
  <c r="BD11" i="3"/>
  <c r="BD9" i="3"/>
  <c r="BD10" i="3"/>
  <c r="BD14" i="3"/>
  <c r="BD15" i="3"/>
  <c r="BD16" i="3"/>
  <c r="BD17" i="3"/>
  <c r="BD18" i="3"/>
  <c r="BD12" i="3"/>
  <c r="BC11" i="3"/>
  <c r="BC9" i="3"/>
  <c r="BC10" i="3"/>
  <c r="BC14" i="3"/>
  <c r="BC15" i="3"/>
  <c r="BC16" i="3"/>
  <c r="BC17" i="3"/>
  <c r="BC18" i="3"/>
  <c r="BC12" i="3"/>
  <c r="BE17" i="3" l="1"/>
  <c r="AR13" i="3" l="1"/>
  <c r="AR8" i="3"/>
  <c r="AN15" i="3"/>
  <c r="AR12" i="3"/>
  <c r="AN17" i="3"/>
  <c r="AN9" i="3"/>
  <c r="AR15" i="3"/>
  <c r="AR14" i="3"/>
  <c r="AN11" i="3"/>
  <c r="AN10" i="3"/>
  <c r="AR11" i="3"/>
  <c r="AN12" i="3"/>
  <c r="AR9" i="3"/>
  <c r="AN14" i="3"/>
  <c r="AR10" i="3"/>
  <c r="AP13" i="3"/>
  <c r="AR17" i="3"/>
  <c r="AN16" i="3"/>
  <c r="AR16" i="3"/>
  <c r="AT13" i="3"/>
  <c r="AN18" i="3"/>
  <c r="AR18" i="3"/>
  <c r="AP8" i="3"/>
  <c r="AP11" i="3"/>
  <c r="AP10" i="3"/>
  <c r="AT8" i="3"/>
  <c r="AP12" i="3"/>
  <c r="AT12" i="3"/>
  <c r="AT15" i="3"/>
  <c r="AT18" i="3"/>
  <c r="AP15" i="3"/>
  <c r="AT11" i="3"/>
  <c r="AP9" i="3"/>
  <c r="AT9" i="3"/>
  <c r="AP16" i="3"/>
  <c r="AP18" i="3"/>
  <c r="AP17" i="3"/>
  <c r="AT10" i="3"/>
  <c r="AP14" i="3"/>
  <c r="AT14" i="3"/>
  <c r="AT16" i="3"/>
  <c r="AT17" i="3"/>
  <c r="AN13" i="3"/>
  <c r="AO8" i="3"/>
  <c r="AO11" i="3"/>
  <c r="AO10" i="3"/>
  <c r="AO15" i="3"/>
  <c r="AO17" i="3"/>
  <c r="AO12" i="3"/>
  <c r="AO9" i="3"/>
  <c r="AO14" i="3"/>
  <c r="AO16" i="3"/>
  <c r="AO18" i="3"/>
  <c r="AO13" i="3"/>
  <c r="AD13" i="3"/>
  <c r="AV14" i="3"/>
  <c r="BF8" i="3"/>
  <c r="AV16" i="3"/>
  <c r="AV17" i="3"/>
  <c r="AV12" i="3"/>
  <c r="AV9" i="3"/>
  <c r="AE13" i="3"/>
  <c r="AV8" i="3"/>
  <c r="AV11" i="3"/>
  <c r="AV18" i="3"/>
  <c r="AV10" i="3"/>
  <c r="AF13" i="3"/>
  <c r="BF13" i="3"/>
  <c r="AV13" i="3"/>
  <c r="AV15" i="3"/>
  <c r="AS13" i="3"/>
  <c r="AS8" i="3"/>
  <c r="AS11" i="3"/>
  <c r="AS10" i="3"/>
  <c r="AS15" i="3"/>
  <c r="AS12" i="3"/>
  <c r="AS17" i="3"/>
  <c r="AS9" i="3"/>
  <c r="AS14" i="3"/>
  <c r="AS16" i="3"/>
  <c r="AS18" i="3"/>
  <c r="AQ8" i="3"/>
  <c r="AQ11" i="3"/>
  <c r="AQ10" i="3"/>
  <c r="AQ15" i="3"/>
  <c r="AQ17" i="3"/>
  <c r="AQ12" i="3"/>
  <c r="AQ9" i="3"/>
  <c r="AQ14" i="3"/>
  <c r="AQ16" i="3"/>
  <c r="AQ18" i="3"/>
  <c r="AQ13" i="3"/>
  <c r="AM13" i="3"/>
  <c r="AM11" i="3"/>
  <c r="AM10" i="3"/>
  <c r="AM15" i="3"/>
  <c r="AM12" i="3"/>
  <c r="AM17" i="3"/>
  <c r="AM9" i="3"/>
  <c r="AM14" i="3"/>
  <c r="AM16" i="3"/>
  <c r="AM18" i="3"/>
  <c r="AE17" i="3"/>
  <c r="BF17" i="3"/>
  <c r="AD17" i="3"/>
  <c r="AF17" i="3"/>
  <c r="BF12" i="3"/>
  <c r="BF16" i="3"/>
  <c r="BF15" i="3"/>
  <c r="AD16" i="3"/>
  <c r="AD14" i="3"/>
  <c r="AD9" i="3"/>
  <c r="BF14" i="3"/>
  <c r="BF10" i="3"/>
  <c r="AF12" i="3"/>
  <c r="BF9" i="3"/>
  <c r="AE12" i="3"/>
  <c r="BF11" i="3"/>
  <c r="AF18" i="3"/>
  <c r="AF15" i="3"/>
  <c r="AF10" i="3"/>
  <c r="AF11" i="3"/>
  <c r="AE18" i="3"/>
  <c r="AE15" i="3"/>
  <c r="AE10" i="3"/>
  <c r="AE11" i="3"/>
  <c r="AD18" i="3"/>
  <c r="AD15" i="3"/>
  <c r="AD10" i="3"/>
  <c r="AD11" i="3"/>
  <c r="BF18" i="3"/>
  <c r="AF16" i="3"/>
  <c r="AF14" i="3"/>
  <c r="AF9" i="3"/>
  <c r="AD12" i="3"/>
  <c r="AE16" i="3"/>
  <c r="AE14" i="3"/>
  <c r="AE9" i="3"/>
  <c r="BS14" i="3" l="1"/>
  <c r="BS9" i="3"/>
  <c r="BS15" i="3"/>
  <c r="BS10" i="3"/>
  <c r="BS11" i="3"/>
  <c r="BS13" i="3"/>
  <c r="BS18" i="3"/>
  <c r="BS16" i="3"/>
  <c r="BS17" i="3"/>
  <c r="BS12" i="3"/>
  <c r="I12" i="3"/>
  <c r="I11" i="3"/>
  <c r="I17" i="3"/>
  <c r="BV17" i="3" s="1"/>
  <c r="I10" i="3"/>
  <c r="I9" i="3"/>
  <c r="I14" i="3"/>
  <c r="I13" i="3"/>
  <c r="BV13" i="3" s="1"/>
  <c r="I16" i="3"/>
  <c r="I15" i="3"/>
  <c r="I18" i="3"/>
  <c r="BV18" i="3" s="1"/>
  <c r="BX18" i="3"/>
  <c r="BU18" i="3"/>
  <c r="I8" i="3"/>
  <c r="BS8" i="3"/>
  <c r="BX8" i="3"/>
  <c r="BU8" i="3"/>
  <c r="BX13" i="3"/>
  <c r="BU13" i="3"/>
  <c r="BX10" i="3"/>
  <c r="BX15" i="3"/>
  <c r="BU15" i="3"/>
  <c r="BX14" i="3"/>
  <c r="BU14" i="3"/>
  <c r="BU16" i="3"/>
  <c r="BX16" i="3"/>
  <c r="BX17" i="3"/>
  <c r="BU17" i="3"/>
  <c r="BV8" i="3" l="1"/>
  <c r="BE11" i="3"/>
  <c r="BE9" i="3"/>
  <c r="BE10" i="3"/>
  <c r="BE14" i="3"/>
  <c r="BE15" i="3"/>
  <c r="BE16" i="3"/>
  <c r="BE18" i="3"/>
  <c r="BU11" i="3" l="1"/>
  <c r="BX11" i="3"/>
  <c r="BU10" i="3"/>
  <c r="BU12" i="3"/>
  <c r="BU9" i="3"/>
  <c r="BX9" i="3"/>
  <c r="BV9" i="3"/>
  <c r="BV15" i="3"/>
  <c r="BV10" i="3"/>
  <c r="BV16" i="3"/>
  <c r="BV14" i="3"/>
  <c r="BV11" i="3"/>
  <c r="BV12" i="3"/>
  <c r="BX1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<sst xmlns="http://schemas.openxmlformats.org/spreadsheetml/2006/main" count="2980" uniqueCount="217">
  <si>
    <t>Front Door Orientation</t>
  </si>
  <si>
    <t>Floor Area</t>
  </si>
  <si>
    <t>Living Room Area</t>
  </si>
  <si>
    <t>Party Walls to Flats</t>
  </si>
  <si>
    <t>Party Walls to Circulation</t>
  </si>
  <si>
    <t>Internal Paritions</t>
  </si>
  <si>
    <t>Internal Partitions Doubled</t>
  </si>
  <si>
    <t>Party Ceiling</t>
  </si>
  <si>
    <t>Ground Floor</t>
  </si>
  <si>
    <t>Separate Shower</t>
  </si>
  <si>
    <t>Shower Bath</t>
  </si>
  <si>
    <t>Sheltered Sides</t>
  </si>
  <si>
    <t>Total Floor Area</t>
  </si>
  <si>
    <t>Fraction of Floor Area</t>
  </si>
  <si>
    <t>Number of Panels</t>
  </si>
  <si>
    <t>Peak Capacity (kW)</t>
  </si>
  <si>
    <t>Orientation</t>
  </si>
  <si>
    <t>PV Capacity (kW)</t>
  </si>
  <si>
    <t>Party Floor</t>
  </si>
  <si>
    <t>Net Area of External Elements (31)</t>
  </si>
  <si>
    <t>Glazing Area (27)</t>
  </si>
  <si>
    <t>Face</t>
  </si>
  <si>
    <t>Area (m²)</t>
  </si>
  <si>
    <t>Panel Capacity (kW)</t>
  </si>
  <si>
    <t>Pitch (°)</t>
  </si>
  <si>
    <t>Level</t>
  </si>
  <si>
    <t>Parent Hierarchy</t>
  </si>
  <si>
    <t>Material</t>
  </si>
  <si>
    <t>SAP Ground Floor</t>
  </si>
  <si>
    <t>SAP Party Walls to Corridors</t>
  </si>
  <si>
    <t>SAP Party Ceiling</t>
  </si>
  <si>
    <t>SAP Party Floor</t>
  </si>
  <si>
    <t>SAP Internal Partitions</t>
  </si>
  <si>
    <t>Glazing</t>
  </si>
  <si>
    <t>Total Area</t>
  </si>
  <si>
    <r>
      <t>Total in Export (m</t>
    </r>
    <r>
      <rPr>
        <vertAlign val="super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)</t>
    </r>
  </si>
  <si>
    <r>
      <t>Total Area in Sheet (m</t>
    </r>
    <r>
      <rPr>
        <vertAlign val="super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)</t>
    </r>
  </si>
  <si>
    <t>MEASUREMENTS</t>
  </si>
  <si>
    <t>WALLS</t>
  </si>
  <si>
    <t>ROOFS</t>
  </si>
  <si>
    <t>FLOORS</t>
  </si>
  <si>
    <t>OPENINGS</t>
  </si>
  <si>
    <t>South</t>
  </si>
  <si>
    <t>RENEWABLES</t>
  </si>
  <si>
    <t>VENT &amp; DHW</t>
  </si>
  <si>
    <t>CHECKS</t>
  </si>
  <si>
    <t>DETAILS &amp; PROP TYPE</t>
  </si>
  <si>
    <t>North</t>
  </si>
  <si>
    <t>East</t>
  </si>
  <si>
    <t>West</t>
  </si>
  <si>
    <t>Windows</t>
  </si>
  <si>
    <t>Exposed Floor</t>
  </si>
  <si>
    <t>N</t>
  </si>
  <si>
    <t>SAP Party Walls to Dwelling</t>
  </si>
  <si>
    <t>External Walls 1 (Cavity) (ex Windows)</t>
  </si>
  <si>
    <t>External Walls 2 (Dormer) (ex Windows)</t>
  </si>
  <si>
    <t>SAP External Wall Area 1</t>
  </si>
  <si>
    <t>Semi Exposed Floor</t>
  </si>
  <si>
    <t>Cooled Area</t>
  </si>
  <si>
    <t>Volume</t>
  </si>
  <si>
    <t>Dwelling</t>
  </si>
  <si>
    <t>WC / Utility</t>
  </si>
  <si>
    <t>Terrace Type</t>
  </si>
  <si>
    <t>Wet Rooms Ex Kitchen</t>
  </si>
  <si>
    <t>Bath Count</t>
  </si>
  <si>
    <t>Showers</t>
  </si>
  <si>
    <t>Storey Height</t>
  </si>
  <si>
    <t>Hor.</t>
  </si>
  <si>
    <t xml:space="preserve"> </t>
  </si>
  <si>
    <t>Standard Bath</t>
  </si>
  <si>
    <t>External Walls 4 (Semi Exposed)</t>
  </si>
  <si>
    <t>Bathrooms / Shower Rooms</t>
  </si>
  <si>
    <t>Position</t>
  </si>
  <si>
    <t>Roof Light</t>
  </si>
  <si>
    <t>North West</t>
  </si>
  <si>
    <t>South West</t>
  </si>
  <si>
    <t>South East</t>
  </si>
  <si>
    <t>North East</t>
  </si>
  <si>
    <t>Orientation (°)</t>
  </si>
  <si>
    <t>Cardinal Direction</t>
  </si>
  <si>
    <t>E</t>
  </si>
  <si>
    <t>W</t>
  </si>
  <si>
    <t>↓</t>
  </si>
  <si>
    <t>Flat 09 Envelope</t>
  </si>
  <si>
    <t>Flat 07 Envelope</t>
  </si>
  <si>
    <t>Flat 01 Envelope</t>
  </si>
  <si>
    <t>Flat 02 Envelope</t>
  </si>
  <si>
    <t>Flat 04 Envelope</t>
  </si>
  <si>
    <t>Flat 05 Envelope</t>
  </si>
  <si>
    <t>Flat 06 Envelope</t>
  </si>
  <si>
    <t>Flat 03 Envelope</t>
  </si>
  <si>
    <t>Flat 18 Envelope</t>
  </si>
  <si>
    <t>Flat 15 Envelope</t>
  </si>
  <si>
    <t>Flat 12 Envelope</t>
  </si>
  <si>
    <t>Flat 17 Envelope</t>
  </si>
  <si>
    <t>Flat 16 Envelope</t>
  </si>
  <si>
    <t>Flat 14 Envelope</t>
  </si>
  <si>
    <t>Flat 11 Envelope</t>
  </si>
  <si>
    <t>Flat 08 Envelope</t>
  </si>
  <si>
    <t>Flat 13 Envelope</t>
  </si>
  <si>
    <t>Flat 10 Envelope</t>
  </si>
  <si>
    <t>Flat 06 Partitions</t>
  </si>
  <si>
    <t>Flat 01 Partitions</t>
  </si>
  <si>
    <t>Flat 02 Partitions</t>
  </si>
  <si>
    <t>Flat 05 Partitions</t>
  </si>
  <si>
    <t>Flat 04 Partitions</t>
  </si>
  <si>
    <t>Flat 03 Partitions</t>
  </si>
  <si>
    <t>Flat 18 Partitions</t>
  </si>
  <si>
    <t>Flat 13 Partitions</t>
  </si>
  <si>
    <t>Flat 17 Partitions</t>
  </si>
  <si>
    <t>Flat 14 Partitions</t>
  </si>
  <si>
    <t>Flat 16 Partitions</t>
  </si>
  <si>
    <t>Flat 15 Partitions</t>
  </si>
  <si>
    <t>Flat 08 Partitions</t>
  </si>
  <si>
    <t>Flat 07 Partitons</t>
  </si>
  <si>
    <t>Flat 09 Partitions</t>
  </si>
  <si>
    <t>Flat 10 Partitons</t>
  </si>
  <si>
    <t>Flat 11 Partitons</t>
  </si>
  <si>
    <t>Flat 12 Partitions</t>
  </si>
  <si>
    <t>SAP Exposed Floor</t>
  </si>
  <si>
    <t>SAP Front Door</t>
  </si>
  <si>
    <t>Flat 01 Envelope &gt; Unnamed ComponentInstance (ID: 1007) (Definition: Z-C-External Door 1#1)</t>
  </si>
  <si>
    <t>SAP Ground Floor &amp; Living</t>
  </si>
  <si>
    <t>SAP Roof 5</t>
  </si>
  <si>
    <t>SAP External Wall Area 4</t>
  </si>
  <si>
    <t>SAP Party Floor &amp; Living</t>
  </si>
  <si>
    <t>SAP Semi-Exposed Floor1</t>
  </si>
  <si>
    <t>SAP Semi-Exposed Floor &amp; Living</t>
  </si>
  <si>
    <t>Flat 09 Envelope &gt; Unnamed ComponentInstance (ID: 5622) (Definition: Z-C-Window 1)</t>
  </si>
  <si>
    <t>Flat 09 Envelope &gt; Unnamed ComponentInstance (ID: 5626) (Definition: Z-C-Window 1)</t>
  </si>
  <si>
    <t>Flat 09 Envelope &gt; Unnamed ComponentInstance (ID: 5630) (Definition: Z-C-Window 2)</t>
  </si>
  <si>
    <t>Flat 09 Envelope &gt; Unnamed ComponentInstance (ID: 5634) (Definition: Z-C-External Door 3)</t>
  </si>
  <si>
    <t>Flat 09 Envelope &gt; Unnamed ComponentInstance (ID: 5638) (Definition: Z-C-Window 2)</t>
  </si>
  <si>
    <t>Flat 07 Envelope &gt; Unnamed ComponentInstance (ID: 5992) (Definition: Z-C-Window 1)</t>
  </si>
  <si>
    <t>Flat 07 Envelope &gt; Unnamed ComponentInstance (ID: 5996) (Definition: Z-C-Window 1)</t>
  </si>
  <si>
    <t>Flat 07 Envelope &gt; Unnamed ComponentInstance (ID: 6000) (Definition: Z-C-Window 1)</t>
  </si>
  <si>
    <t>Flat 07 Envelope &gt; Unnamed ComponentInstance (ID: 6004) (Definition: Z-C-Window 1)</t>
  </si>
  <si>
    <t>Flat 07 Envelope &gt; Unnamed ComponentInstance (ID: 6008) (Definition: Z-C-Window 3)</t>
  </si>
  <si>
    <t>Flat 07 Envelope &gt; Unnamed ComponentInstance (ID: 6012) (Definition: Z-C-External Door 1)</t>
  </si>
  <si>
    <t>Flat 01 Envelope &gt; Unnamed ComponentInstance (ID: 999) (Definition: Z-C-Window 1#1)</t>
  </si>
  <si>
    <t>Flat 01 Envelope &gt; Unnamed ComponentInstance (ID: 1003) (Definition: Z-C-Window 1#1)</t>
  </si>
  <si>
    <t>Flat 01 Envelope &gt; Unnamed ComponentInstance (ID: 1011) (Definition: Z-C-Curtain Wall 1#1)</t>
  </si>
  <si>
    <t>Flat 02 Envelope &gt; Unnamed ComponentInstance (ID: 1417) (Definition: Z-C-Window 1#1)</t>
  </si>
  <si>
    <t>Flat 02 Envelope &gt; Unnamed ComponentInstance (ID: 1421) (Definition: Z-C-Window 1#1)</t>
  </si>
  <si>
    <t>Flat 02 Envelope &gt; Unnamed ComponentInstance (ID: 1425) (Definition: Z-C-Curtain Wall 1)</t>
  </si>
  <si>
    <t>Flat 02 Envelope &gt; Unnamed ComponentInstance (ID: 1429) (Definition: Z-C-Window 2#2)</t>
  </si>
  <si>
    <t>Flat 02 Envelope &gt; Unnamed ComponentInstance (ID: 1433) (Definition: Z-C-Window 2#2)</t>
  </si>
  <si>
    <t>Flat 04 Envelope &gt; Unnamed ComponentInstance (ID: 793) (Definition: Z-C-Window 1#1)</t>
  </si>
  <si>
    <t>Flat 04 Envelope &gt; Unnamed ComponentInstance (ID: 797) (Definition: Z-C-Curtain Wall 1)</t>
  </si>
  <si>
    <t>Flat 05 Envelope &gt; Unnamed ComponentInstance (ID: 3658) (Definition: Z-C-Window 2#2)</t>
  </si>
  <si>
    <t>Flat 05 Envelope &gt; Unnamed ComponentInstance (ID: 3662) (Definition: Z-C-Window 1#1)</t>
  </si>
  <si>
    <t>Flat 05 Envelope &gt; Unnamed ComponentInstance (ID: 3666) (Definition: Z-C-Curtain Wall 1)</t>
  </si>
  <si>
    <t>Flat 05 Envelope &gt; Unnamed ComponentInstance (ID: 3670) (Definition: Z-C-Window 1#1)</t>
  </si>
  <si>
    <t>Flat 06 Envelope &gt; Unnamed ComponentInstance (ID: 2015) (Definition: Z-C-Window 1#1)</t>
  </si>
  <si>
    <t>Flat 06 Envelope &gt; Unnamed ComponentInstance (ID: 2019) (Definition: Z-C-Window 1#1)</t>
  </si>
  <si>
    <t>Flat 06 Envelope &gt; Unnamed ComponentInstance (ID: 2023) (Definition: Z-C-Curtain Wall 1)</t>
  </si>
  <si>
    <t>Flat 03 Envelope &gt; Unnamed ComponentInstance (ID: 4633) (Definition: Z-C-Window 2#2)</t>
  </si>
  <si>
    <t>Flat 03 Envelope &gt; Unnamed ComponentInstance (ID: 4637) (Definition: Z-C-Window 1#1)</t>
  </si>
  <si>
    <t>Flat 03 Envelope &gt; Unnamed ComponentInstance (ID: 4641) (Definition: Z-C-Window 2#2)</t>
  </si>
  <si>
    <t>Flat 03 Envelope &gt; Unnamed ComponentInstance (ID: 4645) (Definition: Z-C-Window 1#1)</t>
  </si>
  <si>
    <t>Flat 03 Envelope &gt; Unnamed ComponentInstance (ID: 4649) (Definition: Z-C-External Door 3)</t>
  </si>
  <si>
    <t>Flat 18 Envelope &gt; Unnamed ComponentInstance (ID: 4403) (Definition: Z-C-Curtain Wall 1)</t>
  </si>
  <si>
    <t>Flat 18 Envelope &gt; Unnamed ComponentInstance (ID: 4407) (Definition: Z-C-Window 1)</t>
  </si>
  <si>
    <t>Flat 18 Envelope &gt; Unnamed ComponentInstance (ID: 4411) (Definition: Z-C-Window 1)</t>
  </si>
  <si>
    <t>Flat 15 Envelope &gt; Unnamed ComponentInstance (ID: 3483) (Definition: Z-C-Window 1)</t>
  </si>
  <si>
    <t>Flat 15 Envelope &gt; Unnamed ComponentInstance (ID: 3487) (Definition: Z-C-Window 1)</t>
  </si>
  <si>
    <t>Flat 15 Envelope &gt; Unnamed ComponentInstance (ID: 3491) (Definition: Z-C-Window 2)</t>
  </si>
  <si>
    <t>Flat 15 Envelope &gt; Unnamed ComponentInstance (ID: 3495) (Definition: Z-C-External Door 3)</t>
  </si>
  <si>
    <t>Flat 15 Envelope &gt; Unnamed ComponentInstance (ID: 3499) (Definition: Z-C-Window 2)</t>
  </si>
  <si>
    <t>Flat 12 Envelope &gt; Unnamed ComponentInstance (ID: 5203) (Definition: Z-C-Curtain Wall 1)</t>
  </si>
  <si>
    <t>Flat 12 Envelope &gt; Unnamed ComponentInstance (ID: 5207) (Definition: Z-C-Window 1)</t>
  </si>
  <si>
    <t>Flat 12 Envelope &gt; Unnamed ComponentInstance (ID: 5211) (Definition: Z-C-Window 1)</t>
  </si>
  <si>
    <t>Flat 17 Envelope &gt; Unnamed ComponentInstance (ID: 2821) (Definition: Z-C-Curtain Wall 1)</t>
  </si>
  <si>
    <t>Flat 17 Envelope &gt; Unnamed ComponentInstance (ID: 2825) (Definition: Z-C-Window 1)</t>
  </si>
  <si>
    <t>Flat 17 Envelope &gt; Unnamed ComponentInstance (ID: 2829) (Definition: Z-C-Window 1)</t>
  </si>
  <si>
    <t>Flat 17 Envelope &gt; Unnamed ComponentInstance (ID: 2833) (Definition: Z-C-Window 2)</t>
  </si>
  <si>
    <t>Flat 16 Envelope &gt; Unnamed ComponentInstance (ID: 4002) (Definition: Z-C-Curtain Wall 1)</t>
  </si>
  <si>
    <t>Flat 16 Envelope &gt; Unnamed ComponentInstance (ID: 4006) (Definition: Z-C-Window 1)</t>
  </si>
  <si>
    <t>Flat 14 Envelope &gt; Unnamed ComponentInstance (ID: 3823) (Definition: Z-C-Window 2)</t>
  </si>
  <si>
    <t>Flat 14 Envelope &gt; Unnamed ComponentInstance (ID: 3827) (Definition: Z-C-Window 1)</t>
  </si>
  <si>
    <t>Flat 14 Envelope &gt; Unnamed ComponentInstance (ID: 3831) (Definition: Z-C-Window 2)</t>
  </si>
  <si>
    <t>Flat 14 Envelope &gt; Unnamed ComponentInstance (ID: 3835) (Definition: Z-C-Curtain Wall 1)</t>
  </si>
  <si>
    <t>Flat 14 Envelope &gt; Unnamed ComponentInstance (ID: 3839) (Definition: Z-C-Window 1)</t>
  </si>
  <si>
    <t>Flat 11 Envelope &gt; Unnamed ComponentInstance (ID: 5797) (Definition: Z-C-Curtain Wall 1)</t>
  </si>
  <si>
    <t>Flat 11 Envelope &gt; Unnamed ComponentInstance (ID: 5801) (Definition: Z-C-Window 1)</t>
  </si>
  <si>
    <t>Flat 11 Envelope &gt; Unnamed ComponentInstance (ID: 5805) (Definition: Z-C-Window 1)</t>
  </si>
  <si>
    <t>Flat 11 Envelope &gt; Unnamed ComponentInstance (ID: 5809) (Definition: Z-C-Window 2)</t>
  </si>
  <si>
    <t>Flat 08 Envelope &gt; Unnamed ComponentInstance (ID: 4803) (Definition: Z-C-Window 2)</t>
  </si>
  <si>
    <t>Flat 08 Envelope &gt; Unnamed ComponentInstance (ID: 4807) (Definition: Z-C-Window 1)</t>
  </si>
  <si>
    <t>Flat 08 Envelope &gt; Unnamed ComponentInstance (ID: 4811) (Definition: Z-C-Window 2)</t>
  </si>
  <si>
    <t>Flat 08 Envelope &gt; Unnamed ComponentInstance (ID: 4815) (Definition: Z-C-Curtain Wall 1)</t>
  </si>
  <si>
    <t>Flat 08 Envelope &gt; Unnamed ComponentInstance (ID: 4819) (Definition: Z-C-Window 1)</t>
  </si>
  <si>
    <t>Flat 13 Envelope &gt; Unnamed ComponentInstance (ID: 2641) (Definition: Z-C-Window 1)</t>
  </si>
  <si>
    <t>Flat 13 Envelope &gt; Unnamed ComponentInstance (ID: 2645) (Definition: Z-C-Window 1)</t>
  </si>
  <si>
    <t>Flat 13 Envelope &gt; Unnamed ComponentInstance (ID: 2649) (Definition: Z-C-Window 1)</t>
  </si>
  <si>
    <t>Flat 13 Envelope &gt; Unnamed ComponentInstance (ID: 2653) (Definition: Z-C-Window 1)</t>
  </si>
  <si>
    <t>Flat 13 Envelope &gt; Unnamed ComponentInstance (ID: 2657) (Definition: Z-C-Window 3)</t>
  </si>
  <si>
    <t>Flat 13 Envelope &gt; Unnamed ComponentInstance (ID: 2661) (Definition: Z-C-External Door 1)</t>
  </si>
  <si>
    <t>Flat 10 Envelope &gt; Unnamed ComponentInstance (ID: 4982) (Definition: Z-C-Curtain Wall 1)</t>
  </si>
  <si>
    <t>Flat 10 Envelope &gt; Unnamed ComponentInstance (ID: 4986) (Definition: Z-C-Window 1)</t>
  </si>
  <si>
    <t>AREA INPUTS</t>
  </si>
  <si>
    <t>NW</t>
  </si>
  <si>
    <t>SW</t>
  </si>
  <si>
    <t>SE</t>
  </si>
  <si>
    <t>End</t>
  </si>
  <si>
    <t>Mid</t>
  </si>
  <si>
    <t>GF</t>
  </si>
  <si>
    <t>Top</t>
  </si>
  <si>
    <t>External Walls 3 (Dwarf Walls)</t>
  </si>
  <si>
    <t>Roof Type 1 (Pitched)</t>
  </si>
  <si>
    <t>Roof Type 2 (Timber Flat)</t>
  </si>
  <si>
    <t>Roof Type 3 (Semi Exposed)</t>
  </si>
  <si>
    <t>Roof Type 4 (Cold Roof)</t>
  </si>
  <si>
    <t>Roof Type 5 (Concrete Flat)</t>
  </si>
  <si>
    <t>Front Door</t>
  </si>
  <si>
    <t>Exported: 2025-11-18 20:12:18, Model: Example Model Version 1, Faces: 704, North Angle: 113.0°</t>
  </si>
  <si>
    <t>Door Area (26)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</si>
</sst>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&gt;0]0.00;[&lt;0]\-0.00;0"/>
    <numFmt numFmtId="166" formatCode="[&gt;0]0;[&lt;0]\-0;0"/>
  </numFmts>
  <fonts count="23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rgb="FF6A662D"/>
      <name val="Arial"/>
      <family val="2"/>
    </font>
    <font>
      <sz val="9"/>
      <color rgb="FF632B1F"/>
      <name val="Arial"/>
      <family val="2"/>
    </font>
    <font>
      <sz val="9"/>
      <color rgb="FF426D2B"/>
      <name val="Arial"/>
      <family val="2"/>
    </font>
    <font>
      <sz val="9"/>
      <color rgb="FF424054"/>
      <name val="Arial"/>
      <family val="2"/>
    </font>
    <font>
      <sz val="9"/>
      <color rgb="FF2E6486"/>
      <name val="Arial"/>
      <family val="2"/>
    </font>
    <font>
      <sz val="9"/>
      <color rgb="FF2A4C2F"/>
      <name val="Arial"/>
      <family val="2"/>
    </font>
    <font>
      <sz val="9"/>
      <color rgb="FF473E38"/>
      <name val="Arial"/>
      <family val="2"/>
    </font>
    <font>
      <sz val="9"/>
      <color rgb="FF7A4E64"/>
      <name val="Arial"/>
      <family val="2"/>
    </font>
    <font>
      <sz val="9"/>
      <color rgb="FF586169"/>
      <name val="Arial"/>
      <family val="2"/>
    </font>
    <font>
      <sz val="9"/>
      <color rgb="FF8A1A1A"/>
      <name val="Arial"/>
      <family val="2"/>
    </font>
    <font>
      <vertAlign val="superscript"/>
      <sz val="9"/>
      <color theme="1"/>
      <name val="Arial"/>
      <family val="2"/>
    </font>
    <font>
      <b/>
      <sz val="9"/>
      <color theme="1"/>
      <name val="Arial"/>
      <family val="2"/>
      <scheme val="minor"/>
    </font>
    <font>
      <sz val="9"/>
      <color theme="0" tint="-0.499984740745262"/>
      <name val="Arial"/>
      <family val="2"/>
    </font>
    <font>
      <sz val="9"/>
      <color theme="1"/>
      <name val="Arial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BEE7C1"/>
        <bgColor indexed="64"/>
      </patternFill>
    </fill>
    <fill>
      <patternFill patternType="solid">
        <fgColor rgb="FFF2F9FD"/>
        <bgColor indexed="64"/>
      </patternFill>
    </fill>
    <fill>
      <patternFill patternType="solid">
        <fgColor rgb="FFD8F4FC"/>
        <bgColor indexed="64"/>
      </patternFill>
    </fill>
    <fill>
      <patternFill patternType="solid">
        <fgColor rgb="FFFBECA2"/>
        <bgColor indexed="64"/>
      </patternFill>
    </fill>
    <fill>
      <patternFill patternType="solid">
        <fgColor rgb="FFE1FFBF"/>
        <bgColor indexed="64"/>
      </patternFill>
    </fill>
    <fill>
      <patternFill patternType="solid">
        <fgColor rgb="FFFBC7BD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CEAF5"/>
        <bgColor indexed="64"/>
      </patternFill>
    </fill>
    <fill>
      <patternFill patternType="solid">
        <fgColor rgb="FFFBC9CE"/>
        <bgColor indexed="64"/>
      </patternFill>
    </fill>
    <fill>
      <patternFill patternType="solid">
        <fgColor rgb="FFDBDAEF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11">
    <xf numFmtId="0" fontId="0" fillId="0" borderId="0"/>
    <xf numFmtId="0" fontId="10" fillId="3" borderId="1">
      <alignment horizontal="left" vertical="center"/>
    </xf>
    <xf numFmtId="0" fontId="13" fillId="4" borderId="1">
      <alignment horizontal="left" vertical="center"/>
    </xf>
    <xf numFmtId="0" fontId="9" fillId="5" borderId="1">
      <alignment horizontal="left" vertical="center"/>
    </xf>
    <xf numFmtId="0" fontId="5" fillId="6" borderId="1">
      <alignment horizontal="left" vertical="center"/>
    </xf>
    <xf numFmtId="0" fontId="7" fillId="7" borderId="1">
      <alignment horizontal="left" vertical="center"/>
    </xf>
    <xf numFmtId="0" fontId="6" fillId="8" borderId="1">
      <alignment horizontal="left" vertical="center"/>
    </xf>
    <xf numFmtId="0" fontId="11" fillId="9" borderId="1">
      <alignment horizontal="left" vertical="center"/>
    </xf>
    <xf numFmtId="0" fontId="12" fillId="10" borderId="1">
      <alignment horizontal="left" vertical="center"/>
    </xf>
    <xf numFmtId="0" fontId="14" fillId="11" borderId="1">
      <alignment horizontal="left" vertical="center"/>
    </xf>
    <xf numFmtId="0" fontId="8" fillId="12" borderId="1">
      <alignment horizontal="left" vertical="center"/>
    </xf>
  </cellStyleXfs>
  <cellXfs count="57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164" fontId="2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6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textRotation="90" wrapText="1"/>
    </xf>
    <xf numFmtId="0" fontId="2" fillId="2" borderId="5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2" fillId="2" borderId="6" xfId="0" applyFont="1" applyFill="1" applyBorder="1" applyAlignment="1">
      <alignment horizontal="center" textRotation="90" wrapText="1"/>
    </xf>
    <xf numFmtId="0" fontId="2" fillId="2" borderId="2" xfId="0" applyFont="1" applyFill="1" applyBorder="1"/>
    <xf numFmtId="2" fontId="2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/>
    </xf>
    <xf numFmtId="0" fontId="16" fillId="2" borderId="5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16" fillId="2" borderId="3" xfId="0" applyFont="1" applyFill="1" applyBorder="1"/>
    <xf numFmtId="0" fontId="16" fillId="2" borderId="4" xfId="0" applyFont="1" applyFill="1" applyBorder="1"/>
    <xf numFmtId="0" fontId="16" fillId="2" borderId="2" xfId="0" applyFont="1" applyFill="1" applyBorder="1"/>
    <xf numFmtId="165" fontId="2" fillId="2" borderId="1" xfId="0" applyNumberFormat="1" applyFont="1" applyFill="1" applyBorder="1" applyAlignment="1">
      <alignment horizontal="center" vertical="center"/>
    </xf>
    <xf numFmtId="165" fontId="17" fillId="2" borderId="1" xfId="0" applyNumberFormat="1" applyFont="1" applyFill="1" applyBorder="1" applyAlignment="1">
      <alignment horizontal="center" vertical="center"/>
    </xf>
    <xf numFmtId="0" fontId="18" fillId="0" borderId="0" xfId="0" applyFont="1"/>
    <xf numFmtId="0" fontId="19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textRotation="90" wrapText="1"/>
    </xf>
    <xf numFmtId="0" fontId="18" fillId="2" borderId="1" xfId="0" applyFont="1" applyFill="1" applyBorder="1"/>
    <xf numFmtId="0" fontId="20" fillId="0" borderId="0" xfId="0" applyFont="1" applyAlignment="1">
      <alignment vertical="center"/>
    </xf>
    <xf numFmtId="164" fontId="18" fillId="2" borderId="1" xfId="0" applyNumberFormat="1" applyFont="1" applyFill="1" applyBorder="1" applyAlignment="1">
      <alignment horizontal="center" vertical="center"/>
    </xf>
    <xf numFmtId="0" fontId="18" fillId="0" borderId="1" xfId="0" applyFont="1" applyBorder="1"/>
    <xf numFmtId="0" fontId="18" fillId="0" borderId="1" xfId="0" applyFont="1" applyBorder="1" applyAlignment="1">
      <alignment vertical="center"/>
    </xf>
    <xf numFmtId="164" fontId="18" fillId="0" borderId="0" xfId="0" applyNumberFormat="1" applyFont="1"/>
    <xf numFmtId="2" fontId="18" fillId="0" borderId="0" xfId="0" applyNumberFormat="1" applyFont="1"/>
    <xf numFmtId="49" fontId="18" fillId="0" borderId="1" xfId="0" applyNumberFormat="1" applyFont="1" applyBorder="1" applyAlignment="1">
      <alignment vertical="center"/>
    </xf>
    <xf numFmtId="49" fontId="18" fillId="0" borderId="1" xfId="0" applyNumberFormat="1" applyFont="1" applyBorder="1"/>
    <xf numFmtId="0" fontId="18" fillId="0" borderId="1" xfId="0" applyFont="1" applyBorder="1" applyAlignment="1">
      <alignment horizontal="center" vertical="center"/>
    </xf>
    <xf numFmtId="0" fontId="12" fillId="10" borderId="1" xfId="8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9" fillId="0" borderId="1" xfId="5" applyFont="1" applyFill="1" applyBorder="1">
      <alignment horizontal="left" vertical="center"/>
    </xf>
    <xf numFmtId="0" fontId="19" fillId="0" borderId="1" xfId="10" applyFont="1" applyFill="1" applyBorder="1">
      <alignment horizontal="left" vertical="center"/>
    </xf>
    <xf numFmtId="0" fontId="19" fillId="0" borderId="1" xfId="8" applyFont="1" applyFill="1" applyBorder="1">
      <alignment horizontal="left" vertical="center"/>
    </xf>
    <xf numFmtId="0" fontId="18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4" fillId="2" borderId="5" xfId="0" applyFont="1" applyFill="1" applyBorder="1"/>
    <xf numFmtId="0" fontId="22" fillId="0" borderId="0" xfId="0" applyFont="1"/>
  </cellXfs>
  <cellStyles count="11">
    <cellStyle name="Normal" xfId="0" builtinId="0"/>
    <cellStyle name="OXBD Blue" xfId="3" xr:uid="{A069FDDA-FEA6-4AF6-94E1-B4D17406BCB2}"/>
    <cellStyle name="OXBD Brown" xfId="6" xr:uid="{E8A69F73-7539-449A-957F-3E2A434C5573}"/>
    <cellStyle name="OXBD Green" xfId="1" xr:uid="{421835BB-F20B-4D1D-9038-E64A1D9343DA}"/>
    <cellStyle name="OXBD Grey" xfId="7" xr:uid="{3015D779-F962-4C3F-BA2F-DD6C77702E07}"/>
    <cellStyle name="OXBD Light Blue" xfId="2" xr:uid="{931A4F2C-090F-4230-8A20-41BFB2419EEA}"/>
    <cellStyle name="OXBD Light Green" xfId="5" xr:uid="{8360D96A-0E3F-4C69-849A-53F0E2965EC9}"/>
    <cellStyle name="OXBD Pink" xfId="8" xr:uid="{12BE99D3-2D7B-410F-857F-87FB8B836B54}"/>
    <cellStyle name="OXBD Purple" xfId="10" xr:uid="{D0E269BF-A338-49DC-990C-9891DBFCF359}"/>
    <cellStyle name="OXBD Red" xfId="9" xr:uid="{90153EF8-DDAE-43E2-AD13-87B5D4C99BF9}"/>
    <cellStyle name="OXBD Yellow" xfId="4" xr:uid="{C68D38DB-4AA2-4635-BC78-398FBDF9A2D1}"/>
  </cellStyles>
  <dxfs count="82">
    <dxf>
      <font>
        <color rgb="FF586169"/>
      </font>
      <fill>
        <patternFill>
          <bgColor rgb="FFF2F9FD"/>
        </patternFill>
      </fill>
    </dxf>
    <dxf>
      <font>
        <color rgb="FF9C4E08"/>
      </font>
      <fill>
        <patternFill>
          <bgColor rgb="FFFCD3AE"/>
        </patternFill>
      </fill>
    </dxf>
    <dxf>
      <font>
        <color rgb="FF8A1A1A"/>
      </font>
      <fill>
        <patternFill>
          <bgColor rgb="FFFBC9CE"/>
        </patternFill>
      </fill>
    </dxf>
    <dxf>
      <font>
        <color rgb="FF426D2B"/>
      </font>
      <fill>
        <patternFill>
          <bgColor rgb="FFE1FFBF"/>
        </patternFill>
      </fill>
    </dxf>
    <dxf>
      <font>
        <color rgb="FF7A4E64"/>
      </font>
      <fill>
        <patternFill>
          <bgColor rgb="FFFCEAF5"/>
        </patternFill>
      </fill>
    </dxf>
    <dxf>
      <font>
        <color rgb="FF424054"/>
      </font>
      <fill>
        <patternFill>
          <bgColor rgb="FFDBDAEF"/>
        </patternFill>
      </fill>
    </dxf>
    <dxf>
      <font>
        <color rgb="FF6A662D"/>
      </font>
      <fill>
        <patternFill>
          <bgColor rgb="FFFBECA2"/>
        </patternFill>
      </fill>
    </dxf>
    <dxf>
      <font>
        <color rgb="FF2E6486"/>
      </font>
      <fill>
        <patternFill>
          <bgColor rgb="FFD8F4FC"/>
        </patternFill>
      </fill>
    </dxf>
    <dxf>
      <font>
        <color rgb="FF473E38"/>
      </font>
      <fill>
        <patternFill>
          <bgColor rgb="FFE6E6E6"/>
        </patternFill>
      </fill>
    </dxf>
    <dxf>
      <font>
        <color rgb="FF586169"/>
      </font>
      <fill>
        <patternFill>
          <bgColor rgb="FFF2F9FD"/>
        </patternFill>
      </fill>
    </dxf>
    <dxf>
      <font>
        <color rgb="FF9C4E08"/>
      </font>
      <fill>
        <patternFill>
          <bgColor rgb="FFFCD3AE"/>
        </patternFill>
      </fill>
    </dxf>
    <dxf>
      <font>
        <color rgb="FF8A1A1A"/>
      </font>
      <fill>
        <patternFill>
          <bgColor rgb="FFFBC9CE"/>
        </patternFill>
      </fill>
    </dxf>
    <dxf>
      <font>
        <color rgb="FF426D2B"/>
      </font>
      <fill>
        <patternFill>
          <bgColor rgb="FFE1FFBF"/>
        </patternFill>
      </fill>
    </dxf>
    <dxf>
      <font>
        <color rgb="FF632B1F"/>
      </font>
      <fill>
        <patternFill>
          <bgColor rgb="FFFBC7BD"/>
        </patternFill>
      </fill>
    </dxf>
    <dxf>
      <font>
        <color rgb="FF7A4E64"/>
      </font>
      <fill>
        <patternFill>
          <bgColor rgb="FFFCEAF5"/>
        </patternFill>
      </fill>
    </dxf>
    <dxf>
      <font>
        <color rgb="FF424054"/>
      </font>
      <fill>
        <patternFill>
          <bgColor rgb="FFDBDAEF"/>
        </patternFill>
      </fill>
    </dxf>
    <dxf>
      <font>
        <color rgb="FF2A4C2F"/>
      </font>
      <fill>
        <patternFill>
          <bgColor rgb="FFBEE7C1"/>
        </patternFill>
      </fill>
    </dxf>
    <dxf>
      <font>
        <color rgb="FF6A662D"/>
      </font>
      <fill>
        <patternFill>
          <bgColor rgb="FFFBECA2"/>
        </patternFill>
      </fill>
    </dxf>
    <dxf>
      <font>
        <color rgb="FF2E6486"/>
      </font>
      <fill>
        <patternFill>
          <bgColor rgb="FFD8F4FC"/>
        </patternFill>
      </fill>
    </dxf>
    <dxf>
      <font>
        <color rgb="FF473E38"/>
      </font>
      <fill>
        <patternFill>
          <bgColor rgb="FFE6E6E6"/>
        </patternFill>
      </fill>
    </dxf>
    <dxf>
      <font>
        <color rgb="FF586169"/>
      </font>
      <fill>
        <patternFill>
          <bgColor rgb="FFF2F9FD"/>
        </patternFill>
      </fill>
    </dxf>
    <dxf>
      <font>
        <color rgb="FF9C4E08"/>
      </font>
      <fill>
        <patternFill>
          <bgColor rgb="FFFCD3AE"/>
        </patternFill>
      </fill>
    </dxf>
    <dxf>
      <font>
        <color rgb="FF8A1A1A"/>
      </font>
      <fill>
        <patternFill>
          <bgColor rgb="FFFBC9CE"/>
        </patternFill>
      </fill>
    </dxf>
    <dxf>
      <font>
        <color rgb="FF426D2B"/>
      </font>
      <fill>
        <patternFill>
          <bgColor rgb="FFE1FFBF"/>
        </patternFill>
      </fill>
    </dxf>
    <dxf>
      <font>
        <color rgb="FF632B1F"/>
      </font>
      <fill>
        <patternFill>
          <bgColor rgb="FFFBC7BD"/>
        </patternFill>
      </fill>
    </dxf>
    <dxf>
      <font>
        <color rgb="FF7A4E64"/>
      </font>
      <fill>
        <patternFill>
          <bgColor rgb="FFFCEAF5"/>
        </patternFill>
      </fill>
    </dxf>
    <dxf>
      <font>
        <color rgb="FF424054"/>
      </font>
      <fill>
        <patternFill>
          <bgColor rgb="FFDBDAEF"/>
        </patternFill>
      </fill>
    </dxf>
    <dxf>
      <font>
        <color rgb="FF2A4C2F"/>
      </font>
      <fill>
        <patternFill>
          <bgColor rgb="FFBEE7C1"/>
        </patternFill>
      </fill>
    </dxf>
    <dxf>
      <font>
        <color rgb="FF6A662D"/>
      </font>
      <fill>
        <patternFill>
          <bgColor rgb="FFFBECA2"/>
        </patternFill>
      </fill>
    </dxf>
    <dxf>
      <font>
        <color rgb="FF2E6486"/>
      </font>
      <fill>
        <patternFill>
          <bgColor rgb="FFD8F4FC"/>
        </patternFill>
      </fill>
    </dxf>
    <dxf>
      <font>
        <color rgb="FF473E38"/>
      </font>
      <fill>
        <patternFill>
          <bgColor rgb="FFE6E6E6"/>
        </patternFill>
      </fill>
    </dxf>
    <dxf>
      <font>
        <color rgb="FF586169"/>
      </font>
      <fill>
        <patternFill>
          <bgColor rgb="FFF2F9FD"/>
        </patternFill>
      </fill>
    </dxf>
    <dxf>
      <font>
        <color rgb="FF9C4E08"/>
      </font>
      <fill>
        <patternFill>
          <bgColor rgb="FFFCD3AE"/>
        </patternFill>
      </fill>
    </dxf>
    <dxf>
      <font>
        <color rgb="FF8A1A1A"/>
      </font>
      <fill>
        <patternFill>
          <bgColor rgb="FFFBC9CE"/>
        </patternFill>
      </fill>
    </dxf>
    <dxf>
      <font>
        <color rgb="FF426D2B"/>
      </font>
      <fill>
        <patternFill>
          <bgColor rgb="FFE1FFBF"/>
        </patternFill>
      </fill>
    </dxf>
    <dxf>
      <font>
        <color rgb="FF632B1F"/>
      </font>
      <fill>
        <patternFill>
          <bgColor rgb="FFFBC7BD"/>
        </patternFill>
      </fill>
    </dxf>
    <dxf>
      <font>
        <color rgb="FF7A4E64"/>
      </font>
      <fill>
        <patternFill>
          <bgColor rgb="FFFCEAF5"/>
        </patternFill>
      </fill>
    </dxf>
    <dxf>
      <font>
        <color rgb="FF424054"/>
      </font>
      <fill>
        <patternFill>
          <bgColor rgb="FFDBDAEF"/>
        </patternFill>
      </fill>
    </dxf>
    <dxf>
      <font>
        <color rgb="FF2A4C2F"/>
      </font>
      <fill>
        <patternFill>
          <bgColor rgb="FFBEE7C1"/>
        </patternFill>
      </fill>
    </dxf>
    <dxf>
      <font>
        <color rgb="FF6A662D"/>
      </font>
      <fill>
        <patternFill>
          <bgColor rgb="FFFBECA2"/>
        </patternFill>
      </fill>
    </dxf>
    <dxf>
      <font>
        <color rgb="FF2E6486"/>
      </font>
      <fill>
        <patternFill>
          <bgColor rgb="FFD8F4FC"/>
        </patternFill>
      </fill>
    </dxf>
    <dxf>
      <font>
        <color rgb="FF473E38"/>
      </font>
      <fill>
        <patternFill>
          <bgColor rgb="FFE6E6E6"/>
        </patternFill>
      </fill>
    </dxf>
    <dxf>
      <font>
        <color rgb="FF586169"/>
      </font>
      <fill>
        <patternFill>
          <bgColor rgb="FFF2F9FD"/>
        </patternFill>
      </fill>
    </dxf>
    <dxf>
      <font>
        <color rgb="FF9C4E08"/>
      </font>
      <fill>
        <patternFill>
          <bgColor rgb="FFFCD3AE"/>
        </patternFill>
      </fill>
    </dxf>
    <dxf>
      <font>
        <color rgb="FF8A1A1A"/>
      </font>
      <fill>
        <patternFill>
          <bgColor rgb="FFFBC9CE"/>
        </patternFill>
      </fill>
    </dxf>
    <dxf>
      <font>
        <color rgb="FF426D2B"/>
      </font>
      <fill>
        <patternFill>
          <bgColor rgb="FFE1FFBF"/>
        </patternFill>
      </fill>
    </dxf>
    <dxf>
      <font>
        <color rgb="FF632B1F"/>
      </font>
      <fill>
        <patternFill>
          <bgColor rgb="FFFBC7BD"/>
        </patternFill>
      </fill>
    </dxf>
    <dxf>
      <font>
        <color rgb="FF7A4E64"/>
      </font>
      <fill>
        <patternFill>
          <bgColor rgb="FFFCEAF5"/>
        </patternFill>
      </fill>
    </dxf>
    <dxf>
      <font>
        <color rgb="FF424054"/>
      </font>
      <fill>
        <patternFill>
          <bgColor rgb="FFDBDAEF"/>
        </patternFill>
      </fill>
    </dxf>
    <dxf>
      <font>
        <color rgb="FF2A4C2F"/>
      </font>
      <fill>
        <patternFill>
          <bgColor rgb="FFBEE7C1"/>
        </patternFill>
      </fill>
    </dxf>
    <dxf>
      <font>
        <color rgb="FF6A662D"/>
      </font>
      <fill>
        <patternFill>
          <bgColor rgb="FFFBECA2"/>
        </patternFill>
      </fill>
    </dxf>
    <dxf>
      <font>
        <color rgb="FF2E6486"/>
      </font>
      <fill>
        <patternFill>
          <bgColor rgb="FFD8F4FC"/>
        </patternFill>
      </fill>
    </dxf>
    <dxf>
      <font>
        <color rgb="FF426D2B"/>
      </font>
      <fill>
        <patternFill>
          <bgColor rgb="FFE1FFBF"/>
        </patternFill>
      </fill>
    </dxf>
    <dxf>
      <font>
        <color rgb="FF6A662D"/>
      </font>
      <fill>
        <patternFill>
          <bgColor rgb="FFFBECA2"/>
        </patternFill>
      </fill>
    </dxf>
    <dxf>
      <font>
        <color rgb="FF7A4E64"/>
      </font>
      <fill>
        <patternFill>
          <bgColor rgb="FFFCEAF5"/>
        </patternFill>
      </fill>
    </dxf>
    <dxf>
      <font>
        <color rgb="FF9C4E08"/>
      </font>
      <fill>
        <patternFill>
          <bgColor rgb="FFFCD3AE"/>
        </patternFill>
      </fill>
    </dxf>
    <dxf>
      <font>
        <color rgb="FF8A1A1A"/>
      </font>
      <fill>
        <patternFill>
          <bgColor rgb="FFFBC9CE"/>
        </patternFill>
      </fill>
    </dxf>
    <dxf>
      <font>
        <color rgb="FF2E6486"/>
      </font>
      <fill>
        <patternFill>
          <bgColor rgb="FFD8F4FC"/>
        </patternFill>
      </fill>
    </dxf>
    <dxf>
      <font>
        <color rgb="FF424054"/>
      </font>
      <fill>
        <patternFill>
          <bgColor rgb="FFDBDAEF"/>
        </patternFill>
      </fill>
    </dxf>
    <dxf>
      <font>
        <color rgb="FF586169"/>
      </font>
      <fill>
        <patternFill>
          <bgColor rgb="FFF2F9FD"/>
        </patternFill>
      </fill>
    </dxf>
    <dxf>
      <font>
        <color rgb="FF473E38"/>
      </font>
      <fill>
        <patternFill>
          <bgColor rgb="FFE6E6E6"/>
        </patternFill>
      </fill>
    </dxf>
    <dxf>
      <font>
        <color rgb="FF586169"/>
      </font>
      <fill>
        <patternFill>
          <bgColor rgb="FFF2F9FD"/>
        </patternFill>
      </fill>
    </dxf>
    <dxf>
      <font>
        <color rgb="FF9C4E08"/>
      </font>
      <fill>
        <patternFill>
          <bgColor rgb="FFFCD3AE"/>
        </patternFill>
      </fill>
    </dxf>
    <dxf>
      <font>
        <color rgb="FF8A1A1A"/>
      </font>
      <fill>
        <patternFill>
          <bgColor rgb="FFFBC9CE"/>
        </patternFill>
      </fill>
    </dxf>
    <dxf>
      <font>
        <color rgb="FF426D2B"/>
      </font>
      <fill>
        <patternFill>
          <bgColor rgb="FFE1FFBF"/>
        </patternFill>
      </fill>
    </dxf>
    <dxf>
      <font>
        <color rgb="FF632B1F"/>
      </font>
      <fill>
        <patternFill>
          <bgColor rgb="FFFBC7BD"/>
        </patternFill>
      </fill>
    </dxf>
    <dxf>
      <font>
        <color rgb="FF7A4E64"/>
      </font>
      <fill>
        <patternFill>
          <bgColor rgb="FFFCEAF5"/>
        </patternFill>
      </fill>
    </dxf>
    <dxf>
      <font>
        <color rgb="FF424054"/>
      </font>
      <fill>
        <patternFill>
          <bgColor rgb="FFDBDAEF"/>
        </patternFill>
      </fill>
    </dxf>
    <dxf>
      <font>
        <color rgb="FF2A4C2F"/>
      </font>
      <fill>
        <patternFill>
          <bgColor rgb="FFBEE7C1"/>
        </patternFill>
      </fill>
    </dxf>
    <dxf>
      <font>
        <color rgb="FF6A662D"/>
      </font>
      <fill>
        <patternFill>
          <bgColor rgb="FFFBECA2"/>
        </patternFill>
      </fill>
    </dxf>
    <dxf>
      <font>
        <color rgb="FF2E6486"/>
      </font>
      <fill>
        <patternFill>
          <bgColor rgb="FFD8F4FC"/>
        </patternFill>
      </fill>
    </dxf>
    <dxf>
      <font>
        <color rgb="FF473E38"/>
      </font>
      <fill>
        <patternFill>
          <bgColor rgb="FFE6E6E6"/>
        </patternFill>
      </fill>
    </dxf>
    <dxf>
      <font>
        <color rgb="FF586169"/>
      </font>
      <fill>
        <patternFill>
          <bgColor rgb="FFF2F9FD"/>
        </patternFill>
      </fill>
    </dxf>
    <dxf>
      <font>
        <color rgb="FF9C4E08"/>
      </font>
      <fill>
        <patternFill>
          <bgColor rgb="FFFCD3AE"/>
        </patternFill>
      </fill>
    </dxf>
    <dxf>
      <font>
        <color rgb="FF8A1A1A"/>
      </font>
      <fill>
        <patternFill>
          <bgColor rgb="FFFBC9CE"/>
        </patternFill>
      </fill>
    </dxf>
    <dxf>
      <font>
        <color rgb="FF426D2B"/>
      </font>
      <fill>
        <patternFill>
          <bgColor rgb="FFE1FFBF"/>
        </patternFill>
      </fill>
    </dxf>
    <dxf>
      <font>
        <color rgb="FF632B1F"/>
      </font>
      <fill>
        <patternFill>
          <bgColor rgb="FFFBC7BD"/>
        </patternFill>
      </fill>
    </dxf>
    <dxf>
      <font>
        <color rgb="FF7A4E64"/>
      </font>
      <fill>
        <patternFill>
          <bgColor rgb="FFFCEAF5"/>
        </patternFill>
      </fill>
    </dxf>
    <dxf>
      <font>
        <color rgb="FF424054"/>
      </font>
      <fill>
        <patternFill>
          <bgColor rgb="FFDBDAEF"/>
        </patternFill>
      </fill>
    </dxf>
    <dxf>
      <font>
        <color rgb="FF2A4C2F"/>
      </font>
      <fill>
        <patternFill>
          <bgColor rgb="FFBEE7C1"/>
        </patternFill>
      </fill>
    </dxf>
    <dxf>
      <font>
        <color rgb="FF6A662D"/>
      </font>
      <fill>
        <patternFill>
          <bgColor rgb="FFFBECA2"/>
        </patternFill>
      </fill>
    </dxf>
    <dxf>
      <font>
        <color rgb="FF2E6486"/>
      </font>
      <fill>
        <patternFill>
          <bgColor rgb="FFD8F4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DF0B-1C36-400E-BF06-D5CF0454170D}">
  <dimension ref="A2:CO121"/>
  <sheetViews>
    <sheetView showGridLines="0" tabSelected="1" zoomScaleNormal="100" workbookViewId="0">
      <selection activeCell="V32" sqref="V32"/>
    </sheetView>
  </sheetViews>
  <sheetFormatPr defaultRowHeight="13.8" x14ac:dyDescent="0.25"/>
  <cols>
    <col min="1" max="1" width="2.69921875" customWidth="1"/>
    <col min="2" max="2" width="6.19921875" style="3" customWidth="1"/>
    <col min="3" max="3" width="3" style="3" customWidth="1"/>
    <col min="4" max="4" width="4.796875" style="3" customWidth="1"/>
    <col min="5" max="6" width="3.3984375" style="3" customWidth="1"/>
    <col min="7" max="7" width="3.19921875" style="3" customWidth="1"/>
    <col min="8" max="8" width="1" style="3" customWidth="1"/>
    <col min="9" max="9" width="5.296875" style="3" customWidth="1"/>
    <col min="10" max="10" width="4.5" style="3" bestFit="1" customWidth="1"/>
    <col min="11" max="11" width="4.8984375" style="3" customWidth="1"/>
    <col min="12" max="12" width="1" style="3" customWidth="1"/>
    <col min="13" max="13" width="6.796875" style="3" customWidth="1"/>
    <col min="14" max="16" width="5.59765625" style="3" customWidth="1"/>
    <col min="17" max="17" width="4.5" style="3" customWidth="1"/>
    <col min="18" max="18" width="4.5" style="4" customWidth="1"/>
    <col min="19" max="19" width="5.69921875" style="1" customWidth="1"/>
    <col min="20" max="20" width="6.3984375" style="1" customWidth="1"/>
    <col min="21" max="21" width="0.8984375" customWidth="1"/>
    <col min="22" max="23" width="4.796875" style="1" customWidth="1"/>
    <col min="24" max="26" width="4.8984375" style="1" customWidth="1"/>
    <col min="27" max="27" width="5.19921875" style="1" customWidth="1"/>
    <col min="28" max="28" width="1" style="1" customWidth="1"/>
    <col min="29" max="29" width="4.69921875" style="1" customWidth="1"/>
    <col min="30" max="30" width="5.69921875" style="1" customWidth="1"/>
    <col min="31" max="31" width="4.69921875" style="1" customWidth="1"/>
    <col min="32" max="32" width="5.5" style="1" customWidth="1"/>
    <col min="33" max="33" width="1" style="1" customWidth="1"/>
    <col min="34" max="34" width="3.796875" style="1" customWidth="1"/>
    <col min="35" max="35" width="3.5" style="1" customWidth="1"/>
    <col min="36" max="36" width="4.3984375" style="1" customWidth="1"/>
    <col min="37" max="37" width="3.59765625" style="1" customWidth="1"/>
    <col min="38" max="38" width="1" style="1" customWidth="1"/>
    <col min="39" max="39" width="4.3984375" style="1" customWidth="1"/>
    <col min="40" max="40" width="4.69921875" style="1" customWidth="1"/>
    <col min="41" max="42" width="3.8984375" style="1" customWidth="1"/>
    <col min="43" max="43" width="4.3984375" style="1" customWidth="1"/>
    <col min="44" max="44" width="4.8984375" style="1" customWidth="1"/>
    <col min="45" max="45" width="4.296875" style="1" customWidth="1"/>
    <col min="46" max="46" width="4.796875" style="1" customWidth="1"/>
    <col min="47" max="47" width="1.296875" style="1" customWidth="1"/>
    <col min="48" max="48" width="4.3984375" style="1" customWidth="1"/>
    <col min="49" max="49" width="1" style="1" customWidth="1"/>
    <col min="50" max="50" width="5" style="1" customWidth="1"/>
    <col min="51" max="51" width="3.3984375" style="1" customWidth="1"/>
    <col min="52" max="53" width="3.19921875" style="1" customWidth="1"/>
    <col min="54" max="55" width="3.69921875" style="1" customWidth="1"/>
    <col min="56" max="57" width="2.59765625" style="1" bestFit="1" customWidth="1"/>
    <col min="58" max="58" width="4.19921875" style="1" customWidth="1"/>
    <col min="59" max="59" width="2.19921875" style="1" customWidth="1"/>
    <col min="60" max="60" width="5.69921875" style="1" customWidth="1"/>
    <col min="61" max="61" width="5.09765625" style="1" customWidth="1"/>
    <col min="62" max="62" width="1.19921875" style="1" customWidth="1"/>
    <col min="63" max="63" width="4.69921875" style="1" customWidth="1"/>
    <col min="64" max="64" width="1.09765625" style="1" customWidth="1"/>
    <col min="65" max="65" width="3.69921875" style="1" customWidth="1"/>
    <col min="66" max="66" width="5.8984375" style="1" customWidth="1"/>
    <col min="67" max="67" width="4.5" style="1" bestFit="1" customWidth="1"/>
    <col min="68" max="68" width="3.69921875" style="1" bestFit="1" customWidth="1"/>
    <col min="69" max="69" width="2.59765625" style="1" bestFit="1" customWidth="1"/>
    <col min="70" max="70" width="1.59765625" style="1" customWidth="1"/>
    <col min="71" max="71" width="5.5" style="1" customWidth="1"/>
    <col min="72" max="72" width="5" style="1" customWidth="1"/>
    <col min="73" max="74" width="6.8984375" style="1" customWidth="1"/>
    <col min="75" max="75" width="1.09765625" style="1" customWidth="1"/>
    <col min="76" max="76" width="6.5" style="1" customWidth="1"/>
    <col min="77" max="77" width="5.69921875" style="1" customWidth="1"/>
    <col min="78" max="78" width="3.5" style="1" customWidth="1"/>
    <col min="79" max="16384" width="8.796875" style="1"/>
  </cols>
  <sheetData>
    <row r="2" spans="1:93" ht="17.399999999999999" x14ac:dyDescent="0.3">
      <c r="A2" s="1"/>
      <c r="B2" s="56" t="s">
        <v>200</v>
      </c>
      <c r="J2"/>
      <c r="K2"/>
      <c r="L2"/>
      <c r="M2"/>
      <c r="N2"/>
      <c r="O2"/>
      <c r="P2"/>
      <c r="Q2"/>
      <c r="R2"/>
      <c r="S2"/>
      <c r="T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93" x14ac:dyDescent="0.25">
      <c r="B3" s="1"/>
      <c r="C3" s="1"/>
      <c r="D3" s="1"/>
      <c r="E3" s="1"/>
      <c r="F3" s="1"/>
      <c r="G3" s="1"/>
      <c r="H3"/>
      <c r="I3" s="1"/>
      <c r="J3" s="1"/>
      <c r="K3" s="1"/>
      <c r="L3"/>
      <c r="M3" s="1"/>
      <c r="N3" s="1"/>
      <c r="O3" s="1"/>
      <c r="P3" s="1"/>
      <c r="Q3" s="1"/>
      <c r="R3" s="1"/>
      <c r="AB3"/>
    </row>
    <row r="4" spans="1:93" x14ac:dyDescent="0.25">
      <c r="B4" s="23" t="s">
        <v>46</v>
      </c>
      <c r="C4" s="24"/>
      <c r="D4" s="24"/>
      <c r="E4" s="24"/>
      <c r="F4" s="24"/>
      <c r="G4" s="25"/>
      <c r="H4" s="1"/>
      <c r="I4" s="23" t="s">
        <v>37</v>
      </c>
      <c r="J4" s="26"/>
      <c r="K4" s="27"/>
      <c r="L4" s="6"/>
      <c r="M4" s="23" t="s">
        <v>38</v>
      </c>
      <c r="N4" s="28"/>
      <c r="O4" s="28"/>
      <c r="P4" s="28"/>
      <c r="Q4" s="26"/>
      <c r="R4" s="26"/>
      <c r="S4" s="26"/>
      <c r="T4" s="27"/>
      <c r="V4" s="23" t="s">
        <v>39</v>
      </c>
      <c r="W4" s="28"/>
      <c r="X4" s="28"/>
      <c r="Y4" s="24"/>
      <c r="Z4" s="24"/>
      <c r="AA4" s="25"/>
      <c r="AC4" s="23" t="s">
        <v>40</v>
      </c>
      <c r="AD4" s="28"/>
      <c r="AE4" s="28"/>
      <c r="AF4" s="25"/>
      <c r="AH4" s="23" t="s">
        <v>41</v>
      </c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9"/>
      <c r="AX4" s="23" t="s">
        <v>44</v>
      </c>
      <c r="AY4" s="28"/>
      <c r="AZ4" s="24"/>
      <c r="BA4" s="24"/>
      <c r="BB4" s="24"/>
      <c r="BC4" s="24"/>
      <c r="BD4" s="24"/>
      <c r="BE4" s="24"/>
      <c r="BF4" s="25"/>
      <c r="BH4" s="23" t="s">
        <v>43</v>
      </c>
      <c r="BI4" s="24"/>
      <c r="BJ4" s="24"/>
      <c r="BK4" s="24"/>
      <c r="BL4" s="24"/>
      <c r="BM4" s="24"/>
      <c r="BN4" s="24"/>
      <c r="BO4" s="24"/>
      <c r="BP4" s="24"/>
      <c r="BQ4" s="25"/>
      <c r="BS4" s="55" t="s">
        <v>45</v>
      </c>
      <c r="BT4" s="24"/>
      <c r="BU4" s="24"/>
      <c r="BV4" s="24"/>
      <c r="BW4" s="24"/>
      <c r="BX4" s="24"/>
      <c r="BY4" s="25"/>
    </row>
    <row r="5" spans="1:93" ht="7.8" customHeight="1" x14ac:dyDescent="0.25">
      <c r="B5" s="1"/>
      <c r="C5" s="1"/>
      <c r="D5" s="1"/>
      <c r="E5" s="1"/>
      <c r="F5" s="1"/>
      <c r="G5" s="1"/>
      <c r="H5" s="1"/>
      <c r="I5" s="7"/>
      <c r="J5" s="6"/>
      <c r="K5" s="6"/>
      <c r="L5" s="6"/>
      <c r="M5" s="7"/>
      <c r="N5" s="7"/>
      <c r="O5" s="7"/>
      <c r="P5" s="7"/>
      <c r="Q5" s="6"/>
      <c r="R5" s="6"/>
      <c r="S5" s="6"/>
      <c r="T5" s="6"/>
      <c r="V5" s="7"/>
      <c r="W5" s="7"/>
      <c r="X5" s="7"/>
      <c r="Y5" s="7"/>
      <c r="Z5" s="7"/>
      <c r="AC5" s="7"/>
      <c r="AD5" s="7"/>
      <c r="AE5" s="7"/>
      <c r="AH5" s="7"/>
      <c r="AV5" s="7"/>
      <c r="AX5" s="7"/>
      <c r="AY5" s="7"/>
      <c r="BH5" s="7"/>
      <c r="BS5" s="6"/>
    </row>
    <row r="6" spans="1:93" x14ac:dyDescent="0.25">
      <c r="B6" s="20"/>
      <c r="C6" s="20"/>
      <c r="D6" s="20"/>
      <c r="E6" s="20"/>
      <c r="F6" s="20"/>
      <c r="G6" s="20"/>
      <c r="H6" s="1"/>
      <c r="I6" s="20"/>
      <c r="J6" s="20"/>
      <c r="K6" s="20"/>
      <c r="L6" s="6"/>
      <c r="M6" s="20"/>
      <c r="N6" s="20"/>
      <c r="O6" s="20"/>
      <c r="P6" s="20"/>
      <c r="Q6" s="20"/>
      <c r="R6" s="20"/>
      <c r="S6" s="20"/>
      <c r="T6" s="20"/>
      <c r="V6" s="20"/>
      <c r="W6" s="20"/>
      <c r="X6" s="20"/>
      <c r="Y6" s="20"/>
      <c r="Z6" s="20"/>
      <c r="AA6" s="20"/>
      <c r="AC6" s="20"/>
      <c r="AD6" s="20"/>
      <c r="AE6" s="20"/>
      <c r="AF6" s="20"/>
      <c r="AH6" s="11" t="s">
        <v>214</v>
      </c>
      <c r="AI6" s="14"/>
      <c r="AJ6" s="12"/>
      <c r="AK6" s="15"/>
      <c r="AM6" s="11" t="s">
        <v>50</v>
      </c>
      <c r="AN6" s="14"/>
      <c r="AO6" s="13"/>
      <c r="AP6" s="13"/>
      <c r="AQ6" s="12"/>
      <c r="AR6" s="12"/>
      <c r="AS6" s="12"/>
      <c r="AT6" s="15"/>
      <c r="AV6" s="20"/>
      <c r="AX6" s="30"/>
      <c r="AY6" s="30"/>
      <c r="AZ6" s="30"/>
      <c r="BA6" s="30"/>
      <c r="BB6" s="30"/>
      <c r="BC6" s="30"/>
      <c r="BD6" s="30"/>
      <c r="BE6" s="30"/>
      <c r="BF6" s="30"/>
      <c r="BH6" s="20"/>
      <c r="BI6" s="20"/>
      <c r="BK6" s="20"/>
      <c r="BM6" s="20"/>
      <c r="BN6" s="20"/>
      <c r="BO6" s="20"/>
      <c r="BP6" s="20"/>
      <c r="BQ6" s="20"/>
      <c r="BS6" s="20"/>
      <c r="BT6" s="20"/>
      <c r="BU6" s="20"/>
      <c r="BV6" s="20"/>
      <c r="BX6" s="20"/>
      <c r="BY6" s="20"/>
    </row>
    <row r="7" spans="1:93" ht="100.2" customHeight="1" x14ac:dyDescent="0.25">
      <c r="B7" s="19" t="s">
        <v>60</v>
      </c>
      <c r="C7" s="19" t="s">
        <v>25</v>
      </c>
      <c r="D7" s="19" t="s">
        <v>0</v>
      </c>
      <c r="E7" s="19" t="s">
        <v>62</v>
      </c>
      <c r="F7" s="19" t="s">
        <v>72</v>
      </c>
      <c r="G7" s="19" t="s">
        <v>11</v>
      </c>
      <c r="H7" s="17"/>
      <c r="I7" s="19" t="s">
        <v>1</v>
      </c>
      <c r="J7" s="19" t="s">
        <v>66</v>
      </c>
      <c r="K7" s="19" t="s">
        <v>2</v>
      </c>
      <c r="L7" s="18"/>
      <c r="M7" s="19" t="s">
        <v>54</v>
      </c>
      <c r="N7" s="19" t="s">
        <v>55</v>
      </c>
      <c r="O7" s="19" t="s">
        <v>208</v>
      </c>
      <c r="P7" s="19" t="s">
        <v>70</v>
      </c>
      <c r="Q7" s="19" t="s">
        <v>4</v>
      </c>
      <c r="R7" s="19" t="s">
        <v>3</v>
      </c>
      <c r="S7" s="19" t="s">
        <v>5</v>
      </c>
      <c r="T7" s="19" t="s">
        <v>6</v>
      </c>
      <c r="V7" s="19" t="s">
        <v>209</v>
      </c>
      <c r="W7" s="19" t="s">
        <v>210</v>
      </c>
      <c r="X7" s="19" t="s">
        <v>211</v>
      </c>
      <c r="Y7" s="19" t="s">
        <v>212</v>
      </c>
      <c r="Z7" s="19" t="s">
        <v>213</v>
      </c>
      <c r="AA7" s="19" t="s">
        <v>7</v>
      </c>
      <c r="AB7" s="18"/>
      <c r="AC7" s="19" t="s">
        <v>8</v>
      </c>
      <c r="AD7" s="19" t="s">
        <v>51</v>
      </c>
      <c r="AE7" s="19" t="s">
        <v>57</v>
      </c>
      <c r="AF7" s="19" t="s">
        <v>18</v>
      </c>
      <c r="AG7" s="8"/>
      <c r="AH7" s="10" t="s">
        <v>77</v>
      </c>
      <c r="AI7" s="10" t="s">
        <v>76</v>
      </c>
      <c r="AJ7" s="10" t="s">
        <v>75</v>
      </c>
      <c r="AK7" s="10" t="s">
        <v>74</v>
      </c>
      <c r="AL7" s="8"/>
      <c r="AM7" s="19" t="s">
        <v>47</v>
      </c>
      <c r="AN7" s="19" t="s">
        <v>77</v>
      </c>
      <c r="AO7" s="19" t="s">
        <v>48</v>
      </c>
      <c r="AP7" s="19" t="s">
        <v>76</v>
      </c>
      <c r="AQ7" s="19" t="s">
        <v>42</v>
      </c>
      <c r="AR7" s="19" t="s">
        <v>75</v>
      </c>
      <c r="AS7" s="19" t="s">
        <v>49</v>
      </c>
      <c r="AT7" s="19" t="s">
        <v>74</v>
      </c>
      <c r="AU7" s="8"/>
      <c r="AV7" s="19" t="s">
        <v>73</v>
      </c>
      <c r="AW7" s="8"/>
      <c r="AX7" s="19" t="s">
        <v>71</v>
      </c>
      <c r="AY7" s="19" t="s">
        <v>61</v>
      </c>
      <c r="AZ7" s="19" t="s">
        <v>10</v>
      </c>
      <c r="BA7" s="19" t="s">
        <v>69</v>
      </c>
      <c r="BB7" s="19" t="s">
        <v>9</v>
      </c>
      <c r="BC7" s="19" t="s">
        <v>63</v>
      </c>
      <c r="BD7" s="19" t="s">
        <v>64</v>
      </c>
      <c r="BE7" s="19" t="s">
        <v>65</v>
      </c>
      <c r="BF7" s="19" t="s">
        <v>58</v>
      </c>
      <c r="BG7" s="9"/>
      <c r="BH7" s="19" t="s">
        <v>12</v>
      </c>
      <c r="BI7" s="19" t="s">
        <v>13</v>
      </c>
      <c r="BJ7" s="9"/>
      <c r="BK7" s="19" t="s">
        <v>17</v>
      </c>
      <c r="BL7" s="9"/>
      <c r="BM7" s="19" t="s">
        <v>14</v>
      </c>
      <c r="BN7" s="19" t="s">
        <v>23</v>
      </c>
      <c r="BO7" s="19" t="s">
        <v>15</v>
      </c>
      <c r="BP7" s="19" t="s">
        <v>16</v>
      </c>
      <c r="BQ7" s="19" t="s">
        <v>24</v>
      </c>
      <c r="BR7" s="9"/>
      <c r="BS7" s="19" t="s">
        <v>20</v>
      </c>
      <c r="BT7" s="19" t="s">
        <v>216</v>
      </c>
      <c r="BU7" s="19" t="s">
        <v>19</v>
      </c>
      <c r="BV7" s="19" t="s">
        <v>59</v>
      </c>
      <c r="BW7" s="9"/>
      <c r="BX7" s="19" t="s">
        <v>36</v>
      </c>
      <c r="BY7" s="19" t="s">
        <v>35</v>
      </c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</row>
    <row r="8" spans="1:93" x14ac:dyDescent="0.25">
      <c r="B8" s="34" t="str" cm="1">
        <f t="array" ref="B8:B25">_xlfn._xlws.SORT(_xlfn.UNIQUE(_xlfn._xlws.FILTER('Pasted Areas'!$K$6:$K$1000,('Pasted Areas'!$K$6:$K$1000&lt;&gt;"")*('Pasted Areas'!$K$6:$K$1000&lt;&gt;0))))</f>
        <v>Flat 01</v>
      </c>
      <c r="C8" s="46">
        <v>0</v>
      </c>
      <c r="D8" s="46" t="s">
        <v>201</v>
      </c>
      <c r="E8" s="49" t="s">
        <v>204</v>
      </c>
      <c r="F8" s="50" t="s">
        <v>206</v>
      </c>
      <c r="G8" s="46">
        <v>2</v>
      </c>
      <c r="H8" s="17"/>
      <c r="I8" s="5">
        <f>SUM(AC8:AF8)</f>
        <v>53.96</v>
      </c>
      <c r="J8" s="45">
        <v>2.5</v>
      </c>
      <c r="K8" s="5">
        <f>SUMIFS('Pasted Areas'!$E:$E,'Pasted Areas'!$K:$K,B8,'Pasted Areas'!$C:$C,"*Living*")</f>
        <v>24.62</v>
      </c>
      <c r="L8" s="18"/>
      <c r="M8" s="31">
        <f>SUMIFS('Pasted Areas'!$E:$E,'Pasted Areas'!$K:$K,$B8,'Pasted Areas'!$C:$C,"*External Wall Area 1*")</f>
        <v>31.02</v>
      </c>
      <c r="N8" s="31">
        <f>SUMIFS('Pasted Areas'!$E:$E,'Pasted Areas'!$K:$K,$B8,'Pasted Areas'!$C:$C,"*External Wall Area 2*")</f>
        <v>0</v>
      </c>
      <c r="O8" s="31">
        <f>SUMIFS('Pasted Areas'!$E:$E,'Pasted Areas'!$K:$K,$B8,'Pasted Areas'!$C:$C,"*External Wall Area 3*")</f>
        <v>0</v>
      </c>
      <c r="P8" s="31">
        <f>SUMIFS('Pasted Areas'!$E:$E,'Pasted Areas'!$K:$K,$B8,'Pasted Areas'!$C:$C,"*External Wall Area 4*")</f>
        <v>12.95</v>
      </c>
      <c r="Q8" s="31">
        <f>SUMIFS('Pasted Areas'!$E:$E,'Pasted Areas'!$K:$K,$B8,'Pasted Areas'!$C:$C,"*Party Walls to Corridors*")</f>
        <v>24.68</v>
      </c>
      <c r="R8" s="31">
        <f>SUMIFS('Pasted Areas'!$E:$E,'Pasted Areas'!$K:$K,$B8,'Pasted Areas'!$C:$C,"*Party Walls to Dwelling*")</f>
        <v>6.71</v>
      </c>
      <c r="S8" s="32">
        <f>SUMIFS('Pasted Areas'!$E:$E,'Pasted Areas'!$K:$K,$B8,'Pasted Areas'!$C:$C,"*Internal Partitions*")</f>
        <v>44.46</v>
      </c>
      <c r="T8" s="31">
        <f t="shared" ref="T8:T18" si="0">S8*2</f>
        <v>88.92</v>
      </c>
      <c r="V8" s="16">
        <f>SUMIFS('Pasted Areas'!$E:$E,'Pasted Areas'!$K:$K,$B8,'Pasted Areas'!$C:$C,"*SAP Roof 1*")</f>
        <v>0</v>
      </c>
      <c r="W8" s="16">
        <f>SUMIFS('Pasted Areas'!$E:$E,'Pasted Areas'!$K:$K,$B8,'Pasted Areas'!$C:$C,"*SAP Roof 2*")</f>
        <v>0</v>
      </c>
      <c r="X8" s="16">
        <f>SUMIFS('Pasted Areas'!$E:$E,'Pasted Areas'!$K:$K,$B8,'Pasted Areas'!$C:$C,"*SAP Roof 3*")</f>
        <v>0</v>
      </c>
      <c r="Y8" s="16">
        <f>SUMIFS('Pasted Areas'!$E:$E,'Pasted Areas'!$K:$K,$B8,'Pasted Areas'!$C:$C,"*SAP Roof 4*")</f>
        <v>0</v>
      </c>
      <c r="Z8" s="16">
        <f>SUMIFS('Pasted Areas'!$E:$E,'Pasted Areas'!$K:$K,$B8,'Pasted Areas'!$C:$C,"*SAP Roof 5*")</f>
        <v>5.88</v>
      </c>
      <c r="AA8" s="16">
        <f>SUMIFS('Pasted Areas'!$E:$E,'Pasted Areas'!$K:$K,$B8,'Pasted Areas'!$C:$C,"*Party Ceiling*")</f>
        <v>48.08</v>
      </c>
      <c r="AB8"/>
      <c r="AC8" s="16">
        <f>SUMIFS('Pasted Areas'!$E:$E,'Pasted Areas'!$K:$K,$B8,'Pasted Areas'!$C:$C,"*Ground Floor*")</f>
        <v>53.96</v>
      </c>
      <c r="AD8" s="16">
        <f>SUMIFS('Pasted Areas'!$E:$E,'Pasted Areas'!$K:$K,$B8,'Pasted Areas'!$C:$C,"* Exposed Floor*")</f>
        <v>0</v>
      </c>
      <c r="AE8" s="16">
        <f>SUMIFS('Pasted Areas'!$E:$E,'Pasted Areas'!$K:$K,$B8,'Pasted Areas'!$C:$C,"*Semi-Exposed Floor*")</f>
        <v>0</v>
      </c>
      <c r="AF8" s="16">
        <f>SUMIFS('Pasted Areas'!$E:$E,'Pasted Areas'!$K:$K,$B8,'Pasted Areas'!$C:$C,"*Party Floor*")</f>
        <v>0</v>
      </c>
      <c r="AG8" s="3"/>
      <c r="AH8" s="16">
        <f>SUMIFS('Pasted Areas'!$E:$E,'Pasted Areas'!$K:$K,$B8,'Pasted Areas'!$C:$C,"*Front Door*",'Pasted Areas'!$H:$H,AH$7)</f>
        <v>0</v>
      </c>
      <c r="AI8" s="16">
        <f>SUMIFS('Pasted Areas'!$E:$E,'Pasted Areas'!$K:$K,$B8,'Pasted Areas'!$C:$C,"*Front Door*",'Pasted Areas'!$H:$H,AI$7)</f>
        <v>0</v>
      </c>
      <c r="AJ8" s="16">
        <f>SUMIFS('Pasted Areas'!$E:$E,'Pasted Areas'!$K:$K,$B8,'Pasted Areas'!$C:$C,"*Front Door*",'Pasted Areas'!$H:$H,AJ$7)</f>
        <v>0</v>
      </c>
      <c r="AK8" s="16">
        <f>SUMIFS('Pasted Areas'!$E:$E,'Pasted Areas'!$K:$K,$B8,'Pasted Areas'!$C:$C,"*Front Door*",'Pasted Areas'!$H:$H,AK$7)</f>
        <v>2.12</v>
      </c>
      <c r="AL8" s="3"/>
      <c r="AM8" s="16">
        <f>SUMIFS('Pasted Areas'!$E:$E,'Pasted Areas'!$K:$K,$B8,'Pasted Areas'!$C:$C,"*Glazing*",'Pasted Areas'!$H:$H,AM$7)</f>
        <v>0</v>
      </c>
      <c r="AN8" s="16">
        <f>SUMIFS('Pasted Areas'!$E:$E,'Pasted Areas'!$K:$K,$B8,'Pasted Areas'!$C:$C,"*Glazing*",'Pasted Areas'!$H:$H,AN$7)</f>
        <v>0</v>
      </c>
      <c r="AO8" s="16">
        <f>SUMIFS('Pasted Areas'!$E:$E,'Pasted Areas'!$K:$K,$B8,'Pasted Areas'!$C:$C,"*Glazing*",'Pasted Areas'!$H:$H,AO$7)</f>
        <v>0</v>
      </c>
      <c r="AP8" s="16">
        <f>SUMIFS('Pasted Areas'!$E:$E,'Pasted Areas'!$K:$K,$B8,'Pasted Areas'!$C:$C,"*Glazing*",'Pasted Areas'!$H:$H,AP$7)</f>
        <v>0</v>
      </c>
      <c r="AQ8" s="16">
        <f>SUMIFS('Pasted Areas'!$E:$E,'Pasted Areas'!$K:$K,$B8,'Pasted Areas'!$C:$C,"*Glazing*",'Pasted Areas'!$H:$H,AQ$7)</f>
        <v>0</v>
      </c>
      <c r="AR8" s="16">
        <f>SUMIFS('Pasted Areas'!$E:$E,'Pasted Areas'!$K:$K,$B8,'Pasted Areas'!$C:$C,"*Glazing*",'Pasted Areas'!$H:$H,AR$7)</f>
        <v>7.97</v>
      </c>
      <c r="AS8" s="16">
        <f>SUMIFS('Pasted Areas'!$E:$E,'Pasted Areas'!$K:$K,$B8,'Pasted Areas'!$C:$C,"*Glazing*",'Pasted Areas'!$H:$H,AS$7)</f>
        <v>0</v>
      </c>
      <c r="AT8" s="16">
        <f>SUMIFS('Pasted Areas'!$E:$E,'Pasted Areas'!$K:$K,$B8,'Pasted Areas'!$C:$C,"*Glazing*",'Pasted Areas'!$H:$H,AT$7)</f>
        <v>1.7999999999999998</v>
      </c>
      <c r="AU8" s="3"/>
      <c r="AV8" s="16">
        <f>SUMIFS('Pasted Areas'!$E:$E,'Pasted Areas'!$K:$K,$B8,'Pasted Areas'!$C:$C,"*Roof Light*")</f>
        <v>0</v>
      </c>
      <c r="AW8" s="8"/>
      <c r="AX8" s="52">
        <v>1</v>
      </c>
      <c r="AY8" s="53">
        <v>0</v>
      </c>
      <c r="AZ8" s="52">
        <v>0</v>
      </c>
      <c r="BA8" s="53">
        <v>0</v>
      </c>
      <c r="BB8" s="52">
        <v>1</v>
      </c>
      <c r="BC8" s="2">
        <f t="shared" ref="BC8:BC18" si="1">AX8+AY8</f>
        <v>1</v>
      </c>
      <c r="BD8" s="2">
        <f t="shared" ref="BD8:BD18" si="2">AZ8+BA8</f>
        <v>0</v>
      </c>
      <c r="BE8" s="2">
        <f t="shared" ref="BE8:BE18" si="3">AZ8+BB8</f>
        <v>1</v>
      </c>
      <c r="BF8" s="22">
        <f>SUMIFS('Pasted Areas'!$E:$E,'Pasted Areas'!$K:$K,$B8,'Pasted Areas'!$C:$C,"*Cooling Area*")</f>
        <v>0</v>
      </c>
      <c r="BG8" s="9"/>
      <c r="BH8" s="35"/>
      <c r="BI8" s="35"/>
      <c r="BJ8" s="9"/>
      <c r="BK8" s="35"/>
      <c r="BL8" s="9"/>
      <c r="BM8"/>
      <c r="BN8"/>
      <c r="BO8"/>
      <c r="BP8"/>
      <c r="BQ8"/>
      <c r="BR8" s="9"/>
      <c r="BS8" s="31">
        <f>SUM(AM8:AT8)</f>
        <v>9.77</v>
      </c>
      <c r="BT8" s="31">
        <f>SUM(AH8:AK8)</f>
        <v>2.12</v>
      </c>
      <c r="BU8" s="31">
        <f>SUM(M8:P8,V8:Z8,AC8:AE8,AH8:AV8)</f>
        <v>115.7</v>
      </c>
      <c r="BV8" s="31">
        <f>I8*J8</f>
        <v>134.9</v>
      </c>
      <c r="BW8" s="9"/>
      <c r="BX8" s="21">
        <f>SUM(M8:S8,V8:AV8,BF8:BF8)</f>
        <v>239.63</v>
      </c>
      <c r="BY8" s="54">
        <f>'Pasted Areas'!L3</f>
        <v>5622.6700000000083</v>
      </c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</row>
    <row r="9" spans="1:93" x14ac:dyDescent="0.25">
      <c r="B9" s="34" t="str">
        <v>Flat 02</v>
      </c>
      <c r="C9" s="46">
        <v>0</v>
      </c>
      <c r="D9" s="46" t="s">
        <v>202</v>
      </c>
      <c r="E9" s="49" t="s">
        <v>204</v>
      </c>
      <c r="F9" s="49" t="s">
        <v>206</v>
      </c>
      <c r="G9" s="46">
        <v>2</v>
      </c>
      <c r="H9"/>
      <c r="I9" s="5">
        <f>SUM(AC9:AF9)</f>
        <v>72.97</v>
      </c>
      <c r="J9" s="45">
        <v>2.5</v>
      </c>
      <c r="K9" s="5">
        <f>SUMIFS('Pasted Areas'!$E:$E,'Pasted Areas'!$K:$K,B9,'Pasted Areas'!$C:$C,"*Living*")</f>
        <v>25.67</v>
      </c>
      <c r="L9"/>
      <c r="M9" s="31">
        <f>SUMIFS('Pasted Areas'!$E:$E,'Pasted Areas'!$K:$K,$B9,'Pasted Areas'!$C:$C,"*External Wall Area 1*")</f>
        <v>40.36</v>
      </c>
      <c r="N9" s="31">
        <f>SUMIFS('Pasted Areas'!$E:$E,'Pasted Areas'!$K:$K,$B9,'Pasted Areas'!$C:$C,"*External Wall Area 2*")</f>
        <v>0</v>
      </c>
      <c r="O9" s="31">
        <f>SUMIFS('Pasted Areas'!$E:$E,'Pasted Areas'!$K:$K,$B9,'Pasted Areas'!$C:$C,"*External Wall Area 3*")</f>
        <v>0</v>
      </c>
      <c r="P9" s="31">
        <f>SUMIFS('Pasted Areas'!$E:$E,'Pasted Areas'!$K:$K,$B9,'Pasted Areas'!$C:$C,"*External Wall Area 4*")</f>
        <v>0</v>
      </c>
      <c r="Q9" s="31">
        <f>SUMIFS('Pasted Areas'!$E:$E,'Pasted Areas'!$K:$K,$B9,'Pasted Areas'!$C:$C,"*Party Walls to Corridors*")</f>
        <v>24.03</v>
      </c>
      <c r="R9" s="31">
        <f>SUMIFS('Pasted Areas'!$E:$E,'Pasted Areas'!$K:$K,$B9,'Pasted Areas'!$C:$C,"*Party Walls to Dwelling*")</f>
        <v>21.2</v>
      </c>
      <c r="S9" s="32">
        <f>SUMIFS('Pasted Areas'!$E:$E,'Pasted Areas'!$K:$K,$B9,'Pasted Areas'!$C:$C,"*Internal Partitions*")</f>
        <v>82.97</v>
      </c>
      <c r="T9" s="31">
        <f t="shared" si="0"/>
        <v>165.94</v>
      </c>
      <c r="V9" s="16">
        <f>SUMIFS('Pasted Areas'!$E:$E,'Pasted Areas'!$K:$K,$B9,'Pasted Areas'!$C:$C,"*SAP Roof 1*")</f>
        <v>0</v>
      </c>
      <c r="W9" s="16">
        <f>SUMIFS('Pasted Areas'!$E:$E,'Pasted Areas'!$K:$K,$B9,'Pasted Areas'!$C:$C,"*SAP Roof 2*")</f>
        <v>0</v>
      </c>
      <c r="X9" s="16">
        <f>SUMIFS('Pasted Areas'!$E:$E,'Pasted Areas'!$K:$K,$B9,'Pasted Areas'!$C:$C,"*SAP Roof 3*")</f>
        <v>0</v>
      </c>
      <c r="Y9" s="16">
        <f>SUMIFS('Pasted Areas'!$E:$E,'Pasted Areas'!$K:$K,$B9,'Pasted Areas'!$C:$C,"*SAP Roof 4*")</f>
        <v>0</v>
      </c>
      <c r="Z9" s="16">
        <f>SUMIFS('Pasted Areas'!$E:$E,'Pasted Areas'!$K:$K,$B9,'Pasted Areas'!$C:$C,"*SAP Roof 5*")</f>
        <v>0</v>
      </c>
      <c r="AA9" s="16">
        <f>SUMIFS('Pasted Areas'!$E:$E,'Pasted Areas'!$K:$K,$B9,'Pasted Areas'!$C:$C,"*Party Ceiling*")</f>
        <v>72.97</v>
      </c>
      <c r="AB9"/>
      <c r="AC9" s="16">
        <f>SUMIFS('Pasted Areas'!$E:$E,'Pasted Areas'!$K:$K,$B9,'Pasted Areas'!$C:$C,"*Ground Floor*")</f>
        <v>72.97</v>
      </c>
      <c r="AD9" s="16">
        <f>SUMIFS('Pasted Areas'!$E:$E,'Pasted Areas'!$K:$K,$B9,'Pasted Areas'!$C:$C,"* Exposed Floor*")</f>
        <v>0</v>
      </c>
      <c r="AE9" s="16">
        <f>SUMIFS('Pasted Areas'!$E:$E,'Pasted Areas'!$K:$K,$B9,'Pasted Areas'!$C:$C,"*Semi-Exposed Floor*")</f>
        <v>0</v>
      </c>
      <c r="AF9" s="16">
        <f>SUMIFS('Pasted Areas'!$E:$E,'Pasted Areas'!$K:$K,$B9,'Pasted Areas'!$C:$C,"*Party Floor*")</f>
        <v>0</v>
      </c>
      <c r="AG9" s="3"/>
      <c r="AH9" s="16">
        <f>SUMIFS('Pasted Areas'!$E:$E,'Pasted Areas'!$K:$K,$B9,'Pasted Areas'!$C:$C,"*Front Door*",'Pasted Areas'!$H:$H,AH$7)</f>
        <v>0</v>
      </c>
      <c r="AI9" s="16">
        <f>SUMIFS('Pasted Areas'!$E:$E,'Pasted Areas'!$K:$K,$B9,'Pasted Areas'!$C:$C,"*Front Door*",'Pasted Areas'!$H:$H,AI$7)</f>
        <v>0</v>
      </c>
      <c r="AJ9" s="16">
        <f>SUMIFS('Pasted Areas'!$E:$E,'Pasted Areas'!$K:$K,$B9,'Pasted Areas'!$C:$C,"*Front Door*",'Pasted Areas'!$H:$H,AJ$7)</f>
        <v>0</v>
      </c>
      <c r="AK9" s="16">
        <f>SUMIFS('Pasted Areas'!$E:$E,'Pasted Areas'!$K:$K,$B9,'Pasted Areas'!$C:$C,"*Front Door*",'Pasted Areas'!$H:$H,AK$7)</f>
        <v>0</v>
      </c>
      <c r="AL9" s="3"/>
      <c r="AM9" s="16">
        <f>SUMIFS('Pasted Areas'!$E:$E,'Pasted Areas'!$K:$K,$B9,'Pasted Areas'!$C:$C,"*Glazing*",'Pasted Areas'!$H:$H,AM$7)</f>
        <v>0</v>
      </c>
      <c r="AN9" s="16">
        <f>SUMIFS('Pasted Areas'!$E:$E,'Pasted Areas'!$K:$K,$B9,'Pasted Areas'!$C:$C,"*Glazing*",'Pasted Areas'!$H:$H,AN$7)</f>
        <v>2.8800000000000003</v>
      </c>
      <c r="AO9" s="16">
        <f>SUMIFS('Pasted Areas'!$E:$E,'Pasted Areas'!$K:$K,$B9,'Pasted Areas'!$C:$C,"*Glazing*",'Pasted Areas'!$H:$H,AO$7)</f>
        <v>0</v>
      </c>
      <c r="AP9" s="16">
        <f>SUMIFS('Pasted Areas'!$E:$E,'Pasted Areas'!$K:$K,$B9,'Pasted Areas'!$C:$C,"*Glazing*",'Pasted Areas'!$H:$H,AP$7)</f>
        <v>0</v>
      </c>
      <c r="AQ9" s="16">
        <f>SUMIFS('Pasted Areas'!$E:$E,'Pasted Areas'!$K:$K,$B9,'Pasted Areas'!$C:$C,"*Glazing*",'Pasted Areas'!$H:$H,AQ$7)</f>
        <v>0</v>
      </c>
      <c r="AR9" s="16">
        <f>SUMIFS('Pasted Areas'!$E:$E,'Pasted Areas'!$K:$K,$B9,'Pasted Areas'!$C:$C,"*Glazing*",'Pasted Areas'!$H:$H,AR$7)</f>
        <v>0</v>
      </c>
      <c r="AS9" s="16">
        <f>SUMIFS('Pasted Areas'!$E:$E,'Pasted Areas'!$K:$K,$B9,'Pasted Areas'!$C:$C,"*Glazing*",'Pasted Areas'!$H:$H,AS$7)</f>
        <v>0</v>
      </c>
      <c r="AT9" s="16">
        <f>SUMIFS('Pasted Areas'!$E:$E,'Pasted Areas'!$K:$K,$B9,'Pasted Areas'!$C:$C,"*Glazing*",'Pasted Areas'!$H:$H,AT$7)</f>
        <v>8.84</v>
      </c>
      <c r="AU9" s="3"/>
      <c r="AV9" s="16">
        <f>SUMIFS('Pasted Areas'!$E:$E,'Pasted Areas'!$K:$K,$B9,'Pasted Areas'!$C:$C,"*Roof Light*")</f>
        <v>0</v>
      </c>
      <c r="AW9" s="3"/>
      <c r="AX9" s="52">
        <v>2</v>
      </c>
      <c r="AY9" s="53">
        <v>0</v>
      </c>
      <c r="AZ9" s="52">
        <v>1</v>
      </c>
      <c r="BA9" s="53">
        <v>0</v>
      </c>
      <c r="BB9" s="52">
        <v>1</v>
      </c>
      <c r="BC9" s="2">
        <f t="shared" si="1"/>
        <v>2</v>
      </c>
      <c r="BD9" s="2">
        <f t="shared" si="2"/>
        <v>1</v>
      </c>
      <c r="BE9" s="2">
        <f t="shared" si="3"/>
        <v>2</v>
      </c>
      <c r="BF9" s="22">
        <f>SUMIFS('Pasted Areas'!$E:$E,'Pasted Areas'!$K:$K,$B9,'Pasted Areas'!$C:$C,"*Cooling Area*")</f>
        <v>0</v>
      </c>
      <c r="BG9"/>
      <c r="BH9"/>
      <c r="BI9"/>
      <c r="BJ9"/>
      <c r="BK9"/>
      <c r="BL9"/>
      <c r="BM9"/>
      <c r="BN9"/>
      <c r="BO9"/>
      <c r="BP9"/>
      <c r="BQ9"/>
      <c r="BR9"/>
      <c r="BS9" s="31">
        <f t="shared" ref="BS9:BS25" si="4">SUM(AM9:AT9)</f>
        <v>11.72</v>
      </c>
      <c r="BT9" s="31">
        <f t="shared" ref="BT9:BT25" si="5">SUM(AH9:AK9)</f>
        <v>0</v>
      </c>
      <c r="BU9" s="31">
        <f>SUM(M9:P9,V9:Z9,AC9:AE9,AH9:AV9)</f>
        <v>125.05</v>
      </c>
      <c r="BV9" s="31">
        <f>I9*J9</f>
        <v>182.42500000000001</v>
      </c>
      <c r="BW9"/>
      <c r="BX9" s="21">
        <f>SUM(M9:S9,V9:AV9,BF9:BF9)</f>
        <v>326.21999999999997</v>
      </c>
      <c r="BY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</row>
    <row r="10" spans="1:93" x14ac:dyDescent="0.25">
      <c r="B10" s="34" t="str">
        <v>Flat 03</v>
      </c>
      <c r="C10" s="46">
        <v>0</v>
      </c>
      <c r="D10" s="46" t="s">
        <v>81</v>
      </c>
      <c r="E10" s="49" t="s">
        <v>205</v>
      </c>
      <c r="F10" s="49" t="s">
        <v>206</v>
      </c>
      <c r="G10" s="46">
        <v>3</v>
      </c>
      <c r="H10"/>
      <c r="I10" s="5">
        <f>SUM(AC10:AF10)</f>
        <v>65.53</v>
      </c>
      <c r="J10" s="45">
        <v>2.5</v>
      </c>
      <c r="K10" s="5">
        <f>SUMIFS('Pasted Areas'!$E:$E,'Pasted Areas'!$K:$K,B10,'Pasted Areas'!$C:$C,"*Living*")</f>
        <v>25.73</v>
      </c>
      <c r="L10"/>
      <c r="M10" s="31">
        <f>SUMIFS('Pasted Areas'!$E:$E,'Pasted Areas'!$K:$K,$B10,'Pasted Areas'!$C:$C,"*External Wall Area 1*")</f>
        <v>26.04</v>
      </c>
      <c r="N10" s="31">
        <f>SUMIFS('Pasted Areas'!$E:$E,'Pasted Areas'!$K:$K,$B10,'Pasted Areas'!$C:$C,"*External Wall Area 2*")</f>
        <v>0</v>
      </c>
      <c r="O10" s="31">
        <f>SUMIFS('Pasted Areas'!$E:$E,'Pasted Areas'!$K:$K,$B10,'Pasted Areas'!$C:$C,"*External Wall Area 3*")</f>
        <v>0</v>
      </c>
      <c r="P10" s="31">
        <f>SUMIFS('Pasted Areas'!$E:$E,'Pasted Areas'!$K:$K,$B10,'Pasted Areas'!$C:$C,"*External Wall Area 4*")</f>
        <v>0</v>
      </c>
      <c r="Q10" s="31">
        <f>SUMIFS('Pasted Areas'!$E:$E,'Pasted Areas'!$K:$K,$B10,'Pasted Areas'!$C:$C,"*Party Walls to Corridors*")</f>
        <v>21.18</v>
      </c>
      <c r="R10" s="31">
        <f>SUMIFS('Pasted Areas'!$E:$E,'Pasted Areas'!$K:$K,$B10,'Pasted Areas'!$C:$C,"*Party Walls to Dwelling*")</f>
        <v>42.989999999999995</v>
      </c>
      <c r="S10" s="32">
        <f>SUMIFS('Pasted Areas'!$E:$E,'Pasted Areas'!$K:$K,$B10,'Pasted Areas'!$C:$C,"*Internal Partitions*")</f>
        <v>59.600000000000009</v>
      </c>
      <c r="T10" s="31">
        <f t="shared" si="0"/>
        <v>119.20000000000002</v>
      </c>
      <c r="V10" s="16">
        <f>SUMIFS('Pasted Areas'!$E:$E,'Pasted Areas'!$K:$K,$B10,'Pasted Areas'!$C:$C,"*SAP Roof 1*")</f>
        <v>0</v>
      </c>
      <c r="W10" s="16">
        <f>SUMIFS('Pasted Areas'!$E:$E,'Pasted Areas'!$K:$K,$B10,'Pasted Areas'!$C:$C,"*SAP Roof 2*")</f>
        <v>0</v>
      </c>
      <c r="X10" s="16">
        <f>SUMIFS('Pasted Areas'!$E:$E,'Pasted Areas'!$K:$K,$B10,'Pasted Areas'!$C:$C,"*SAP Roof 3*")</f>
        <v>0</v>
      </c>
      <c r="Y10" s="16">
        <f>SUMIFS('Pasted Areas'!$E:$E,'Pasted Areas'!$K:$K,$B10,'Pasted Areas'!$C:$C,"*SAP Roof 4*")</f>
        <v>0</v>
      </c>
      <c r="Z10" s="16">
        <f>SUMIFS('Pasted Areas'!$E:$E,'Pasted Areas'!$K:$K,$B10,'Pasted Areas'!$C:$C,"*SAP Roof 5*")</f>
        <v>0</v>
      </c>
      <c r="AA10" s="16">
        <f>SUMIFS('Pasted Areas'!$E:$E,'Pasted Areas'!$K:$K,$B10,'Pasted Areas'!$C:$C,"*Party Ceiling*")</f>
        <v>65.53</v>
      </c>
      <c r="AB10"/>
      <c r="AC10" s="16">
        <f>SUMIFS('Pasted Areas'!$E:$E,'Pasted Areas'!$K:$K,$B10,'Pasted Areas'!$C:$C,"*Ground Floor*")</f>
        <v>65.53</v>
      </c>
      <c r="AD10" s="16">
        <f>SUMIFS('Pasted Areas'!$E:$E,'Pasted Areas'!$K:$K,$B10,'Pasted Areas'!$C:$C,"* Exposed Floor*")</f>
        <v>0</v>
      </c>
      <c r="AE10" s="16">
        <f>SUMIFS('Pasted Areas'!$E:$E,'Pasted Areas'!$K:$K,$B10,'Pasted Areas'!$C:$C,"*Semi-Exposed Floor*")</f>
        <v>0</v>
      </c>
      <c r="AF10" s="16">
        <f>SUMIFS('Pasted Areas'!$E:$E,'Pasted Areas'!$K:$K,$B10,'Pasted Areas'!$C:$C,"*Party Floor*")</f>
        <v>0</v>
      </c>
      <c r="AG10" s="3"/>
      <c r="AH10" s="16">
        <f>SUMIFS('Pasted Areas'!$E:$E,'Pasted Areas'!$K:$K,$B10,'Pasted Areas'!$C:$C,"*Front Door*",'Pasted Areas'!$H:$H,AH$7)</f>
        <v>0</v>
      </c>
      <c r="AI10" s="16">
        <f>SUMIFS('Pasted Areas'!$E:$E,'Pasted Areas'!$K:$K,$B10,'Pasted Areas'!$C:$C,"*Front Door*",'Pasted Areas'!$H:$H,AI$7)</f>
        <v>0</v>
      </c>
      <c r="AJ10" s="16">
        <f>SUMIFS('Pasted Areas'!$E:$E,'Pasted Areas'!$K:$K,$B10,'Pasted Areas'!$C:$C,"*Front Door*",'Pasted Areas'!$H:$H,AJ$7)</f>
        <v>0</v>
      </c>
      <c r="AK10" s="16">
        <f>SUMIFS('Pasted Areas'!$E:$E,'Pasted Areas'!$K:$K,$B10,'Pasted Areas'!$C:$C,"*Front Door*",'Pasted Areas'!$H:$H,AK$7)</f>
        <v>0</v>
      </c>
      <c r="AL10" s="3"/>
      <c r="AM10" s="16">
        <f>SUMIFS('Pasted Areas'!$E:$E,'Pasted Areas'!$K:$K,$B10,'Pasted Areas'!$C:$C,"*Glazing*",'Pasted Areas'!$H:$H,AM$7)</f>
        <v>0</v>
      </c>
      <c r="AN10" s="16">
        <f>SUMIFS('Pasted Areas'!$E:$E,'Pasted Areas'!$K:$K,$B10,'Pasted Areas'!$C:$C,"*Glazing*",'Pasted Areas'!$H:$H,AN$7)</f>
        <v>1.7999999999999998</v>
      </c>
      <c r="AO10" s="16">
        <f>SUMIFS('Pasted Areas'!$E:$E,'Pasted Areas'!$K:$K,$B10,'Pasted Areas'!$C:$C,"*Glazing*",'Pasted Areas'!$H:$H,AO$7)</f>
        <v>4.6800000000000006</v>
      </c>
      <c r="AP10" s="16">
        <f>SUMIFS('Pasted Areas'!$E:$E,'Pasted Areas'!$K:$K,$B10,'Pasted Areas'!$C:$C,"*Glazing*",'Pasted Areas'!$H:$H,AP$7)</f>
        <v>1.89</v>
      </c>
      <c r="AQ10" s="16">
        <f>SUMIFS('Pasted Areas'!$E:$E,'Pasted Areas'!$K:$K,$B10,'Pasted Areas'!$C:$C,"*Glazing*",'Pasted Areas'!$H:$H,AQ$7)</f>
        <v>0</v>
      </c>
      <c r="AR10" s="16">
        <f>SUMIFS('Pasted Areas'!$E:$E,'Pasted Areas'!$K:$K,$B10,'Pasted Areas'!$C:$C,"*Glazing*",'Pasted Areas'!$H:$H,AR$7)</f>
        <v>0</v>
      </c>
      <c r="AS10" s="16">
        <f>SUMIFS('Pasted Areas'!$E:$E,'Pasted Areas'!$K:$K,$B10,'Pasted Areas'!$C:$C,"*Glazing*",'Pasted Areas'!$H:$H,AS$7)</f>
        <v>0</v>
      </c>
      <c r="AT10" s="16">
        <f>SUMIFS('Pasted Areas'!$E:$E,'Pasted Areas'!$K:$K,$B10,'Pasted Areas'!$C:$C,"*Glazing*",'Pasted Areas'!$H:$H,AT$7)</f>
        <v>0</v>
      </c>
      <c r="AU10" s="3"/>
      <c r="AV10" s="16">
        <f>SUMIFS('Pasted Areas'!$E:$E,'Pasted Areas'!$K:$K,$B10,'Pasted Areas'!$C:$C,"*Roof Light*")</f>
        <v>0</v>
      </c>
      <c r="AW10" s="3"/>
      <c r="AX10" s="52">
        <v>1</v>
      </c>
      <c r="AY10" s="53">
        <v>0</v>
      </c>
      <c r="AZ10" s="52">
        <v>1</v>
      </c>
      <c r="BA10" s="53">
        <v>0</v>
      </c>
      <c r="BB10" s="52">
        <v>0</v>
      </c>
      <c r="BC10" s="2">
        <f t="shared" si="1"/>
        <v>1</v>
      </c>
      <c r="BD10" s="2">
        <f t="shared" si="2"/>
        <v>1</v>
      </c>
      <c r="BE10" s="2">
        <f t="shared" si="3"/>
        <v>1</v>
      </c>
      <c r="BF10" s="22">
        <f>SUMIFS('Pasted Areas'!$E:$E,'Pasted Areas'!$K:$K,$B10,'Pasted Areas'!$C:$C,"*Cooling Area*")</f>
        <v>0</v>
      </c>
      <c r="BG10"/>
      <c r="BH10"/>
      <c r="BI10"/>
      <c r="BJ10"/>
      <c r="BK10"/>
      <c r="BL10"/>
      <c r="BM10"/>
      <c r="BN10"/>
      <c r="BO10"/>
      <c r="BP10"/>
      <c r="BQ10"/>
      <c r="BR10"/>
      <c r="BS10" s="31">
        <f t="shared" si="4"/>
        <v>8.370000000000001</v>
      </c>
      <c r="BT10" s="31">
        <f t="shared" si="5"/>
        <v>0</v>
      </c>
      <c r="BU10" s="31">
        <f>SUM(M10:P10,V10:Z10,AC10:AE10,AH10:AV10)</f>
        <v>99.94</v>
      </c>
      <c r="BV10" s="31">
        <f>I10*J10</f>
        <v>163.82499999999999</v>
      </c>
      <c r="BW10"/>
      <c r="BX10" s="21">
        <f>SUM(M10:S10,V10:AV10,BF10:BF10)</f>
        <v>289.24</v>
      </c>
      <c r="BY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</row>
    <row r="11" spans="1:93" x14ac:dyDescent="0.25">
      <c r="B11" s="34" t="str">
        <v>Flat 04</v>
      </c>
      <c r="C11" s="46">
        <v>0</v>
      </c>
      <c r="D11" s="46" t="s">
        <v>81</v>
      </c>
      <c r="E11" s="49" t="s">
        <v>205</v>
      </c>
      <c r="F11" s="51" t="s">
        <v>206</v>
      </c>
      <c r="G11" s="46">
        <v>3</v>
      </c>
      <c r="H11"/>
      <c r="I11" s="5">
        <f>SUM(AC11:AF11)</f>
        <v>51.69</v>
      </c>
      <c r="J11" s="45">
        <v>2.5</v>
      </c>
      <c r="K11" s="5">
        <f>SUMIFS('Pasted Areas'!$E:$E,'Pasted Areas'!$K:$K,B11,'Pasted Areas'!$C:$C,"*Living*")</f>
        <v>23.6</v>
      </c>
      <c r="L11"/>
      <c r="M11" s="31">
        <f>SUMIFS('Pasted Areas'!$E:$E,'Pasted Areas'!$K:$K,$B11,'Pasted Areas'!$C:$C,"*External Wall Area 1*")</f>
        <v>13.18</v>
      </c>
      <c r="N11" s="31">
        <f>SUMIFS('Pasted Areas'!$E:$E,'Pasted Areas'!$K:$K,$B11,'Pasted Areas'!$C:$C,"*External Wall Area 2*")</f>
        <v>0</v>
      </c>
      <c r="O11" s="31">
        <f>SUMIFS('Pasted Areas'!$E:$E,'Pasted Areas'!$K:$K,$B11,'Pasted Areas'!$C:$C,"*External Wall Area 3*")</f>
        <v>0</v>
      </c>
      <c r="P11" s="31">
        <f>SUMIFS('Pasted Areas'!$E:$E,'Pasted Areas'!$K:$K,$B11,'Pasted Areas'!$C:$C,"*External Wall Area 4*")</f>
        <v>0</v>
      </c>
      <c r="Q11" s="31">
        <f>SUMIFS('Pasted Areas'!$E:$E,'Pasted Areas'!$K:$K,$B11,'Pasted Areas'!$C:$C,"*Party Walls to Corridors*")</f>
        <v>16.759999999999998</v>
      </c>
      <c r="R11" s="31">
        <f>SUMIFS('Pasted Areas'!$E:$E,'Pasted Areas'!$K:$K,$B11,'Pasted Areas'!$C:$C,"*Party Walls to Dwelling*")</f>
        <v>50.22</v>
      </c>
      <c r="S11" s="32">
        <f>SUMIFS('Pasted Areas'!$E:$E,'Pasted Areas'!$K:$K,$B11,'Pasted Areas'!$C:$C,"*Internal Partitions*")</f>
        <v>44.84</v>
      </c>
      <c r="T11" s="31">
        <f t="shared" si="0"/>
        <v>89.68</v>
      </c>
      <c r="V11" s="16">
        <f>SUMIFS('Pasted Areas'!$E:$E,'Pasted Areas'!$K:$K,$B11,'Pasted Areas'!$C:$C,"*SAP Roof 1*")</f>
        <v>0</v>
      </c>
      <c r="W11" s="16">
        <f>SUMIFS('Pasted Areas'!$E:$E,'Pasted Areas'!$K:$K,$B11,'Pasted Areas'!$C:$C,"*SAP Roof 2*")</f>
        <v>0</v>
      </c>
      <c r="X11" s="16">
        <f>SUMIFS('Pasted Areas'!$E:$E,'Pasted Areas'!$K:$K,$B11,'Pasted Areas'!$C:$C,"*SAP Roof 3*")</f>
        <v>0</v>
      </c>
      <c r="Y11" s="16">
        <f>SUMIFS('Pasted Areas'!$E:$E,'Pasted Areas'!$K:$K,$B11,'Pasted Areas'!$C:$C,"*SAP Roof 4*")</f>
        <v>0</v>
      </c>
      <c r="Z11" s="16">
        <f>SUMIFS('Pasted Areas'!$E:$E,'Pasted Areas'!$K:$K,$B11,'Pasted Areas'!$C:$C,"*SAP Roof 5*")</f>
        <v>0</v>
      </c>
      <c r="AA11" s="16">
        <f>SUMIFS('Pasted Areas'!$E:$E,'Pasted Areas'!$K:$K,$B11,'Pasted Areas'!$C:$C,"*Party Ceiling*")</f>
        <v>51.69</v>
      </c>
      <c r="AB11"/>
      <c r="AC11" s="16">
        <f>SUMIFS('Pasted Areas'!$E:$E,'Pasted Areas'!$K:$K,$B11,'Pasted Areas'!$C:$C,"*Ground Floor*")</f>
        <v>51.69</v>
      </c>
      <c r="AD11" s="16">
        <f>SUMIFS('Pasted Areas'!$E:$E,'Pasted Areas'!$K:$K,$B11,'Pasted Areas'!$C:$C,"* Exposed Floor*")</f>
        <v>0</v>
      </c>
      <c r="AE11" s="16">
        <f>SUMIFS('Pasted Areas'!$E:$E,'Pasted Areas'!$K:$K,$B11,'Pasted Areas'!$C:$C,"*Semi-Exposed Floor*")</f>
        <v>0</v>
      </c>
      <c r="AF11" s="16">
        <f>SUMIFS('Pasted Areas'!$E:$E,'Pasted Areas'!$K:$K,$B11,'Pasted Areas'!$C:$C,"*Party Floor*")</f>
        <v>0</v>
      </c>
      <c r="AG11" s="3"/>
      <c r="AH11" s="16">
        <f>SUMIFS('Pasted Areas'!$E:$E,'Pasted Areas'!$K:$K,$B11,'Pasted Areas'!$C:$C,"*Front Door*",'Pasted Areas'!$H:$H,AH$7)</f>
        <v>0</v>
      </c>
      <c r="AI11" s="16">
        <f>SUMIFS('Pasted Areas'!$E:$E,'Pasted Areas'!$K:$K,$B11,'Pasted Areas'!$C:$C,"*Front Door*",'Pasted Areas'!$H:$H,AI$7)</f>
        <v>0</v>
      </c>
      <c r="AJ11" s="16">
        <f>SUMIFS('Pasted Areas'!$E:$E,'Pasted Areas'!$K:$K,$B11,'Pasted Areas'!$C:$C,"*Front Door*",'Pasted Areas'!$H:$H,AJ$7)</f>
        <v>0</v>
      </c>
      <c r="AK11" s="16">
        <f>SUMIFS('Pasted Areas'!$E:$E,'Pasted Areas'!$K:$K,$B11,'Pasted Areas'!$C:$C,"*Front Door*",'Pasted Areas'!$H:$H,AK$7)</f>
        <v>0</v>
      </c>
      <c r="AL11" s="3"/>
      <c r="AM11" s="16">
        <f>SUMIFS('Pasted Areas'!$E:$E,'Pasted Areas'!$K:$K,$B11,'Pasted Areas'!$C:$C,"*Glazing*",'Pasted Areas'!$H:$H,AM$7)</f>
        <v>0</v>
      </c>
      <c r="AN11" s="16">
        <f>SUMIFS('Pasted Areas'!$E:$E,'Pasted Areas'!$K:$K,$B11,'Pasted Areas'!$C:$C,"*Glazing*",'Pasted Areas'!$H:$H,AN$7)</f>
        <v>0</v>
      </c>
      <c r="AO11" s="16">
        <f>SUMIFS('Pasted Areas'!$E:$E,'Pasted Areas'!$K:$K,$B11,'Pasted Areas'!$C:$C,"*Glazing*",'Pasted Areas'!$H:$H,AO$7)</f>
        <v>7.04</v>
      </c>
      <c r="AP11" s="16">
        <f>SUMIFS('Pasted Areas'!$E:$E,'Pasted Areas'!$K:$K,$B11,'Pasted Areas'!$C:$C,"*Glazing*",'Pasted Areas'!$H:$H,AP$7)</f>
        <v>0</v>
      </c>
      <c r="AQ11" s="16">
        <f>SUMIFS('Pasted Areas'!$E:$E,'Pasted Areas'!$K:$K,$B11,'Pasted Areas'!$C:$C,"*Glazing*",'Pasted Areas'!$H:$H,AQ$7)</f>
        <v>0</v>
      </c>
      <c r="AR11" s="16">
        <f>SUMIFS('Pasted Areas'!$E:$E,'Pasted Areas'!$K:$K,$B11,'Pasted Areas'!$C:$C,"*Glazing*",'Pasted Areas'!$H:$H,AR$7)</f>
        <v>0</v>
      </c>
      <c r="AS11" s="16">
        <f>SUMIFS('Pasted Areas'!$E:$E,'Pasted Areas'!$K:$K,$B11,'Pasted Areas'!$C:$C,"*Glazing*",'Pasted Areas'!$H:$H,AS$7)</f>
        <v>0</v>
      </c>
      <c r="AT11" s="16">
        <f>SUMIFS('Pasted Areas'!$E:$E,'Pasted Areas'!$K:$K,$B11,'Pasted Areas'!$C:$C,"*Glazing*",'Pasted Areas'!$H:$H,AT$7)</f>
        <v>0</v>
      </c>
      <c r="AU11" s="3"/>
      <c r="AV11" s="16">
        <f>SUMIFS('Pasted Areas'!$E:$E,'Pasted Areas'!$K:$K,$B11,'Pasted Areas'!$C:$C,"*Roof Light*")</f>
        <v>0</v>
      </c>
      <c r="AW11" s="3"/>
      <c r="AX11" s="52">
        <v>1</v>
      </c>
      <c r="AY11" s="53">
        <v>0</v>
      </c>
      <c r="AZ11" s="52">
        <v>1</v>
      </c>
      <c r="BA11" s="53">
        <v>0</v>
      </c>
      <c r="BB11" s="52">
        <v>0</v>
      </c>
      <c r="BC11" s="2">
        <f t="shared" si="1"/>
        <v>1</v>
      </c>
      <c r="BD11" s="2">
        <f t="shared" si="2"/>
        <v>1</v>
      </c>
      <c r="BE11" s="2">
        <f t="shared" si="3"/>
        <v>1</v>
      </c>
      <c r="BF11" s="22">
        <f>SUMIFS('Pasted Areas'!$E:$E,'Pasted Areas'!$K:$K,$B11,'Pasted Areas'!$C:$C,"*Cooling Area*")</f>
        <v>0</v>
      </c>
      <c r="BG11"/>
      <c r="BH11"/>
      <c r="BI11"/>
      <c r="BJ11"/>
      <c r="BK11"/>
      <c r="BL11"/>
      <c r="BM11"/>
      <c r="BN11"/>
      <c r="BO11"/>
      <c r="BP11"/>
      <c r="BQ11"/>
      <c r="BR11"/>
      <c r="BS11" s="31">
        <f t="shared" si="4"/>
        <v>7.04</v>
      </c>
      <c r="BT11" s="31">
        <f t="shared" si="5"/>
        <v>0</v>
      </c>
      <c r="BU11" s="31">
        <f>SUM(M11:P11,V11:Z11,AC11:AE11,AH11:AV11)</f>
        <v>71.910000000000011</v>
      </c>
      <c r="BV11" s="31">
        <f>I11*J11</f>
        <v>129.22499999999999</v>
      </c>
      <c r="BW11"/>
      <c r="BX11" s="21">
        <f>SUM(M11:S11,V11:AV11,BF11:BF11)</f>
        <v>235.42</v>
      </c>
      <c r="BY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</row>
    <row r="12" spans="1:93" x14ac:dyDescent="0.25">
      <c r="B12" s="34" t="str">
        <v>Flat 05</v>
      </c>
      <c r="C12" s="46">
        <v>0</v>
      </c>
      <c r="D12" s="46" t="s">
        <v>52</v>
      </c>
      <c r="E12" s="49" t="s">
        <v>204</v>
      </c>
      <c r="F12" s="51" t="s">
        <v>206</v>
      </c>
      <c r="G12" s="46">
        <v>1</v>
      </c>
      <c r="H12"/>
      <c r="I12" s="5">
        <f>SUM(AC12:AF12)</f>
        <v>91.580000000000013</v>
      </c>
      <c r="J12" s="45">
        <v>2.5</v>
      </c>
      <c r="K12" s="5">
        <f>SUMIFS('Pasted Areas'!$E:$E,'Pasted Areas'!$K:$K,B12,'Pasted Areas'!$C:$C,"*Living*")</f>
        <v>32.700000000000003</v>
      </c>
      <c r="L12"/>
      <c r="M12" s="31">
        <f>SUMIFS('Pasted Areas'!$E:$E,'Pasted Areas'!$K:$K,$B12,'Pasted Areas'!$C:$C,"*External Wall Area 1*")</f>
        <v>69.64</v>
      </c>
      <c r="N12" s="31">
        <f>SUMIFS('Pasted Areas'!$E:$E,'Pasted Areas'!$K:$K,$B12,'Pasted Areas'!$C:$C,"*External Wall Area 2*")</f>
        <v>0</v>
      </c>
      <c r="O12" s="31">
        <f>SUMIFS('Pasted Areas'!$E:$E,'Pasted Areas'!$K:$K,$B12,'Pasted Areas'!$C:$C,"*External Wall Area 3*")</f>
        <v>0</v>
      </c>
      <c r="P12" s="31">
        <f>SUMIFS('Pasted Areas'!$E:$E,'Pasted Areas'!$K:$K,$B12,'Pasted Areas'!$C:$C,"*External Wall Area 4*")</f>
        <v>0</v>
      </c>
      <c r="Q12" s="31">
        <f>SUMIFS('Pasted Areas'!$E:$E,'Pasted Areas'!$K:$K,$B12,'Pasted Areas'!$C:$C,"*Party Walls to Corridors*")</f>
        <v>4.16</v>
      </c>
      <c r="R12" s="31">
        <f>SUMIFS('Pasted Areas'!$E:$E,'Pasted Areas'!$K:$K,$B12,'Pasted Areas'!$C:$C,"*Party Walls to Dwelling*")</f>
        <v>61.8</v>
      </c>
      <c r="S12" s="32">
        <f>SUMIFS('Pasted Areas'!$E:$E,'Pasted Areas'!$K:$K,$B12,'Pasted Areas'!$C:$C,"*Internal Partitions*")</f>
        <v>75.779999999999987</v>
      </c>
      <c r="T12" s="31">
        <f t="shared" si="0"/>
        <v>151.55999999999997</v>
      </c>
      <c r="V12" s="16">
        <f>SUMIFS('Pasted Areas'!$E:$E,'Pasted Areas'!$K:$K,$B12,'Pasted Areas'!$C:$C,"*SAP Roof 1*")</f>
        <v>0</v>
      </c>
      <c r="W12" s="16">
        <f>SUMIFS('Pasted Areas'!$E:$E,'Pasted Areas'!$K:$K,$B12,'Pasted Areas'!$C:$C,"*SAP Roof 2*")</f>
        <v>0</v>
      </c>
      <c r="X12" s="16">
        <f>SUMIFS('Pasted Areas'!$E:$E,'Pasted Areas'!$K:$K,$B12,'Pasted Areas'!$C:$C,"*SAP Roof 3*")</f>
        <v>0</v>
      </c>
      <c r="Y12" s="16">
        <f>SUMIFS('Pasted Areas'!$E:$E,'Pasted Areas'!$K:$K,$B12,'Pasted Areas'!$C:$C,"*SAP Roof 4*")</f>
        <v>0</v>
      </c>
      <c r="Z12" s="16">
        <f>SUMIFS('Pasted Areas'!$E:$E,'Pasted Areas'!$K:$K,$B12,'Pasted Areas'!$C:$C,"*SAP Roof 5*")</f>
        <v>0</v>
      </c>
      <c r="AA12" s="16">
        <f>SUMIFS('Pasted Areas'!$E:$E,'Pasted Areas'!$K:$K,$B12,'Pasted Areas'!$C:$C,"*Party Ceiling*")</f>
        <v>91.57</v>
      </c>
      <c r="AB12"/>
      <c r="AC12" s="16">
        <f>SUMIFS('Pasted Areas'!$E:$E,'Pasted Areas'!$K:$K,$B12,'Pasted Areas'!$C:$C,"*Ground Floor*")</f>
        <v>91.580000000000013</v>
      </c>
      <c r="AD12" s="16">
        <f>SUMIFS('Pasted Areas'!$E:$E,'Pasted Areas'!$K:$K,$B12,'Pasted Areas'!$C:$C,"* Exposed Floor*")</f>
        <v>0</v>
      </c>
      <c r="AE12" s="16">
        <f>SUMIFS('Pasted Areas'!$E:$E,'Pasted Areas'!$K:$K,$B12,'Pasted Areas'!$C:$C,"*Semi-Exposed Floor*")</f>
        <v>0</v>
      </c>
      <c r="AF12" s="16">
        <f>SUMIFS('Pasted Areas'!$E:$E,'Pasted Areas'!$K:$K,$B12,'Pasted Areas'!$C:$C,"*Party Floor*")</f>
        <v>0</v>
      </c>
      <c r="AG12" s="3"/>
      <c r="AH12" s="16">
        <f>SUMIFS('Pasted Areas'!$E:$E,'Pasted Areas'!$K:$K,$B12,'Pasted Areas'!$C:$C,"*Front Door*",'Pasted Areas'!$H:$H,AH$7)</f>
        <v>0</v>
      </c>
      <c r="AI12" s="16">
        <f>SUMIFS('Pasted Areas'!$E:$E,'Pasted Areas'!$K:$K,$B12,'Pasted Areas'!$C:$C,"*Front Door*",'Pasted Areas'!$H:$H,AI$7)</f>
        <v>0</v>
      </c>
      <c r="AJ12" s="16">
        <f>SUMIFS('Pasted Areas'!$E:$E,'Pasted Areas'!$K:$K,$B12,'Pasted Areas'!$C:$C,"*Front Door*",'Pasted Areas'!$H:$H,AJ$7)</f>
        <v>0</v>
      </c>
      <c r="AK12" s="16">
        <f>SUMIFS('Pasted Areas'!$E:$E,'Pasted Areas'!$K:$K,$B12,'Pasted Areas'!$C:$C,"*Front Door*",'Pasted Areas'!$H:$H,AK$7)</f>
        <v>0</v>
      </c>
      <c r="AL12" s="3"/>
      <c r="AM12" s="16">
        <f>SUMIFS('Pasted Areas'!$E:$E,'Pasted Areas'!$K:$K,$B12,'Pasted Areas'!$C:$C,"*Glazing*",'Pasted Areas'!$H:$H,AM$7)</f>
        <v>0</v>
      </c>
      <c r="AN12" s="16">
        <f>SUMIFS('Pasted Areas'!$E:$E,'Pasted Areas'!$K:$K,$B12,'Pasted Areas'!$C:$C,"*Glazing*",'Pasted Areas'!$H:$H,AN$7)</f>
        <v>0</v>
      </c>
      <c r="AO12" s="16">
        <f>SUMIFS('Pasted Areas'!$E:$E,'Pasted Areas'!$K:$K,$B12,'Pasted Areas'!$C:$C,"*Glazing*",'Pasted Areas'!$H:$H,AO$7)</f>
        <v>3.5999999999999996</v>
      </c>
      <c r="AP12" s="16">
        <f>SUMIFS('Pasted Areas'!$E:$E,'Pasted Areas'!$K:$K,$B12,'Pasted Areas'!$C:$C,"*Glazing*",'Pasted Areas'!$H:$H,AP$7)</f>
        <v>0</v>
      </c>
      <c r="AQ12" s="16">
        <f>SUMIFS('Pasted Areas'!$E:$E,'Pasted Areas'!$K:$K,$B12,'Pasted Areas'!$C:$C,"*Glazing*",'Pasted Areas'!$H:$H,AQ$7)</f>
        <v>1.4400000000000002</v>
      </c>
      <c r="AR12" s="16">
        <f>SUMIFS('Pasted Areas'!$E:$E,'Pasted Areas'!$K:$K,$B12,'Pasted Areas'!$C:$C,"*Glazing*",'Pasted Areas'!$H:$H,AR$7)</f>
        <v>0</v>
      </c>
      <c r="AS12" s="16">
        <f>SUMIFS('Pasted Areas'!$E:$E,'Pasted Areas'!$K:$K,$B12,'Pasted Areas'!$C:$C,"*Glazing*",'Pasted Areas'!$H:$H,AS$7)</f>
        <v>5.24</v>
      </c>
      <c r="AT12" s="16">
        <f>SUMIFS('Pasted Areas'!$E:$E,'Pasted Areas'!$K:$K,$B12,'Pasted Areas'!$C:$C,"*Glazing*",'Pasted Areas'!$H:$H,AT$7)</f>
        <v>0</v>
      </c>
      <c r="AU12" s="3"/>
      <c r="AV12" s="16">
        <f>SUMIFS('Pasted Areas'!$E:$E,'Pasted Areas'!$K:$K,$B12,'Pasted Areas'!$C:$C,"*Roof Light*")</f>
        <v>0</v>
      </c>
      <c r="AW12" s="3"/>
      <c r="AX12" s="52">
        <v>2</v>
      </c>
      <c r="AY12" s="53">
        <v>0</v>
      </c>
      <c r="AZ12" s="52">
        <v>1</v>
      </c>
      <c r="BA12" s="53">
        <v>0</v>
      </c>
      <c r="BB12" s="52">
        <v>1</v>
      </c>
      <c r="BC12" s="2">
        <f t="shared" si="1"/>
        <v>2</v>
      </c>
      <c r="BD12" s="2">
        <f t="shared" si="2"/>
        <v>1</v>
      </c>
      <c r="BE12" s="2">
        <f t="shared" si="3"/>
        <v>2</v>
      </c>
      <c r="BF12" s="22">
        <f>SUMIFS('Pasted Areas'!$E:$E,'Pasted Areas'!$K:$K,$B12,'Pasted Areas'!$C:$C,"*Cooling Area*")</f>
        <v>0</v>
      </c>
      <c r="BG12"/>
      <c r="BH12"/>
      <c r="BI12"/>
      <c r="BJ12"/>
      <c r="BK12"/>
      <c r="BL12"/>
      <c r="BM12"/>
      <c r="BN12"/>
      <c r="BO12"/>
      <c r="BP12"/>
      <c r="BQ12"/>
      <c r="BR12"/>
      <c r="BS12" s="31">
        <f t="shared" si="4"/>
        <v>10.280000000000001</v>
      </c>
      <c r="BT12" s="31">
        <f t="shared" si="5"/>
        <v>0</v>
      </c>
      <c r="BU12" s="31">
        <f>SUM(M12:P12,V12:Z12,AC12:AE12,AH12:AV12)</f>
        <v>171.50000000000003</v>
      </c>
      <c r="BV12" s="31">
        <f>I12*J12</f>
        <v>228.95000000000005</v>
      </c>
      <c r="BW12"/>
      <c r="BX12" s="21">
        <f>SUM(M12:S12,V12:AV12,BF12:BF12)</f>
        <v>404.81</v>
      </c>
      <c r="BY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</row>
    <row r="13" spans="1:93" x14ac:dyDescent="0.25">
      <c r="B13" s="34" t="str">
        <v>Flat 06</v>
      </c>
      <c r="C13" s="46">
        <v>0</v>
      </c>
      <c r="D13" s="46" t="s">
        <v>80</v>
      </c>
      <c r="E13" s="49" t="s">
        <v>205</v>
      </c>
      <c r="F13" s="51" t="s">
        <v>206</v>
      </c>
      <c r="G13" s="46">
        <v>3</v>
      </c>
      <c r="H13" s="17"/>
      <c r="I13" s="5">
        <f>SUM(AC13:AF13)</f>
        <v>71.95</v>
      </c>
      <c r="J13" s="47">
        <v>2.5</v>
      </c>
      <c r="K13" s="5">
        <f>SUMIFS('Pasted Areas'!$E:$E,'Pasted Areas'!$K:$K,B13,'Pasted Areas'!$C:$C,"*Living*")</f>
        <v>24.56</v>
      </c>
      <c r="L13" s="18"/>
      <c r="M13" s="31">
        <f>SUMIFS('Pasted Areas'!$E:$E,'Pasted Areas'!$K:$K,$B13,'Pasted Areas'!$C:$C,"*External Wall Area 1*")</f>
        <v>27.450000000000003</v>
      </c>
      <c r="N13" s="31">
        <f>SUMIFS('Pasted Areas'!$E:$E,'Pasted Areas'!$K:$K,$B13,'Pasted Areas'!$C:$C,"*External Wall Area 2*")</f>
        <v>0</v>
      </c>
      <c r="O13" s="31">
        <f>SUMIFS('Pasted Areas'!$E:$E,'Pasted Areas'!$K:$K,$B13,'Pasted Areas'!$C:$C,"*External Wall Area 3*")</f>
        <v>0</v>
      </c>
      <c r="P13" s="31">
        <f>SUMIFS('Pasted Areas'!$E:$E,'Pasted Areas'!$K:$K,$B13,'Pasted Areas'!$C:$C,"*External Wall Area 4*")</f>
        <v>0</v>
      </c>
      <c r="Q13" s="31">
        <f>SUMIFS('Pasted Areas'!$E:$E,'Pasted Areas'!$K:$K,$B13,'Pasted Areas'!$C:$C,"*Party Walls to Corridors*")</f>
        <v>32.75</v>
      </c>
      <c r="R13" s="31">
        <f>SUMIFS('Pasted Areas'!$E:$E,'Pasted Areas'!$K:$K,$B13,'Pasted Areas'!$C:$C,"*Party Walls to Dwelling*")</f>
        <v>36.69</v>
      </c>
      <c r="S13" s="32">
        <f>SUMIFS('Pasted Areas'!$E:$E,'Pasted Areas'!$K:$K,$B13,'Pasted Areas'!$C:$C,"*Internal Partitions*")</f>
        <v>67.11</v>
      </c>
      <c r="T13" s="31">
        <f t="shared" si="0"/>
        <v>134.22</v>
      </c>
      <c r="V13" s="16">
        <f>SUMIFS('Pasted Areas'!$E:$E,'Pasted Areas'!$K:$K,$B13,'Pasted Areas'!$C:$C,"*SAP Roof 1*")</f>
        <v>0</v>
      </c>
      <c r="W13" s="16">
        <f>SUMIFS('Pasted Areas'!$E:$E,'Pasted Areas'!$K:$K,$B13,'Pasted Areas'!$C:$C,"*SAP Roof 2*")</f>
        <v>0</v>
      </c>
      <c r="X13" s="16">
        <f>SUMIFS('Pasted Areas'!$E:$E,'Pasted Areas'!$K:$K,$B13,'Pasted Areas'!$C:$C,"*SAP Roof 3*")</f>
        <v>0</v>
      </c>
      <c r="Y13" s="16">
        <f>SUMIFS('Pasted Areas'!$E:$E,'Pasted Areas'!$K:$K,$B13,'Pasted Areas'!$C:$C,"*SAP Roof 4*")</f>
        <v>0</v>
      </c>
      <c r="Z13" s="16">
        <f>SUMIFS('Pasted Areas'!$E:$E,'Pasted Areas'!$K:$K,$B13,'Pasted Areas'!$C:$C,"*SAP Roof 5*")</f>
        <v>0</v>
      </c>
      <c r="AA13" s="16">
        <f>SUMIFS('Pasted Areas'!$E:$E,'Pasted Areas'!$K:$K,$B13,'Pasted Areas'!$C:$C,"*Party Ceiling*")</f>
        <v>71.95</v>
      </c>
      <c r="AB13"/>
      <c r="AC13" s="16">
        <f>SUMIFS('Pasted Areas'!$E:$E,'Pasted Areas'!$K:$K,$B13,'Pasted Areas'!$C:$C,"*Ground Floor*")</f>
        <v>71.95</v>
      </c>
      <c r="AD13" s="16">
        <f>SUMIFS('Pasted Areas'!$E:$E,'Pasted Areas'!$K:$K,$B13,'Pasted Areas'!$C:$C,"* Exposed Floor*")</f>
        <v>0</v>
      </c>
      <c r="AE13" s="16">
        <f>SUMIFS('Pasted Areas'!$E:$E,'Pasted Areas'!$K:$K,$B13,'Pasted Areas'!$C:$C,"*Semi-Exposed Floor*")</f>
        <v>0</v>
      </c>
      <c r="AF13" s="16">
        <f>SUMIFS('Pasted Areas'!$E:$E,'Pasted Areas'!$K:$K,$B13,'Pasted Areas'!$C:$C,"*Party Floor*")</f>
        <v>0</v>
      </c>
      <c r="AG13" s="3"/>
      <c r="AH13" s="16">
        <f>SUMIFS('Pasted Areas'!$E:$E,'Pasted Areas'!$K:$K,$B13,'Pasted Areas'!$C:$C,"*Front Door*",'Pasted Areas'!$H:$H,AH$7)</f>
        <v>0</v>
      </c>
      <c r="AI13" s="16">
        <f>SUMIFS('Pasted Areas'!$E:$E,'Pasted Areas'!$K:$K,$B13,'Pasted Areas'!$C:$C,"*Front Door*",'Pasted Areas'!$H:$H,AI$7)</f>
        <v>0</v>
      </c>
      <c r="AJ13" s="16">
        <f>SUMIFS('Pasted Areas'!$E:$E,'Pasted Areas'!$K:$K,$B13,'Pasted Areas'!$C:$C,"*Front Door*",'Pasted Areas'!$H:$H,AJ$7)</f>
        <v>0</v>
      </c>
      <c r="AK13" s="16">
        <f>SUMIFS('Pasted Areas'!$E:$E,'Pasted Areas'!$K:$K,$B13,'Pasted Areas'!$C:$C,"*Front Door*",'Pasted Areas'!$H:$H,AK$7)</f>
        <v>0</v>
      </c>
      <c r="AL13" s="3"/>
      <c r="AM13" s="16">
        <f>SUMIFS('Pasted Areas'!$E:$E,'Pasted Areas'!$K:$K,$B13,'Pasted Areas'!$C:$C,"*Glazing*",'Pasted Areas'!$H:$H,AM$7)</f>
        <v>0</v>
      </c>
      <c r="AN13" s="16">
        <f>SUMIFS('Pasted Areas'!$E:$E,'Pasted Areas'!$K:$K,$B13,'Pasted Areas'!$C:$C,"*Glazing*",'Pasted Areas'!$H:$H,AN$7)</f>
        <v>0</v>
      </c>
      <c r="AO13" s="16">
        <f>SUMIFS('Pasted Areas'!$E:$E,'Pasted Areas'!$K:$K,$B13,'Pasted Areas'!$C:$C,"*Glazing*",'Pasted Areas'!$H:$H,AO$7)</f>
        <v>0</v>
      </c>
      <c r="AP13" s="16">
        <f>SUMIFS('Pasted Areas'!$E:$E,'Pasted Areas'!$K:$K,$B13,'Pasted Areas'!$C:$C,"*Glazing*",'Pasted Areas'!$H:$H,AP$7)</f>
        <v>0</v>
      </c>
      <c r="AQ13" s="16">
        <f>SUMIFS('Pasted Areas'!$E:$E,'Pasted Areas'!$K:$K,$B13,'Pasted Areas'!$C:$C,"*Glazing*",'Pasted Areas'!$H:$H,AQ$7)</f>
        <v>0</v>
      </c>
      <c r="AR13" s="16">
        <f>SUMIFS('Pasted Areas'!$E:$E,'Pasted Areas'!$K:$K,$B13,'Pasted Areas'!$C:$C,"*Glazing*",'Pasted Areas'!$H:$H,AR$7)</f>
        <v>0</v>
      </c>
      <c r="AS13" s="16">
        <f>SUMIFS('Pasted Areas'!$E:$E,'Pasted Areas'!$K:$K,$B13,'Pasted Areas'!$C:$C,"*Glazing*",'Pasted Areas'!$H:$H,AS$7)</f>
        <v>8.84</v>
      </c>
      <c r="AT13" s="16">
        <f>SUMIFS('Pasted Areas'!$E:$E,'Pasted Areas'!$K:$K,$B13,'Pasted Areas'!$C:$C,"*Glazing*",'Pasted Areas'!$H:$H,AT$7)</f>
        <v>0</v>
      </c>
      <c r="AU13" s="3"/>
      <c r="AV13" s="16">
        <f>SUMIFS('Pasted Areas'!$E:$E,'Pasted Areas'!$K:$K,$B13,'Pasted Areas'!$C:$C,"*Roof Light*")</f>
        <v>0</v>
      </c>
      <c r="AW13" s="8"/>
      <c r="AX13" s="52">
        <v>2</v>
      </c>
      <c r="AY13" s="53">
        <v>0</v>
      </c>
      <c r="AZ13" s="52">
        <v>1</v>
      </c>
      <c r="BA13" s="53">
        <v>0</v>
      </c>
      <c r="BB13" s="52">
        <v>1</v>
      </c>
      <c r="BC13" s="2">
        <f t="shared" si="1"/>
        <v>2</v>
      </c>
      <c r="BD13" s="2">
        <f t="shared" si="2"/>
        <v>1</v>
      </c>
      <c r="BE13" s="2">
        <f t="shared" si="3"/>
        <v>2</v>
      </c>
      <c r="BF13" s="22">
        <f>SUMIFS('Pasted Areas'!$E:$E,'Pasted Areas'!$K:$K,$B13,'Pasted Areas'!$C:$C,"*Cooling Area*")</f>
        <v>0</v>
      </c>
      <c r="BG13" s="9"/>
      <c r="BH13" s="35"/>
      <c r="BI13" s="35"/>
      <c r="BJ13" s="9"/>
      <c r="BK13" s="35"/>
      <c r="BL13" s="9"/>
      <c r="BM13" s="35"/>
      <c r="BN13" s="35"/>
      <c r="BO13" s="35"/>
      <c r="BP13" s="35"/>
      <c r="BQ13" s="35"/>
      <c r="BR13" s="9"/>
      <c r="BS13" s="31">
        <f t="shared" si="4"/>
        <v>8.84</v>
      </c>
      <c r="BT13" s="31">
        <f t="shared" si="5"/>
        <v>0</v>
      </c>
      <c r="BU13" s="31">
        <f>SUM(M13:P13,V13:Z13,AC13:AE13,AH13:AV13)</f>
        <v>108.24000000000001</v>
      </c>
      <c r="BV13" s="31">
        <f>I13*J13</f>
        <v>179.875</v>
      </c>
      <c r="BW13" s="9"/>
      <c r="BX13" s="21">
        <f>SUM(M13:S13,V13:AV13,BF13:BF13)</f>
        <v>316.73999999999995</v>
      </c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</row>
    <row r="14" spans="1:93" x14ac:dyDescent="0.25">
      <c r="B14" s="34" t="str">
        <v>Flat 07</v>
      </c>
      <c r="C14" s="46">
        <v>1</v>
      </c>
      <c r="D14" s="46" t="s">
        <v>203</v>
      </c>
      <c r="E14" s="49" t="s">
        <v>204</v>
      </c>
      <c r="F14" s="49" t="s">
        <v>205</v>
      </c>
      <c r="G14" s="46">
        <v>2</v>
      </c>
      <c r="H14"/>
      <c r="I14" s="5">
        <f>SUM(AC14:AF14)</f>
        <v>71.69</v>
      </c>
      <c r="J14" s="47">
        <v>2.5</v>
      </c>
      <c r="K14" s="5">
        <f>SUMIFS('Pasted Areas'!$E:$E,'Pasted Areas'!$K:$K,B14,'Pasted Areas'!$C:$C,"*Living*")</f>
        <v>25.64</v>
      </c>
      <c r="L14"/>
      <c r="M14" s="31">
        <f>SUMIFS('Pasted Areas'!$E:$E,'Pasted Areas'!$K:$K,$B14,'Pasted Areas'!$C:$C,"*External Wall Area 1*")</f>
        <v>40.28</v>
      </c>
      <c r="N14" s="31">
        <f>SUMIFS('Pasted Areas'!$E:$E,'Pasted Areas'!$K:$K,$B14,'Pasted Areas'!$C:$C,"*External Wall Area 2*")</f>
        <v>0</v>
      </c>
      <c r="O14" s="31">
        <f>SUMIFS('Pasted Areas'!$E:$E,'Pasted Areas'!$K:$K,$B14,'Pasted Areas'!$C:$C,"*External Wall Area 3*")</f>
        <v>0</v>
      </c>
      <c r="P14" s="31">
        <f>SUMIFS('Pasted Areas'!$E:$E,'Pasted Areas'!$K:$K,$B14,'Pasted Areas'!$C:$C,"*External Wall Area 4*")</f>
        <v>0</v>
      </c>
      <c r="Q14" s="31">
        <f>SUMIFS('Pasted Areas'!$E:$E,'Pasted Areas'!$K:$K,$B14,'Pasted Areas'!$C:$C,"*Party Walls to Corridors*")</f>
        <v>19.29</v>
      </c>
      <c r="R14" s="31">
        <f>SUMIFS('Pasted Areas'!$E:$E,'Pasted Areas'!$K:$K,$B14,'Pasted Areas'!$C:$C,"*Party Walls to Dwelling*")</f>
        <v>26.18</v>
      </c>
      <c r="S14" s="32">
        <f>SUMIFS('Pasted Areas'!$E:$E,'Pasted Areas'!$K:$K,$B14,'Pasted Areas'!$C:$C,"*Internal Partitions*")</f>
        <v>73.510000000000005</v>
      </c>
      <c r="T14" s="31">
        <f t="shared" si="0"/>
        <v>147.02000000000001</v>
      </c>
      <c r="V14" s="16">
        <f>SUMIFS('Pasted Areas'!$E:$E,'Pasted Areas'!$K:$K,$B14,'Pasted Areas'!$C:$C,"*SAP Roof 1*")</f>
        <v>0</v>
      </c>
      <c r="W14" s="16">
        <f>SUMIFS('Pasted Areas'!$E:$E,'Pasted Areas'!$K:$K,$B14,'Pasted Areas'!$C:$C,"*SAP Roof 2*")</f>
        <v>0</v>
      </c>
      <c r="X14" s="16">
        <f>SUMIFS('Pasted Areas'!$E:$E,'Pasted Areas'!$K:$K,$B14,'Pasted Areas'!$C:$C,"*SAP Roof 3*")</f>
        <v>0</v>
      </c>
      <c r="Y14" s="16">
        <f>SUMIFS('Pasted Areas'!$E:$E,'Pasted Areas'!$K:$K,$B14,'Pasted Areas'!$C:$C,"*SAP Roof 4*")</f>
        <v>0</v>
      </c>
      <c r="Z14" s="16">
        <f>SUMIFS('Pasted Areas'!$E:$E,'Pasted Areas'!$K:$K,$B14,'Pasted Areas'!$C:$C,"*SAP Roof 5*")</f>
        <v>0</v>
      </c>
      <c r="AA14" s="16">
        <f>SUMIFS('Pasted Areas'!$E:$E,'Pasted Areas'!$K:$K,$B14,'Pasted Areas'!$C:$C,"*Party Ceiling*")</f>
        <v>71.69</v>
      </c>
      <c r="AB14"/>
      <c r="AC14" s="16">
        <f>SUMIFS('Pasted Areas'!$E:$E,'Pasted Areas'!$K:$K,$B14,'Pasted Areas'!$C:$C,"*Ground Floor*")</f>
        <v>0</v>
      </c>
      <c r="AD14" s="16">
        <f>SUMIFS('Pasted Areas'!$E:$E,'Pasted Areas'!$K:$K,$B14,'Pasted Areas'!$C:$C,"* Exposed Floor*")</f>
        <v>2.91</v>
      </c>
      <c r="AE14" s="16">
        <f>SUMIFS('Pasted Areas'!$E:$E,'Pasted Areas'!$K:$K,$B14,'Pasted Areas'!$C:$C,"*Semi-Exposed Floor*")</f>
        <v>3.96</v>
      </c>
      <c r="AF14" s="16">
        <f>SUMIFS('Pasted Areas'!$E:$E,'Pasted Areas'!$K:$K,$B14,'Pasted Areas'!$C:$C,"*Party Floor*")</f>
        <v>64.819999999999993</v>
      </c>
      <c r="AG14" s="3"/>
      <c r="AH14" s="16">
        <f>SUMIFS('Pasted Areas'!$E:$E,'Pasted Areas'!$K:$K,$B14,'Pasted Areas'!$C:$C,"*Front Door*",'Pasted Areas'!$H:$H,AH$7)</f>
        <v>0</v>
      </c>
      <c r="AI14" s="16">
        <f>SUMIFS('Pasted Areas'!$E:$E,'Pasted Areas'!$K:$K,$B14,'Pasted Areas'!$C:$C,"*Front Door*",'Pasted Areas'!$H:$H,AI$7)</f>
        <v>0</v>
      </c>
      <c r="AJ14" s="16">
        <f>SUMIFS('Pasted Areas'!$E:$E,'Pasted Areas'!$K:$K,$B14,'Pasted Areas'!$C:$C,"*Front Door*",'Pasted Areas'!$H:$H,AJ$7)</f>
        <v>0</v>
      </c>
      <c r="AK14" s="16">
        <f>SUMIFS('Pasted Areas'!$E:$E,'Pasted Areas'!$K:$K,$B14,'Pasted Areas'!$C:$C,"*Front Door*",'Pasted Areas'!$H:$H,AK$7)</f>
        <v>0</v>
      </c>
      <c r="AL14" s="3"/>
      <c r="AM14" s="16">
        <f>SUMIFS('Pasted Areas'!$E:$E,'Pasted Areas'!$K:$K,$B14,'Pasted Areas'!$C:$C,"*Glazing*",'Pasted Areas'!$H:$H,AM$7)</f>
        <v>0</v>
      </c>
      <c r="AN14" s="16">
        <f>SUMIFS('Pasted Areas'!$E:$E,'Pasted Areas'!$K:$K,$B14,'Pasted Areas'!$C:$C,"*Glazing*",'Pasted Areas'!$H:$H,AN$7)</f>
        <v>0</v>
      </c>
      <c r="AO14" s="16">
        <f>SUMIFS('Pasted Areas'!$E:$E,'Pasted Areas'!$K:$K,$B14,'Pasted Areas'!$C:$C,"*Glazing*",'Pasted Areas'!$H:$H,AO$7)</f>
        <v>0</v>
      </c>
      <c r="AP14" s="16">
        <f>SUMIFS('Pasted Areas'!$E:$E,'Pasted Areas'!$K:$K,$B14,'Pasted Areas'!$C:$C,"*Glazing*",'Pasted Areas'!$H:$H,AP$7)</f>
        <v>2.12</v>
      </c>
      <c r="AQ14" s="16">
        <f>SUMIFS('Pasted Areas'!$E:$E,'Pasted Areas'!$K:$K,$B14,'Pasted Areas'!$C:$C,"*Glazing*",'Pasted Areas'!$H:$H,AQ$7)</f>
        <v>0</v>
      </c>
      <c r="AR14" s="16">
        <f>SUMIFS('Pasted Areas'!$E:$E,'Pasted Areas'!$K:$K,$B14,'Pasted Areas'!$C:$C,"*Glazing*",'Pasted Areas'!$H:$H,AR$7)</f>
        <v>7.0499999999999989</v>
      </c>
      <c r="AS14" s="16">
        <f>SUMIFS('Pasted Areas'!$E:$E,'Pasted Areas'!$K:$K,$B14,'Pasted Areas'!$C:$C,"*Glazing*",'Pasted Areas'!$H:$H,AS$7)</f>
        <v>0</v>
      </c>
      <c r="AT14" s="16">
        <f>SUMIFS('Pasted Areas'!$E:$E,'Pasted Areas'!$K:$K,$B14,'Pasted Areas'!$C:$C,"*Glazing*",'Pasted Areas'!$H:$H,AT$7)</f>
        <v>5.3999999999999995</v>
      </c>
      <c r="AU14" s="3"/>
      <c r="AV14" s="16">
        <f>SUMIFS('Pasted Areas'!$E:$E,'Pasted Areas'!$K:$K,$B14,'Pasted Areas'!$C:$C,"*Roof Light*")</f>
        <v>0</v>
      </c>
      <c r="AW14" s="3"/>
      <c r="AX14" s="52">
        <v>2</v>
      </c>
      <c r="AY14" s="53">
        <v>0</v>
      </c>
      <c r="AZ14" s="52">
        <v>1</v>
      </c>
      <c r="BA14" s="53">
        <v>0</v>
      </c>
      <c r="BB14" s="52">
        <v>1</v>
      </c>
      <c r="BC14" s="2">
        <f t="shared" si="1"/>
        <v>2</v>
      </c>
      <c r="BD14" s="2">
        <f t="shared" si="2"/>
        <v>1</v>
      </c>
      <c r="BE14" s="2">
        <f t="shared" si="3"/>
        <v>2</v>
      </c>
      <c r="BF14" s="22">
        <f>SUMIFS('Pasted Areas'!$E:$E,'Pasted Areas'!$K:$K,$B14,'Pasted Areas'!$C:$C,"*Cooling Area*")</f>
        <v>0</v>
      </c>
      <c r="BG14"/>
      <c r="BH14"/>
      <c r="BI14"/>
      <c r="BJ14"/>
      <c r="BK14"/>
      <c r="BL14"/>
      <c r="BM14"/>
      <c r="BN14"/>
      <c r="BO14"/>
      <c r="BP14"/>
      <c r="BQ14"/>
      <c r="BR14"/>
      <c r="BS14" s="31">
        <f t="shared" si="4"/>
        <v>14.569999999999997</v>
      </c>
      <c r="BT14" s="31">
        <f t="shared" si="5"/>
        <v>0</v>
      </c>
      <c r="BU14" s="31">
        <f>SUM(M14:P14,V14:Z14,AC14:AE14,AH14:AV14)</f>
        <v>61.719999999999992</v>
      </c>
      <c r="BV14" s="31">
        <f>I14*J14</f>
        <v>179.22499999999999</v>
      </c>
      <c r="BW14"/>
      <c r="BX14" s="21">
        <f>SUM(M14:S14,V14:AV14,BF14:BF14)</f>
        <v>317.20999999999998</v>
      </c>
      <c r="BY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</row>
    <row r="15" spans="1:93" x14ac:dyDescent="0.25">
      <c r="B15" s="34" t="str">
        <v>Flat 08</v>
      </c>
      <c r="C15" s="46">
        <v>1</v>
      </c>
      <c r="D15" s="46" t="s">
        <v>202</v>
      </c>
      <c r="E15" s="49" t="s">
        <v>204</v>
      </c>
      <c r="F15" s="49" t="s">
        <v>205</v>
      </c>
      <c r="G15" s="46">
        <v>2</v>
      </c>
      <c r="H15"/>
      <c r="I15" s="5">
        <f>SUM(AC15:AF15)</f>
        <v>72.97</v>
      </c>
      <c r="J15" s="47">
        <v>2.5</v>
      </c>
      <c r="K15" s="5">
        <f>SUMIFS('Pasted Areas'!$E:$E,'Pasted Areas'!$K:$K,B15,'Pasted Areas'!$C:$C,"*Living*")</f>
        <v>25.67</v>
      </c>
      <c r="L15"/>
      <c r="M15" s="31">
        <f>SUMIFS('Pasted Areas'!$E:$E,'Pasted Areas'!$K:$K,$B15,'Pasted Areas'!$C:$C,"*External Wall Area 1*")</f>
        <v>36.93</v>
      </c>
      <c r="N15" s="31">
        <f>SUMIFS('Pasted Areas'!$E:$E,'Pasted Areas'!$K:$K,$B15,'Pasted Areas'!$C:$C,"*External Wall Area 2*")</f>
        <v>0</v>
      </c>
      <c r="O15" s="31">
        <f>SUMIFS('Pasted Areas'!$E:$E,'Pasted Areas'!$K:$K,$B15,'Pasted Areas'!$C:$C,"*External Wall Area 3*")</f>
        <v>0</v>
      </c>
      <c r="P15" s="31">
        <f>SUMIFS('Pasted Areas'!$E:$E,'Pasted Areas'!$K:$K,$B15,'Pasted Areas'!$C:$C,"*External Wall Area 4*")</f>
        <v>0</v>
      </c>
      <c r="Q15" s="31">
        <f>SUMIFS('Pasted Areas'!$E:$E,'Pasted Areas'!$K:$K,$B15,'Pasted Areas'!$C:$C,"*Party Walls to Corridors*")</f>
        <v>7.99</v>
      </c>
      <c r="R15" s="31">
        <f>SUMIFS('Pasted Areas'!$E:$E,'Pasted Areas'!$K:$K,$B15,'Pasted Areas'!$C:$C,"*Party Walls to Dwelling*")</f>
        <v>40.67</v>
      </c>
      <c r="S15" s="32">
        <f>SUMIFS('Pasted Areas'!$E:$E,'Pasted Areas'!$K:$K,$B15,'Pasted Areas'!$C:$C,"*Internal Partitions*")</f>
        <v>82.97</v>
      </c>
      <c r="T15" s="31">
        <f t="shared" si="0"/>
        <v>165.94</v>
      </c>
      <c r="V15" s="16">
        <f>SUMIFS('Pasted Areas'!$E:$E,'Pasted Areas'!$K:$K,$B15,'Pasted Areas'!$C:$C,"*SAP Roof 1*")</f>
        <v>0</v>
      </c>
      <c r="W15" s="16">
        <f>SUMIFS('Pasted Areas'!$E:$E,'Pasted Areas'!$K:$K,$B15,'Pasted Areas'!$C:$C,"*SAP Roof 2*")</f>
        <v>0</v>
      </c>
      <c r="X15" s="16">
        <f>SUMIFS('Pasted Areas'!$E:$E,'Pasted Areas'!$K:$K,$B15,'Pasted Areas'!$C:$C,"*SAP Roof 3*")</f>
        <v>0</v>
      </c>
      <c r="Y15" s="16">
        <f>SUMIFS('Pasted Areas'!$E:$E,'Pasted Areas'!$K:$K,$B15,'Pasted Areas'!$C:$C,"*SAP Roof 4*")</f>
        <v>0</v>
      </c>
      <c r="Z15" s="16">
        <f>SUMIFS('Pasted Areas'!$E:$E,'Pasted Areas'!$K:$K,$B15,'Pasted Areas'!$C:$C,"*SAP Roof 5*")</f>
        <v>0</v>
      </c>
      <c r="AA15" s="16">
        <f>SUMIFS('Pasted Areas'!$E:$E,'Pasted Areas'!$K:$K,$B15,'Pasted Areas'!$C:$C,"*Party Ceiling*")</f>
        <v>72.97</v>
      </c>
      <c r="AB15"/>
      <c r="AC15" s="16">
        <f>SUMIFS('Pasted Areas'!$E:$E,'Pasted Areas'!$K:$K,$B15,'Pasted Areas'!$C:$C,"*Ground Floor*")</f>
        <v>0</v>
      </c>
      <c r="AD15" s="16">
        <f>SUMIFS('Pasted Areas'!$E:$E,'Pasted Areas'!$K:$K,$B15,'Pasted Areas'!$C:$C,"* Exposed Floor*")</f>
        <v>0</v>
      </c>
      <c r="AE15" s="16">
        <f>SUMIFS('Pasted Areas'!$E:$E,'Pasted Areas'!$K:$K,$B15,'Pasted Areas'!$C:$C,"*Semi-Exposed Floor*")</f>
        <v>0</v>
      </c>
      <c r="AF15" s="16">
        <f>SUMIFS('Pasted Areas'!$E:$E,'Pasted Areas'!$K:$K,$B15,'Pasted Areas'!$C:$C,"*Party Floor*")</f>
        <v>72.97</v>
      </c>
      <c r="AG15" s="3"/>
      <c r="AH15" s="16">
        <f>SUMIFS('Pasted Areas'!$E:$E,'Pasted Areas'!$K:$K,$B15,'Pasted Areas'!$C:$C,"*Front Door*",'Pasted Areas'!$H:$H,AH$7)</f>
        <v>0</v>
      </c>
      <c r="AI15" s="16">
        <f>SUMIFS('Pasted Areas'!$E:$E,'Pasted Areas'!$K:$K,$B15,'Pasted Areas'!$C:$C,"*Front Door*",'Pasted Areas'!$H:$H,AI$7)</f>
        <v>0</v>
      </c>
      <c r="AJ15" s="16">
        <f>SUMIFS('Pasted Areas'!$E:$E,'Pasted Areas'!$K:$K,$B15,'Pasted Areas'!$C:$C,"*Front Door*",'Pasted Areas'!$H:$H,AJ$7)</f>
        <v>0</v>
      </c>
      <c r="AK15" s="16">
        <f>SUMIFS('Pasted Areas'!$E:$E,'Pasted Areas'!$K:$K,$B15,'Pasted Areas'!$C:$C,"*Front Door*",'Pasted Areas'!$H:$H,AK$7)</f>
        <v>0</v>
      </c>
      <c r="AL15" s="3"/>
      <c r="AM15" s="16">
        <f>SUMIFS('Pasted Areas'!$E:$E,'Pasted Areas'!$K:$K,$B15,'Pasted Areas'!$C:$C,"*Glazing*",'Pasted Areas'!$H:$H,AM$7)</f>
        <v>0</v>
      </c>
      <c r="AN15" s="16">
        <f>SUMIFS('Pasted Areas'!$E:$E,'Pasted Areas'!$K:$K,$B15,'Pasted Areas'!$C:$C,"*Glazing*",'Pasted Areas'!$H:$H,AN$7)</f>
        <v>2.88</v>
      </c>
      <c r="AO15" s="16">
        <f>SUMIFS('Pasted Areas'!$E:$E,'Pasted Areas'!$K:$K,$B15,'Pasted Areas'!$C:$C,"*Glazing*",'Pasted Areas'!$H:$H,AO$7)</f>
        <v>0</v>
      </c>
      <c r="AP15" s="16">
        <f>SUMIFS('Pasted Areas'!$E:$E,'Pasted Areas'!$K:$K,$B15,'Pasted Areas'!$C:$C,"*Glazing*",'Pasted Areas'!$H:$H,AP$7)</f>
        <v>0</v>
      </c>
      <c r="AQ15" s="16">
        <f>SUMIFS('Pasted Areas'!$E:$E,'Pasted Areas'!$K:$K,$B15,'Pasted Areas'!$C:$C,"*Glazing*",'Pasted Areas'!$H:$H,AQ$7)</f>
        <v>0</v>
      </c>
      <c r="AR15" s="16">
        <f>SUMIFS('Pasted Areas'!$E:$E,'Pasted Areas'!$K:$K,$B15,'Pasted Areas'!$C:$C,"*Glazing*",'Pasted Areas'!$H:$H,AR$7)</f>
        <v>0</v>
      </c>
      <c r="AS15" s="16">
        <f>SUMIFS('Pasted Areas'!$E:$E,'Pasted Areas'!$K:$K,$B15,'Pasted Areas'!$C:$C,"*Glazing*",'Pasted Areas'!$H:$H,AS$7)</f>
        <v>0</v>
      </c>
      <c r="AT15" s="16">
        <f>SUMIFS('Pasted Areas'!$E:$E,'Pasted Areas'!$K:$K,$B15,'Pasted Areas'!$C:$C,"*Glazing*",'Pasted Areas'!$H:$H,AT$7)</f>
        <v>8.84</v>
      </c>
      <c r="AU15" s="3"/>
      <c r="AV15" s="16">
        <f>SUMIFS('Pasted Areas'!$E:$E,'Pasted Areas'!$K:$K,$B15,'Pasted Areas'!$C:$C,"*Roof Light*")</f>
        <v>0</v>
      </c>
      <c r="AW15" s="3"/>
      <c r="AX15" s="52">
        <v>2</v>
      </c>
      <c r="AY15" s="53">
        <v>0</v>
      </c>
      <c r="AZ15" s="52">
        <v>1</v>
      </c>
      <c r="BA15" s="53">
        <v>0</v>
      </c>
      <c r="BB15" s="52">
        <v>1</v>
      </c>
      <c r="BC15" s="2">
        <f t="shared" si="1"/>
        <v>2</v>
      </c>
      <c r="BD15" s="2">
        <f t="shared" si="2"/>
        <v>1</v>
      </c>
      <c r="BE15" s="2">
        <f t="shared" si="3"/>
        <v>2</v>
      </c>
      <c r="BF15" s="22">
        <f>SUMIFS('Pasted Areas'!$E:$E,'Pasted Areas'!$K:$K,$B15,'Pasted Areas'!$C:$C,"*Cooling Area*")</f>
        <v>0</v>
      </c>
      <c r="BG15"/>
      <c r="BH15"/>
      <c r="BI15"/>
      <c r="BJ15"/>
      <c r="BK15"/>
      <c r="BL15"/>
      <c r="BM15"/>
      <c r="BN15"/>
      <c r="BO15"/>
      <c r="BP15"/>
      <c r="BQ15"/>
      <c r="BR15"/>
      <c r="BS15" s="31">
        <f t="shared" si="4"/>
        <v>11.719999999999999</v>
      </c>
      <c r="BT15" s="31">
        <f t="shared" si="5"/>
        <v>0</v>
      </c>
      <c r="BU15" s="31">
        <f>SUM(M15:P15,V15:Z15,AC15:AE15,AH15:AV15)</f>
        <v>48.650000000000006</v>
      </c>
      <c r="BV15" s="31">
        <f>I15*J15</f>
        <v>182.42500000000001</v>
      </c>
      <c r="BW15"/>
      <c r="BX15" s="21">
        <f>SUM(M15:S15,V15:AV15,BF15:BF15)</f>
        <v>326.21999999999997</v>
      </c>
      <c r="BY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</row>
    <row r="16" spans="1:93" customFormat="1" x14ac:dyDescent="0.25">
      <c r="B16" s="34" t="str">
        <v>Flat 09</v>
      </c>
      <c r="C16" s="46">
        <v>1</v>
      </c>
      <c r="D16" s="46" t="s">
        <v>81</v>
      </c>
      <c r="E16" s="49" t="s">
        <v>205</v>
      </c>
      <c r="F16" s="49" t="s">
        <v>205</v>
      </c>
      <c r="G16" s="46">
        <v>3</v>
      </c>
      <c r="I16" s="5">
        <f>SUM(AC16:AF16)</f>
        <v>65.52</v>
      </c>
      <c r="J16" s="47">
        <v>2.5</v>
      </c>
      <c r="K16" s="5">
        <f>SUMIFS('Pasted Areas'!$E:$E,'Pasted Areas'!$K:$K,B16,'Pasted Areas'!$C:$C,"*Living*")</f>
        <v>25.73</v>
      </c>
      <c r="M16" s="31">
        <f>SUMIFS('Pasted Areas'!$E:$E,'Pasted Areas'!$K:$K,$B16,'Pasted Areas'!$C:$C,"*External Wall Area 1*")</f>
        <v>26.040000000000006</v>
      </c>
      <c r="N16" s="31">
        <f>SUMIFS('Pasted Areas'!$E:$E,'Pasted Areas'!$K:$K,$B16,'Pasted Areas'!$C:$C,"*External Wall Area 2*")</f>
        <v>0</v>
      </c>
      <c r="O16" s="31">
        <f>SUMIFS('Pasted Areas'!$E:$E,'Pasted Areas'!$K:$K,$B16,'Pasted Areas'!$C:$C,"*External Wall Area 3*")</f>
        <v>0</v>
      </c>
      <c r="P16" s="31">
        <f>SUMIFS('Pasted Areas'!$E:$E,'Pasted Areas'!$K:$K,$B16,'Pasted Areas'!$C:$C,"*External Wall Area 4*")</f>
        <v>0</v>
      </c>
      <c r="Q16" s="31">
        <f>SUMIFS('Pasted Areas'!$E:$E,'Pasted Areas'!$K:$K,$B16,'Pasted Areas'!$C:$C,"*Party Walls to Corridors*")</f>
        <v>24.12</v>
      </c>
      <c r="R16" s="31">
        <f>SUMIFS('Pasted Areas'!$E:$E,'Pasted Areas'!$K:$K,$B16,'Pasted Areas'!$C:$C,"*Party Walls to Dwelling*")</f>
        <v>42.989999999999995</v>
      </c>
      <c r="S16" s="32">
        <f>SUMIFS('Pasted Areas'!$E:$E,'Pasted Areas'!$K:$K,$B16,'Pasted Areas'!$C:$C,"*Internal Partitions*")</f>
        <v>61.949999999999989</v>
      </c>
      <c r="T16" s="31">
        <f t="shared" si="0"/>
        <v>123.89999999999998</v>
      </c>
      <c r="V16" s="16">
        <f>SUMIFS('Pasted Areas'!$E:$E,'Pasted Areas'!$K:$K,$B16,'Pasted Areas'!$C:$C,"*SAP Roof 1*")</f>
        <v>0</v>
      </c>
      <c r="W16" s="16">
        <f>SUMIFS('Pasted Areas'!$E:$E,'Pasted Areas'!$K:$K,$B16,'Pasted Areas'!$C:$C,"*SAP Roof 2*")</f>
        <v>0</v>
      </c>
      <c r="X16" s="16">
        <f>SUMIFS('Pasted Areas'!$E:$E,'Pasted Areas'!$K:$K,$B16,'Pasted Areas'!$C:$C,"*SAP Roof 3*")</f>
        <v>0</v>
      </c>
      <c r="Y16" s="16">
        <f>SUMIFS('Pasted Areas'!$E:$E,'Pasted Areas'!$K:$K,$B16,'Pasted Areas'!$C:$C,"*SAP Roof 4*")</f>
        <v>0</v>
      </c>
      <c r="Z16" s="16">
        <f>SUMIFS('Pasted Areas'!$E:$E,'Pasted Areas'!$K:$K,$B16,'Pasted Areas'!$C:$C,"*SAP Roof 5*")</f>
        <v>0</v>
      </c>
      <c r="AA16" s="16">
        <f>SUMIFS('Pasted Areas'!$E:$E,'Pasted Areas'!$K:$K,$B16,'Pasted Areas'!$C:$C,"*Party Ceiling*")</f>
        <v>65.52</v>
      </c>
      <c r="AC16" s="16">
        <f>SUMIFS('Pasted Areas'!$E:$E,'Pasted Areas'!$K:$K,$B16,'Pasted Areas'!$C:$C,"*Ground Floor*")</f>
        <v>0</v>
      </c>
      <c r="AD16" s="16">
        <f>SUMIFS('Pasted Areas'!$E:$E,'Pasted Areas'!$K:$K,$B16,'Pasted Areas'!$C:$C,"* Exposed Floor*")</f>
        <v>0</v>
      </c>
      <c r="AE16" s="16">
        <f>SUMIFS('Pasted Areas'!$E:$E,'Pasted Areas'!$K:$K,$B16,'Pasted Areas'!$C:$C,"*Semi-Exposed Floor*")</f>
        <v>0</v>
      </c>
      <c r="AF16" s="16">
        <f>SUMIFS('Pasted Areas'!$E:$E,'Pasted Areas'!$K:$K,$B16,'Pasted Areas'!$C:$C,"*Party Floor*")</f>
        <v>65.52</v>
      </c>
      <c r="AG16" s="3"/>
      <c r="AH16" s="16">
        <f>SUMIFS('Pasted Areas'!$E:$E,'Pasted Areas'!$K:$K,$B16,'Pasted Areas'!$C:$C,"*Front Door*",'Pasted Areas'!$H:$H,AH$7)</f>
        <v>0</v>
      </c>
      <c r="AI16" s="16">
        <f>SUMIFS('Pasted Areas'!$E:$E,'Pasted Areas'!$K:$K,$B16,'Pasted Areas'!$C:$C,"*Front Door*",'Pasted Areas'!$H:$H,AI$7)</f>
        <v>0</v>
      </c>
      <c r="AJ16" s="16">
        <f>SUMIFS('Pasted Areas'!$E:$E,'Pasted Areas'!$K:$K,$B16,'Pasted Areas'!$C:$C,"*Front Door*",'Pasted Areas'!$H:$H,AJ$7)</f>
        <v>0</v>
      </c>
      <c r="AK16" s="16">
        <f>SUMIFS('Pasted Areas'!$E:$E,'Pasted Areas'!$K:$K,$B16,'Pasted Areas'!$C:$C,"*Front Door*",'Pasted Areas'!$H:$H,AK$7)</f>
        <v>0</v>
      </c>
      <c r="AL16" s="3"/>
      <c r="AM16" s="16">
        <f>SUMIFS('Pasted Areas'!$E:$E,'Pasted Areas'!$K:$K,$B16,'Pasted Areas'!$C:$C,"*Glazing*",'Pasted Areas'!$H:$H,AM$7)</f>
        <v>0</v>
      </c>
      <c r="AN16" s="16">
        <f>SUMIFS('Pasted Areas'!$E:$E,'Pasted Areas'!$K:$K,$B16,'Pasted Areas'!$C:$C,"*Glazing*",'Pasted Areas'!$H:$H,AN$7)</f>
        <v>1.7999999999999998</v>
      </c>
      <c r="AO16" s="16">
        <f>SUMIFS('Pasted Areas'!$E:$E,'Pasted Areas'!$K:$K,$B16,'Pasted Areas'!$C:$C,"*Glazing*",'Pasted Areas'!$H:$H,AO$7)</f>
        <v>4.6800000000000006</v>
      </c>
      <c r="AP16" s="16">
        <f>SUMIFS('Pasted Areas'!$E:$E,'Pasted Areas'!$K:$K,$B16,'Pasted Areas'!$C:$C,"*Glazing*",'Pasted Areas'!$H:$H,AP$7)</f>
        <v>1.89</v>
      </c>
      <c r="AQ16" s="16">
        <f>SUMIFS('Pasted Areas'!$E:$E,'Pasted Areas'!$K:$K,$B16,'Pasted Areas'!$C:$C,"*Glazing*",'Pasted Areas'!$H:$H,AQ$7)</f>
        <v>0</v>
      </c>
      <c r="AR16" s="16">
        <f>SUMIFS('Pasted Areas'!$E:$E,'Pasted Areas'!$K:$K,$B16,'Pasted Areas'!$C:$C,"*Glazing*",'Pasted Areas'!$H:$H,AR$7)</f>
        <v>0</v>
      </c>
      <c r="AS16" s="16">
        <f>SUMIFS('Pasted Areas'!$E:$E,'Pasted Areas'!$K:$K,$B16,'Pasted Areas'!$C:$C,"*Glazing*",'Pasted Areas'!$H:$H,AS$7)</f>
        <v>0</v>
      </c>
      <c r="AT16" s="16">
        <f>SUMIFS('Pasted Areas'!$E:$E,'Pasted Areas'!$K:$K,$B16,'Pasted Areas'!$C:$C,"*Glazing*",'Pasted Areas'!$H:$H,AT$7)</f>
        <v>0</v>
      </c>
      <c r="AU16" s="3"/>
      <c r="AV16" s="16">
        <f>SUMIFS('Pasted Areas'!$E:$E,'Pasted Areas'!$K:$K,$B16,'Pasted Areas'!$C:$C,"*Roof Light*")</f>
        <v>0</v>
      </c>
      <c r="AW16" s="3"/>
      <c r="AX16" s="52">
        <v>1</v>
      </c>
      <c r="AY16" s="53">
        <v>0</v>
      </c>
      <c r="AZ16" s="52">
        <v>1</v>
      </c>
      <c r="BA16" s="53">
        <v>0</v>
      </c>
      <c r="BB16" s="52">
        <v>0</v>
      </c>
      <c r="BC16" s="2">
        <f t="shared" si="1"/>
        <v>1</v>
      </c>
      <c r="BD16" s="2">
        <f t="shared" si="2"/>
        <v>1</v>
      </c>
      <c r="BE16" s="2">
        <f t="shared" si="3"/>
        <v>1</v>
      </c>
      <c r="BF16" s="22">
        <f>SUMIFS('Pasted Areas'!$E:$E,'Pasted Areas'!$K:$K,$B16,'Pasted Areas'!$C:$C,"*Cooling Area*")</f>
        <v>0</v>
      </c>
      <c r="BS16" s="31">
        <f t="shared" si="4"/>
        <v>8.370000000000001</v>
      </c>
      <c r="BT16" s="31">
        <f t="shared" si="5"/>
        <v>0</v>
      </c>
      <c r="BU16" s="31">
        <f>SUM(M16:P16,V16:Z16,AC16:AE16,AH16:AV16)</f>
        <v>34.410000000000011</v>
      </c>
      <c r="BV16" s="31">
        <f>I16*J16</f>
        <v>163.79999999999998</v>
      </c>
      <c r="BX16" s="21">
        <f>SUM(M16:S16,V16:AV16,BF16:BF16)</f>
        <v>294.51</v>
      </c>
    </row>
    <row r="17" spans="2:93" customFormat="1" x14ac:dyDescent="0.25">
      <c r="B17" s="34" t="str">
        <v>Flat 10</v>
      </c>
      <c r="C17" s="46">
        <v>1</v>
      </c>
      <c r="D17" s="46" t="s">
        <v>81</v>
      </c>
      <c r="E17" s="49" t="s">
        <v>205</v>
      </c>
      <c r="F17" s="49" t="s">
        <v>205</v>
      </c>
      <c r="G17" s="46">
        <v>3</v>
      </c>
      <c r="I17" s="5">
        <f>SUM(AC17:AF17)</f>
        <v>51.68</v>
      </c>
      <c r="J17" s="47">
        <v>2.5</v>
      </c>
      <c r="K17" s="5">
        <f>SUMIFS('Pasted Areas'!$E:$E,'Pasted Areas'!$K:$K,B17,'Pasted Areas'!$C:$C,"*Living*")</f>
        <v>23.6</v>
      </c>
      <c r="M17" s="31">
        <f>SUMIFS('Pasted Areas'!$E:$E,'Pasted Areas'!$K:$K,$B17,'Pasted Areas'!$C:$C,"*External Wall Area 1*")</f>
        <v>13.18</v>
      </c>
      <c r="N17" s="31">
        <f>SUMIFS('Pasted Areas'!$E:$E,'Pasted Areas'!$K:$K,$B17,'Pasted Areas'!$C:$C,"*External Wall Area 2*")</f>
        <v>0</v>
      </c>
      <c r="O17" s="31">
        <f>SUMIFS('Pasted Areas'!$E:$E,'Pasted Areas'!$K:$K,$B17,'Pasted Areas'!$C:$C,"*External Wall Area 3*")</f>
        <v>0</v>
      </c>
      <c r="P17" s="31">
        <f>SUMIFS('Pasted Areas'!$E:$E,'Pasted Areas'!$K:$K,$B17,'Pasted Areas'!$C:$C,"*External Wall Area 4*")</f>
        <v>0</v>
      </c>
      <c r="Q17" s="31">
        <f>SUMIFS('Pasted Areas'!$E:$E,'Pasted Areas'!$K:$K,$B17,'Pasted Areas'!$C:$C,"*Party Walls to Corridors*")</f>
        <v>16.759999999999998</v>
      </c>
      <c r="R17" s="31">
        <f>SUMIFS('Pasted Areas'!$E:$E,'Pasted Areas'!$K:$K,$B17,'Pasted Areas'!$C:$C,"*Party Walls to Dwelling*")</f>
        <v>50.22</v>
      </c>
      <c r="S17" s="32">
        <f>SUMIFS('Pasted Areas'!$E:$E,'Pasted Areas'!$K:$K,$B17,'Pasted Areas'!$C:$C,"*Internal Partitions*")</f>
        <v>44.760000000000005</v>
      </c>
      <c r="T17" s="31">
        <f t="shared" si="0"/>
        <v>89.52000000000001</v>
      </c>
      <c r="V17" s="16">
        <f>SUMIFS('Pasted Areas'!$E:$E,'Pasted Areas'!$K:$K,$B17,'Pasted Areas'!$C:$C,"*SAP Roof 1*")</f>
        <v>0</v>
      </c>
      <c r="W17" s="16">
        <f>SUMIFS('Pasted Areas'!$E:$E,'Pasted Areas'!$K:$K,$B17,'Pasted Areas'!$C:$C,"*SAP Roof 2*")</f>
        <v>0</v>
      </c>
      <c r="X17" s="16">
        <f>SUMIFS('Pasted Areas'!$E:$E,'Pasted Areas'!$K:$K,$B17,'Pasted Areas'!$C:$C,"*SAP Roof 3*")</f>
        <v>0</v>
      </c>
      <c r="Y17" s="16">
        <f>SUMIFS('Pasted Areas'!$E:$E,'Pasted Areas'!$K:$K,$B17,'Pasted Areas'!$C:$C,"*SAP Roof 4*")</f>
        <v>0</v>
      </c>
      <c r="Z17" s="16">
        <f>SUMIFS('Pasted Areas'!$E:$E,'Pasted Areas'!$K:$K,$B17,'Pasted Areas'!$C:$C,"*SAP Roof 5*")</f>
        <v>0</v>
      </c>
      <c r="AA17" s="16">
        <f>SUMIFS('Pasted Areas'!$E:$E,'Pasted Areas'!$K:$K,$B17,'Pasted Areas'!$C:$C,"*Party Ceiling*")</f>
        <v>51.69</v>
      </c>
      <c r="AC17" s="16">
        <f>SUMIFS('Pasted Areas'!$E:$E,'Pasted Areas'!$K:$K,$B17,'Pasted Areas'!$C:$C,"*Ground Floor*")</f>
        <v>0</v>
      </c>
      <c r="AD17" s="16">
        <f>SUMIFS('Pasted Areas'!$E:$E,'Pasted Areas'!$K:$K,$B17,'Pasted Areas'!$C:$C,"* Exposed Floor*")</f>
        <v>0</v>
      </c>
      <c r="AE17" s="16">
        <f>SUMIFS('Pasted Areas'!$E:$E,'Pasted Areas'!$K:$K,$B17,'Pasted Areas'!$C:$C,"*Semi-Exposed Floor*")</f>
        <v>0</v>
      </c>
      <c r="AF17" s="16">
        <f>SUMIFS('Pasted Areas'!$E:$E,'Pasted Areas'!$K:$K,$B17,'Pasted Areas'!$C:$C,"*Party Floor*")</f>
        <v>51.68</v>
      </c>
      <c r="AG17" s="3"/>
      <c r="AH17" s="16">
        <f>SUMIFS('Pasted Areas'!$E:$E,'Pasted Areas'!$K:$K,$B17,'Pasted Areas'!$C:$C,"*Front Door*",'Pasted Areas'!$H:$H,AH$7)</f>
        <v>0</v>
      </c>
      <c r="AI17" s="16">
        <f>SUMIFS('Pasted Areas'!$E:$E,'Pasted Areas'!$K:$K,$B17,'Pasted Areas'!$C:$C,"*Front Door*",'Pasted Areas'!$H:$H,AI$7)</f>
        <v>0</v>
      </c>
      <c r="AJ17" s="16">
        <f>SUMIFS('Pasted Areas'!$E:$E,'Pasted Areas'!$K:$K,$B17,'Pasted Areas'!$C:$C,"*Front Door*",'Pasted Areas'!$H:$H,AJ$7)</f>
        <v>0</v>
      </c>
      <c r="AK17" s="16">
        <f>SUMIFS('Pasted Areas'!$E:$E,'Pasted Areas'!$K:$K,$B17,'Pasted Areas'!$C:$C,"*Front Door*",'Pasted Areas'!$H:$H,AK$7)</f>
        <v>0</v>
      </c>
      <c r="AL17" s="3"/>
      <c r="AM17" s="16">
        <f>SUMIFS('Pasted Areas'!$E:$E,'Pasted Areas'!$K:$K,$B17,'Pasted Areas'!$C:$C,"*Glazing*",'Pasted Areas'!$H:$H,AM$7)</f>
        <v>0</v>
      </c>
      <c r="AN17" s="16">
        <f>SUMIFS('Pasted Areas'!$E:$E,'Pasted Areas'!$K:$K,$B17,'Pasted Areas'!$C:$C,"*Glazing*",'Pasted Areas'!$H:$H,AN$7)</f>
        <v>0</v>
      </c>
      <c r="AO17" s="16">
        <f>SUMIFS('Pasted Areas'!$E:$E,'Pasted Areas'!$K:$K,$B17,'Pasted Areas'!$C:$C,"*Glazing*",'Pasted Areas'!$H:$H,AO$7)</f>
        <v>7.04</v>
      </c>
      <c r="AP17" s="16">
        <f>SUMIFS('Pasted Areas'!$E:$E,'Pasted Areas'!$K:$K,$B17,'Pasted Areas'!$C:$C,"*Glazing*",'Pasted Areas'!$H:$H,AP$7)</f>
        <v>0</v>
      </c>
      <c r="AQ17" s="16">
        <f>SUMIFS('Pasted Areas'!$E:$E,'Pasted Areas'!$K:$K,$B17,'Pasted Areas'!$C:$C,"*Glazing*",'Pasted Areas'!$H:$H,AQ$7)</f>
        <v>0</v>
      </c>
      <c r="AR17" s="16">
        <f>SUMIFS('Pasted Areas'!$E:$E,'Pasted Areas'!$K:$K,$B17,'Pasted Areas'!$C:$C,"*Glazing*",'Pasted Areas'!$H:$H,AR$7)</f>
        <v>0</v>
      </c>
      <c r="AS17" s="16">
        <f>SUMIFS('Pasted Areas'!$E:$E,'Pasted Areas'!$K:$K,$B17,'Pasted Areas'!$C:$C,"*Glazing*",'Pasted Areas'!$H:$H,AS$7)</f>
        <v>0</v>
      </c>
      <c r="AT17" s="16">
        <f>SUMIFS('Pasted Areas'!$E:$E,'Pasted Areas'!$K:$K,$B17,'Pasted Areas'!$C:$C,"*Glazing*",'Pasted Areas'!$H:$H,AT$7)</f>
        <v>0</v>
      </c>
      <c r="AU17" s="3"/>
      <c r="AV17" s="16">
        <f>SUMIFS('Pasted Areas'!$E:$E,'Pasted Areas'!$K:$K,$B17,'Pasted Areas'!$C:$C,"*Roof Light*")</f>
        <v>0</v>
      </c>
      <c r="AW17" s="3"/>
      <c r="AX17" s="52">
        <v>1</v>
      </c>
      <c r="AY17" s="53">
        <v>0</v>
      </c>
      <c r="AZ17" s="52">
        <v>1</v>
      </c>
      <c r="BA17" s="53">
        <v>0</v>
      </c>
      <c r="BB17" s="52">
        <v>0</v>
      </c>
      <c r="BC17" s="2">
        <f t="shared" si="1"/>
        <v>1</v>
      </c>
      <c r="BD17" s="2">
        <f t="shared" si="2"/>
        <v>1</v>
      </c>
      <c r="BE17" s="2">
        <f t="shared" si="3"/>
        <v>1</v>
      </c>
      <c r="BF17" s="22">
        <f>SUMIFS('Pasted Areas'!$E:$E,'Pasted Areas'!$K:$K,$B17,'Pasted Areas'!$C:$C,"*Cooling Area*")</f>
        <v>0</v>
      </c>
      <c r="BS17" s="31">
        <f t="shared" si="4"/>
        <v>7.04</v>
      </c>
      <c r="BT17" s="31">
        <f t="shared" si="5"/>
        <v>0</v>
      </c>
      <c r="BU17" s="31">
        <f>SUM(M17:P17,V17:Z17,AC17:AE17,AH17:AV17)</f>
        <v>20.22</v>
      </c>
      <c r="BV17" s="31">
        <f>I17*J17</f>
        <v>129.19999999999999</v>
      </c>
      <c r="BX17" s="21">
        <f>SUM(M17:S17,V17:AV17,BF17:BF17)</f>
        <v>235.33</v>
      </c>
    </row>
    <row r="18" spans="2:93" customFormat="1" x14ac:dyDescent="0.25">
      <c r="B18" s="34" t="str">
        <v>Flat 11</v>
      </c>
      <c r="C18" s="46">
        <v>1</v>
      </c>
      <c r="D18" s="46" t="s">
        <v>52</v>
      </c>
      <c r="E18" s="49" t="s">
        <v>204</v>
      </c>
      <c r="F18" s="49" t="s">
        <v>205</v>
      </c>
      <c r="G18" s="46">
        <v>1</v>
      </c>
      <c r="I18" s="5">
        <f>SUM(AC18:AF18)</f>
        <v>91.580000000000013</v>
      </c>
      <c r="J18" s="47">
        <v>2.5</v>
      </c>
      <c r="K18" s="5">
        <f>SUMIFS('Pasted Areas'!$E:$E,'Pasted Areas'!$K:$K,B18,'Pasted Areas'!$C:$C,"*Living*")</f>
        <v>32.700000000000003</v>
      </c>
      <c r="M18" s="31">
        <f>SUMIFS('Pasted Areas'!$E:$E,'Pasted Areas'!$K:$K,$B18,'Pasted Areas'!$C:$C,"*External Wall Area 1*")</f>
        <v>69.64</v>
      </c>
      <c r="N18" s="31">
        <f>SUMIFS('Pasted Areas'!$E:$E,'Pasted Areas'!$K:$K,$B18,'Pasted Areas'!$C:$C,"*External Wall Area 2*")</f>
        <v>0</v>
      </c>
      <c r="O18" s="31">
        <f>SUMIFS('Pasted Areas'!$E:$E,'Pasted Areas'!$K:$K,$B18,'Pasted Areas'!$C:$C,"*External Wall Area 3*")</f>
        <v>0</v>
      </c>
      <c r="P18" s="31">
        <f>SUMIFS('Pasted Areas'!$E:$E,'Pasted Areas'!$K:$K,$B18,'Pasted Areas'!$C:$C,"*External Wall Area 4*")</f>
        <v>0</v>
      </c>
      <c r="Q18" s="31">
        <f>SUMIFS('Pasted Areas'!$E:$E,'Pasted Areas'!$K:$K,$B18,'Pasted Areas'!$C:$C,"*Party Walls to Corridors*")</f>
        <v>4.16</v>
      </c>
      <c r="R18" s="31">
        <f>SUMIFS('Pasted Areas'!$E:$E,'Pasted Areas'!$K:$K,$B18,'Pasted Areas'!$C:$C,"*Party Walls to Dwelling*")</f>
        <v>61.8</v>
      </c>
      <c r="S18" s="32">
        <f>SUMIFS('Pasted Areas'!$E:$E,'Pasted Areas'!$K:$K,$B18,'Pasted Areas'!$C:$C,"*Internal Partitions*")</f>
        <v>76.240000000000009</v>
      </c>
      <c r="T18" s="31">
        <f t="shared" si="0"/>
        <v>152.48000000000002</v>
      </c>
      <c r="V18" s="16">
        <f>SUMIFS('Pasted Areas'!$E:$E,'Pasted Areas'!$K:$K,$B18,'Pasted Areas'!$C:$C,"*SAP Roof 1*")</f>
        <v>0</v>
      </c>
      <c r="W18" s="16">
        <f>SUMIFS('Pasted Areas'!$E:$E,'Pasted Areas'!$K:$K,$B18,'Pasted Areas'!$C:$C,"*SAP Roof 2*")</f>
        <v>0</v>
      </c>
      <c r="X18" s="16">
        <f>SUMIFS('Pasted Areas'!$E:$E,'Pasted Areas'!$K:$K,$B18,'Pasted Areas'!$C:$C,"*SAP Roof 3*")</f>
        <v>0</v>
      </c>
      <c r="Y18" s="16">
        <f>SUMIFS('Pasted Areas'!$E:$E,'Pasted Areas'!$K:$K,$B18,'Pasted Areas'!$C:$C,"*SAP Roof 4*")</f>
        <v>0</v>
      </c>
      <c r="Z18" s="16">
        <f>SUMIFS('Pasted Areas'!$E:$E,'Pasted Areas'!$K:$K,$B18,'Pasted Areas'!$C:$C,"*SAP Roof 5*")</f>
        <v>0</v>
      </c>
      <c r="AA18" s="16">
        <f>SUMIFS('Pasted Areas'!$E:$E,'Pasted Areas'!$K:$K,$B18,'Pasted Areas'!$C:$C,"*Party Ceiling*")</f>
        <v>91.57</v>
      </c>
      <c r="AC18" s="16">
        <f>SUMIFS('Pasted Areas'!$E:$E,'Pasted Areas'!$K:$K,$B18,'Pasted Areas'!$C:$C,"*Ground Floor*")</f>
        <v>0</v>
      </c>
      <c r="AD18" s="16">
        <f>SUMIFS('Pasted Areas'!$E:$E,'Pasted Areas'!$K:$K,$B18,'Pasted Areas'!$C:$C,"* Exposed Floor*")</f>
        <v>0</v>
      </c>
      <c r="AE18" s="16">
        <f>SUMIFS('Pasted Areas'!$E:$E,'Pasted Areas'!$K:$K,$B18,'Pasted Areas'!$C:$C,"*Semi-Exposed Floor*")</f>
        <v>0</v>
      </c>
      <c r="AF18" s="16">
        <f>SUMIFS('Pasted Areas'!$E:$E,'Pasted Areas'!$K:$K,$B18,'Pasted Areas'!$C:$C,"*Party Floor*")</f>
        <v>91.580000000000013</v>
      </c>
      <c r="AG18" s="3"/>
      <c r="AH18" s="16">
        <f>SUMIFS('Pasted Areas'!$E:$E,'Pasted Areas'!$K:$K,$B18,'Pasted Areas'!$C:$C,"*Front Door*",'Pasted Areas'!$H:$H,AH$7)</f>
        <v>0</v>
      </c>
      <c r="AI18" s="16">
        <f>SUMIFS('Pasted Areas'!$E:$E,'Pasted Areas'!$K:$K,$B18,'Pasted Areas'!$C:$C,"*Front Door*",'Pasted Areas'!$H:$H,AI$7)</f>
        <v>0</v>
      </c>
      <c r="AJ18" s="16">
        <f>SUMIFS('Pasted Areas'!$E:$E,'Pasted Areas'!$K:$K,$B18,'Pasted Areas'!$C:$C,"*Front Door*",'Pasted Areas'!$H:$H,AJ$7)</f>
        <v>0</v>
      </c>
      <c r="AK18" s="16">
        <f>SUMIFS('Pasted Areas'!$E:$E,'Pasted Areas'!$K:$K,$B18,'Pasted Areas'!$C:$C,"*Front Door*",'Pasted Areas'!$H:$H,AK$7)</f>
        <v>0</v>
      </c>
      <c r="AL18" s="3"/>
      <c r="AM18" s="16">
        <f>SUMIFS('Pasted Areas'!$E:$E,'Pasted Areas'!$K:$K,$B18,'Pasted Areas'!$C:$C,"*Glazing*",'Pasted Areas'!$H:$H,AM$7)</f>
        <v>0</v>
      </c>
      <c r="AN18" s="16">
        <f>SUMIFS('Pasted Areas'!$E:$E,'Pasted Areas'!$K:$K,$B18,'Pasted Areas'!$C:$C,"*Glazing*",'Pasted Areas'!$H:$H,AN$7)</f>
        <v>0</v>
      </c>
      <c r="AO18" s="16">
        <f>SUMIFS('Pasted Areas'!$E:$E,'Pasted Areas'!$K:$K,$B18,'Pasted Areas'!$C:$C,"*Glazing*",'Pasted Areas'!$H:$H,AO$7)</f>
        <v>3.5999999999999996</v>
      </c>
      <c r="AP18" s="16">
        <f>SUMIFS('Pasted Areas'!$E:$E,'Pasted Areas'!$K:$K,$B18,'Pasted Areas'!$C:$C,"*Glazing*",'Pasted Areas'!$H:$H,AP$7)</f>
        <v>0</v>
      </c>
      <c r="AQ18" s="16">
        <f>SUMIFS('Pasted Areas'!$E:$E,'Pasted Areas'!$K:$K,$B18,'Pasted Areas'!$C:$C,"*Glazing*",'Pasted Areas'!$H:$H,AQ$7)</f>
        <v>1.44</v>
      </c>
      <c r="AR18" s="16">
        <f>SUMIFS('Pasted Areas'!$E:$E,'Pasted Areas'!$K:$K,$B18,'Pasted Areas'!$C:$C,"*Glazing*",'Pasted Areas'!$H:$H,AR$7)</f>
        <v>0</v>
      </c>
      <c r="AS18" s="16">
        <f>SUMIFS('Pasted Areas'!$E:$E,'Pasted Areas'!$K:$K,$B18,'Pasted Areas'!$C:$C,"*Glazing*",'Pasted Areas'!$H:$H,AS$7)</f>
        <v>5.24</v>
      </c>
      <c r="AT18" s="16">
        <f>SUMIFS('Pasted Areas'!$E:$E,'Pasted Areas'!$K:$K,$B18,'Pasted Areas'!$C:$C,"*Glazing*",'Pasted Areas'!$H:$H,AT$7)</f>
        <v>0</v>
      </c>
      <c r="AU18" s="3"/>
      <c r="AV18" s="16">
        <f>SUMIFS('Pasted Areas'!$E:$E,'Pasted Areas'!$K:$K,$B18,'Pasted Areas'!$C:$C,"*Roof Light*")</f>
        <v>0</v>
      </c>
      <c r="AW18" s="3"/>
      <c r="AX18" s="52">
        <v>2</v>
      </c>
      <c r="AY18" s="53">
        <v>0</v>
      </c>
      <c r="AZ18" s="52">
        <v>1</v>
      </c>
      <c r="BA18" s="53">
        <v>0</v>
      </c>
      <c r="BB18" s="52">
        <v>1</v>
      </c>
      <c r="BC18" s="2">
        <f t="shared" si="1"/>
        <v>2</v>
      </c>
      <c r="BD18" s="2">
        <f t="shared" si="2"/>
        <v>1</v>
      </c>
      <c r="BE18" s="2">
        <f t="shared" si="3"/>
        <v>2</v>
      </c>
      <c r="BF18" s="22">
        <f>SUMIFS('Pasted Areas'!$E:$E,'Pasted Areas'!$K:$K,$B18,'Pasted Areas'!$C:$C,"*Cooling Area*")</f>
        <v>0</v>
      </c>
      <c r="BG18" s="3"/>
      <c r="BH18" s="1"/>
      <c r="BR18" s="3"/>
      <c r="BS18" s="31">
        <f t="shared" si="4"/>
        <v>10.28</v>
      </c>
      <c r="BT18" s="31">
        <f t="shared" si="5"/>
        <v>0</v>
      </c>
      <c r="BU18" s="31">
        <f>SUM(M18:P18,V18:Z18,AC18:AE18,AH18:AV18)</f>
        <v>79.919999999999987</v>
      </c>
      <c r="BV18" s="31">
        <f>I18*J18</f>
        <v>228.95000000000005</v>
      </c>
      <c r="BX18" s="21">
        <f>SUM(M18:S18,V18:AV18,BF18:BF18)</f>
        <v>405.27000000000004</v>
      </c>
      <c r="BY18" s="1"/>
    </row>
    <row r="19" spans="2:93" customFormat="1" x14ac:dyDescent="0.25">
      <c r="B19" s="34" t="str">
        <v>Flat 12</v>
      </c>
      <c r="C19" s="46">
        <v>1</v>
      </c>
      <c r="D19" s="46" t="s">
        <v>80</v>
      </c>
      <c r="E19" s="34" t="s">
        <v>205</v>
      </c>
      <c r="F19" s="49" t="s">
        <v>205</v>
      </c>
      <c r="G19" s="46">
        <v>3</v>
      </c>
      <c r="H19" s="3"/>
      <c r="I19" s="5">
        <f>SUM(AC19:AF19)</f>
        <v>72.039999999999992</v>
      </c>
      <c r="J19" s="47">
        <v>2.5</v>
      </c>
      <c r="K19" s="5">
        <f>SUMIFS('Pasted Areas'!$E:$E,'Pasted Areas'!$K:$K,B19,'Pasted Areas'!$C:$C,"*Living*")</f>
        <v>24.65</v>
      </c>
      <c r="M19" s="31">
        <f>SUMIFS('Pasted Areas'!$E:$E,'Pasted Areas'!$K:$K,$B19,'Pasted Areas'!$C:$C,"*External Wall Area 1*")</f>
        <v>27.45</v>
      </c>
      <c r="N19" s="31">
        <f>SUMIFS('Pasted Areas'!$E:$E,'Pasted Areas'!$K:$K,$B19,'Pasted Areas'!$C:$C,"*External Wall Area 2*")</f>
        <v>0</v>
      </c>
      <c r="O19" s="31">
        <f>SUMIFS('Pasted Areas'!$E:$E,'Pasted Areas'!$K:$K,$B19,'Pasted Areas'!$C:$C,"*External Wall Area 3*")</f>
        <v>0</v>
      </c>
      <c r="P19" s="31">
        <f>SUMIFS('Pasted Areas'!$E:$E,'Pasted Areas'!$K:$K,$B19,'Pasted Areas'!$C:$C,"*External Wall Area 4*")</f>
        <v>0</v>
      </c>
      <c r="Q19" s="31">
        <f>SUMIFS('Pasted Areas'!$E:$E,'Pasted Areas'!$K:$K,$B19,'Pasted Areas'!$C:$C,"*Party Walls to Corridors*")</f>
        <v>32.769999999999996</v>
      </c>
      <c r="R19" s="31">
        <f>SUMIFS('Pasted Areas'!$E:$E,'Pasted Areas'!$K:$K,$B19,'Pasted Areas'!$C:$C,"*Party Walls to Dwelling*")</f>
        <v>36.69</v>
      </c>
      <c r="S19" s="32">
        <f>SUMIFS('Pasted Areas'!$E:$E,'Pasted Areas'!$K:$K,$B19,'Pasted Areas'!$C:$C,"*Internal Partitions*")</f>
        <v>67.14</v>
      </c>
      <c r="T19" s="31">
        <f t="shared" ref="T19:T25" si="6">S19*2</f>
        <v>134.28</v>
      </c>
      <c r="V19" s="16">
        <f>SUMIFS('Pasted Areas'!$E:$E,'Pasted Areas'!$K:$K,$B19,'Pasted Areas'!$C:$C,"*SAP Roof 1*")</f>
        <v>0</v>
      </c>
      <c r="W19" s="16">
        <f>SUMIFS('Pasted Areas'!$E:$E,'Pasted Areas'!$K:$K,$B19,'Pasted Areas'!$C:$C,"*SAP Roof 2*")</f>
        <v>0</v>
      </c>
      <c r="X19" s="16">
        <f>SUMIFS('Pasted Areas'!$E:$E,'Pasted Areas'!$K:$K,$B19,'Pasted Areas'!$C:$C,"*SAP Roof 3*")</f>
        <v>0</v>
      </c>
      <c r="Y19" s="16">
        <f>SUMIFS('Pasted Areas'!$E:$E,'Pasted Areas'!$K:$K,$B19,'Pasted Areas'!$C:$C,"*SAP Roof 4*")</f>
        <v>0</v>
      </c>
      <c r="Z19" s="16">
        <f>SUMIFS('Pasted Areas'!$E:$E,'Pasted Areas'!$K:$K,$B19,'Pasted Areas'!$C:$C,"*SAP Roof 5*")</f>
        <v>0</v>
      </c>
      <c r="AA19" s="16">
        <f>SUMIFS('Pasted Areas'!$E:$E,'Pasted Areas'!$K:$K,$B19,'Pasted Areas'!$C:$C,"*Party Ceiling*")</f>
        <v>72.040000000000006</v>
      </c>
      <c r="AC19" s="16">
        <f>SUMIFS('Pasted Areas'!$E:$E,'Pasted Areas'!$K:$K,$B19,'Pasted Areas'!$C:$C,"*Ground Floor*")</f>
        <v>0</v>
      </c>
      <c r="AD19" s="16">
        <f>SUMIFS('Pasted Areas'!$E:$E,'Pasted Areas'!$K:$K,$B19,'Pasted Areas'!$C:$C,"* Exposed Floor*")</f>
        <v>0</v>
      </c>
      <c r="AE19" s="16">
        <f>SUMIFS('Pasted Areas'!$E:$E,'Pasted Areas'!$K:$K,$B19,'Pasted Areas'!$C:$C,"*Semi-Exposed Floor*")</f>
        <v>0</v>
      </c>
      <c r="AF19" s="16">
        <f>SUMIFS('Pasted Areas'!$E:$E,'Pasted Areas'!$K:$K,$B19,'Pasted Areas'!$C:$C,"*Party Floor*")</f>
        <v>72.039999999999992</v>
      </c>
      <c r="AG19" s="3"/>
      <c r="AH19" s="16">
        <f>SUMIFS('Pasted Areas'!$E:$E,'Pasted Areas'!$K:$K,$B19,'Pasted Areas'!$C:$C,"*Front Door*",'Pasted Areas'!$H:$H,AH$7)</f>
        <v>0</v>
      </c>
      <c r="AI19" s="16">
        <f>SUMIFS('Pasted Areas'!$E:$E,'Pasted Areas'!$K:$K,$B19,'Pasted Areas'!$C:$C,"*Front Door*",'Pasted Areas'!$H:$H,AI$7)</f>
        <v>0</v>
      </c>
      <c r="AJ19" s="16">
        <f>SUMIFS('Pasted Areas'!$E:$E,'Pasted Areas'!$K:$K,$B19,'Pasted Areas'!$C:$C,"*Front Door*",'Pasted Areas'!$H:$H,AJ$7)</f>
        <v>0</v>
      </c>
      <c r="AK19" s="16">
        <f>SUMIFS('Pasted Areas'!$E:$E,'Pasted Areas'!$K:$K,$B19,'Pasted Areas'!$C:$C,"*Front Door*",'Pasted Areas'!$H:$H,AK$7)</f>
        <v>0</v>
      </c>
      <c r="AL19" s="3"/>
      <c r="AM19" s="16">
        <f>SUMIFS('Pasted Areas'!$E:$E,'Pasted Areas'!$K:$K,$B19,'Pasted Areas'!$C:$C,"*Glazing*",'Pasted Areas'!$H:$H,AM$7)</f>
        <v>0</v>
      </c>
      <c r="AN19" s="16">
        <f>SUMIFS('Pasted Areas'!$E:$E,'Pasted Areas'!$K:$K,$B19,'Pasted Areas'!$C:$C,"*Glazing*",'Pasted Areas'!$H:$H,AN$7)</f>
        <v>0</v>
      </c>
      <c r="AO19" s="16">
        <f>SUMIFS('Pasted Areas'!$E:$E,'Pasted Areas'!$K:$K,$B19,'Pasted Areas'!$C:$C,"*Glazing*",'Pasted Areas'!$H:$H,AO$7)</f>
        <v>0</v>
      </c>
      <c r="AP19" s="16">
        <f>SUMIFS('Pasted Areas'!$E:$E,'Pasted Areas'!$K:$K,$B19,'Pasted Areas'!$C:$C,"*Glazing*",'Pasted Areas'!$H:$H,AP$7)</f>
        <v>0</v>
      </c>
      <c r="AQ19" s="16">
        <f>SUMIFS('Pasted Areas'!$E:$E,'Pasted Areas'!$K:$K,$B19,'Pasted Areas'!$C:$C,"*Glazing*",'Pasted Areas'!$H:$H,AQ$7)</f>
        <v>0</v>
      </c>
      <c r="AR19" s="16">
        <f>SUMIFS('Pasted Areas'!$E:$E,'Pasted Areas'!$K:$K,$B19,'Pasted Areas'!$C:$C,"*Glazing*",'Pasted Areas'!$H:$H,AR$7)</f>
        <v>0</v>
      </c>
      <c r="AS19" s="16">
        <f>SUMIFS('Pasted Areas'!$E:$E,'Pasted Areas'!$K:$K,$B19,'Pasted Areas'!$C:$C,"*Glazing*",'Pasted Areas'!$H:$H,AS$7)</f>
        <v>8.84</v>
      </c>
      <c r="AT19" s="16">
        <f>SUMIFS('Pasted Areas'!$E:$E,'Pasted Areas'!$K:$K,$B19,'Pasted Areas'!$C:$C,"*Glazing*",'Pasted Areas'!$H:$H,AT$7)</f>
        <v>0</v>
      </c>
      <c r="AU19" s="3"/>
      <c r="AV19" s="16">
        <f>SUMIFS('Pasted Areas'!$E:$E,'Pasted Areas'!$K:$K,$B19,'Pasted Areas'!$C:$C,"*Roof Light*")</f>
        <v>0</v>
      </c>
      <c r="AW19" s="3"/>
      <c r="AX19" s="52">
        <v>2</v>
      </c>
      <c r="AY19" s="53">
        <v>0</v>
      </c>
      <c r="AZ19" s="52">
        <v>1</v>
      </c>
      <c r="BA19" s="53">
        <v>0</v>
      </c>
      <c r="BB19" s="52">
        <v>1</v>
      </c>
      <c r="BC19" s="2">
        <f t="shared" ref="BC19:BC25" si="7">AX19+AY19</f>
        <v>2</v>
      </c>
      <c r="BD19" s="2">
        <f t="shared" ref="BD19:BD25" si="8">AZ19+BA19</f>
        <v>1</v>
      </c>
      <c r="BE19" s="2">
        <f t="shared" ref="BE19:BE25" si="9">AZ19+BB19</f>
        <v>2</v>
      </c>
      <c r="BF19" s="22">
        <f>SUMIFS('Pasted Areas'!$E:$E,'Pasted Areas'!$K:$K,$B19,'Pasted Areas'!$C:$C,"*Cooling Area*")</f>
        <v>0</v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31">
        <f t="shared" si="4"/>
        <v>8.84</v>
      </c>
      <c r="BT19" s="31">
        <f t="shared" si="5"/>
        <v>0</v>
      </c>
      <c r="BU19" s="31">
        <f>SUM(M19:P19,V19:Z19,AC19:AE19,AH19:AV19)</f>
        <v>36.29</v>
      </c>
      <c r="BV19" s="31">
        <f>I19*J19</f>
        <v>180.09999999999997</v>
      </c>
      <c r="BX19" s="21">
        <f>SUM(M19:S19,V19:AV19,BF19:BF19)</f>
        <v>316.96999999999997</v>
      </c>
      <c r="BY19" s="1"/>
    </row>
    <row r="20" spans="2:93" customFormat="1" x14ac:dyDescent="0.25">
      <c r="B20" s="34" t="str">
        <v>Flat 13</v>
      </c>
      <c r="C20" s="46">
        <v>2</v>
      </c>
      <c r="D20" s="46" t="s">
        <v>203</v>
      </c>
      <c r="E20" s="34" t="s">
        <v>204</v>
      </c>
      <c r="F20" s="34" t="s">
        <v>207</v>
      </c>
      <c r="G20" s="46">
        <v>2</v>
      </c>
      <c r="H20" s="3"/>
      <c r="I20" s="5">
        <f>SUM(AC20:AF20)</f>
        <v>71.69</v>
      </c>
      <c r="J20" s="47">
        <v>2.5</v>
      </c>
      <c r="K20" s="5">
        <f>SUMIFS('Pasted Areas'!$E:$E,'Pasted Areas'!$K:$K,B20,'Pasted Areas'!$C:$C,"*Living*")</f>
        <v>25.64</v>
      </c>
      <c r="M20" s="31">
        <f>SUMIFS('Pasted Areas'!$E:$E,'Pasted Areas'!$K:$K,$B20,'Pasted Areas'!$C:$C,"*External Wall Area 1*")</f>
        <v>41.96</v>
      </c>
      <c r="N20" s="31">
        <f>SUMIFS('Pasted Areas'!$E:$E,'Pasted Areas'!$K:$K,$B20,'Pasted Areas'!$C:$C,"*External Wall Area 2*")</f>
        <v>0</v>
      </c>
      <c r="O20" s="31">
        <f>SUMIFS('Pasted Areas'!$E:$E,'Pasted Areas'!$K:$K,$B20,'Pasted Areas'!$C:$C,"*External Wall Area 3*")</f>
        <v>0</v>
      </c>
      <c r="P20" s="31">
        <f>SUMIFS('Pasted Areas'!$E:$E,'Pasted Areas'!$K:$K,$B20,'Pasted Areas'!$C:$C,"*External Wall Area 4*")</f>
        <v>0</v>
      </c>
      <c r="Q20" s="31">
        <f>SUMIFS('Pasted Areas'!$E:$E,'Pasted Areas'!$K:$K,$B20,'Pasted Areas'!$C:$C,"*Party Walls to Corridors*")</f>
        <v>19.88</v>
      </c>
      <c r="R20" s="31">
        <f>SUMIFS('Pasted Areas'!$E:$E,'Pasted Areas'!$K:$K,$B20,'Pasted Areas'!$C:$C,"*Party Walls to Dwelling*")</f>
        <v>26.98</v>
      </c>
      <c r="S20" s="32">
        <f>SUMIFS('Pasted Areas'!$E:$E,'Pasted Areas'!$K:$K,$B20,'Pasted Areas'!$C:$C,"*Internal Partitions*")</f>
        <v>73.510000000000005</v>
      </c>
      <c r="T20" s="31">
        <f t="shared" si="6"/>
        <v>147.02000000000001</v>
      </c>
      <c r="V20" s="16">
        <f>SUMIFS('Pasted Areas'!$E:$E,'Pasted Areas'!$K:$K,$B20,'Pasted Areas'!$C:$C,"*SAP Roof 1*")</f>
        <v>0</v>
      </c>
      <c r="W20" s="16">
        <f>SUMIFS('Pasted Areas'!$E:$E,'Pasted Areas'!$K:$K,$B20,'Pasted Areas'!$C:$C,"*SAP Roof 2*")</f>
        <v>0</v>
      </c>
      <c r="X20" s="16">
        <f>SUMIFS('Pasted Areas'!$E:$E,'Pasted Areas'!$K:$K,$B20,'Pasted Areas'!$C:$C,"*SAP Roof 3*")</f>
        <v>0</v>
      </c>
      <c r="Y20" s="16">
        <f>SUMIFS('Pasted Areas'!$E:$E,'Pasted Areas'!$K:$K,$B20,'Pasted Areas'!$C:$C,"*SAP Roof 4*")</f>
        <v>0</v>
      </c>
      <c r="Z20" s="16">
        <f>SUMIFS('Pasted Areas'!$E:$E,'Pasted Areas'!$K:$K,$B20,'Pasted Areas'!$C:$C,"*SAP Roof 5*")</f>
        <v>71.69</v>
      </c>
      <c r="AA20" s="16">
        <f>SUMIFS('Pasted Areas'!$E:$E,'Pasted Areas'!$K:$K,$B20,'Pasted Areas'!$C:$C,"*Party Ceiling*")</f>
        <v>0</v>
      </c>
      <c r="AC20" s="16">
        <f>SUMIFS('Pasted Areas'!$E:$E,'Pasted Areas'!$K:$K,$B20,'Pasted Areas'!$C:$C,"*Ground Floor*")</f>
        <v>0</v>
      </c>
      <c r="AD20" s="16">
        <f>SUMIFS('Pasted Areas'!$E:$E,'Pasted Areas'!$K:$K,$B20,'Pasted Areas'!$C:$C,"* Exposed Floor*")</f>
        <v>0</v>
      </c>
      <c r="AE20" s="16">
        <f>SUMIFS('Pasted Areas'!$E:$E,'Pasted Areas'!$K:$K,$B20,'Pasted Areas'!$C:$C,"*Semi-Exposed Floor*")</f>
        <v>0</v>
      </c>
      <c r="AF20" s="16">
        <f>SUMIFS('Pasted Areas'!$E:$E,'Pasted Areas'!$K:$K,$B20,'Pasted Areas'!$C:$C,"*Party Floor*")</f>
        <v>71.69</v>
      </c>
      <c r="AG20" s="3"/>
      <c r="AH20" s="16">
        <f>SUMIFS('Pasted Areas'!$E:$E,'Pasted Areas'!$K:$K,$B20,'Pasted Areas'!$C:$C,"*Front Door*",'Pasted Areas'!$H:$H,AH$7)</f>
        <v>0</v>
      </c>
      <c r="AI20" s="16">
        <f>SUMIFS('Pasted Areas'!$E:$E,'Pasted Areas'!$K:$K,$B20,'Pasted Areas'!$C:$C,"*Front Door*",'Pasted Areas'!$H:$H,AI$7)</f>
        <v>0</v>
      </c>
      <c r="AJ20" s="16">
        <f>SUMIFS('Pasted Areas'!$E:$E,'Pasted Areas'!$K:$K,$B20,'Pasted Areas'!$C:$C,"*Front Door*",'Pasted Areas'!$H:$H,AJ$7)</f>
        <v>0</v>
      </c>
      <c r="AK20" s="16">
        <f>SUMIFS('Pasted Areas'!$E:$E,'Pasted Areas'!$K:$K,$B20,'Pasted Areas'!$C:$C,"*Front Door*",'Pasted Areas'!$H:$H,AK$7)</f>
        <v>0</v>
      </c>
      <c r="AL20" s="3"/>
      <c r="AM20" s="16">
        <f>SUMIFS('Pasted Areas'!$E:$E,'Pasted Areas'!$K:$K,$B20,'Pasted Areas'!$C:$C,"*Glazing*",'Pasted Areas'!$H:$H,AM$7)</f>
        <v>0</v>
      </c>
      <c r="AN20" s="16">
        <f>SUMIFS('Pasted Areas'!$E:$E,'Pasted Areas'!$K:$K,$B20,'Pasted Areas'!$C:$C,"*Glazing*",'Pasted Areas'!$H:$H,AN$7)</f>
        <v>0</v>
      </c>
      <c r="AO20" s="16">
        <f>SUMIFS('Pasted Areas'!$E:$E,'Pasted Areas'!$K:$K,$B20,'Pasted Areas'!$C:$C,"*Glazing*",'Pasted Areas'!$H:$H,AO$7)</f>
        <v>0</v>
      </c>
      <c r="AP20" s="16">
        <f>SUMIFS('Pasted Areas'!$E:$E,'Pasted Areas'!$K:$K,$B20,'Pasted Areas'!$C:$C,"*Glazing*",'Pasted Areas'!$H:$H,AP$7)</f>
        <v>2.12</v>
      </c>
      <c r="AQ20" s="16">
        <f>SUMIFS('Pasted Areas'!$E:$E,'Pasted Areas'!$K:$K,$B20,'Pasted Areas'!$C:$C,"*Glazing*",'Pasted Areas'!$H:$H,AQ$7)</f>
        <v>0</v>
      </c>
      <c r="AR20" s="16">
        <f>SUMIFS('Pasted Areas'!$E:$E,'Pasted Areas'!$K:$K,$B20,'Pasted Areas'!$C:$C,"*Glazing*",'Pasted Areas'!$H:$H,AR$7)</f>
        <v>7.0499999999999989</v>
      </c>
      <c r="AS20" s="16">
        <f>SUMIFS('Pasted Areas'!$E:$E,'Pasted Areas'!$K:$K,$B20,'Pasted Areas'!$C:$C,"*Glazing*",'Pasted Areas'!$H:$H,AS$7)</f>
        <v>0</v>
      </c>
      <c r="AT20" s="16">
        <f>SUMIFS('Pasted Areas'!$E:$E,'Pasted Areas'!$K:$K,$B20,'Pasted Areas'!$C:$C,"*Glazing*",'Pasted Areas'!$H:$H,AT$7)</f>
        <v>5.3999999999999995</v>
      </c>
      <c r="AU20" s="3"/>
      <c r="AV20" s="16">
        <f>SUMIFS('Pasted Areas'!$E:$E,'Pasted Areas'!$K:$K,$B20,'Pasted Areas'!$C:$C,"*Roof Light*")</f>
        <v>0</v>
      </c>
      <c r="AW20" s="3"/>
      <c r="AX20" s="52">
        <v>2</v>
      </c>
      <c r="AY20" s="53">
        <v>0</v>
      </c>
      <c r="AZ20" s="52">
        <v>1</v>
      </c>
      <c r="BA20" s="53">
        <v>0</v>
      </c>
      <c r="BB20" s="52">
        <v>1</v>
      </c>
      <c r="BC20" s="2">
        <f t="shared" si="7"/>
        <v>2</v>
      </c>
      <c r="BD20" s="2">
        <f t="shared" si="8"/>
        <v>1</v>
      </c>
      <c r="BE20" s="2">
        <f t="shared" si="9"/>
        <v>2</v>
      </c>
      <c r="BF20" s="22">
        <f>SUMIFS('Pasted Areas'!$E:$E,'Pasted Areas'!$K:$K,$B20,'Pasted Areas'!$C:$C,"*Cooling Area*")</f>
        <v>0</v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31">
        <f t="shared" si="4"/>
        <v>14.569999999999997</v>
      </c>
      <c r="BT20" s="31">
        <f t="shared" si="5"/>
        <v>0</v>
      </c>
      <c r="BU20" s="31">
        <f>SUM(M20:P20,V20:Z20,AC20:AE20,AH20:AV20)</f>
        <v>128.22</v>
      </c>
      <c r="BV20" s="31">
        <f>I20*J20</f>
        <v>179.22499999999999</v>
      </c>
      <c r="BX20" s="21">
        <f>SUM(M20:S20,V20:AV20,BF20:BF20)</f>
        <v>320.28000000000003</v>
      </c>
      <c r="BY20" s="1"/>
    </row>
    <row r="21" spans="2:93" customFormat="1" x14ac:dyDescent="0.25">
      <c r="B21" s="34" t="str">
        <v>Flat 14</v>
      </c>
      <c r="C21" s="46">
        <v>2</v>
      </c>
      <c r="D21" s="46" t="s">
        <v>202</v>
      </c>
      <c r="E21" s="49" t="s">
        <v>204</v>
      </c>
      <c r="F21" s="34" t="s">
        <v>207</v>
      </c>
      <c r="G21" s="46">
        <v>2</v>
      </c>
      <c r="H21" s="17"/>
      <c r="I21" s="5">
        <f>SUM(AC21:AF21)</f>
        <v>72.97</v>
      </c>
      <c r="J21" s="45">
        <v>2.5</v>
      </c>
      <c r="K21" s="5">
        <f>SUMIFS('Pasted Areas'!$E:$E,'Pasted Areas'!$K:$K,B21,'Pasted Areas'!$C:$C,"*Living*")</f>
        <v>25.67</v>
      </c>
      <c r="M21" s="31">
        <f>SUMIFS('Pasted Areas'!$E:$E,'Pasted Areas'!$K:$K,$B21,'Pasted Areas'!$C:$C,"*External Wall Area 1*")</f>
        <v>38.42</v>
      </c>
      <c r="N21" s="31">
        <f>SUMIFS('Pasted Areas'!$E:$E,'Pasted Areas'!$K:$K,$B21,'Pasted Areas'!$C:$C,"*External Wall Area 2*")</f>
        <v>0</v>
      </c>
      <c r="O21" s="31">
        <f>SUMIFS('Pasted Areas'!$E:$E,'Pasted Areas'!$K:$K,$B21,'Pasted Areas'!$C:$C,"*External Wall Area 3*")</f>
        <v>0</v>
      </c>
      <c r="P21" s="31">
        <f>SUMIFS('Pasted Areas'!$E:$E,'Pasted Areas'!$K:$K,$B21,'Pasted Areas'!$C:$C,"*External Wall Area 4*")</f>
        <v>0</v>
      </c>
      <c r="Q21" s="31">
        <f>SUMIFS('Pasted Areas'!$E:$E,'Pasted Areas'!$K:$K,$B21,'Pasted Areas'!$C:$C,"*Party Walls to Corridors*")</f>
        <v>8.24</v>
      </c>
      <c r="R21" s="31">
        <f>SUMIFS('Pasted Areas'!$E:$E,'Pasted Areas'!$K:$K,$B21,'Pasted Areas'!$C:$C,"*Party Walls to Dwelling*")</f>
        <v>41.92</v>
      </c>
      <c r="S21" s="32">
        <f>SUMIFS('Pasted Areas'!$E:$E,'Pasted Areas'!$K:$K,$B21,'Pasted Areas'!$C:$C,"*Internal Partitions*")</f>
        <v>82.97</v>
      </c>
      <c r="T21" s="31">
        <f t="shared" si="6"/>
        <v>165.94</v>
      </c>
      <c r="V21" s="16">
        <f>SUMIFS('Pasted Areas'!$E:$E,'Pasted Areas'!$K:$K,$B21,'Pasted Areas'!$C:$C,"*SAP Roof 1*")</f>
        <v>0</v>
      </c>
      <c r="W21" s="16">
        <f>SUMIFS('Pasted Areas'!$E:$E,'Pasted Areas'!$K:$K,$B21,'Pasted Areas'!$C:$C,"*SAP Roof 2*")</f>
        <v>0</v>
      </c>
      <c r="X21" s="16">
        <f>SUMIFS('Pasted Areas'!$E:$E,'Pasted Areas'!$K:$K,$B21,'Pasted Areas'!$C:$C,"*SAP Roof 3*")</f>
        <v>0</v>
      </c>
      <c r="Y21" s="16">
        <f>SUMIFS('Pasted Areas'!$E:$E,'Pasted Areas'!$K:$K,$B21,'Pasted Areas'!$C:$C,"*SAP Roof 4*")</f>
        <v>0</v>
      </c>
      <c r="Z21" s="16">
        <f>SUMIFS('Pasted Areas'!$E:$E,'Pasted Areas'!$K:$K,$B21,'Pasted Areas'!$C:$C,"*SAP Roof 5*")</f>
        <v>72.97</v>
      </c>
      <c r="AA21" s="16">
        <f>SUMIFS('Pasted Areas'!$E:$E,'Pasted Areas'!$K:$K,$B21,'Pasted Areas'!$C:$C,"*Party Ceiling*")</f>
        <v>0</v>
      </c>
      <c r="AC21" s="16">
        <f>SUMIFS('Pasted Areas'!$E:$E,'Pasted Areas'!$K:$K,$B21,'Pasted Areas'!$C:$C,"*Ground Floor*")</f>
        <v>0</v>
      </c>
      <c r="AD21" s="16">
        <f>SUMIFS('Pasted Areas'!$E:$E,'Pasted Areas'!$K:$K,$B21,'Pasted Areas'!$C:$C,"* Exposed Floor*")</f>
        <v>0</v>
      </c>
      <c r="AE21" s="16">
        <f>SUMIFS('Pasted Areas'!$E:$E,'Pasted Areas'!$K:$K,$B21,'Pasted Areas'!$C:$C,"*Semi-Exposed Floor*")</f>
        <v>0</v>
      </c>
      <c r="AF21" s="16">
        <f>SUMIFS('Pasted Areas'!$E:$E,'Pasted Areas'!$K:$K,$B21,'Pasted Areas'!$C:$C,"*Party Floor*")</f>
        <v>72.97</v>
      </c>
      <c r="AG21" s="3"/>
      <c r="AH21" s="16">
        <f>SUMIFS('Pasted Areas'!$E:$E,'Pasted Areas'!$K:$K,$B21,'Pasted Areas'!$C:$C,"*Front Door*",'Pasted Areas'!$H:$H,AH$7)</f>
        <v>0</v>
      </c>
      <c r="AI21" s="16">
        <f>SUMIFS('Pasted Areas'!$E:$E,'Pasted Areas'!$K:$K,$B21,'Pasted Areas'!$C:$C,"*Front Door*",'Pasted Areas'!$H:$H,AI$7)</f>
        <v>0</v>
      </c>
      <c r="AJ21" s="16">
        <f>SUMIFS('Pasted Areas'!$E:$E,'Pasted Areas'!$K:$K,$B21,'Pasted Areas'!$C:$C,"*Front Door*",'Pasted Areas'!$H:$H,AJ$7)</f>
        <v>0</v>
      </c>
      <c r="AK21" s="16">
        <f>SUMIFS('Pasted Areas'!$E:$E,'Pasted Areas'!$K:$K,$B21,'Pasted Areas'!$C:$C,"*Front Door*",'Pasted Areas'!$H:$H,AK$7)</f>
        <v>0</v>
      </c>
      <c r="AL21" s="3"/>
      <c r="AM21" s="16">
        <f>SUMIFS('Pasted Areas'!$E:$E,'Pasted Areas'!$K:$K,$B21,'Pasted Areas'!$C:$C,"*Glazing*",'Pasted Areas'!$H:$H,AM$7)</f>
        <v>0</v>
      </c>
      <c r="AN21" s="16">
        <f>SUMIFS('Pasted Areas'!$E:$E,'Pasted Areas'!$K:$K,$B21,'Pasted Areas'!$C:$C,"*Glazing*",'Pasted Areas'!$H:$H,AN$7)</f>
        <v>2.88</v>
      </c>
      <c r="AO21" s="16">
        <f>SUMIFS('Pasted Areas'!$E:$E,'Pasted Areas'!$K:$K,$B21,'Pasted Areas'!$C:$C,"*Glazing*",'Pasted Areas'!$H:$H,AO$7)</f>
        <v>0</v>
      </c>
      <c r="AP21" s="16">
        <f>SUMIFS('Pasted Areas'!$E:$E,'Pasted Areas'!$K:$K,$B21,'Pasted Areas'!$C:$C,"*Glazing*",'Pasted Areas'!$H:$H,AP$7)</f>
        <v>0</v>
      </c>
      <c r="AQ21" s="16">
        <f>SUMIFS('Pasted Areas'!$E:$E,'Pasted Areas'!$K:$K,$B21,'Pasted Areas'!$C:$C,"*Glazing*",'Pasted Areas'!$H:$H,AQ$7)</f>
        <v>0</v>
      </c>
      <c r="AR21" s="16">
        <f>SUMIFS('Pasted Areas'!$E:$E,'Pasted Areas'!$K:$K,$B21,'Pasted Areas'!$C:$C,"*Glazing*",'Pasted Areas'!$H:$H,AR$7)</f>
        <v>0</v>
      </c>
      <c r="AS21" s="16">
        <f>SUMIFS('Pasted Areas'!$E:$E,'Pasted Areas'!$K:$K,$B21,'Pasted Areas'!$C:$C,"*Glazing*",'Pasted Areas'!$H:$H,AS$7)</f>
        <v>0</v>
      </c>
      <c r="AT21" s="16">
        <f>SUMIFS('Pasted Areas'!$E:$E,'Pasted Areas'!$K:$K,$B21,'Pasted Areas'!$C:$C,"*Glazing*",'Pasted Areas'!$H:$H,AT$7)</f>
        <v>8.84</v>
      </c>
      <c r="AU21" s="3"/>
      <c r="AV21" s="16">
        <f>SUMIFS('Pasted Areas'!$E:$E,'Pasted Areas'!$K:$K,$B21,'Pasted Areas'!$C:$C,"*Roof Light*")</f>
        <v>0</v>
      </c>
      <c r="AW21" s="3"/>
      <c r="AX21" s="52">
        <v>2</v>
      </c>
      <c r="AY21" s="53">
        <v>0</v>
      </c>
      <c r="AZ21" s="52">
        <v>1</v>
      </c>
      <c r="BA21" s="53">
        <v>0</v>
      </c>
      <c r="BB21" s="52">
        <v>1</v>
      </c>
      <c r="BC21" s="2">
        <f t="shared" si="7"/>
        <v>2</v>
      </c>
      <c r="BD21" s="2">
        <f t="shared" si="8"/>
        <v>1</v>
      </c>
      <c r="BE21" s="2">
        <f t="shared" si="9"/>
        <v>2</v>
      </c>
      <c r="BF21" s="22">
        <f>SUMIFS('Pasted Areas'!$E:$E,'Pasted Areas'!$K:$K,$B21,'Pasted Areas'!$C:$C,"*Cooling Area*")</f>
        <v>0</v>
      </c>
      <c r="BG21" s="9"/>
      <c r="BH21" s="35"/>
      <c r="BI21" s="35"/>
      <c r="BJ21" s="9"/>
      <c r="BK21" s="35"/>
      <c r="BL21" s="9"/>
      <c r="BM21" s="35"/>
      <c r="BN21" s="35"/>
      <c r="BO21" s="35"/>
      <c r="BP21" s="35"/>
      <c r="BQ21" s="35"/>
      <c r="BR21" s="9"/>
      <c r="BS21" s="31">
        <f t="shared" si="4"/>
        <v>11.719999999999999</v>
      </c>
      <c r="BT21" s="31">
        <f t="shared" si="5"/>
        <v>0</v>
      </c>
      <c r="BU21" s="31">
        <f>SUM(M21:P21,V21:Z21,AC21:AE21,AH21:AV21)</f>
        <v>123.11</v>
      </c>
      <c r="BV21" s="31">
        <f>I21*J21</f>
        <v>182.42500000000001</v>
      </c>
      <c r="BX21" s="21">
        <f>SUM(M21:S21,V21:AV21,BF21:BF21)</f>
        <v>329.21</v>
      </c>
    </row>
    <row r="22" spans="2:93" customFormat="1" x14ac:dyDescent="0.25">
      <c r="B22" s="34" t="str">
        <v>Flat 15</v>
      </c>
      <c r="C22" s="46">
        <v>2</v>
      </c>
      <c r="D22" s="46" t="s">
        <v>81</v>
      </c>
      <c r="E22" s="49" t="s">
        <v>205</v>
      </c>
      <c r="F22" s="34" t="s">
        <v>207</v>
      </c>
      <c r="G22" s="46">
        <v>3</v>
      </c>
      <c r="H22" s="17"/>
      <c r="I22" s="5">
        <f>SUM(AC22:AF22)</f>
        <v>65.52</v>
      </c>
      <c r="J22" s="45">
        <v>2.5</v>
      </c>
      <c r="K22" s="5">
        <f>SUMIFS('Pasted Areas'!$E:$E,'Pasted Areas'!$K:$K,B22,'Pasted Areas'!$C:$C,"*Living*")</f>
        <v>25.73</v>
      </c>
      <c r="M22" s="31">
        <f>SUMIFS('Pasted Areas'!$E:$E,'Pasted Areas'!$K:$K,$B22,'Pasted Areas'!$C:$C,"*External Wall Area 1*")</f>
        <v>27.1</v>
      </c>
      <c r="N22" s="31">
        <f>SUMIFS('Pasted Areas'!$E:$E,'Pasted Areas'!$K:$K,$B22,'Pasted Areas'!$C:$C,"*External Wall Area 2*")</f>
        <v>0</v>
      </c>
      <c r="O22" s="31">
        <f>SUMIFS('Pasted Areas'!$E:$E,'Pasted Areas'!$K:$K,$B22,'Pasted Areas'!$C:$C,"*External Wall Area 3*")</f>
        <v>0</v>
      </c>
      <c r="P22" s="31">
        <f>SUMIFS('Pasted Areas'!$E:$E,'Pasted Areas'!$K:$K,$B22,'Pasted Areas'!$C:$C,"*External Wall Area 4*")</f>
        <v>0</v>
      </c>
      <c r="Q22" s="31">
        <f>SUMIFS('Pasted Areas'!$E:$E,'Pasted Areas'!$K:$K,$B22,'Pasted Areas'!$C:$C,"*Party Walls to Corridors*")</f>
        <v>24.860000000000003</v>
      </c>
      <c r="R22" s="31">
        <f>SUMIFS('Pasted Areas'!$E:$E,'Pasted Areas'!$K:$K,$B22,'Pasted Areas'!$C:$C,"*Party Walls to Dwelling*")</f>
        <v>44.31</v>
      </c>
      <c r="S22" s="32">
        <f>SUMIFS('Pasted Areas'!$E:$E,'Pasted Areas'!$K:$K,$B22,'Pasted Areas'!$C:$C,"*Internal Partitions*")</f>
        <v>61.95</v>
      </c>
      <c r="T22" s="31">
        <f t="shared" si="6"/>
        <v>123.9</v>
      </c>
      <c r="V22" s="16">
        <f>SUMIFS('Pasted Areas'!$E:$E,'Pasted Areas'!$K:$K,$B22,'Pasted Areas'!$C:$C,"*SAP Roof 1*")</f>
        <v>0</v>
      </c>
      <c r="W22" s="16">
        <f>SUMIFS('Pasted Areas'!$E:$E,'Pasted Areas'!$K:$K,$B22,'Pasted Areas'!$C:$C,"*SAP Roof 2*")</f>
        <v>0</v>
      </c>
      <c r="X22" s="16">
        <f>SUMIFS('Pasted Areas'!$E:$E,'Pasted Areas'!$K:$K,$B22,'Pasted Areas'!$C:$C,"*SAP Roof 3*")</f>
        <v>0</v>
      </c>
      <c r="Y22" s="16">
        <f>SUMIFS('Pasted Areas'!$E:$E,'Pasted Areas'!$K:$K,$B22,'Pasted Areas'!$C:$C,"*SAP Roof 4*")</f>
        <v>0</v>
      </c>
      <c r="Z22" s="16">
        <f>SUMIFS('Pasted Areas'!$E:$E,'Pasted Areas'!$K:$K,$B22,'Pasted Areas'!$C:$C,"*SAP Roof 5*")</f>
        <v>65.52</v>
      </c>
      <c r="AA22" s="16">
        <f>SUMIFS('Pasted Areas'!$E:$E,'Pasted Areas'!$K:$K,$B22,'Pasted Areas'!$C:$C,"*Party Ceiling*")</f>
        <v>0</v>
      </c>
      <c r="AC22" s="16">
        <f>SUMIFS('Pasted Areas'!$E:$E,'Pasted Areas'!$K:$K,$B22,'Pasted Areas'!$C:$C,"*Ground Floor*")</f>
        <v>0</v>
      </c>
      <c r="AD22" s="16">
        <f>SUMIFS('Pasted Areas'!$E:$E,'Pasted Areas'!$K:$K,$B22,'Pasted Areas'!$C:$C,"* Exposed Floor*")</f>
        <v>0</v>
      </c>
      <c r="AE22" s="16">
        <f>SUMIFS('Pasted Areas'!$E:$E,'Pasted Areas'!$K:$K,$B22,'Pasted Areas'!$C:$C,"*Semi-Exposed Floor*")</f>
        <v>0</v>
      </c>
      <c r="AF22" s="16">
        <f>SUMIFS('Pasted Areas'!$E:$E,'Pasted Areas'!$K:$K,$B22,'Pasted Areas'!$C:$C,"*Party Floor*")</f>
        <v>65.52</v>
      </c>
      <c r="AG22" s="3"/>
      <c r="AH22" s="16">
        <f>SUMIFS('Pasted Areas'!$E:$E,'Pasted Areas'!$K:$K,$B22,'Pasted Areas'!$C:$C,"*Front Door*",'Pasted Areas'!$H:$H,AH$7)</f>
        <v>0</v>
      </c>
      <c r="AI22" s="16">
        <f>SUMIFS('Pasted Areas'!$E:$E,'Pasted Areas'!$K:$K,$B22,'Pasted Areas'!$C:$C,"*Front Door*",'Pasted Areas'!$H:$H,AI$7)</f>
        <v>0</v>
      </c>
      <c r="AJ22" s="16">
        <f>SUMIFS('Pasted Areas'!$E:$E,'Pasted Areas'!$K:$K,$B22,'Pasted Areas'!$C:$C,"*Front Door*",'Pasted Areas'!$H:$H,AJ$7)</f>
        <v>0</v>
      </c>
      <c r="AK22" s="16">
        <f>SUMIFS('Pasted Areas'!$E:$E,'Pasted Areas'!$K:$K,$B22,'Pasted Areas'!$C:$C,"*Front Door*",'Pasted Areas'!$H:$H,AK$7)</f>
        <v>0</v>
      </c>
      <c r="AL22" s="3"/>
      <c r="AM22" s="16">
        <f>SUMIFS('Pasted Areas'!$E:$E,'Pasted Areas'!$K:$K,$B22,'Pasted Areas'!$C:$C,"*Glazing*",'Pasted Areas'!$H:$H,AM$7)</f>
        <v>0</v>
      </c>
      <c r="AN22" s="16">
        <f>SUMIFS('Pasted Areas'!$E:$E,'Pasted Areas'!$K:$K,$B22,'Pasted Areas'!$C:$C,"*Glazing*",'Pasted Areas'!$H:$H,AN$7)</f>
        <v>1.7999999999999998</v>
      </c>
      <c r="AO22" s="16">
        <f>SUMIFS('Pasted Areas'!$E:$E,'Pasted Areas'!$K:$K,$B22,'Pasted Areas'!$C:$C,"*Glazing*",'Pasted Areas'!$H:$H,AO$7)</f>
        <v>4.6800000000000006</v>
      </c>
      <c r="AP22" s="16">
        <f>SUMIFS('Pasted Areas'!$E:$E,'Pasted Areas'!$K:$K,$B22,'Pasted Areas'!$C:$C,"*Glazing*",'Pasted Areas'!$H:$H,AP$7)</f>
        <v>1.89</v>
      </c>
      <c r="AQ22" s="16">
        <f>SUMIFS('Pasted Areas'!$E:$E,'Pasted Areas'!$K:$K,$B22,'Pasted Areas'!$C:$C,"*Glazing*",'Pasted Areas'!$H:$H,AQ$7)</f>
        <v>0</v>
      </c>
      <c r="AR22" s="16">
        <f>SUMIFS('Pasted Areas'!$E:$E,'Pasted Areas'!$K:$K,$B22,'Pasted Areas'!$C:$C,"*Glazing*",'Pasted Areas'!$H:$H,AR$7)</f>
        <v>0</v>
      </c>
      <c r="AS22" s="16">
        <f>SUMIFS('Pasted Areas'!$E:$E,'Pasted Areas'!$K:$K,$B22,'Pasted Areas'!$C:$C,"*Glazing*",'Pasted Areas'!$H:$H,AS$7)</f>
        <v>0</v>
      </c>
      <c r="AT22" s="16">
        <f>SUMIFS('Pasted Areas'!$E:$E,'Pasted Areas'!$K:$K,$B22,'Pasted Areas'!$C:$C,"*Glazing*",'Pasted Areas'!$H:$H,AT$7)</f>
        <v>0</v>
      </c>
      <c r="AU22" s="3"/>
      <c r="AV22" s="16">
        <f>SUMIFS('Pasted Areas'!$E:$E,'Pasted Areas'!$K:$K,$B22,'Pasted Areas'!$C:$C,"*Roof Light*")</f>
        <v>0</v>
      </c>
      <c r="AW22" s="3"/>
      <c r="AX22" s="52">
        <v>1</v>
      </c>
      <c r="AY22" s="53">
        <v>0</v>
      </c>
      <c r="AZ22" s="52">
        <v>1</v>
      </c>
      <c r="BA22" s="53">
        <v>0</v>
      </c>
      <c r="BB22" s="52">
        <v>0</v>
      </c>
      <c r="BC22" s="2">
        <f t="shared" si="7"/>
        <v>1</v>
      </c>
      <c r="BD22" s="2">
        <f t="shared" si="8"/>
        <v>1</v>
      </c>
      <c r="BE22" s="2">
        <f t="shared" si="9"/>
        <v>1</v>
      </c>
      <c r="BF22" s="22">
        <f>SUMIFS('Pasted Areas'!$E:$E,'Pasted Areas'!$K:$K,$B22,'Pasted Areas'!$C:$C,"*Cooling Area*")</f>
        <v>0</v>
      </c>
      <c r="BG22" s="9"/>
      <c r="BH22" s="35"/>
      <c r="BI22" s="35"/>
      <c r="BJ22" s="9"/>
      <c r="BK22" s="35"/>
      <c r="BL22" s="9"/>
      <c r="BM22" s="35"/>
      <c r="BN22" s="35"/>
      <c r="BO22" s="35"/>
      <c r="BP22" s="35"/>
      <c r="BQ22" s="35"/>
      <c r="BR22" s="9"/>
      <c r="BS22" s="31">
        <f t="shared" si="4"/>
        <v>8.370000000000001</v>
      </c>
      <c r="BT22" s="31">
        <f t="shared" si="5"/>
        <v>0</v>
      </c>
      <c r="BU22" s="31">
        <f>SUM(M22:P22,V22:Z22,AC22:AE22,AH22:AV22)</f>
        <v>100.99000000000001</v>
      </c>
      <c r="BV22" s="31">
        <f>I22*J22</f>
        <v>163.79999999999998</v>
      </c>
      <c r="BX22" s="21">
        <f>SUM(M22:S22,V22:AV22,BF22:BF22)</f>
        <v>297.63</v>
      </c>
    </row>
    <row r="23" spans="2:93" customFormat="1" x14ac:dyDescent="0.25">
      <c r="B23" s="34" t="str">
        <v>Flat 16</v>
      </c>
      <c r="C23" s="46">
        <v>2</v>
      </c>
      <c r="D23" s="46" t="s">
        <v>81</v>
      </c>
      <c r="E23" s="49" t="s">
        <v>205</v>
      </c>
      <c r="F23" s="34" t="s">
        <v>207</v>
      </c>
      <c r="G23" s="46">
        <v>3</v>
      </c>
      <c r="H23" s="17"/>
      <c r="I23" s="5">
        <f>SUM(AC23:AF23)</f>
        <v>51.68</v>
      </c>
      <c r="J23" s="45">
        <v>2.5</v>
      </c>
      <c r="K23" s="5">
        <f>SUMIFS('Pasted Areas'!$E:$E,'Pasted Areas'!$K:$K,B23,'Pasted Areas'!$C:$C,"*Living*")</f>
        <v>23.6</v>
      </c>
      <c r="M23" s="31">
        <f>SUMIFS('Pasted Areas'!$E:$E,'Pasted Areas'!$K:$K,$B23,'Pasted Areas'!$C:$C,"*External Wall Area 1*")</f>
        <v>13.799999999999999</v>
      </c>
      <c r="N23" s="31">
        <f>SUMIFS('Pasted Areas'!$E:$E,'Pasted Areas'!$K:$K,$B23,'Pasted Areas'!$C:$C,"*External Wall Area 2*")</f>
        <v>0</v>
      </c>
      <c r="O23" s="31">
        <f>SUMIFS('Pasted Areas'!$E:$E,'Pasted Areas'!$K:$K,$B23,'Pasted Areas'!$C:$C,"*External Wall Area 3*")</f>
        <v>0</v>
      </c>
      <c r="P23" s="31">
        <f>SUMIFS('Pasted Areas'!$E:$E,'Pasted Areas'!$K:$K,$B23,'Pasted Areas'!$C:$C,"*External Wall Area 4*")</f>
        <v>0</v>
      </c>
      <c r="Q23" s="31">
        <f>SUMIFS('Pasted Areas'!$E:$E,'Pasted Areas'!$K:$K,$B23,'Pasted Areas'!$C:$C,"*Party Walls to Corridors*")</f>
        <v>17.259999999999998</v>
      </c>
      <c r="R23" s="31">
        <f>SUMIFS('Pasted Areas'!$E:$E,'Pasted Areas'!$K:$K,$B23,'Pasted Areas'!$C:$C,"*Party Walls to Dwelling*")</f>
        <v>51.76</v>
      </c>
      <c r="S23" s="32">
        <f>SUMIFS('Pasted Areas'!$E:$E,'Pasted Areas'!$K:$K,$B23,'Pasted Areas'!$C:$C,"*Internal Partitions*")</f>
        <v>44.8</v>
      </c>
      <c r="T23" s="31">
        <f t="shared" si="6"/>
        <v>89.6</v>
      </c>
      <c r="V23" s="16">
        <f>SUMIFS('Pasted Areas'!$E:$E,'Pasted Areas'!$K:$K,$B23,'Pasted Areas'!$C:$C,"*SAP Roof 1*")</f>
        <v>0</v>
      </c>
      <c r="W23" s="16">
        <f>SUMIFS('Pasted Areas'!$E:$E,'Pasted Areas'!$K:$K,$B23,'Pasted Areas'!$C:$C,"*SAP Roof 2*")</f>
        <v>0</v>
      </c>
      <c r="X23" s="16">
        <f>SUMIFS('Pasted Areas'!$E:$E,'Pasted Areas'!$K:$K,$B23,'Pasted Areas'!$C:$C,"*SAP Roof 3*")</f>
        <v>0</v>
      </c>
      <c r="Y23" s="16">
        <f>SUMIFS('Pasted Areas'!$E:$E,'Pasted Areas'!$K:$K,$B23,'Pasted Areas'!$C:$C,"*SAP Roof 4*")</f>
        <v>0</v>
      </c>
      <c r="Z23" s="16">
        <f>SUMIFS('Pasted Areas'!$E:$E,'Pasted Areas'!$K:$K,$B23,'Pasted Areas'!$C:$C,"*SAP Roof 5*")</f>
        <v>51.69</v>
      </c>
      <c r="AA23" s="16">
        <f>SUMIFS('Pasted Areas'!$E:$E,'Pasted Areas'!$K:$K,$B23,'Pasted Areas'!$C:$C,"*Party Ceiling*")</f>
        <v>0</v>
      </c>
      <c r="AC23" s="16">
        <f>SUMIFS('Pasted Areas'!$E:$E,'Pasted Areas'!$K:$K,$B23,'Pasted Areas'!$C:$C,"*Ground Floor*")</f>
        <v>0</v>
      </c>
      <c r="AD23" s="16">
        <f>SUMIFS('Pasted Areas'!$E:$E,'Pasted Areas'!$K:$K,$B23,'Pasted Areas'!$C:$C,"* Exposed Floor*")</f>
        <v>0</v>
      </c>
      <c r="AE23" s="16">
        <f>SUMIFS('Pasted Areas'!$E:$E,'Pasted Areas'!$K:$K,$B23,'Pasted Areas'!$C:$C,"*Semi-Exposed Floor*")</f>
        <v>0</v>
      </c>
      <c r="AF23" s="16">
        <f>SUMIFS('Pasted Areas'!$E:$E,'Pasted Areas'!$K:$K,$B23,'Pasted Areas'!$C:$C,"*Party Floor*")</f>
        <v>51.68</v>
      </c>
      <c r="AG23" s="3"/>
      <c r="AH23" s="16">
        <f>SUMIFS('Pasted Areas'!$E:$E,'Pasted Areas'!$K:$K,$B23,'Pasted Areas'!$C:$C,"*Front Door*",'Pasted Areas'!$H:$H,AH$7)</f>
        <v>0</v>
      </c>
      <c r="AI23" s="16">
        <f>SUMIFS('Pasted Areas'!$E:$E,'Pasted Areas'!$K:$K,$B23,'Pasted Areas'!$C:$C,"*Front Door*",'Pasted Areas'!$H:$H,AI$7)</f>
        <v>0</v>
      </c>
      <c r="AJ23" s="16">
        <f>SUMIFS('Pasted Areas'!$E:$E,'Pasted Areas'!$K:$K,$B23,'Pasted Areas'!$C:$C,"*Front Door*",'Pasted Areas'!$H:$H,AJ$7)</f>
        <v>0</v>
      </c>
      <c r="AK23" s="16">
        <f>SUMIFS('Pasted Areas'!$E:$E,'Pasted Areas'!$K:$K,$B23,'Pasted Areas'!$C:$C,"*Front Door*",'Pasted Areas'!$H:$H,AK$7)</f>
        <v>0</v>
      </c>
      <c r="AL23" s="3"/>
      <c r="AM23" s="16">
        <f>SUMIFS('Pasted Areas'!$E:$E,'Pasted Areas'!$K:$K,$B23,'Pasted Areas'!$C:$C,"*Glazing*",'Pasted Areas'!$H:$H,AM$7)</f>
        <v>0</v>
      </c>
      <c r="AN23" s="16">
        <f>SUMIFS('Pasted Areas'!$E:$E,'Pasted Areas'!$K:$K,$B23,'Pasted Areas'!$C:$C,"*Glazing*",'Pasted Areas'!$H:$H,AN$7)</f>
        <v>0</v>
      </c>
      <c r="AO23" s="16">
        <f>SUMIFS('Pasted Areas'!$E:$E,'Pasted Areas'!$K:$K,$B23,'Pasted Areas'!$C:$C,"*Glazing*",'Pasted Areas'!$H:$H,AO$7)</f>
        <v>7.04</v>
      </c>
      <c r="AP23" s="16">
        <f>SUMIFS('Pasted Areas'!$E:$E,'Pasted Areas'!$K:$K,$B23,'Pasted Areas'!$C:$C,"*Glazing*",'Pasted Areas'!$H:$H,AP$7)</f>
        <v>0</v>
      </c>
      <c r="AQ23" s="16">
        <f>SUMIFS('Pasted Areas'!$E:$E,'Pasted Areas'!$K:$K,$B23,'Pasted Areas'!$C:$C,"*Glazing*",'Pasted Areas'!$H:$H,AQ$7)</f>
        <v>0</v>
      </c>
      <c r="AR23" s="16">
        <f>SUMIFS('Pasted Areas'!$E:$E,'Pasted Areas'!$K:$K,$B23,'Pasted Areas'!$C:$C,"*Glazing*",'Pasted Areas'!$H:$H,AR$7)</f>
        <v>0</v>
      </c>
      <c r="AS23" s="16">
        <f>SUMIFS('Pasted Areas'!$E:$E,'Pasted Areas'!$K:$K,$B23,'Pasted Areas'!$C:$C,"*Glazing*",'Pasted Areas'!$H:$H,AS$7)</f>
        <v>0</v>
      </c>
      <c r="AT23" s="16">
        <f>SUMIFS('Pasted Areas'!$E:$E,'Pasted Areas'!$K:$K,$B23,'Pasted Areas'!$C:$C,"*Glazing*",'Pasted Areas'!$H:$H,AT$7)</f>
        <v>0</v>
      </c>
      <c r="AU23" s="3"/>
      <c r="AV23" s="16">
        <f>SUMIFS('Pasted Areas'!$E:$E,'Pasted Areas'!$K:$K,$B23,'Pasted Areas'!$C:$C,"*Roof Light*")</f>
        <v>0</v>
      </c>
      <c r="AW23" s="3"/>
      <c r="AX23" s="52">
        <v>1</v>
      </c>
      <c r="AY23" s="53">
        <v>0</v>
      </c>
      <c r="AZ23" s="52">
        <v>1</v>
      </c>
      <c r="BA23" s="53">
        <v>0</v>
      </c>
      <c r="BB23" s="52">
        <v>0</v>
      </c>
      <c r="BC23" s="2">
        <f t="shared" si="7"/>
        <v>1</v>
      </c>
      <c r="BD23" s="2">
        <f t="shared" si="8"/>
        <v>1</v>
      </c>
      <c r="BE23" s="2">
        <f t="shared" si="9"/>
        <v>1</v>
      </c>
      <c r="BF23" s="22">
        <f>SUMIFS('Pasted Areas'!$E:$E,'Pasted Areas'!$K:$K,$B23,'Pasted Areas'!$C:$C,"*Cooling Area*")</f>
        <v>0</v>
      </c>
      <c r="BG23" s="9"/>
      <c r="BH23" s="35"/>
      <c r="BI23" s="35"/>
      <c r="BJ23" s="9"/>
      <c r="BK23" s="35"/>
      <c r="BL23" s="9"/>
      <c r="BM23" s="35"/>
      <c r="BN23" s="35"/>
      <c r="BO23" s="35"/>
      <c r="BP23" s="35"/>
      <c r="BQ23" s="35"/>
      <c r="BR23" s="9"/>
      <c r="BS23" s="31">
        <f t="shared" si="4"/>
        <v>7.04</v>
      </c>
      <c r="BT23" s="31">
        <f t="shared" si="5"/>
        <v>0</v>
      </c>
      <c r="BU23" s="31">
        <f>SUM(M23:P23,V23:Z23,AC23:AE23,AH23:AV23)</f>
        <v>72.53</v>
      </c>
      <c r="BV23" s="31">
        <f>I23*J23</f>
        <v>129.19999999999999</v>
      </c>
      <c r="BX23" s="21">
        <f>SUM(M23:S23,V23:AV23,BF23:BF23)</f>
        <v>238.03</v>
      </c>
    </row>
    <row r="24" spans="2:93" x14ac:dyDescent="0.25">
      <c r="B24" s="34" t="str">
        <v>Flat 17</v>
      </c>
      <c r="C24" s="46">
        <v>2</v>
      </c>
      <c r="D24" s="46" t="s">
        <v>52</v>
      </c>
      <c r="E24" s="49" t="s">
        <v>204</v>
      </c>
      <c r="F24" s="34" t="s">
        <v>207</v>
      </c>
      <c r="G24" s="46">
        <v>1</v>
      </c>
      <c r="H24" s="17"/>
      <c r="I24" s="5">
        <f>SUM(AC24:AF24)</f>
        <v>91.580000000000013</v>
      </c>
      <c r="J24" s="45">
        <v>2.5</v>
      </c>
      <c r="K24" s="5">
        <f>SUMIFS('Pasted Areas'!$E:$E,'Pasted Areas'!$K:$K,B24,'Pasted Areas'!$C:$C,"*Living*")</f>
        <v>32.700000000000003</v>
      </c>
      <c r="L24"/>
      <c r="M24" s="31">
        <f>SUMIFS('Pasted Areas'!$E:$E,'Pasted Areas'!$K:$K,$B24,'Pasted Areas'!$C:$C,"*External Wall Area 1*")</f>
        <v>72.08</v>
      </c>
      <c r="N24" s="31">
        <f>SUMIFS('Pasted Areas'!$E:$E,'Pasted Areas'!$K:$K,$B24,'Pasted Areas'!$C:$C,"*External Wall Area 2*")</f>
        <v>0</v>
      </c>
      <c r="O24" s="31">
        <f>SUMIFS('Pasted Areas'!$E:$E,'Pasted Areas'!$K:$K,$B24,'Pasted Areas'!$C:$C,"*External Wall Area 3*")</f>
        <v>0</v>
      </c>
      <c r="P24" s="31">
        <f>SUMIFS('Pasted Areas'!$E:$E,'Pasted Areas'!$K:$K,$B24,'Pasted Areas'!$C:$C,"*External Wall Area 4*")</f>
        <v>0</v>
      </c>
      <c r="Q24" s="31">
        <f>SUMIFS('Pasted Areas'!$E:$E,'Pasted Areas'!$K:$K,$B24,'Pasted Areas'!$C:$C,"*Party Walls to Corridors*")</f>
        <v>4.29</v>
      </c>
      <c r="R24" s="31">
        <f>SUMIFS('Pasted Areas'!$E:$E,'Pasted Areas'!$K:$K,$B24,'Pasted Areas'!$C:$C,"*Party Walls to Dwelling*")</f>
        <v>63.69</v>
      </c>
      <c r="S24" s="32">
        <f>SUMIFS('Pasted Areas'!$E:$E,'Pasted Areas'!$K:$K,$B24,'Pasted Areas'!$C:$C,"*Internal Partitions*")</f>
        <v>76.240000000000009</v>
      </c>
      <c r="T24" s="31">
        <f t="shared" si="6"/>
        <v>152.48000000000002</v>
      </c>
      <c r="V24" s="16">
        <f>SUMIFS('Pasted Areas'!$E:$E,'Pasted Areas'!$K:$K,$B24,'Pasted Areas'!$C:$C,"*SAP Roof 1*")</f>
        <v>0</v>
      </c>
      <c r="W24" s="16">
        <f>SUMIFS('Pasted Areas'!$E:$E,'Pasted Areas'!$K:$K,$B24,'Pasted Areas'!$C:$C,"*SAP Roof 2*")</f>
        <v>0</v>
      </c>
      <c r="X24" s="16">
        <f>SUMIFS('Pasted Areas'!$E:$E,'Pasted Areas'!$K:$K,$B24,'Pasted Areas'!$C:$C,"*SAP Roof 3*")</f>
        <v>0</v>
      </c>
      <c r="Y24" s="16">
        <f>SUMIFS('Pasted Areas'!$E:$E,'Pasted Areas'!$K:$K,$B24,'Pasted Areas'!$C:$C,"*SAP Roof 4*")</f>
        <v>0</v>
      </c>
      <c r="Z24" s="16">
        <f>SUMIFS('Pasted Areas'!$E:$E,'Pasted Areas'!$K:$K,$B24,'Pasted Areas'!$C:$C,"*SAP Roof 5*")</f>
        <v>91.57</v>
      </c>
      <c r="AA24" s="16">
        <f>SUMIFS('Pasted Areas'!$E:$E,'Pasted Areas'!$K:$K,$B24,'Pasted Areas'!$C:$C,"*Party Ceiling*")</f>
        <v>0</v>
      </c>
      <c r="AB24"/>
      <c r="AC24" s="16">
        <f>SUMIFS('Pasted Areas'!$E:$E,'Pasted Areas'!$K:$K,$B24,'Pasted Areas'!$C:$C,"*Ground Floor*")</f>
        <v>0</v>
      </c>
      <c r="AD24" s="16">
        <f>SUMIFS('Pasted Areas'!$E:$E,'Pasted Areas'!$K:$K,$B24,'Pasted Areas'!$C:$C,"* Exposed Floor*")</f>
        <v>0</v>
      </c>
      <c r="AE24" s="16">
        <f>SUMIFS('Pasted Areas'!$E:$E,'Pasted Areas'!$K:$K,$B24,'Pasted Areas'!$C:$C,"*Semi-Exposed Floor*")</f>
        <v>0</v>
      </c>
      <c r="AF24" s="16">
        <f>SUMIFS('Pasted Areas'!$E:$E,'Pasted Areas'!$K:$K,$B24,'Pasted Areas'!$C:$C,"*Party Floor*")</f>
        <v>91.580000000000013</v>
      </c>
      <c r="AG24" s="3"/>
      <c r="AH24" s="16">
        <f>SUMIFS('Pasted Areas'!$E:$E,'Pasted Areas'!$K:$K,$B24,'Pasted Areas'!$C:$C,"*Front Door*",'Pasted Areas'!$H:$H,AH$7)</f>
        <v>0</v>
      </c>
      <c r="AI24" s="16">
        <f>SUMIFS('Pasted Areas'!$E:$E,'Pasted Areas'!$K:$K,$B24,'Pasted Areas'!$C:$C,"*Front Door*",'Pasted Areas'!$H:$H,AI$7)</f>
        <v>0</v>
      </c>
      <c r="AJ24" s="16">
        <f>SUMIFS('Pasted Areas'!$E:$E,'Pasted Areas'!$K:$K,$B24,'Pasted Areas'!$C:$C,"*Front Door*",'Pasted Areas'!$H:$H,AJ$7)</f>
        <v>0</v>
      </c>
      <c r="AK24" s="16">
        <f>SUMIFS('Pasted Areas'!$E:$E,'Pasted Areas'!$K:$K,$B24,'Pasted Areas'!$C:$C,"*Front Door*",'Pasted Areas'!$H:$H,AK$7)</f>
        <v>0</v>
      </c>
      <c r="AL24" s="3"/>
      <c r="AM24" s="16">
        <f>SUMIFS('Pasted Areas'!$E:$E,'Pasted Areas'!$K:$K,$B24,'Pasted Areas'!$C:$C,"*Glazing*",'Pasted Areas'!$H:$H,AM$7)</f>
        <v>0</v>
      </c>
      <c r="AN24" s="16">
        <f>SUMIFS('Pasted Areas'!$E:$E,'Pasted Areas'!$K:$K,$B24,'Pasted Areas'!$C:$C,"*Glazing*",'Pasted Areas'!$H:$H,AN$7)</f>
        <v>0</v>
      </c>
      <c r="AO24" s="16">
        <f>SUMIFS('Pasted Areas'!$E:$E,'Pasted Areas'!$K:$K,$B24,'Pasted Areas'!$C:$C,"*Glazing*",'Pasted Areas'!$H:$H,AO$7)</f>
        <v>3.5999999999999996</v>
      </c>
      <c r="AP24" s="16">
        <f>SUMIFS('Pasted Areas'!$E:$E,'Pasted Areas'!$K:$K,$B24,'Pasted Areas'!$C:$C,"*Glazing*",'Pasted Areas'!$H:$H,AP$7)</f>
        <v>0</v>
      </c>
      <c r="AQ24" s="16">
        <f>SUMIFS('Pasted Areas'!$E:$E,'Pasted Areas'!$K:$K,$B24,'Pasted Areas'!$C:$C,"*Glazing*",'Pasted Areas'!$H:$H,AQ$7)</f>
        <v>1.44</v>
      </c>
      <c r="AR24" s="16">
        <f>SUMIFS('Pasted Areas'!$E:$E,'Pasted Areas'!$K:$K,$B24,'Pasted Areas'!$C:$C,"*Glazing*",'Pasted Areas'!$H:$H,AR$7)</f>
        <v>0</v>
      </c>
      <c r="AS24" s="16">
        <f>SUMIFS('Pasted Areas'!$E:$E,'Pasted Areas'!$K:$K,$B24,'Pasted Areas'!$C:$C,"*Glazing*",'Pasted Areas'!$H:$H,AS$7)</f>
        <v>5.24</v>
      </c>
      <c r="AT24" s="16">
        <f>SUMIFS('Pasted Areas'!$E:$E,'Pasted Areas'!$K:$K,$B24,'Pasted Areas'!$C:$C,"*Glazing*",'Pasted Areas'!$H:$H,AT$7)</f>
        <v>0</v>
      </c>
      <c r="AU24" s="3"/>
      <c r="AV24" s="16">
        <f>SUMIFS('Pasted Areas'!$E:$E,'Pasted Areas'!$K:$K,$B24,'Pasted Areas'!$C:$C,"*Roof Light*")</f>
        <v>0</v>
      </c>
      <c r="AW24" s="3"/>
      <c r="AX24" s="52">
        <v>2</v>
      </c>
      <c r="AY24" s="53">
        <v>0</v>
      </c>
      <c r="AZ24" s="52">
        <v>1</v>
      </c>
      <c r="BA24" s="53">
        <v>0</v>
      </c>
      <c r="BB24" s="52">
        <v>1</v>
      </c>
      <c r="BC24" s="2">
        <f t="shared" si="7"/>
        <v>2</v>
      </c>
      <c r="BD24" s="2">
        <f t="shared" si="8"/>
        <v>1</v>
      </c>
      <c r="BE24" s="2">
        <f t="shared" si="9"/>
        <v>2</v>
      </c>
      <c r="BF24" s="22">
        <f>SUMIFS('Pasted Areas'!$E:$E,'Pasted Areas'!$K:$K,$B24,'Pasted Areas'!$C:$C,"*Cooling Area*")</f>
        <v>0</v>
      </c>
      <c r="BG24" s="9"/>
      <c r="BH24" s="35"/>
      <c r="BI24" s="35"/>
      <c r="BJ24" s="9"/>
      <c r="BK24" s="35"/>
      <c r="BL24" s="9"/>
      <c r="BM24" s="35"/>
      <c r="BN24" s="35"/>
      <c r="BO24" s="35"/>
      <c r="BP24" s="35"/>
      <c r="BQ24" s="35"/>
      <c r="BR24" s="9"/>
      <c r="BS24" s="31">
        <f t="shared" si="4"/>
        <v>10.28</v>
      </c>
      <c r="BT24" s="31">
        <f t="shared" si="5"/>
        <v>0</v>
      </c>
      <c r="BU24" s="31">
        <f>SUM(M24:P24,V24:Z24,AC24:AE24,AH24:AV24)</f>
        <v>173.92999999999998</v>
      </c>
      <c r="BV24" s="31">
        <f>I24*J24</f>
        <v>228.95000000000005</v>
      </c>
      <c r="BW24"/>
      <c r="BX24" s="21">
        <f>SUM(M24:S24,V24:AV24,BF24:BF24)</f>
        <v>409.73000000000008</v>
      </c>
      <c r="BY24"/>
      <c r="BZ24" s="3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 s="3"/>
    </row>
    <row r="25" spans="2:93" x14ac:dyDescent="0.25">
      <c r="B25" s="34" t="str">
        <v>Flat 18</v>
      </c>
      <c r="C25" s="46">
        <v>2</v>
      </c>
      <c r="D25" s="46" t="s">
        <v>80</v>
      </c>
      <c r="E25" s="49" t="s">
        <v>205</v>
      </c>
      <c r="F25" s="34" t="s">
        <v>207</v>
      </c>
      <c r="G25" s="46">
        <v>3</v>
      </c>
      <c r="H25" s="17"/>
      <c r="I25" s="5">
        <f>SUM(AC25:AF25)</f>
        <v>72.039999999999992</v>
      </c>
      <c r="J25" s="45">
        <v>2.5</v>
      </c>
      <c r="K25" s="5">
        <f>SUMIFS('Pasted Areas'!$E:$E,'Pasted Areas'!$K:$K,B25,'Pasted Areas'!$C:$C,"*Living*")</f>
        <v>24.65</v>
      </c>
      <c r="L25"/>
      <c r="M25" s="31">
        <f>SUMIFS('Pasted Areas'!$E:$E,'Pasted Areas'!$K:$K,$B25,'Pasted Areas'!$C:$C,"*External Wall Area 1*")</f>
        <v>28.549999999999997</v>
      </c>
      <c r="N25" s="31">
        <f>SUMIFS('Pasted Areas'!$E:$E,'Pasted Areas'!$K:$K,$B25,'Pasted Areas'!$C:$C,"*External Wall Area 2*")</f>
        <v>0</v>
      </c>
      <c r="O25" s="31">
        <f>SUMIFS('Pasted Areas'!$E:$E,'Pasted Areas'!$K:$K,$B25,'Pasted Areas'!$C:$C,"*External Wall Area 3*")</f>
        <v>0</v>
      </c>
      <c r="P25" s="31">
        <f>SUMIFS('Pasted Areas'!$E:$E,'Pasted Areas'!$K:$K,$B25,'Pasted Areas'!$C:$C,"*External Wall Area 4*")</f>
        <v>0</v>
      </c>
      <c r="Q25" s="31">
        <f>SUMIFS('Pasted Areas'!$E:$E,'Pasted Areas'!$K:$K,$B25,'Pasted Areas'!$C:$C,"*Party Walls to Corridors*")</f>
        <v>33.79</v>
      </c>
      <c r="R25" s="31">
        <f>SUMIFS('Pasted Areas'!$E:$E,'Pasted Areas'!$K:$K,$B25,'Pasted Areas'!$C:$C,"*Party Walls to Dwelling*")</f>
        <v>37.82</v>
      </c>
      <c r="S25" s="32">
        <f>SUMIFS('Pasted Areas'!$E:$E,'Pasted Areas'!$K:$K,$B25,'Pasted Areas'!$C:$C,"*Internal Partitions*")</f>
        <v>67.14</v>
      </c>
      <c r="T25" s="31">
        <f t="shared" si="6"/>
        <v>134.28</v>
      </c>
      <c r="V25" s="16">
        <f>SUMIFS('Pasted Areas'!$E:$E,'Pasted Areas'!$K:$K,$B25,'Pasted Areas'!$C:$C,"*SAP Roof 1*")</f>
        <v>0</v>
      </c>
      <c r="W25" s="16">
        <f>SUMIFS('Pasted Areas'!$E:$E,'Pasted Areas'!$K:$K,$B25,'Pasted Areas'!$C:$C,"*SAP Roof 2*")</f>
        <v>0</v>
      </c>
      <c r="X25" s="16">
        <f>SUMIFS('Pasted Areas'!$E:$E,'Pasted Areas'!$K:$K,$B25,'Pasted Areas'!$C:$C,"*SAP Roof 3*")</f>
        <v>0</v>
      </c>
      <c r="Y25" s="16">
        <f>SUMIFS('Pasted Areas'!$E:$E,'Pasted Areas'!$K:$K,$B25,'Pasted Areas'!$C:$C,"*SAP Roof 4*")</f>
        <v>0</v>
      </c>
      <c r="Z25" s="16">
        <f>SUMIFS('Pasted Areas'!$E:$E,'Pasted Areas'!$K:$K,$B25,'Pasted Areas'!$C:$C,"*SAP Roof 5*")</f>
        <v>72.040000000000006</v>
      </c>
      <c r="AA25" s="16">
        <f>SUMIFS('Pasted Areas'!$E:$E,'Pasted Areas'!$K:$K,$B25,'Pasted Areas'!$C:$C,"*Party Ceiling*")</f>
        <v>0</v>
      </c>
      <c r="AB25"/>
      <c r="AC25" s="16">
        <f>SUMIFS('Pasted Areas'!$E:$E,'Pasted Areas'!$K:$K,$B25,'Pasted Areas'!$C:$C,"*Ground Floor*")</f>
        <v>0</v>
      </c>
      <c r="AD25" s="16">
        <f>SUMIFS('Pasted Areas'!$E:$E,'Pasted Areas'!$K:$K,$B25,'Pasted Areas'!$C:$C,"* Exposed Floor*")</f>
        <v>0</v>
      </c>
      <c r="AE25" s="16">
        <f>SUMIFS('Pasted Areas'!$E:$E,'Pasted Areas'!$K:$K,$B25,'Pasted Areas'!$C:$C,"*Semi-Exposed Floor*")</f>
        <v>0</v>
      </c>
      <c r="AF25" s="16">
        <f>SUMIFS('Pasted Areas'!$E:$E,'Pasted Areas'!$K:$K,$B25,'Pasted Areas'!$C:$C,"*Party Floor*")</f>
        <v>72.039999999999992</v>
      </c>
      <c r="AG25" s="3"/>
      <c r="AH25" s="16">
        <f>SUMIFS('Pasted Areas'!$E:$E,'Pasted Areas'!$K:$K,$B25,'Pasted Areas'!$C:$C,"*Front Door*",'Pasted Areas'!$H:$H,AH$7)</f>
        <v>0</v>
      </c>
      <c r="AI25" s="16">
        <f>SUMIFS('Pasted Areas'!$E:$E,'Pasted Areas'!$K:$K,$B25,'Pasted Areas'!$C:$C,"*Front Door*",'Pasted Areas'!$H:$H,AI$7)</f>
        <v>0</v>
      </c>
      <c r="AJ25" s="16">
        <f>SUMIFS('Pasted Areas'!$E:$E,'Pasted Areas'!$K:$K,$B25,'Pasted Areas'!$C:$C,"*Front Door*",'Pasted Areas'!$H:$H,AJ$7)</f>
        <v>0</v>
      </c>
      <c r="AK25" s="16">
        <f>SUMIFS('Pasted Areas'!$E:$E,'Pasted Areas'!$K:$K,$B25,'Pasted Areas'!$C:$C,"*Front Door*",'Pasted Areas'!$H:$H,AK$7)</f>
        <v>0</v>
      </c>
      <c r="AL25" s="3"/>
      <c r="AM25" s="16">
        <f>SUMIFS('Pasted Areas'!$E:$E,'Pasted Areas'!$K:$K,$B25,'Pasted Areas'!$C:$C,"*Glazing*",'Pasted Areas'!$H:$H,AM$7)</f>
        <v>0</v>
      </c>
      <c r="AN25" s="16">
        <f>SUMIFS('Pasted Areas'!$E:$E,'Pasted Areas'!$K:$K,$B25,'Pasted Areas'!$C:$C,"*Glazing*",'Pasted Areas'!$H:$H,AN$7)</f>
        <v>0</v>
      </c>
      <c r="AO25" s="16">
        <f>SUMIFS('Pasted Areas'!$E:$E,'Pasted Areas'!$K:$K,$B25,'Pasted Areas'!$C:$C,"*Glazing*",'Pasted Areas'!$H:$H,AO$7)</f>
        <v>0</v>
      </c>
      <c r="AP25" s="16">
        <f>SUMIFS('Pasted Areas'!$E:$E,'Pasted Areas'!$K:$K,$B25,'Pasted Areas'!$C:$C,"*Glazing*",'Pasted Areas'!$H:$H,AP$7)</f>
        <v>0</v>
      </c>
      <c r="AQ25" s="16">
        <f>SUMIFS('Pasted Areas'!$E:$E,'Pasted Areas'!$K:$K,$B25,'Pasted Areas'!$C:$C,"*Glazing*",'Pasted Areas'!$H:$H,AQ$7)</f>
        <v>0</v>
      </c>
      <c r="AR25" s="16">
        <f>SUMIFS('Pasted Areas'!$E:$E,'Pasted Areas'!$K:$K,$B25,'Pasted Areas'!$C:$C,"*Glazing*",'Pasted Areas'!$H:$H,AR$7)</f>
        <v>0</v>
      </c>
      <c r="AS25" s="16">
        <f>SUMIFS('Pasted Areas'!$E:$E,'Pasted Areas'!$K:$K,$B25,'Pasted Areas'!$C:$C,"*Glazing*",'Pasted Areas'!$H:$H,AS$7)</f>
        <v>8.84</v>
      </c>
      <c r="AT25" s="16">
        <f>SUMIFS('Pasted Areas'!$E:$E,'Pasted Areas'!$K:$K,$B25,'Pasted Areas'!$C:$C,"*Glazing*",'Pasted Areas'!$H:$H,AT$7)</f>
        <v>0</v>
      </c>
      <c r="AU25" s="3"/>
      <c r="AV25" s="16">
        <f>SUMIFS('Pasted Areas'!$E:$E,'Pasted Areas'!$K:$K,$B25,'Pasted Areas'!$C:$C,"*Roof Light*")</f>
        <v>0</v>
      </c>
      <c r="AW25" s="3"/>
      <c r="AX25" s="52">
        <v>2</v>
      </c>
      <c r="AY25" s="53">
        <v>0</v>
      </c>
      <c r="AZ25" s="52">
        <v>1</v>
      </c>
      <c r="BA25" s="53">
        <v>0</v>
      </c>
      <c r="BB25" s="52">
        <v>1</v>
      </c>
      <c r="BC25" s="2">
        <f t="shared" si="7"/>
        <v>2</v>
      </c>
      <c r="BD25" s="2">
        <f t="shared" si="8"/>
        <v>1</v>
      </c>
      <c r="BE25" s="2">
        <f t="shared" si="9"/>
        <v>2</v>
      </c>
      <c r="BF25" s="22">
        <f>SUMIFS('Pasted Areas'!$E:$E,'Pasted Areas'!$K:$K,$B25,'Pasted Areas'!$C:$C,"*Cooling Area*")</f>
        <v>0</v>
      </c>
      <c r="BG25" s="9"/>
      <c r="BH25" s="35"/>
      <c r="BI25" s="35"/>
      <c r="BJ25" s="9"/>
      <c r="BK25" s="35"/>
      <c r="BL25" s="9"/>
      <c r="BM25" s="35"/>
      <c r="BN25" s="35"/>
      <c r="BO25" s="35"/>
      <c r="BP25" s="35"/>
      <c r="BQ25" s="35"/>
      <c r="BR25" s="9"/>
      <c r="BS25" s="31">
        <f t="shared" si="4"/>
        <v>8.84</v>
      </c>
      <c r="BT25" s="31">
        <f t="shared" si="5"/>
        <v>0</v>
      </c>
      <c r="BU25" s="31">
        <f>SUM(M25:P25,V25:Z25,AC25:AE25,AH25:AV25)</f>
        <v>109.43</v>
      </c>
      <c r="BV25" s="31">
        <f>I25*J25</f>
        <v>180.09999999999997</v>
      </c>
      <c r="BW25"/>
      <c r="BX25" s="21">
        <f>SUM(M25:S25,V25:AV25,BF25:BF25)</f>
        <v>320.21999999999997</v>
      </c>
      <c r="BY25"/>
      <c r="CA25"/>
    </row>
    <row r="26" spans="2:93" customFormat="1" x14ac:dyDescent="0.25">
      <c r="BX26" s="54">
        <f>SUM(BX8:BX25)</f>
        <v>5622.67</v>
      </c>
    </row>
    <row r="27" spans="2:93" customFormat="1" x14ac:dyDescent="0.25"/>
    <row r="28" spans="2:93" customFormat="1" x14ac:dyDescent="0.25"/>
    <row r="29" spans="2:93" x14ac:dyDescent="0.25">
      <c r="B29"/>
      <c r="D29"/>
      <c r="I29"/>
      <c r="J29"/>
      <c r="K29"/>
      <c r="L29"/>
      <c r="M29"/>
      <c r="N29"/>
      <c r="O29"/>
      <c r="P29"/>
      <c r="Q29"/>
      <c r="R29"/>
      <c r="S29"/>
      <c r="T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</row>
    <row r="30" spans="2:93" x14ac:dyDescent="0.25">
      <c r="B30"/>
      <c r="D30"/>
      <c r="I30"/>
      <c r="J30"/>
      <c r="K30"/>
      <c r="L30"/>
      <c r="M30"/>
      <c r="N30"/>
      <c r="O30"/>
      <c r="P30"/>
      <c r="Q30"/>
      <c r="R30"/>
      <c r="S30"/>
      <c r="T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</row>
    <row r="31" spans="2:93" x14ac:dyDescent="0.25">
      <c r="B31"/>
    </row>
    <row r="32" spans="2:93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</sheetData>
  <sortState xmlns:xlrd2="http://schemas.microsoft.com/office/spreadsheetml/2017/richdata2" ref="B16:B24">
    <sortCondition ref="B16:B24"/>
  </sortState>
  <phoneticPr fontId="1" type="noConversion"/>
  <conditionalFormatting sqref="C8:C25">
    <cfRule type="cellIs" dxfId="81" priority="31" operator="equal">
      <formula>0</formula>
    </cfRule>
    <cfRule type="cellIs" dxfId="80" priority="32" operator="equal">
      <formula>1</formula>
    </cfRule>
    <cfRule type="cellIs" dxfId="79" priority="33" operator="equal">
      <formula>2</formula>
    </cfRule>
    <cfRule type="cellIs" dxfId="78" priority="34" operator="equal">
      <formula>3</formula>
    </cfRule>
    <cfRule type="cellIs" dxfId="77" priority="35" operator="equal">
      <formula>4</formula>
    </cfRule>
    <cfRule type="cellIs" dxfId="76" priority="36" operator="equal">
      <formula>5</formula>
    </cfRule>
    <cfRule type="cellIs" dxfId="75" priority="37" operator="equal">
      <formula>6</formula>
    </cfRule>
    <cfRule type="cellIs" dxfId="74" priority="38" operator="equal">
      <formula>7</formula>
    </cfRule>
    <cfRule type="cellIs" dxfId="73" priority="39" operator="equal">
      <formula>8</formula>
    </cfRule>
    <cfRule type="cellIs" dxfId="72" priority="40" operator="equal">
      <formula>9</formula>
    </cfRule>
    <cfRule type="cellIs" dxfId="71" priority="41" operator="equal">
      <formula>10</formula>
    </cfRule>
  </conditionalFormatting>
  <conditionalFormatting sqref="G8:G25">
    <cfRule type="cellIs" dxfId="70" priority="20" operator="equal">
      <formula>0</formula>
    </cfRule>
    <cfRule type="cellIs" dxfId="69" priority="21" operator="equal">
      <formula>1</formula>
    </cfRule>
    <cfRule type="cellIs" dxfId="68" priority="22" operator="equal">
      <formula>2</formula>
    </cfRule>
    <cfRule type="cellIs" dxfId="67" priority="23" operator="equal">
      <formula>3</formula>
    </cfRule>
    <cfRule type="cellIs" dxfId="66" priority="24" operator="equal">
      <formula>4</formula>
    </cfRule>
    <cfRule type="cellIs" dxfId="65" priority="25" operator="equal">
      <formula>5</formula>
    </cfRule>
    <cfRule type="cellIs" dxfId="64" priority="26" operator="equal">
      <formula>6</formula>
    </cfRule>
    <cfRule type="cellIs" dxfId="63" priority="27" operator="equal">
      <formula>7</formula>
    </cfRule>
    <cfRule type="cellIs" dxfId="62" priority="28" operator="equal">
      <formula>8</formula>
    </cfRule>
    <cfRule type="cellIs" dxfId="61" priority="29" operator="equal">
      <formula>9</formula>
    </cfRule>
    <cfRule type="cellIs" dxfId="60" priority="30" operator="equal">
      <formula>10</formula>
    </cfRule>
  </conditionalFormatting>
  <conditionalFormatting sqref="D8:D25">
    <cfRule type="cellIs" dxfId="0" priority="1" operator="equal">
      <formula>"N"</formula>
    </cfRule>
    <cfRule type="cellIs" dxfId="7" priority="2" operator="equal">
      <formula>"NE"</formula>
    </cfRule>
    <cfRule type="cellIs" dxfId="6" priority="3" operator="equal">
      <formula>"E"</formula>
    </cfRule>
    <cfRule type="cellIs" dxfId="1" priority="4" operator="equal">
      <formula>"SE"</formula>
    </cfRule>
    <cfRule type="cellIs" dxfId="2" priority="5" operator="equal">
      <formula>"S"</formula>
    </cfRule>
    <cfRule type="cellIs" dxfId="4" priority="6" operator="equal">
      <formula>"W"</formula>
    </cfRule>
    <cfRule type="cellIs" dxfId="5" priority="7" operator="equal">
      <formula>"NW"</formula>
    </cfRule>
    <cfRule type="cellIs" dxfId="3" priority="8" operator="equal">
      <formula>"SW"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A407-9B7D-4E4C-875C-79E8A678EAAC}">
  <sheetPr>
    <tabColor theme="1" tint="0.499984740745262"/>
  </sheetPr>
  <dimension ref="C2:Q765"/>
  <sheetViews>
    <sheetView showGridLines="0" workbookViewId="0">
      <selection activeCell="S13" sqref="S13"/>
    </sheetView>
  </sheetViews>
  <sheetFormatPr defaultRowHeight="11.4" x14ac:dyDescent="0.2"/>
  <cols>
    <col min="1" max="2" width="8.796875" style="33"/>
    <col min="3" max="3" width="22.796875" style="33" customWidth="1"/>
    <col min="4" max="4" width="8.796875" style="33"/>
    <col min="5" max="5" width="7.296875" style="33" customWidth="1"/>
    <col min="6" max="6" width="10.796875" style="33" customWidth="1"/>
    <col min="7" max="7" width="10.3984375" style="33" customWidth="1"/>
    <col min="8" max="8" width="15.5" style="33" customWidth="1"/>
    <col min="9" max="9" width="16.19921875" style="33" customWidth="1"/>
    <col min="10" max="10" width="3.59765625" style="33" customWidth="1"/>
    <col min="11" max="16384" width="8.796875" style="33"/>
  </cols>
  <sheetData>
    <row r="2" spans="3:17" ht="21" x14ac:dyDescent="0.2">
      <c r="C2" s="48" t="s">
        <v>82</v>
      </c>
    </row>
    <row r="3" spans="3:17" ht="13.8" x14ac:dyDescent="0.25">
      <c r="C3" s="37" t="s">
        <v>215</v>
      </c>
      <c r="K3" s="36" t="s">
        <v>34</v>
      </c>
      <c r="L3" s="38">
        <f>SUM(E6:E1869)</f>
        <v>5622.6700000000083</v>
      </c>
      <c r="P3"/>
      <c r="Q3"/>
    </row>
    <row r="5" spans="3:17" x14ac:dyDescent="0.2">
      <c r="C5" s="36" t="s">
        <v>27</v>
      </c>
      <c r="D5" s="36" t="s">
        <v>21</v>
      </c>
      <c r="E5" s="36" t="s">
        <v>22</v>
      </c>
      <c r="F5" s="36" t="s">
        <v>78</v>
      </c>
      <c r="G5" s="36" t="s">
        <v>24</v>
      </c>
      <c r="H5" s="36" t="s">
        <v>79</v>
      </c>
      <c r="I5" s="36" t="s">
        <v>26</v>
      </c>
      <c r="K5" s="36" t="s">
        <v>60</v>
      </c>
    </row>
    <row r="6" spans="3:17" x14ac:dyDescent="0.2">
      <c r="C6" s="40" t="s">
        <v>56</v>
      </c>
      <c r="D6" s="40">
        <v>3944</v>
      </c>
      <c r="E6" s="40">
        <v>5.83</v>
      </c>
      <c r="F6" s="40">
        <v>99.95</v>
      </c>
      <c r="G6" s="40">
        <v>90</v>
      </c>
      <c r="H6" s="40" t="s">
        <v>48</v>
      </c>
      <c r="I6" s="43" t="s">
        <v>83</v>
      </c>
      <c r="J6" s="33" t="s">
        <v>68</v>
      </c>
      <c r="K6" s="39" t="str">
        <f>LEFT(I6,7)</f>
        <v>Flat 09</v>
      </c>
    </row>
    <row r="7" spans="3:17" ht="13.8" x14ac:dyDescent="0.25">
      <c r="C7" s="40" t="s">
        <v>56</v>
      </c>
      <c r="D7" s="40">
        <v>3945</v>
      </c>
      <c r="E7" s="40">
        <v>3.75</v>
      </c>
      <c r="F7" s="40">
        <v>9.9499999999999993</v>
      </c>
      <c r="G7" s="40">
        <v>90</v>
      </c>
      <c r="H7" s="40" t="s">
        <v>47</v>
      </c>
      <c r="I7" s="43" t="s">
        <v>83</v>
      </c>
      <c r="J7" s="33" t="s">
        <v>68</v>
      </c>
      <c r="K7" s="39" t="str">
        <f t="shared" ref="K7:K70" si="0">LEFT(I7,7)</f>
        <v>Flat 09</v>
      </c>
      <c r="L7" s="41"/>
      <c r="M7"/>
    </row>
    <row r="8" spans="3:17" ht="13.8" x14ac:dyDescent="0.25">
      <c r="C8" s="40" t="s">
        <v>56</v>
      </c>
      <c r="D8" s="40">
        <v>3947</v>
      </c>
      <c r="E8" s="40">
        <v>8.5500000000000007</v>
      </c>
      <c r="F8" s="40">
        <v>67</v>
      </c>
      <c r="G8" s="40">
        <v>90</v>
      </c>
      <c r="H8" s="40" t="s">
        <v>77</v>
      </c>
      <c r="I8" s="43" t="s">
        <v>83</v>
      </c>
      <c r="J8" s="33" t="s">
        <v>68</v>
      </c>
      <c r="K8" s="39" t="str">
        <f t="shared" si="0"/>
        <v>Flat 09</v>
      </c>
      <c r="M8"/>
    </row>
    <row r="9" spans="3:17" ht="13.8" x14ac:dyDescent="0.25">
      <c r="C9" s="40" t="s">
        <v>56</v>
      </c>
      <c r="D9" s="40">
        <v>3951</v>
      </c>
      <c r="E9" s="40">
        <v>6.24</v>
      </c>
      <c r="F9" s="40">
        <v>99.95</v>
      </c>
      <c r="G9" s="40">
        <v>90</v>
      </c>
      <c r="H9" s="40" t="s">
        <v>48</v>
      </c>
      <c r="I9" s="43" t="s">
        <v>83</v>
      </c>
      <c r="J9" s="33" t="s">
        <v>68</v>
      </c>
      <c r="K9" s="39" t="str">
        <f t="shared" si="0"/>
        <v>Flat 09</v>
      </c>
      <c r="M9"/>
    </row>
    <row r="10" spans="3:17" ht="13.8" x14ac:dyDescent="0.25">
      <c r="C10" s="40" t="s">
        <v>56</v>
      </c>
      <c r="D10" s="40">
        <v>3956</v>
      </c>
      <c r="E10" s="40">
        <v>1.67</v>
      </c>
      <c r="F10" s="40">
        <v>157</v>
      </c>
      <c r="G10" s="40">
        <v>90</v>
      </c>
      <c r="H10" s="40" t="s">
        <v>76</v>
      </c>
      <c r="I10" s="43" t="s">
        <v>83</v>
      </c>
      <c r="J10" s="33" t="s">
        <v>68</v>
      </c>
      <c r="K10" s="39" t="str">
        <f t="shared" si="0"/>
        <v>Flat 09</v>
      </c>
      <c r="M10"/>
    </row>
    <row r="11" spans="3:17" ht="13.8" x14ac:dyDescent="0.25">
      <c r="C11" s="40" t="s">
        <v>56</v>
      </c>
      <c r="D11" s="40">
        <v>4082</v>
      </c>
      <c r="E11" s="40">
        <v>8</v>
      </c>
      <c r="F11" s="40">
        <v>247</v>
      </c>
      <c r="G11" s="40">
        <v>90</v>
      </c>
      <c r="H11" s="40" t="s">
        <v>75</v>
      </c>
      <c r="I11" s="43" t="s">
        <v>84</v>
      </c>
      <c r="J11" s="33" t="s">
        <v>68</v>
      </c>
      <c r="K11" s="39" t="str">
        <f t="shared" si="0"/>
        <v>Flat 07</v>
      </c>
      <c r="M11"/>
    </row>
    <row r="12" spans="3:17" ht="13.8" x14ac:dyDescent="0.25">
      <c r="C12" s="40" t="s">
        <v>56</v>
      </c>
      <c r="D12" s="40">
        <v>4083</v>
      </c>
      <c r="E12" s="40">
        <v>4.43</v>
      </c>
      <c r="F12" s="40">
        <v>247</v>
      </c>
      <c r="G12" s="40">
        <v>90</v>
      </c>
      <c r="H12" s="40" t="s">
        <v>75</v>
      </c>
      <c r="I12" s="43" t="s">
        <v>84</v>
      </c>
      <c r="J12" s="33" t="s">
        <v>68</v>
      </c>
      <c r="K12" s="39" t="str">
        <f t="shared" si="0"/>
        <v>Flat 07</v>
      </c>
      <c r="M12"/>
    </row>
    <row r="13" spans="3:17" ht="13.8" x14ac:dyDescent="0.25">
      <c r="C13" s="40" t="s">
        <v>56</v>
      </c>
      <c r="D13" s="40">
        <v>4085</v>
      </c>
      <c r="E13" s="40">
        <v>2.56</v>
      </c>
      <c r="F13" s="40">
        <v>157</v>
      </c>
      <c r="G13" s="40">
        <v>90</v>
      </c>
      <c r="H13" s="40" t="s">
        <v>76</v>
      </c>
      <c r="I13" s="43" t="s">
        <v>84</v>
      </c>
      <c r="J13" s="33" t="s">
        <v>68</v>
      </c>
      <c r="K13" s="39" t="str">
        <f t="shared" si="0"/>
        <v>Flat 07</v>
      </c>
      <c r="M13"/>
    </row>
    <row r="14" spans="3:17" ht="13.8" x14ac:dyDescent="0.25">
      <c r="C14" s="40" t="s">
        <v>56</v>
      </c>
      <c r="D14" s="40">
        <v>4086</v>
      </c>
      <c r="E14" s="40">
        <v>25.29</v>
      </c>
      <c r="F14" s="40">
        <v>337</v>
      </c>
      <c r="G14" s="40">
        <v>90</v>
      </c>
      <c r="H14" s="40" t="s">
        <v>74</v>
      </c>
      <c r="I14" s="43" t="s">
        <v>84</v>
      </c>
      <c r="J14" s="33" t="s">
        <v>68</v>
      </c>
      <c r="K14" s="39" t="str">
        <f t="shared" si="0"/>
        <v>Flat 07</v>
      </c>
      <c r="M14"/>
      <c r="N14" s="42"/>
    </row>
    <row r="15" spans="3:17" ht="13.8" x14ac:dyDescent="0.25">
      <c r="C15" s="40" t="s">
        <v>56</v>
      </c>
      <c r="D15" s="40">
        <v>1265</v>
      </c>
      <c r="E15" s="40">
        <v>11.5</v>
      </c>
      <c r="F15" s="40">
        <v>247</v>
      </c>
      <c r="G15" s="40">
        <v>90</v>
      </c>
      <c r="H15" s="40" t="s">
        <v>75</v>
      </c>
      <c r="I15" s="43" t="s">
        <v>85</v>
      </c>
      <c r="J15" s="33" t="s">
        <v>68</v>
      </c>
      <c r="K15" s="39" t="str">
        <f t="shared" si="0"/>
        <v>Flat 01</v>
      </c>
      <c r="M15"/>
    </row>
    <row r="16" spans="3:17" ht="13.8" x14ac:dyDescent="0.25">
      <c r="C16" s="40" t="s">
        <v>56</v>
      </c>
      <c r="D16" s="40">
        <v>1287</v>
      </c>
      <c r="E16" s="40">
        <v>14.84</v>
      </c>
      <c r="F16" s="40">
        <v>337</v>
      </c>
      <c r="G16" s="40">
        <v>90</v>
      </c>
      <c r="H16" s="40" t="s">
        <v>74</v>
      </c>
      <c r="I16" s="43" t="s">
        <v>85</v>
      </c>
      <c r="J16" s="33" t="s">
        <v>68</v>
      </c>
      <c r="K16" s="39" t="str">
        <f t="shared" si="0"/>
        <v>Flat 01</v>
      </c>
      <c r="M16"/>
    </row>
    <row r="17" spans="3:13" ht="13.8" x14ac:dyDescent="0.25">
      <c r="C17" s="40" t="s">
        <v>56</v>
      </c>
      <c r="D17" s="40">
        <v>1307</v>
      </c>
      <c r="E17" s="40">
        <v>4.68</v>
      </c>
      <c r="F17" s="40">
        <v>157</v>
      </c>
      <c r="G17" s="40">
        <v>90</v>
      </c>
      <c r="H17" s="40" t="s">
        <v>76</v>
      </c>
      <c r="I17" s="43" t="s">
        <v>85</v>
      </c>
      <c r="J17" s="33" t="s">
        <v>68</v>
      </c>
      <c r="K17" s="39" t="str">
        <f t="shared" si="0"/>
        <v>Flat 01</v>
      </c>
      <c r="M17"/>
    </row>
    <row r="18" spans="3:13" ht="13.8" x14ac:dyDescent="0.25">
      <c r="C18" s="40" t="s">
        <v>56</v>
      </c>
      <c r="D18" s="40">
        <v>1484</v>
      </c>
      <c r="E18" s="40">
        <v>3.49</v>
      </c>
      <c r="F18" s="40">
        <v>337</v>
      </c>
      <c r="G18" s="40">
        <v>90</v>
      </c>
      <c r="H18" s="40" t="s">
        <v>74</v>
      </c>
      <c r="I18" s="43" t="s">
        <v>86</v>
      </c>
      <c r="J18" s="33" t="s">
        <v>68</v>
      </c>
      <c r="K18" s="39" t="str">
        <f t="shared" si="0"/>
        <v>Flat 02</v>
      </c>
      <c r="M18"/>
    </row>
    <row r="19" spans="3:13" ht="13.8" x14ac:dyDescent="0.25">
      <c r="C19" s="40" t="s">
        <v>56</v>
      </c>
      <c r="D19" s="40">
        <v>1485</v>
      </c>
      <c r="E19" s="40">
        <v>3.43</v>
      </c>
      <c r="F19" s="40">
        <v>67</v>
      </c>
      <c r="G19" s="40">
        <v>90</v>
      </c>
      <c r="H19" s="40" t="s">
        <v>77</v>
      </c>
      <c r="I19" s="43" t="s">
        <v>86</v>
      </c>
      <c r="J19" s="33" t="s">
        <v>68</v>
      </c>
      <c r="K19" s="39" t="str">
        <f t="shared" si="0"/>
        <v>Flat 02</v>
      </c>
      <c r="M19"/>
    </row>
    <row r="20" spans="3:13" ht="13.8" x14ac:dyDescent="0.25">
      <c r="C20" s="40" t="s">
        <v>56</v>
      </c>
      <c r="D20" s="40">
        <v>1486</v>
      </c>
      <c r="E20" s="40">
        <v>12.13</v>
      </c>
      <c r="F20" s="40">
        <v>337</v>
      </c>
      <c r="G20" s="40">
        <v>90</v>
      </c>
      <c r="H20" s="40" t="s">
        <v>74</v>
      </c>
      <c r="I20" s="43" t="s">
        <v>86</v>
      </c>
      <c r="J20" s="33" t="s">
        <v>68</v>
      </c>
      <c r="K20" s="39" t="str">
        <f t="shared" si="0"/>
        <v>Flat 02</v>
      </c>
      <c r="M20"/>
    </row>
    <row r="21" spans="3:13" ht="13.8" x14ac:dyDescent="0.25">
      <c r="C21" s="40" t="s">
        <v>56</v>
      </c>
      <c r="D21" s="40">
        <v>1488</v>
      </c>
      <c r="E21" s="40">
        <v>17.88</v>
      </c>
      <c r="F21" s="40">
        <v>67</v>
      </c>
      <c r="G21" s="40">
        <v>90</v>
      </c>
      <c r="H21" s="40" t="s">
        <v>77</v>
      </c>
      <c r="I21" s="43" t="s">
        <v>86</v>
      </c>
      <c r="J21" s="33" t="s">
        <v>68</v>
      </c>
      <c r="K21" s="39" t="str">
        <f t="shared" si="0"/>
        <v>Flat 02</v>
      </c>
      <c r="M21"/>
    </row>
    <row r="22" spans="3:13" ht="13.8" x14ac:dyDescent="0.25">
      <c r="C22" s="40" t="s">
        <v>56</v>
      </c>
      <c r="D22" s="40">
        <v>1503</v>
      </c>
      <c r="E22" s="40">
        <v>3.43</v>
      </c>
      <c r="F22" s="40">
        <v>247</v>
      </c>
      <c r="G22" s="40">
        <v>90</v>
      </c>
      <c r="H22" s="40" t="s">
        <v>75</v>
      </c>
      <c r="I22" s="43" t="s">
        <v>86</v>
      </c>
      <c r="J22" s="33" t="s">
        <v>68</v>
      </c>
      <c r="K22" s="39" t="str">
        <f t="shared" si="0"/>
        <v>Flat 02</v>
      </c>
      <c r="M22"/>
    </row>
    <row r="23" spans="3:13" ht="13.8" x14ac:dyDescent="0.25">
      <c r="C23" s="40" t="s">
        <v>56</v>
      </c>
      <c r="D23" s="40">
        <v>1188</v>
      </c>
      <c r="E23" s="40">
        <v>3.75</v>
      </c>
      <c r="F23" s="40">
        <v>189.95</v>
      </c>
      <c r="G23" s="40">
        <v>90</v>
      </c>
      <c r="H23" s="40" t="s">
        <v>42</v>
      </c>
      <c r="I23" s="43" t="s">
        <v>87</v>
      </c>
      <c r="J23" s="33" t="s">
        <v>68</v>
      </c>
      <c r="K23" s="39" t="str">
        <f t="shared" si="0"/>
        <v>Flat 04</v>
      </c>
      <c r="M23"/>
    </row>
    <row r="24" spans="3:13" ht="13.8" x14ac:dyDescent="0.25">
      <c r="C24" s="40" t="s">
        <v>56</v>
      </c>
      <c r="D24" s="40">
        <v>1209</v>
      </c>
      <c r="E24" s="40">
        <v>5.66</v>
      </c>
      <c r="F24" s="40">
        <v>99.95</v>
      </c>
      <c r="G24" s="40">
        <v>90</v>
      </c>
      <c r="H24" s="40" t="s">
        <v>48</v>
      </c>
      <c r="I24" s="43" t="s">
        <v>87</v>
      </c>
      <c r="J24" s="33" t="s">
        <v>68</v>
      </c>
      <c r="K24" s="39" t="str">
        <f t="shared" si="0"/>
        <v>Flat 04</v>
      </c>
      <c r="M24"/>
    </row>
    <row r="25" spans="3:13" ht="13.8" x14ac:dyDescent="0.25">
      <c r="C25" s="40" t="s">
        <v>56</v>
      </c>
      <c r="D25" s="40">
        <v>1210</v>
      </c>
      <c r="E25" s="40">
        <v>3.77</v>
      </c>
      <c r="F25" s="40">
        <v>99.95</v>
      </c>
      <c r="G25" s="40">
        <v>90</v>
      </c>
      <c r="H25" s="40" t="s">
        <v>48</v>
      </c>
      <c r="I25" s="43" t="s">
        <v>87</v>
      </c>
      <c r="J25" s="33" t="s">
        <v>68</v>
      </c>
      <c r="K25" s="39" t="str">
        <f t="shared" si="0"/>
        <v>Flat 04</v>
      </c>
      <c r="M25"/>
    </row>
    <row r="26" spans="3:13" ht="13.8" x14ac:dyDescent="0.25">
      <c r="C26" s="40" t="s">
        <v>56</v>
      </c>
      <c r="D26" s="40">
        <v>2507</v>
      </c>
      <c r="E26" s="40">
        <v>49.87</v>
      </c>
      <c r="F26" s="40">
        <v>189.95</v>
      </c>
      <c r="G26" s="40">
        <v>90</v>
      </c>
      <c r="H26" s="40" t="s">
        <v>42</v>
      </c>
      <c r="I26" s="43" t="s">
        <v>88</v>
      </c>
      <c r="J26" s="33" t="s">
        <v>68</v>
      </c>
      <c r="K26" s="39" t="str">
        <f t="shared" si="0"/>
        <v>Flat 05</v>
      </c>
      <c r="M26"/>
    </row>
    <row r="27" spans="3:13" ht="13.8" x14ac:dyDescent="0.25">
      <c r="C27" s="40" t="s">
        <v>56</v>
      </c>
      <c r="D27" s="40">
        <v>2508</v>
      </c>
      <c r="E27" s="40">
        <v>3.89</v>
      </c>
      <c r="F27" s="40">
        <v>279.95</v>
      </c>
      <c r="G27" s="40">
        <v>90</v>
      </c>
      <c r="H27" s="40" t="s">
        <v>49</v>
      </c>
      <c r="I27" s="43" t="s">
        <v>88</v>
      </c>
      <c r="J27" s="33" t="s">
        <v>68</v>
      </c>
      <c r="K27" s="39" t="str">
        <f t="shared" si="0"/>
        <v>Flat 05</v>
      </c>
      <c r="M27"/>
    </row>
    <row r="28" spans="3:13" ht="13.8" x14ac:dyDescent="0.25">
      <c r="C28" s="40" t="s">
        <v>56</v>
      </c>
      <c r="D28" s="40">
        <v>2510</v>
      </c>
      <c r="E28" s="40">
        <v>12.13</v>
      </c>
      <c r="F28" s="40">
        <v>99.95</v>
      </c>
      <c r="G28" s="40">
        <v>90</v>
      </c>
      <c r="H28" s="40" t="s">
        <v>48</v>
      </c>
      <c r="I28" s="43" t="s">
        <v>88</v>
      </c>
      <c r="J28" s="33" t="s">
        <v>68</v>
      </c>
      <c r="K28" s="39" t="str">
        <f t="shared" si="0"/>
        <v>Flat 05</v>
      </c>
      <c r="M28"/>
    </row>
    <row r="29" spans="3:13" x14ac:dyDescent="0.2">
      <c r="C29" s="40" t="s">
        <v>56</v>
      </c>
      <c r="D29" s="40">
        <v>2521</v>
      </c>
      <c r="E29" s="40">
        <v>3.75</v>
      </c>
      <c r="F29" s="40">
        <v>9.9499999999999993</v>
      </c>
      <c r="G29" s="40">
        <v>90</v>
      </c>
      <c r="H29" s="40" t="s">
        <v>47</v>
      </c>
      <c r="I29" s="43" t="s">
        <v>88</v>
      </c>
      <c r="J29" s="33" t="s">
        <v>68</v>
      </c>
      <c r="K29" s="39" t="str">
        <f t="shared" si="0"/>
        <v>Flat 05</v>
      </c>
    </row>
    <row r="30" spans="3:13" x14ac:dyDescent="0.2">
      <c r="C30" s="40" t="s">
        <v>56</v>
      </c>
      <c r="D30" s="40">
        <v>1743</v>
      </c>
      <c r="E30" s="40">
        <v>5.29</v>
      </c>
      <c r="F30" s="40">
        <v>279.95</v>
      </c>
      <c r="G30" s="40">
        <v>90</v>
      </c>
      <c r="H30" s="40" t="s">
        <v>49</v>
      </c>
      <c r="I30" s="43" t="s">
        <v>89</v>
      </c>
      <c r="J30" s="33" t="s">
        <v>68</v>
      </c>
      <c r="K30" s="39" t="str">
        <f t="shared" si="0"/>
        <v>Flat 06</v>
      </c>
    </row>
    <row r="31" spans="3:13" x14ac:dyDescent="0.2">
      <c r="C31" s="40" t="s">
        <v>56</v>
      </c>
      <c r="D31" s="40">
        <v>1747</v>
      </c>
      <c r="E31" s="40">
        <v>1.29</v>
      </c>
      <c r="F31" s="40">
        <v>247</v>
      </c>
      <c r="G31" s="40">
        <v>90</v>
      </c>
      <c r="H31" s="40" t="s">
        <v>75</v>
      </c>
      <c r="I31" s="43" t="s">
        <v>89</v>
      </c>
      <c r="J31" s="33" t="s">
        <v>68</v>
      </c>
      <c r="K31" s="39" t="str">
        <f t="shared" si="0"/>
        <v>Flat 06</v>
      </c>
    </row>
    <row r="32" spans="3:13" x14ac:dyDescent="0.2">
      <c r="C32" s="40" t="s">
        <v>56</v>
      </c>
      <c r="D32" s="40">
        <v>1748</v>
      </c>
      <c r="E32" s="40">
        <v>12.13</v>
      </c>
      <c r="F32" s="40">
        <v>279.95</v>
      </c>
      <c r="G32" s="40">
        <v>90</v>
      </c>
      <c r="H32" s="40" t="s">
        <v>49</v>
      </c>
      <c r="I32" s="43" t="s">
        <v>89</v>
      </c>
      <c r="J32" s="33" t="s">
        <v>68</v>
      </c>
      <c r="K32" s="39" t="str">
        <f t="shared" si="0"/>
        <v>Flat 06</v>
      </c>
    </row>
    <row r="33" spans="3:11" x14ac:dyDescent="0.2">
      <c r="C33" s="40" t="s">
        <v>56</v>
      </c>
      <c r="D33" s="40">
        <v>1749</v>
      </c>
      <c r="E33" s="40">
        <v>4.37</v>
      </c>
      <c r="F33" s="40">
        <v>9.9499999999999993</v>
      </c>
      <c r="G33" s="40">
        <v>90</v>
      </c>
      <c r="H33" s="40" t="s">
        <v>47</v>
      </c>
      <c r="I33" s="43" t="s">
        <v>89</v>
      </c>
      <c r="J33" s="33" t="s">
        <v>68</v>
      </c>
      <c r="K33" s="39" t="str">
        <f t="shared" si="0"/>
        <v>Flat 06</v>
      </c>
    </row>
    <row r="34" spans="3:11" x14ac:dyDescent="0.2">
      <c r="C34" s="40" t="s">
        <v>56</v>
      </c>
      <c r="D34" s="40">
        <v>1758</v>
      </c>
      <c r="E34" s="40">
        <v>4.37</v>
      </c>
      <c r="F34" s="40">
        <v>189.95</v>
      </c>
      <c r="G34" s="40">
        <v>90</v>
      </c>
      <c r="H34" s="40" t="s">
        <v>42</v>
      </c>
      <c r="I34" s="43" t="s">
        <v>89</v>
      </c>
      <c r="J34" s="33" t="s">
        <v>68</v>
      </c>
      <c r="K34" s="39" t="str">
        <f t="shared" si="0"/>
        <v>Flat 06</v>
      </c>
    </row>
    <row r="35" spans="3:11" x14ac:dyDescent="0.2">
      <c r="C35" s="40" t="s">
        <v>56</v>
      </c>
      <c r="D35" s="40">
        <v>2903</v>
      </c>
      <c r="E35" s="40">
        <v>3.75</v>
      </c>
      <c r="F35" s="40">
        <v>9.9499999999999993</v>
      </c>
      <c r="G35" s="40">
        <v>90</v>
      </c>
      <c r="H35" s="40" t="s">
        <v>47</v>
      </c>
      <c r="I35" s="43" t="s">
        <v>90</v>
      </c>
      <c r="J35" s="33" t="s">
        <v>68</v>
      </c>
      <c r="K35" s="39" t="str">
        <f t="shared" si="0"/>
        <v>Flat 03</v>
      </c>
    </row>
    <row r="36" spans="3:11" x14ac:dyDescent="0.2">
      <c r="C36" s="40" t="s">
        <v>56</v>
      </c>
      <c r="D36" s="40">
        <v>2899</v>
      </c>
      <c r="E36" s="40">
        <v>8.5500000000000007</v>
      </c>
      <c r="F36" s="40">
        <v>67</v>
      </c>
      <c r="G36" s="40">
        <v>90</v>
      </c>
      <c r="H36" s="40" t="s">
        <v>77</v>
      </c>
      <c r="I36" s="43" t="s">
        <v>90</v>
      </c>
      <c r="J36" s="33" t="s">
        <v>68</v>
      </c>
      <c r="K36" s="39" t="str">
        <f t="shared" si="0"/>
        <v>Flat 03</v>
      </c>
    </row>
    <row r="37" spans="3:11" x14ac:dyDescent="0.2">
      <c r="C37" s="40" t="s">
        <v>56</v>
      </c>
      <c r="D37" s="40">
        <v>2930</v>
      </c>
      <c r="E37" s="40">
        <v>6.24</v>
      </c>
      <c r="F37" s="40">
        <v>99.95</v>
      </c>
      <c r="G37" s="40">
        <v>90</v>
      </c>
      <c r="H37" s="40" t="s">
        <v>48</v>
      </c>
      <c r="I37" s="43" t="s">
        <v>90</v>
      </c>
      <c r="J37" s="33" t="s">
        <v>68</v>
      </c>
      <c r="K37" s="39" t="str">
        <f t="shared" si="0"/>
        <v>Flat 03</v>
      </c>
    </row>
    <row r="38" spans="3:11" x14ac:dyDescent="0.2">
      <c r="C38" s="40" t="s">
        <v>56</v>
      </c>
      <c r="D38" s="40">
        <v>2904</v>
      </c>
      <c r="E38" s="40">
        <v>1.67</v>
      </c>
      <c r="F38" s="40">
        <v>157</v>
      </c>
      <c r="G38" s="40">
        <v>90</v>
      </c>
      <c r="H38" s="40" t="s">
        <v>76</v>
      </c>
      <c r="I38" s="43" t="s">
        <v>90</v>
      </c>
      <c r="J38" s="33" t="s">
        <v>68</v>
      </c>
      <c r="K38" s="39" t="str">
        <f t="shared" si="0"/>
        <v>Flat 03</v>
      </c>
    </row>
    <row r="39" spans="3:11" x14ac:dyDescent="0.2">
      <c r="C39" s="40" t="s">
        <v>56</v>
      </c>
      <c r="D39" s="40">
        <v>2946</v>
      </c>
      <c r="E39" s="40">
        <v>5.83</v>
      </c>
      <c r="F39" s="40">
        <v>99.95</v>
      </c>
      <c r="G39" s="40">
        <v>90</v>
      </c>
      <c r="H39" s="40" t="s">
        <v>48</v>
      </c>
      <c r="I39" s="43" t="s">
        <v>90</v>
      </c>
      <c r="J39" s="33" t="s">
        <v>68</v>
      </c>
      <c r="K39" s="39" t="str">
        <f t="shared" si="0"/>
        <v>Flat 03</v>
      </c>
    </row>
    <row r="40" spans="3:11" x14ac:dyDescent="0.2">
      <c r="C40" s="40" t="s">
        <v>56</v>
      </c>
      <c r="D40" s="40">
        <v>2809</v>
      </c>
      <c r="E40" s="40">
        <v>12.61</v>
      </c>
      <c r="F40" s="40">
        <v>279.95</v>
      </c>
      <c r="G40" s="40">
        <v>90</v>
      </c>
      <c r="H40" s="40" t="s">
        <v>49</v>
      </c>
      <c r="I40" s="43" t="s">
        <v>91</v>
      </c>
      <c r="J40" s="33" t="s">
        <v>68</v>
      </c>
      <c r="K40" s="39" t="str">
        <f t="shared" si="0"/>
        <v>Flat 18</v>
      </c>
    </row>
    <row r="41" spans="3:11" x14ac:dyDescent="0.2">
      <c r="C41" s="40" t="s">
        <v>56</v>
      </c>
      <c r="D41" s="40">
        <v>2811</v>
      </c>
      <c r="E41" s="40">
        <v>4.5</v>
      </c>
      <c r="F41" s="40">
        <v>9.9499999999999993</v>
      </c>
      <c r="G41" s="40">
        <v>90</v>
      </c>
      <c r="H41" s="40" t="s">
        <v>47</v>
      </c>
      <c r="I41" s="43" t="s">
        <v>91</v>
      </c>
      <c r="J41" s="33" t="s">
        <v>68</v>
      </c>
      <c r="K41" s="39" t="str">
        <f t="shared" si="0"/>
        <v>Flat 18</v>
      </c>
    </row>
    <row r="42" spans="3:11" x14ac:dyDescent="0.2">
      <c r="C42" s="40" t="s">
        <v>56</v>
      </c>
      <c r="D42" s="40">
        <v>2813</v>
      </c>
      <c r="E42" s="40">
        <v>1.33</v>
      </c>
      <c r="F42" s="40">
        <v>246.81</v>
      </c>
      <c r="G42" s="40">
        <v>90</v>
      </c>
      <c r="H42" s="40" t="s">
        <v>75</v>
      </c>
      <c r="I42" s="43" t="s">
        <v>91</v>
      </c>
      <c r="J42" s="33" t="s">
        <v>68</v>
      </c>
      <c r="K42" s="39" t="str">
        <f t="shared" si="0"/>
        <v>Flat 18</v>
      </c>
    </row>
    <row r="43" spans="3:11" x14ac:dyDescent="0.2">
      <c r="C43" s="40" t="s">
        <v>56</v>
      </c>
      <c r="D43" s="40">
        <v>2815</v>
      </c>
      <c r="E43" s="40">
        <v>5.61</v>
      </c>
      <c r="F43" s="40">
        <v>279.95</v>
      </c>
      <c r="G43" s="40">
        <v>90</v>
      </c>
      <c r="H43" s="40" t="s">
        <v>49</v>
      </c>
      <c r="I43" s="43" t="s">
        <v>91</v>
      </c>
      <c r="J43" s="33" t="s">
        <v>68</v>
      </c>
      <c r="K43" s="39" t="str">
        <f t="shared" si="0"/>
        <v>Flat 18</v>
      </c>
    </row>
    <row r="44" spans="3:11" x14ac:dyDescent="0.2">
      <c r="C44" s="40" t="s">
        <v>56</v>
      </c>
      <c r="D44" s="40">
        <v>2848</v>
      </c>
      <c r="E44" s="40">
        <v>4.5</v>
      </c>
      <c r="F44" s="40">
        <v>189.95</v>
      </c>
      <c r="G44" s="40">
        <v>90</v>
      </c>
      <c r="H44" s="40" t="s">
        <v>42</v>
      </c>
      <c r="I44" s="43" t="s">
        <v>91</v>
      </c>
      <c r="J44" s="33" t="s">
        <v>68</v>
      </c>
      <c r="K44" s="39" t="str">
        <f t="shared" si="0"/>
        <v>Flat 18</v>
      </c>
    </row>
    <row r="45" spans="3:11" x14ac:dyDescent="0.2">
      <c r="C45" s="40" t="s">
        <v>56</v>
      </c>
      <c r="D45" s="40">
        <v>2427</v>
      </c>
      <c r="E45" s="40">
        <v>6.1</v>
      </c>
      <c r="F45" s="40">
        <v>99.95</v>
      </c>
      <c r="G45" s="40">
        <v>90</v>
      </c>
      <c r="H45" s="40" t="s">
        <v>48</v>
      </c>
      <c r="I45" s="43" t="s">
        <v>92</v>
      </c>
      <c r="J45" s="33" t="s">
        <v>68</v>
      </c>
      <c r="K45" s="39" t="str">
        <f t="shared" si="0"/>
        <v>Flat 15</v>
      </c>
    </row>
    <row r="46" spans="3:11" x14ac:dyDescent="0.2">
      <c r="C46" s="40" t="s">
        <v>56</v>
      </c>
      <c r="D46" s="40">
        <v>2428</v>
      </c>
      <c r="E46" s="40">
        <v>3.86</v>
      </c>
      <c r="F46" s="40">
        <v>9.9499999999999993</v>
      </c>
      <c r="G46" s="40">
        <v>90</v>
      </c>
      <c r="H46" s="40" t="s">
        <v>47</v>
      </c>
      <c r="I46" s="43" t="s">
        <v>92</v>
      </c>
      <c r="J46" s="33" t="s">
        <v>68</v>
      </c>
      <c r="K46" s="39" t="str">
        <f t="shared" si="0"/>
        <v>Flat 15</v>
      </c>
    </row>
    <row r="47" spans="3:11" x14ac:dyDescent="0.2">
      <c r="C47" s="40" t="s">
        <v>56</v>
      </c>
      <c r="D47" s="40">
        <v>2430</v>
      </c>
      <c r="E47" s="40">
        <v>8.8699999999999992</v>
      </c>
      <c r="F47" s="40">
        <v>67</v>
      </c>
      <c r="G47" s="40">
        <v>90</v>
      </c>
      <c r="H47" s="40" t="s">
        <v>77</v>
      </c>
      <c r="I47" s="43" t="s">
        <v>92</v>
      </c>
      <c r="J47" s="33" t="s">
        <v>68</v>
      </c>
      <c r="K47" s="39" t="str">
        <f t="shared" si="0"/>
        <v>Flat 15</v>
      </c>
    </row>
    <row r="48" spans="3:11" x14ac:dyDescent="0.2">
      <c r="C48" s="40" t="s">
        <v>56</v>
      </c>
      <c r="D48" s="40">
        <v>2434</v>
      </c>
      <c r="E48" s="40">
        <v>6.49</v>
      </c>
      <c r="F48" s="40">
        <v>99.95</v>
      </c>
      <c r="G48" s="40">
        <v>90</v>
      </c>
      <c r="H48" s="40" t="s">
        <v>48</v>
      </c>
      <c r="I48" s="43" t="s">
        <v>92</v>
      </c>
      <c r="J48" s="33" t="s">
        <v>68</v>
      </c>
      <c r="K48" s="39" t="str">
        <f t="shared" si="0"/>
        <v>Flat 15</v>
      </c>
    </row>
    <row r="49" spans="3:11" x14ac:dyDescent="0.2">
      <c r="C49" s="40" t="s">
        <v>56</v>
      </c>
      <c r="D49" s="40">
        <v>2439</v>
      </c>
      <c r="E49" s="40">
        <v>1.78</v>
      </c>
      <c r="F49" s="40">
        <v>157</v>
      </c>
      <c r="G49" s="40">
        <v>90</v>
      </c>
      <c r="H49" s="40" t="s">
        <v>76</v>
      </c>
      <c r="I49" s="43" t="s">
        <v>92</v>
      </c>
      <c r="J49" s="33" t="s">
        <v>68</v>
      </c>
      <c r="K49" s="39" t="str">
        <f t="shared" si="0"/>
        <v>Flat 15</v>
      </c>
    </row>
    <row r="50" spans="3:11" x14ac:dyDescent="0.2">
      <c r="C50" s="40" t="s">
        <v>56</v>
      </c>
      <c r="D50" s="40">
        <v>3354</v>
      </c>
      <c r="E50" s="40">
        <v>12.13</v>
      </c>
      <c r="F50" s="40">
        <v>279.95</v>
      </c>
      <c r="G50" s="40">
        <v>90</v>
      </c>
      <c r="H50" s="40" t="s">
        <v>49</v>
      </c>
      <c r="I50" s="43" t="s">
        <v>93</v>
      </c>
      <c r="J50" s="33" t="s">
        <v>68</v>
      </c>
      <c r="K50" s="39" t="str">
        <f t="shared" si="0"/>
        <v>Flat 12</v>
      </c>
    </row>
    <row r="51" spans="3:11" x14ac:dyDescent="0.2">
      <c r="C51" s="40" t="s">
        <v>56</v>
      </c>
      <c r="D51" s="40">
        <v>3356</v>
      </c>
      <c r="E51" s="40">
        <v>4.37</v>
      </c>
      <c r="F51" s="40">
        <v>9.9499999999999993</v>
      </c>
      <c r="G51" s="40">
        <v>90</v>
      </c>
      <c r="H51" s="40" t="s">
        <v>47</v>
      </c>
      <c r="I51" s="43" t="s">
        <v>93</v>
      </c>
      <c r="J51" s="33" t="s">
        <v>68</v>
      </c>
      <c r="K51" s="39" t="str">
        <f t="shared" si="0"/>
        <v>Flat 12</v>
      </c>
    </row>
    <row r="52" spans="3:11" x14ac:dyDescent="0.2">
      <c r="C52" s="40" t="s">
        <v>56</v>
      </c>
      <c r="D52" s="40">
        <v>3358</v>
      </c>
      <c r="E52" s="40">
        <v>1.29</v>
      </c>
      <c r="F52" s="40">
        <v>246.81</v>
      </c>
      <c r="G52" s="40">
        <v>90</v>
      </c>
      <c r="H52" s="40" t="s">
        <v>75</v>
      </c>
      <c r="I52" s="43" t="s">
        <v>93</v>
      </c>
      <c r="J52" s="33" t="s">
        <v>68</v>
      </c>
      <c r="K52" s="39" t="str">
        <f t="shared" si="0"/>
        <v>Flat 12</v>
      </c>
    </row>
    <row r="53" spans="3:11" x14ac:dyDescent="0.2">
      <c r="C53" s="40" t="s">
        <v>56</v>
      </c>
      <c r="D53" s="40">
        <v>3360</v>
      </c>
      <c r="E53" s="40">
        <v>5.29</v>
      </c>
      <c r="F53" s="40">
        <v>279.95</v>
      </c>
      <c r="G53" s="40">
        <v>90</v>
      </c>
      <c r="H53" s="40" t="s">
        <v>49</v>
      </c>
      <c r="I53" s="43" t="s">
        <v>93</v>
      </c>
      <c r="J53" s="33" t="s">
        <v>68</v>
      </c>
      <c r="K53" s="39" t="str">
        <f t="shared" si="0"/>
        <v>Flat 12</v>
      </c>
    </row>
    <row r="54" spans="3:11" x14ac:dyDescent="0.2">
      <c r="C54" s="40" t="s">
        <v>56</v>
      </c>
      <c r="D54" s="40">
        <v>3393</v>
      </c>
      <c r="E54" s="40">
        <v>4.37</v>
      </c>
      <c r="F54" s="40">
        <v>189.95</v>
      </c>
      <c r="G54" s="40">
        <v>90</v>
      </c>
      <c r="H54" s="40" t="s">
        <v>42</v>
      </c>
      <c r="I54" s="43" t="s">
        <v>93</v>
      </c>
      <c r="J54" s="33" t="s">
        <v>68</v>
      </c>
      <c r="K54" s="39" t="str">
        <f t="shared" si="0"/>
        <v>Flat 12</v>
      </c>
    </row>
    <row r="55" spans="3:11" x14ac:dyDescent="0.2">
      <c r="C55" s="40" t="s">
        <v>56</v>
      </c>
      <c r="D55" s="40">
        <v>2126</v>
      </c>
      <c r="E55" s="40">
        <v>4.17</v>
      </c>
      <c r="F55" s="40">
        <v>279.95</v>
      </c>
      <c r="G55" s="40">
        <v>90</v>
      </c>
      <c r="H55" s="40" t="s">
        <v>49</v>
      </c>
      <c r="I55" s="43" t="s">
        <v>94</v>
      </c>
      <c r="J55" s="33" t="s">
        <v>68</v>
      </c>
      <c r="K55" s="39" t="str">
        <f t="shared" si="0"/>
        <v>Flat 17</v>
      </c>
    </row>
    <row r="56" spans="3:11" x14ac:dyDescent="0.2">
      <c r="C56" s="40" t="s">
        <v>56</v>
      </c>
      <c r="D56" s="40">
        <v>2129</v>
      </c>
      <c r="E56" s="40">
        <v>51.44</v>
      </c>
      <c r="F56" s="40">
        <v>189.95</v>
      </c>
      <c r="G56" s="40">
        <v>90</v>
      </c>
      <c r="H56" s="40" t="s">
        <v>42</v>
      </c>
      <c r="I56" s="43" t="s">
        <v>94</v>
      </c>
      <c r="J56" s="33" t="s">
        <v>68</v>
      </c>
      <c r="K56" s="39" t="str">
        <f t="shared" si="0"/>
        <v>Flat 17</v>
      </c>
    </row>
    <row r="57" spans="3:11" x14ac:dyDescent="0.2">
      <c r="C57" s="40" t="s">
        <v>56</v>
      </c>
      <c r="D57" s="40">
        <v>2130</v>
      </c>
      <c r="E57" s="40">
        <v>12.61</v>
      </c>
      <c r="F57" s="40">
        <v>99.95</v>
      </c>
      <c r="G57" s="40">
        <v>90</v>
      </c>
      <c r="H57" s="40" t="s">
        <v>48</v>
      </c>
      <c r="I57" s="43" t="s">
        <v>94</v>
      </c>
      <c r="J57" s="33" t="s">
        <v>68</v>
      </c>
      <c r="K57" s="39" t="str">
        <f t="shared" si="0"/>
        <v>Flat 17</v>
      </c>
    </row>
    <row r="58" spans="3:11" x14ac:dyDescent="0.2">
      <c r="C58" s="40" t="s">
        <v>56</v>
      </c>
      <c r="D58" s="40">
        <v>2141</v>
      </c>
      <c r="E58" s="40">
        <v>3.86</v>
      </c>
      <c r="F58" s="40">
        <v>9.9499999999999993</v>
      </c>
      <c r="G58" s="40">
        <v>90</v>
      </c>
      <c r="H58" s="40" t="s">
        <v>47</v>
      </c>
      <c r="I58" s="43" t="s">
        <v>94</v>
      </c>
      <c r="J58" s="33" t="s">
        <v>68</v>
      </c>
      <c r="K58" s="39" t="str">
        <f t="shared" si="0"/>
        <v>Flat 17</v>
      </c>
    </row>
    <row r="59" spans="3:11" x14ac:dyDescent="0.2">
      <c r="C59" s="40" t="s">
        <v>56</v>
      </c>
      <c r="D59" s="40">
        <v>2649</v>
      </c>
      <c r="E59" s="40">
        <v>4.05</v>
      </c>
      <c r="F59" s="40">
        <v>99.95</v>
      </c>
      <c r="G59" s="40">
        <v>90</v>
      </c>
      <c r="H59" s="40" t="s">
        <v>48</v>
      </c>
      <c r="I59" s="43" t="s">
        <v>95</v>
      </c>
      <c r="J59" s="33" t="s">
        <v>68</v>
      </c>
      <c r="K59" s="39" t="str">
        <f t="shared" si="0"/>
        <v>Flat 16</v>
      </c>
    </row>
    <row r="60" spans="3:11" x14ac:dyDescent="0.2">
      <c r="C60" s="40" t="s">
        <v>56</v>
      </c>
      <c r="D60" s="40">
        <v>2650</v>
      </c>
      <c r="E60" s="40">
        <v>5.89</v>
      </c>
      <c r="F60" s="40">
        <v>99.95</v>
      </c>
      <c r="G60" s="40">
        <v>90</v>
      </c>
      <c r="H60" s="40" t="s">
        <v>48</v>
      </c>
      <c r="I60" s="43" t="s">
        <v>95</v>
      </c>
      <c r="J60" s="33" t="s">
        <v>68</v>
      </c>
      <c r="K60" s="39" t="str">
        <f t="shared" si="0"/>
        <v>Flat 16</v>
      </c>
    </row>
    <row r="61" spans="3:11" x14ac:dyDescent="0.2">
      <c r="C61" s="40" t="s">
        <v>56</v>
      </c>
      <c r="D61" s="40">
        <v>2651</v>
      </c>
      <c r="E61" s="40">
        <v>3.86</v>
      </c>
      <c r="F61" s="40">
        <v>189.95</v>
      </c>
      <c r="G61" s="40">
        <v>90</v>
      </c>
      <c r="H61" s="40" t="s">
        <v>42</v>
      </c>
      <c r="I61" s="43" t="s">
        <v>95</v>
      </c>
      <c r="J61" s="33" t="s">
        <v>68</v>
      </c>
      <c r="K61" s="39" t="str">
        <f t="shared" si="0"/>
        <v>Flat 16</v>
      </c>
    </row>
    <row r="62" spans="3:11" x14ac:dyDescent="0.2">
      <c r="C62" s="40" t="s">
        <v>56</v>
      </c>
      <c r="D62" s="40">
        <v>2566</v>
      </c>
      <c r="E62" s="40">
        <v>18.510000000000002</v>
      </c>
      <c r="F62" s="40">
        <v>67</v>
      </c>
      <c r="G62" s="40">
        <v>90</v>
      </c>
      <c r="H62" s="40" t="s">
        <v>77</v>
      </c>
      <c r="I62" s="43" t="s">
        <v>96</v>
      </c>
      <c r="J62" s="33" t="s">
        <v>68</v>
      </c>
      <c r="K62" s="39" t="str">
        <f t="shared" si="0"/>
        <v>Flat 14</v>
      </c>
    </row>
    <row r="63" spans="3:11" x14ac:dyDescent="0.2">
      <c r="C63" s="40" t="s">
        <v>56</v>
      </c>
      <c r="D63" s="40">
        <v>2567</v>
      </c>
      <c r="E63" s="40">
        <v>12.61</v>
      </c>
      <c r="F63" s="40">
        <v>337</v>
      </c>
      <c r="G63" s="40">
        <v>90</v>
      </c>
      <c r="H63" s="40" t="s">
        <v>74</v>
      </c>
      <c r="I63" s="43" t="s">
        <v>96</v>
      </c>
      <c r="J63" s="33" t="s">
        <v>68</v>
      </c>
      <c r="K63" s="39" t="str">
        <f t="shared" si="0"/>
        <v>Flat 14</v>
      </c>
    </row>
    <row r="64" spans="3:11" x14ac:dyDescent="0.2">
      <c r="C64" s="40" t="s">
        <v>56</v>
      </c>
      <c r="D64" s="40">
        <v>2568</v>
      </c>
      <c r="E64" s="40">
        <v>3.76</v>
      </c>
      <c r="F64" s="40">
        <v>337</v>
      </c>
      <c r="G64" s="40">
        <v>90</v>
      </c>
      <c r="H64" s="40" t="s">
        <v>74</v>
      </c>
      <c r="I64" s="43" t="s">
        <v>96</v>
      </c>
      <c r="J64" s="33" t="s">
        <v>68</v>
      </c>
      <c r="K64" s="39" t="str">
        <f t="shared" si="0"/>
        <v>Flat 14</v>
      </c>
    </row>
    <row r="65" spans="3:11" x14ac:dyDescent="0.2">
      <c r="C65" s="40" t="s">
        <v>56</v>
      </c>
      <c r="D65" s="40">
        <v>2569</v>
      </c>
      <c r="E65" s="40">
        <v>3.54</v>
      </c>
      <c r="F65" s="40">
        <v>67</v>
      </c>
      <c r="G65" s="40">
        <v>90</v>
      </c>
      <c r="H65" s="40" t="s">
        <v>77</v>
      </c>
      <c r="I65" s="43" t="s">
        <v>96</v>
      </c>
      <c r="J65" s="33" t="s">
        <v>68</v>
      </c>
      <c r="K65" s="39" t="str">
        <f t="shared" si="0"/>
        <v>Flat 14</v>
      </c>
    </row>
    <row r="66" spans="3:11" x14ac:dyDescent="0.2">
      <c r="C66" s="40" t="s">
        <v>56</v>
      </c>
      <c r="D66" s="40">
        <v>4018</v>
      </c>
      <c r="E66" s="40">
        <v>3.89</v>
      </c>
      <c r="F66" s="40">
        <v>279.95</v>
      </c>
      <c r="G66" s="40">
        <v>90</v>
      </c>
      <c r="H66" s="40" t="s">
        <v>49</v>
      </c>
      <c r="I66" s="43" t="s">
        <v>97</v>
      </c>
      <c r="J66" s="33" t="s">
        <v>68</v>
      </c>
      <c r="K66" s="39" t="str">
        <f t="shared" si="0"/>
        <v>Flat 11</v>
      </c>
    </row>
    <row r="67" spans="3:11" x14ac:dyDescent="0.2">
      <c r="C67" s="40" t="s">
        <v>56</v>
      </c>
      <c r="D67" s="40">
        <v>4020</v>
      </c>
      <c r="E67" s="40">
        <v>49.87</v>
      </c>
      <c r="F67" s="40">
        <v>189.95</v>
      </c>
      <c r="G67" s="40">
        <v>90</v>
      </c>
      <c r="H67" s="40" t="s">
        <v>42</v>
      </c>
      <c r="I67" s="43" t="s">
        <v>97</v>
      </c>
      <c r="J67" s="33" t="s">
        <v>68</v>
      </c>
      <c r="K67" s="39" t="str">
        <f t="shared" si="0"/>
        <v>Flat 11</v>
      </c>
    </row>
    <row r="68" spans="3:11" x14ac:dyDescent="0.2">
      <c r="C68" s="40" t="s">
        <v>56</v>
      </c>
      <c r="D68" s="40">
        <v>4021</v>
      </c>
      <c r="E68" s="40">
        <v>12.13</v>
      </c>
      <c r="F68" s="40">
        <v>99.95</v>
      </c>
      <c r="G68" s="40">
        <v>90</v>
      </c>
      <c r="H68" s="40" t="s">
        <v>48</v>
      </c>
      <c r="I68" s="43" t="s">
        <v>97</v>
      </c>
      <c r="J68" s="33" t="s">
        <v>68</v>
      </c>
      <c r="K68" s="39" t="str">
        <f t="shared" si="0"/>
        <v>Flat 11</v>
      </c>
    </row>
    <row r="69" spans="3:11" x14ac:dyDescent="0.2">
      <c r="C69" s="40" t="s">
        <v>56</v>
      </c>
      <c r="D69" s="40">
        <v>4038</v>
      </c>
      <c r="E69" s="40">
        <v>3.75</v>
      </c>
      <c r="F69" s="40">
        <v>9.9499999999999993</v>
      </c>
      <c r="G69" s="40">
        <v>90</v>
      </c>
      <c r="H69" s="40" t="s">
        <v>47</v>
      </c>
      <c r="I69" s="43" t="s">
        <v>97</v>
      </c>
      <c r="J69" s="33" t="s">
        <v>68</v>
      </c>
      <c r="K69" s="39" t="str">
        <f t="shared" si="0"/>
        <v>Flat 11</v>
      </c>
    </row>
    <row r="70" spans="3:11" x14ac:dyDescent="0.2">
      <c r="C70" s="40" t="s">
        <v>56</v>
      </c>
      <c r="D70" s="40">
        <v>3205</v>
      </c>
      <c r="E70" s="40">
        <v>17.88</v>
      </c>
      <c r="F70" s="40">
        <v>67</v>
      </c>
      <c r="G70" s="40">
        <v>90</v>
      </c>
      <c r="H70" s="40" t="s">
        <v>77</v>
      </c>
      <c r="I70" s="43" t="s">
        <v>98</v>
      </c>
      <c r="J70" s="33" t="s">
        <v>68</v>
      </c>
      <c r="K70" s="39" t="str">
        <f t="shared" si="0"/>
        <v>Flat 08</v>
      </c>
    </row>
    <row r="71" spans="3:11" x14ac:dyDescent="0.2">
      <c r="C71" s="40" t="s">
        <v>56</v>
      </c>
      <c r="D71" s="40">
        <v>3206</v>
      </c>
      <c r="E71" s="40">
        <v>12.13</v>
      </c>
      <c r="F71" s="40">
        <v>337</v>
      </c>
      <c r="G71" s="40">
        <v>90</v>
      </c>
      <c r="H71" s="40" t="s">
        <v>74</v>
      </c>
      <c r="I71" s="43" t="s">
        <v>98</v>
      </c>
      <c r="J71" s="33" t="s">
        <v>68</v>
      </c>
      <c r="K71" s="39" t="str">
        <f t="shared" ref="K71:K134" si="1">LEFT(I71,7)</f>
        <v>Flat 08</v>
      </c>
    </row>
    <row r="72" spans="3:11" x14ac:dyDescent="0.2">
      <c r="C72" s="40" t="s">
        <v>56</v>
      </c>
      <c r="D72" s="40">
        <v>3207</v>
      </c>
      <c r="E72" s="40">
        <v>3.49</v>
      </c>
      <c r="F72" s="40">
        <v>337</v>
      </c>
      <c r="G72" s="40">
        <v>90</v>
      </c>
      <c r="H72" s="40" t="s">
        <v>74</v>
      </c>
      <c r="I72" s="43" t="s">
        <v>98</v>
      </c>
      <c r="J72" s="33" t="s">
        <v>68</v>
      </c>
      <c r="K72" s="39" t="str">
        <f t="shared" si="1"/>
        <v>Flat 08</v>
      </c>
    </row>
    <row r="73" spans="3:11" x14ac:dyDescent="0.2">
      <c r="C73" s="40" t="s">
        <v>56</v>
      </c>
      <c r="D73" s="40">
        <v>3208</v>
      </c>
      <c r="E73" s="40">
        <v>3.43</v>
      </c>
      <c r="F73" s="40">
        <v>67</v>
      </c>
      <c r="G73" s="40">
        <v>90</v>
      </c>
      <c r="H73" s="40" t="s">
        <v>77</v>
      </c>
      <c r="I73" s="43" t="s">
        <v>98</v>
      </c>
      <c r="J73" s="33" t="s">
        <v>68</v>
      </c>
      <c r="K73" s="39" t="str">
        <f t="shared" si="1"/>
        <v>Flat 08</v>
      </c>
    </row>
    <row r="74" spans="3:11" x14ac:dyDescent="0.2">
      <c r="C74" s="40" t="s">
        <v>56</v>
      </c>
      <c r="D74" s="40">
        <v>2050</v>
      </c>
      <c r="E74" s="40">
        <v>8.3000000000000007</v>
      </c>
      <c r="F74" s="40">
        <v>247</v>
      </c>
      <c r="G74" s="40">
        <v>90</v>
      </c>
      <c r="H74" s="40" t="s">
        <v>75</v>
      </c>
      <c r="I74" s="43" t="s">
        <v>99</v>
      </c>
      <c r="J74" s="33" t="s">
        <v>68</v>
      </c>
      <c r="K74" s="39" t="str">
        <f t="shared" si="1"/>
        <v>Flat 13</v>
      </c>
    </row>
    <row r="75" spans="3:11" x14ac:dyDescent="0.2">
      <c r="C75" s="40" t="s">
        <v>56</v>
      </c>
      <c r="D75" s="40">
        <v>2051</v>
      </c>
      <c r="E75" s="40">
        <v>4.7300000000000004</v>
      </c>
      <c r="F75" s="40">
        <v>247</v>
      </c>
      <c r="G75" s="40">
        <v>90</v>
      </c>
      <c r="H75" s="40" t="s">
        <v>75</v>
      </c>
      <c r="I75" s="43" t="s">
        <v>99</v>
      </c>
      <c r="J75" s="33" t="s">
        <v>68</v>
      </c>
      <c r="K75" s="39" t="str">
        <f t="shared" si="1"/>
        <v>Flat 13</v>
      </c>
    </row>
    <row r="76" spans="3:11" x14ac:dyDescent="0.2">
      <c r="C76" s="40" t="s">
        <v>56</v>
      </c>
      <c r="D76" s="40">
        <v>2053</v>
      </c>
      <c r="E76" s="40">
        <v>2.71</v>
      </c>
      <c r="F76" s="40">
        <v>157</v>
      </c>
      <c r="G76" s="40">
        <v>90</v>
      </c>
      <c r="H76" s="40" t="s">
        <v>76</v>
      </c>
      <c r="I76" s="43" t="s">
        <v>99</v>
      </c>
      <c r="J76" s="33" t="s">
        <v>68</v>
      </c>
      <c r="K76" s="39" t="str">
        <f t="shared" si="1"/>
        <v>Flat 13</v>
      </c>
    </row>
    <row r="77" spans="3:11" x14ac:dyDescent="0.2">
      <c r="C77" s="40" t="s">
        <v>56</v>
      </c>
      <c r="D77" s="40">
        <v>2054</v>
      </c>
      <c r="E77" s="40">
        <v>26.22</v>
      </c>
      <c r="F77" s="40">
        <v>337</v>
      </c>
      <c r="G77" s="40">
        <v>90</v>
      </c>
      <c r="H77" s="40" t="s">
        <v>74</v>
      </c>
      <c r="I77" s="43" t="s">
        <v>99</v>
      </c>
      <c r="J77" s="33" t="s">
        <v>68</v>
      </c>
      <c r="K77" s="39" t="str">
        <f t="shared" si="1"/>
        <v>Flat 13</v>
      </c>
    </row>
    <row r="78" spans="3:11" x14ac:dyDescent="0.2">
      <c r="C78" s="40" t="s">
        <v>56</v>
      </c>
      <c r="D78" s="40">
        <v>3288</v>
      </c>
      <c r="E78" s="40">
        <v>3.77</v>
      </c>
      <c r="F78" s="40">
        <v>99.95</v>
      </c>
      <c r="G78" s="40">
        <v>90</v>
      </c>
      <c r="H78" s="40" t="s">
        <v>48</v>
      </c>
      <c r="I78" s="43" t="s">
        <v>100</v>
      </c>
      <c r="J78" s="33" t="s">
        <v>68</v>
      </c>
      <c r="K78" s="39" t="str">
        <f t="shared" si="1"/>
        <v>Flat 10</v>
      </c>
    </row>
    <row r="79" spans="3:11" x14ac:dyDescent="0.2">
      <c r="C79" s="40" t="s">
        <v>56</v>
      </c>
      <c r="D79" s="40">
        <v>3289</v>
      </c>
      <c r="E79" s="40">
        <v>5.66</v>
      </c>
      <c r="F79" s="40">
        <v>99.95</v>
      </c>
      <c r="G79" s="40">
        <v>90</v>
      </c>
      <c r="H79" s="40" t="s">
        <v>48</v>
      </c>
      <c r="I79" s="43" t="s">
        <v>100</v>
      </c>
      <c r="J79" s="33" t="s">
        <v>68</v>
      </c>
      <c r="K79" s="39" t="str">
        <f t="shared" si="1"/>
        <v>Flat 10</v>
      </c>
    </row>
    <row r="80" spans="3:11" x14ac:dyDescent="0.2">
      <c r="C80" s="40" t="s">
        <v>56</v>
      </c>
      <c r="D80" s="40">
        <v>3290</v>
      </c>
      <c r="E80" s="40">
        <v>3.75</v>
      </c>
      <c r="F80" s="40">
        <v>189.95</v>
      </c>
      <c r="G80" s="40">
        <v>90</v>
      </c>
      <c r="H80" s="40" t="s">
        <v>42</v>
      </c>
      <c r="I80" s="43" t="s">
        <v>100</v>
      </c>
      <c r="J80" s="33" t="s">
        <v>68</v>
      </c>
      <c r="K80" s="39" t="str">
        <f t="shared" si="1"/>
        <v>Flat 10</v>
      </c>
    </row>
    <row r="81" spans="3:11" x14ac:dyDescent="0.2">
      <c r="C81" s="40" t="s">
        <v>53</v>
      </c>
      <c r="D81" s="40">
        <v>3949</v>
      </c>
      <c r="E81" s="40">
        <v>21.79</v>
      </c>
      <c r="F81" s="40">
        <v>189.95</v>
      </c>
      <c r="G81" s="40">
        <v>90</v>
      </c>
      <c r="H81" s="40" t="s">
        <v>42</v>
      </c>
      <c r="I81" s="43" t="s">
        <v>83</v>
      </c>
      <c r="J81" s="33" t="s">
        <v>68</v>
      </c>
      <c r="K81" s="39" t="str">
        <f t="shared" si="1"/>
        <v>Flat 09</v>
      </c>
    </row>
    <row r="82" spans="3:11" x14ac:dyDescent="0.2">
      <c r="C82" s="40" t="s">
        <v>53</v>
      </c>
      <c r="D82" s="40">
        <v>3950</v>
      </c>
      <c r="E82" s="40">
        <v>21.2</v>
      </c>
      <c r="F82" s="40">
        <v>337</v>
      </c>
      <c r="G82" s="40">
        <v>90</v>
      </c>
      <c r="H82" s="40" t="s">
        <v>74</v>
      </c>
      <c r="I82" s="43" t="s">
        <v>83</v>
      </c>
      <c r="J82" s="33" t="s">
        <v>68</v>
      </c>
      <c r="K82" s="39" t="str">
        <f t="shared" si="1"/>
        <v>Flat 09</v>
      </c>
    </row>
    <row r="83" spans="3:11" x14ac:dyDescent="0.2">
      <c r="C83" s="40" t="s">
        <v>53</v>
      </c>
      <c r="D83" s="40">
        <v>4084</v>
      </c>
      <c r="E83" s="40">
        <v>19.47</v>
      </c>
      <c r="F83" s="40">
        <v>67</v>
      </c>
      <c r="G83" s="40">
        <v>90</v>
      </c>
      <c r="H83" s="40" t="s">
        <v>77</v>
      </c>
      <c r="I83" s="43" t="s">
        <v>84</v>
      </c>
      <c r="J83" s="33" t="s">
        <v>68</v>
      </c>
      <c r="K83" s="39" t="str">
        <f t="shared" si="1"/>
        <v>Flat 07</v>
      </c>
    </row>
    <row r="84" spans="3:11" x14ac:dyDescent="0.2">
      <c r="C84" s="40" t="s">
        <v>53</v>
      </c>
      <c r="D84" s="40">
        <v>4113</v>
      </c>
      <c r="E84" s="40">
        <v>6.71</v>
      </c>
      <c r="F84" s="40">
        <v>157</v>
      </c>
      <c r="G84" s="40">
        <v>90</v>
      </c>
      <c r="H84" s="40" t="s">
        <v>76</v>
      </c>
      <c r="I84" s="43" t="s">
        <v>84</v>
      </c>
      <c r="J84" s="33" t="s">
        <v>68</v>
      </c>
      <c r="K84" s="39" t="str">
        <f t="shared" si="1"/>
        <v>Flat 07</v>
      </c>
    </row>
    <row r="85" spans="3:11" x14ac:dyDescent="0.2">
      <c r="C85" s="40" t="s">
        <v>53</v>
      </c>
      <c r="D85" s="40">
        <v>1311</v>
      </c>
      <c r="E85" s="40">
        <v>6.71</v>
      </c>
      <c r="F85" s="40">
        <v>157</v>
      </c>
      <c r="G85" s="40">
        <v>90</v>
      </c>
      <c r="H85" s="40" t="s">
        <v>76</v>
      </c>
      <c r="I85" s="43" t="s">
        <v>85</v>
      </c>
      <c r="J85" s="33" t="s">
        <v>68</v>
      </c>
      <c r="K85" s="39" t="str">
        <f t="shared" si="1"/>
        <v>Flat 01</v>
      </c>
    </row>
    <row r="86" spans="3:11" x14ac:dyDescent="0.2">
      <c r="C86" s="40" t="s">
        <v>53</v>
      </c>
      <c r="D86" s="40">
        <v>1489</v>
      </c>
      <c r="E86" s="40">
        <v>21.2</v>
      </c>
      <c r="F86" s="40">
        <v>157</v>
      </c>
      <c r="G86" s="40">
        <v>90</v>
      </c>
      <c r="H86" s="40" t="s">
        <v>76</v>
      </c>
      <c r="I86" s="43" t="s">
        <v>86</v>
      </c>
      <c r="J86" s="33" t="s">
        <v>68</v>
      </c>
      <c r="K86" s="39" t="str">
        <f t="shared" si="1"/>
        <v>Flat 02</v>
      </c>
    </row>
    <row r="87" spans="3:11" x14ac:dyDescent="0.2">
      <c r="C87" s="40" t="s">
        <v>53</v>
      </c>
      <c r="D87" s="40">
        <v>1187</v>
      </c>
      <c r="E87" s="40">
        <v>23.37</v>
      </c>
      <c r="F87" s="40">
        <v>189.95</v>
      </c>
      <c r="G87" s="40">
        <v>90</v>
      </c>
      <c r="H87" s="40" t="s">
        <v>42</v>
      </c>
      <c r="I87" s="43" t="s">
        <v>87</v>
      </c>
      <c r="J87" s="33" t="s">
        <v>68</v>
      </c>
      <c r="K87" s="39" t="str">
        <f t="shared" si="1"/>
        <v>Flat 04</v>
      </c>
    </row>
    <row r="88" spans="3:11" x14ac:dyDescent="0.2">
      <c r="C88" s="40" t="s">
        <v>53</v>
      </c>
      <c r="D88" s="40">
        <v>1189</v>
      </c>
      <c r="E88" s="40">
        <v>5.0599999999999996</v>
      </c>
      <c r="F88" s="40">
        <v>279.95</v>
      </c>
      <c r="G88" s="40">
        <v>90</v>
      </c>
      <c r="H88" s="40" t="s">
        <v>49</v>
      </c>
      <c r="I88" s="43" t="s">
        <v>87</v>
      </c>
      <c r="J88" s="33" t="s">
        <v>68</v>
      </c>
      <c r="K88" s="39" t="str">
        <f t="shared" si="1"/>
        <v>Flat 04</v>
      </c>
    </row>
    <row r="89" spans="3:11" x14ac:dyDescent="0.2">
      <c r="C89" s="40" t="s">
        <v>53</v>
      </c>
      <c r="D89" s="40">
        <v>1205</v>
      </c>
      <c r="E89" s="40">
        <v>21.79</v>
      </c>
      <c r="F89" s="40">
        <v>9.9499999999999993</v>
      </c>
      <c r="G89" s="40">
        <v>90</v>
      </c>
      <c r="H89" s="40" t="s">
        <v>47</v>
      </c>
      <c r="I89" s="43" t="s">
        <v>87</v>
      </c>
      <c r="J89" s="33" t="s">
        <v>68</v>
      </c>
      <c r="K89" s="39" t="str">
        <f t="shared" si="1"/>
        <v>Flat 04</v>
      </c>
    </row>
    <row r="90" spans="3:11" x14ac:dyDescent="0.2">
      <c r="C90" s="40" t="s">
        <v>53</v>
      </c>
      <c r="D90" s="40">
        <v>2504</v>
      </c>
      <c r="E90" s="40">
        <v>19.18</v>
      </c>
      <c r="F90" s="40">
        <v>9.9499999999999993</v>
      </c>
      <c r="G90" s="40">
        <v>90</v>
      </c>
      <c r="H90" s="40" t="s">
        <v>47</v>
      </c>
      <c r="I90" s="43" t="s">
        <v>88</v>
      </c>
      <c r="J90" s="33" t="s">
        <v>68</v>
      </c>
      <c r="K90" s="39" t="str">
        <f t="shared" si="1"/>
        <v>Flat 05</v>
      </c>
    </row>
    <row r="91" spans="3:11" x14ac:dyDescent="0.2">
      <c r="C91" s="40" t="s">
        <v>53</v>
      </c>
      <c r="D91" s="40">
        <v>2505</v>
      </c>
      <c r="E91" s="40">
        <v>24.22</v>
      </c>
      <c r="F91" s="40">
        <v>9.9499999999999993</v>
      </c>
      <c r="G91" s="40">
        <v>90</v>
      </c>
      <c r="H91" s="40" t="s">
        <v>47</v>
      </c>
      <c r="I91" s="43" t="s">
        <v>88</v>
      </c>
      <c r="J91" s="33" t="s">
        <v>68</v>
      </c>
      <c r="K91" s="39" t="str">
        <f t="shared" si="1"/>
        <v>Flat 05</v>
      </c>
    </row>
    <row r="92" spans="3:11" x14ac:dyDescent="0.2">
      <c r="C92" s="40" t="s">
        <v>53</v>
      </c>
      <c r="D92" s="40">
        <v>2506</v>
      </c>
      <c r="E92" s="40">
        <v>12.49</v>
      </c>
      <c r="F92" s="40">
        <v>279.95</v>
      </c>
      <c r="G92" s="40">
        <v>90</v>
      </c>
      <c r="H92" s="40" t="s">
        <v>49</v>
      </c>
      <c r="I92" s="43" t="s">
        <v>88</v>
      </c>
      <c r="J92" s="33" t="s">
        <v>68</v>
      </c>
      <c r="K92" s="39" t="str">
        <f t="shared" si="1"/>
        <v>Flat 05</v>
      </c>
    </row>
    <row r="93" spans="3:11" x14ac:dyDescent="0.2">
      <c r="C93" s="40" t="s">
        <v>53</v>
      </c>
      <c r="D93" s="40">
        <v>2511</v>
      </c>
      <c r="E93" s="40">
        <v>5.91</v>
      </c>
      <c r="F93" s="40">
        <v>99.95</v>
      </c>
      <c r="G93" s="40">
        <v>90</v>
      </c>
      <c r="H93" s="40" t="s">
        <v>48</v>
      </c>
      <c r="I93" s="43" t="s">
        <v>88</v>
      </c>
      <c r="J93" s="33" t="s">
        <v>68</v>
      </c>
      <c r="K93" s="39" t="str">
        <f t="shared" si="1"/>
        <v>Flat 05</v>
      </c>
    </row>
    <row r="94" spans="3:11" x14ac:dyDescent="0.2">
      <c r="C94" s="40" t="s">
        <v>53</v>
      </c>
      <c r="D94" s="40">
        <v>1740</v>
      </c>
      <c r="E94" s="40">
        <v>6.71</v>
      </c>
      <c r="F94" s="40">
        <v>337</v>
      </c>
      <c r="G94" s="40">
        <v>90</v>
      </c>
      <c r="H94" s="40" t="s">
        <v>74</v>
      </c>
      <c r="I94" s="43" t="s">
        <v>89</v>
      </c>
      <c r="J94" s="33" t="s">
        <v>68</v>
      </c>
      <c r="K94" s="39" t="str">
        <f t="shared" si="1"/>
        <v>Flat 06</v>
      </c>
    </row>
    <row r="95" spans="3:11" x14ac:dyDescent="0.2">
      <c r="C95" s="40" t="s">
        <v>53</v>
      </c>
      <c r="D95" s="40">
        <v>1742</v>
      </c>
      <c r="E95" s="40">
        <v>18.34</v>
      </c>
      <c r="F95" s="40">
        <v>189.95</v>
      </c>
      <c r="G95" s="40">
        <v>90</v>
      </c>
      <c r="H95" s="40" t="s">
        <v>42</v>
      </c>
      <c r="I95" s="43" t="s">
        <v>89</v>
      </c>
      <c r="J95" s="33" t="s">
        <v>68</v>
      </c>
      <c r="K95" s="39" t="str">
        <f t="shared" si="1"/>
        <v>Flat 06</v>
      </c>
    </row>
    <row r="96" spans="3:11" x14ac:dyDescent="0.2">
      <c r="C96" s="40" t="s">
        <v>53</v>
      </c>
      <c r="D96" s="40">
        <v>1745</v>
      </c>
      <c r="E96" s="40">
        <v>11.64</v>
      </c>
      <c r="F96" s="40">
        <v>99.95</v>
      </c>
      <c r="G96" s="40">
        <v>90</v>
      </c>
      <c r="H96" s="40" t="s">
        <v>48</v>
      </c>
      <c r="I96" s="43" t="s">
        <v>89</v>
      </c>
      <c r="J96" s="33" t="s">
        <v>68</v>
      </c>
      <c r="K96" s="39" t="str">
        <f t="shared" si="1"/>
        <v>Flat 06</v>
      </c>
    </row>
    <row r="97" spans="3:11" x14ac:dyDescent="0.2">
      <c r="C97" s="40" t="s">
        <v>53</v>
      </c>
      <c r="D97" s="40">
        <v>2919</v>
      </c>
      <c r="E97" s="40">
        <v>21.79</v>
      </c>
      <c r="F97" s="40">
        <v>189.95</v>
      </c>
      <c r="G97" s="40">
        <v>90</v>
      </c>
      <c r="H97" s="40" t="s">
        <v>42</v>
      </c>
      <c r="I97" s="43" t="s">
        <v>90</v>
      </c>
      <c r="J97" s="33" t="s">
        <v>68</v>
      </c>
      <c r="K97" s="39" t="str">
        <f t="shared" si="1"/>
        <v>Flat 03</v>
      </c>
    </row>
    <row r="98" spans="3:11" x14ac:dyDescent="0.2">
      <c r="C98" s="40" t="s">
        <v>53</v>
      </c>
      <c r="D98" s="40">
        <v>2902</v>
      </c>
      <c r="E98" s="40">
        <v>21.2</v>
      </c>
      <c r="F98" s="40">
        <v>337</v>
      </c>
      <c r="G98" s="40">
        <v>90</v>
      </c>
      <c r="H98" s="40" t="s">
        <v>74</v>
      </c>
      <c r="I98" s="43" t="s">
        <v>90</v>
      </c>
      <c r="J98" s="33" t="s">
        <v>68</v>
      </c>
      <c r="K98" s="39" t="str">
        <f t="shared" si="1"/>
        <v>Flat 03</v>
      </c>
    </row>
    <row r="99" spans="3:11" x14ac:dyDescent="0.2">
      <c r="C99" s="40" t="s">
        <v>53</v>
      </c>
      <c r="D99" s="40">
        <v>2817</v>
      </c>
      <c r="E99" s="40">
        <v>18.899999999999999</v>
      </c>
      <c r="F99" s="40">
        <v>189.95</v>
      </c>
      <c r="G99" s="40">
        <v>90</v>
      </c>
      <c r="H99" s="40" t="s">
        <v>42</v>
      </c>
      <c r="I99" s="43" t="s">
        <v>91</v>
      </c>
      <c r="J99" s="33" t="s">
        <v>68</v>
      </c>
      <c r="K99" s="39" t="str">
        <f t="shared" si="1"/>
        <v>Flat 18</v>
      </c>
    </row>
    <row r="100" spans="3:11" x14ac:dyDescent="0.2">
      <c r="C100" s="40" t="s">
        <v>53</v>
      </c>
      <c r="D100" s="40">
        <v>2812</v>
      </c>
      <c r="E100" s="40">
        <v>6.92</v>
      </c>
      <c r="F100" s="40">
        <v>337</v>
      </c>
      <c r="G100" s="40">
        <v>90</v>
      </c>
      <c r="H100" s="40" t="s">
        <v>74</v>
      </c>
      <c r="I100" s="43" t="s">
        <v>91</v>
      </c>
      <c r="J100" s="33" t="s">
        <v>68</v>
      </c>
      <c r="K100" s="39" t="str">
        <f t="shared" si="1"/>
        <v>Flat 18</v>
      </c>
    </row>
    <row r="101" spans="3:11" x14ac:dyDescent="0.2">
      <c r="C101" s="40" t="s">
        <v>53</v>
      </c>
      <c r="D101" s="40">
        <v>2844</v>
      </c>
      <c r="E101" s="40">
        <v>12</v>
      </c>
      <c r="F101" s="40">
        <v>99.95</v>
      </c>
      <c r="G101" s="40">
        <v>90</v>
      </c>
      <c r="H101" s="40" t="s">
        <v>48</v>
      </c>
      <c r="I101" s="43" t="s">
        <v>91</v>
      </c>
      <c r="J101" s="33" t="s">
        <v>68</v>
      </c>
      <c r="K101" s="39" t="str">
        <f t="shared" si="1"/>
        <v>Flat 18</v>
      </c>
    </row>
    <row r="102" spans="3:11" x14ac:dyDescent="0.2">
      <c r="C102" s="40" t="s">
        <v>53</v>
      </c>
      <c r="D102" s="40">
        <v>2432</v>
      </c>
      <c r="E102" s="40">
        <v>22.46</v>
      </c>
      <c r="F102" s="40">
        <v>189.95</v>
      </c>
      <c r="G102" s="40">
        <v>90</v>
      </c>
      <c r="H102" s="40" t="s">
        <v>42</v>
      </c>
      <c r="I102" s="43" t="s">
        <v>92</v>
      </c>
      <c r="J102" s="33" t="s">
        <v>68</v>
      </c>
      <c r="K102" s="39" t="str">
        <f t="shared" si="1"/>
        <v>Flat 15</v>
      </c>
    </row>
    <row r="103" spans="3:11" x14ac:dyDescent="0.2">
      <c r="C103" s="40" t="s">
        <v>53</v>
      </c>
      <c r="D103" s="40">
        <v>2433</v>
      </c>
      <c r="E103" s="40">
        <v>21.85</v>
      </c>
      <c r="F103" s="40">
        <v>337</v>
      </c>
      <c r="G103" s="40">
        <v>90</v>
      </c>
      <c r="H103" s="40" t="s">
        <v>74</v>
      </c>
      <c r="I103" s="43" t="s">
        <v>92</v>
      </c>
      <c r="J103" s="33" t="s">
        <v>68</v>
      </c>
      <c r="K103" s="39" t="str">
        <f t="shared" si="1"/>
        <v>Flat 15</v>
      </c>
    </row>
    <row r="104" spans="3:11" x14ac:dyDescent="0.2">
      <c r="C104" s="40" t="s">
        <v>53</v>
      </c>
      <c r="D104" s="40">
        <v>3362</v>
      </c>
      <c r="E104" s="40">
        <v>18.34</v>
      </c>
      <c r="F104" s="40">
        <v>189.95</v>
      </c>
      <c r="G104" s="40">
        <v>90</v>
      </c>
      <c r="H104" s="40" t="s">
        <v>42</v>
      </c>
      <c r="I104" s="43" t="s">
        <v>93</v>
      </c>
      <c r="J104" s="33" t="s">
        <v>68</v>
      </c>
      <c r="K104" s="39" t="str">
        <f t="shared" si="1"/>
        <v>Flat 12</v>
      </c>
    </row>
    <row r="105" spans="3:11" x14ac:dyDescent="0.2">
      <c r="C105" s="40" t="s">
        <v>53</v>
      </c>
      <c r="D105" s="40">
        <v>3357</v>
      </c>
      <c r="E105" s="40">
        <v>6.71</v>
      </c>
      <c r="F105" s="40">
        <v>337</v>
      </c>
      <c r="G105" s="40">
        <v>90</v>
      </c>
      <c r="H105" s="40" t="s">
        <v>74</v>
      </c>
      <c r="I105" s="43" t="s">
        <v>93</v>
      </c>
      <c r="J105" s="33" t="s">
        <v>68</v>
      </c>
      <c r="K105" s="39" t="str">
        <f t="shared" si="1"/>
        <v>Flat 12</v>
      </c>
    </row>
    <row r="106" spans="3:11" x14ac:dyDescent="0.2">
      <c r="C106" s="40" t="s">
        <v>53</v>
      </c>
      <c r="D106" s="40">
        <v>3389</v>
      </c>
      <c r="E106" s="40">
        <v>11.64</v>
      </c>
      <c r="F106" s="40">
        <v>99.95</v>
      </c>
      <c r="G106" s="40">
        <v>90</v>
      </c>
      <c r="H106" s="40" t="s">
        <v>48</v>
      </c>
      <c r="I106" s="43" t="s">
        <v>93</v>
      </c>
      <c r="J106" s="33" t="s">
        <v>68</v>
      </c>
      <c r="K106" s="39" t="str">
        <f t="shared" si="1"/>
        <v>Flat 12</v>
      </c>
    </row>
    <row r="107" spans="3:11" x14ac:dyDescent="0.2">
      <c r="C107" s="40" t="s">
        <v>53</v>
      </c>
      <c r="D107" s="40">
        <v>2125</v>
      </c>
      <c r="E107" s="40">
        <v>6.09</v>
      </c>
      <c r="F107" s="40">
        <v>99.95</v>
      </c>
      <c r="G107" s="40">
        <v>90</v>
      </c>
      <c r="H107" s="40" t="s">
        <v>48</v>
      </c>
      <c r="I107" s="43" t="s">
        <v>94</v>
      </c>
      <c r="J107" s="33" t="s">
        <v>68</v>
      </c>
      <c r="K107" s="39" t="str">
        <f t="shared" si="1"/>
        <v>Flat 17</v>
      </c>
    </row>
    <row r="108" spans="3:11" x14ac:dyDescent="0.2">
      <c r="C108" s="40" t="s">
        <v>53</v>
      </c>
      <c r="D108" s="40">
        <v>2127</v>
      </c>
      <c r="E108" s="40">
        <v>24.96</v>
      </c>
      <c r="F108" s="40">
        <v>9.9499999999999993</v>
      </c>
      <c r="G108" s="40">
        <v>90</v>
      </c>
      <c r="H108" s="40" t="s">
        <v>47</v>
      </c>
      <c r="I108" s="43" t="s">
        <v>94</v>
      </c>
      <c r="J108" s="33" t="s">
        <v>68</v>
      </c>
      <c r="K108" s="39" t="str">
        <f t="shared" si="1"/>
        <v>Flat 17</v>
      </c>
    </row>
    <row r="109" spans="3:11" x14ac:dyDescent="0.2">
      <c r="C109" s="40" t="s">
        <v>53</v>
      </c>
      <c r="D109" s="40">
        <v>2128</v>
      </c>
      <c r="E109" s="40">
        <v>19.77</v>
      </c>
      <c r="F109" s="40">
        <v>9.9499999999999993</v>
      </c>
      <c r="G109" s="40">
        <v>90</v>
      </c>
      <c r="H109" s="40" t="s">
        <v>47</v>
      </c>
      <c r="I109" s="43" t="s">
        <v>94</v>
      </c>
      <c r="J109" s="33" t="s">
        <v>68</v>
      </c>
      <c r="K109" s="39" t="str">
        <f t="shared" si="1"/>
        <v>Flat 17</v>
      </c>
    </row>
    <row r="110" spans="3:11" x14ac:dyDescent="0.2">
      <c r="C110" s="40" t="s">
        <v>53</v>
      </c>
      <c r="D110" s="40">
        <v>2131</v>
      </c>
      <c r="E110" s="40">
        <v>12.87</v>
      </c>
      <c r="F110" s="40">
        <v>279.95</v>
      </c>
      <c r="G110" s="40">
        <v>90</v>
      </c>
      <c r="H110" s="40" t="s">
        <v>49</v>
      </c>
      <c r="I110" s="43" t="s">
        <v>94</v>
      </c>
      <c r="J110" s="33" t="s">
        <v>68</v>
      </c>
      <c r="K110" s="39" t="str">
        <f t="shared" si="1"/>
        <v>Flat 17</v>
      </c>
    </row>
    <row r="111" spans="3:11" x14ac:dyDescent="0.2">
      <c r="C111" s="40" t="s">
        <v>53</v>
      </c>
      <c r="D111" s="40">
        <v>2648</v>
      </c>
      <c r="E111" s="40">
        <v>24.09</v>
      </c>
      <c r="F111" s="40">
        <v>189.95</v>
      </c>
      <c r="G111" s="40">
        <v>90</v>
      </c>
      <c r="H111" s="40" t="s">
        <v>42</v>
      </c>
      <c r="I111" s="43" t="s">
        <v>95</v>
      </c>
      <c r="J111" s="33" t="s">
        <v>68</v>
      </c>
      <c r="K111" s="39" t="str">
        <f t="shared" si="1"/>
        <v>Flat 16</v>
      </c>
    </row>
    <row r="112" spans="3:11" x14ac:dyDescent="0.2">
      <c r="C112" s="40" t="s">
        <v>53</v>
      </c>
      <c r="D112" s="40">
        <v>2653</v>
      </c>
      <c r="E112" s="40">
        <v>22.46</v>
      </c>
      <c r="F112" s="40">
        <v>9.9499999999999993</v>
      </c>
      <c r="G112" s="40">
        <v>90</v>
      </c>
      <c r="H112" s="40" t="s">
        <v>47</v>
      </c>
      <c r="I112" s="43" t="s">
        <v>95</v>
      </c>
      <c r="J112" s="33" t="s">
        <v>68</v>
      </c>
      <c r="K112" s="39" t="str">
        <f t="shared" si="1"/>
        <v>Flat 16</v>
      </c>
    </row>
    <row r="113" spans="3:11" x14ac:dyDescent="0.2">
      <c r="C113" s="40" t="s">
        <v>53</v>
      </c>
      <c r="D113" s="40">
        <v>2654</v>
      </c>
      <c r="E113" s="40">
        <v>5.21</v>
      </c>
      <c r="F113" s="40">
        <v>279.95</v>
      </c>
      <c r="G113" s="40">
        <v>90</v>
      </c>
      <c r="H113" s="40" t="s">
        <v>49</v>
      </c>
      <c r="I113" s="43" t="s">
        <v>95</v>
      </c>
      <c r="J113" s="33" t="s">
        <v>68</v>
      </c>
      <c r="K113" s="39" t="str">
        <f t="shared" si="1"/>
        <v>Flat 16</v>
      </c>
    </row>
    <row r="114" spans="3:11" x14ac:dyDescent="0.2">
      <c r="C114" s="40" t="s">
        <v>53</v>
      </c>
      <c r="D114" s="40">
        <v>2571</v>
      </c>
      <c r="E114" s="40">
        <v>21.85</v>
      </c>
      <c r="F114" s="40">
        <v>157</v>
      </c>
      <c r="G114" s="40">
        <v>90</v>
      </c>
      <c r="H114" s="40" t="s">
        <v>76</v>
      </c>
      <c r="I114" s="43" t="s">
        <v>96</v>
      </c>
      <c r="J114" s="33" t="s">
        <v>68</v>
      </c>
      <c r="K114" s="39" t="str">
        <f t="shared" si="1"/>
        <v>Flat 14</v>
      </c>
    </row>
    <row r="115" spans="3:11" x14ac:dyDescent="0.2">
      <c r="C115" s="40" t="s">
        <v>53</v>
      </c>
      <c r="D115" s="40">
        <v>2589</v>
      </c>
      <c r="E115" s="40">
        <v>20.07</v>
      </c>
      <c r="F115" s="40">
        <v>247</v>
      </c>
      <c r="G115" s="40">
        <v>90</v>
      </c>
      <c r="H115" s="40" t="s">
        <v>75</v>
      </c>
      <c r="I115" s="43" t="s">
        <v>96</v>
      </c>
      <c r="J115" s="33" t="s">
        <v>68</v>
      </c>
      <c r="K115" s="39" t="str">
        <f t="shared" si="1"/>
        <v>Flat 14</v>
      </c>
    </row>
    <row r="116" spans="3:11" x14ac:dyDescent="0.2">
      <c r="C116" s="40" t="s">
        <v>53</v>
      </c>
      <c r="D116" s="40">
        <v>4017</v>
      </c>
      <c r="E116" s="40">
        <v>5.91</v>
      </c>
      <c r="F116" s="40">
        <v>99.95</v>
      </c>
      <c r="G116" s="40">
        <v>90</v>
      </c>
      <c r="H116" s="40" t="s">
        <v>48</v>
      </c>
      <c r="I116" s="43" t="s">
        <v>97</v>
      </c>
      <c r="J116" s="33" t="s">
        <v>68</v>
      </c>
      <c r="K116" s="39" t="str">
        <f t="shared" si="1"/>
        <v>Flat 11</v>
      </c>
    </row>
    <row r="117" spans="3:11" x14ac:dyDescent="0.2">
      <c r="C117" s="40" t="s">
        <v>53</v>
      </c>
      <c r="D117" s="40">
        <v>4019</v>
      </c>
      <c r="E117" s="40">
        <v>19.18</v>
      </c>
      <c r="F117" s="40">
        <v>9.9499999999999993</v>
      </c>
      <c r="G117" s="40">
        <v>90</v>
      </c>
      <c r="H117" s="40" t="s">
        <v>47</v>
      </c>
      <c r="I117" s="43" t="s">
        <v>97</v>
      </c>
      <c r="J117" s="33" t="s">
        <v>68</v>
      </c>
      <c r="K117" s="39" t="str">
        <f t="shared" si="1"/>
        <v>Flat 11</v>
      </c>
    </row>
    <row r="118" spans="3:11" x14ac:dyDescent="0.2">
      <c r="C118" s="40" t="s">
        <v>53</v>
      </c>
      <c r="D118" s="40">
        <v>4022</v>
      </c>
      <c r="E118" s="40">
        <v>12.49</v>
      </c>
      <c r="F118" s="40">
        <v>279.95</v>
      </c>
      <c r="G118" s="40">
        <v>90</v>
      </c>
      <c r="H118" s="40" t="s">
        <v>49</v>
      </c>
      <c r="I118" s="43" t="s">
        <v>97</v>
      </c>
      <c r="J118" s="33" t="s">
        <v>68</v>
      </c>
      <c r="K118" s="39" t="str">
        <f t="shared" si="1"/>
        <v>Flat 11</v>
      </c>
    </row>
    <row r="119" spans="3:11" x14ac:dyDescent="0.2">
      <c r="C119" s="40" t="s">
        <v>53</v>
      </c>
      <c r="D119" s="40">
        <v>4034</v>
      </c>
      <c r="E119" s="40">
        <v>24.22</v>
      </c>
      <c r="F119" s="40">
        <v>9.9499999999999993</v>
      </c>
      <c r="G119" s="40">
        <v>90</v>
      </c>
      <c r="H119" s="40" t="s">
        <v>47</v>
      </c>
      <c r="I119" s="43" t="s">
        <v>97</v>
      </c>
      <c r="J119" s="33" t="s">
        <v>68</v>
      </c>
      <c r="K119" s="39" t="str">
        <f t="shared" si="1"/>
        <v>Flat 11</v>
      </c>
    </row>
    <row r="120" spans="3:11" x14ac:dyDescent="0.2">
      <c r="C120" s="40" t="s">
        <v>53</v>
      </c>
      <c r="D120" s="40">
        <v>3210</v>
      </c>
      <c r="E120" s="40">
        <v>21.2</v>
      </c>
      <c r="F120" s="40">
        <v>157</v>
      </c>
      <c r="G120" s="40">
        <v>90</v>
      </c>
      <c r="H120" s="40" t="s">
        <v>76</v>
      </c>
      <c r="I120" s="43" t="s">
        <v>98</v>
      </c>
      <c r="J120" s="33" t="s">
        <v>68</v>
      </c>
      <c r="K120" s="39" t="str">
        <f t="shared" si="1"/>
        <v>Flat 08</v>
      </c>
    </row>
    <row r="121" spans="3:11" x14ac:dyDescent="0.2">
      <c r="C121" s="40" t="s">
        <v>53</v>
      </c>
      <c r="D121" s="40">
        <v>3228</v>
      </c>
      <c r="E121" s="40">
        <v>19.47</v>
      </c>
      <c r="F121" s="40">
        <v>247</v>
      </c>
      <c r="G121" s="40">
        <v>90</v>
      </c>
      <c r="H121" s="40" t="s">
        <v>75</v>
      </c>
      <c r="I121" s="43" t="s">
        <v>98</v>
      </c>
      <c r="J121" s="33" t="s">
        <v>68</v>
      </c>
      <c r="K121" s="39" t="str">
        <f t="shared" si="1"/>
        <v>Flat 08</v>
      </c>
    </row>
    <row r="122" spans="3:11" x14ac:dyDescent="0.2">
      <c r="C122" s="40" t="s">
        <v>53</v>
      </c>
      <c r="D122" s="40">
        <v>2052</v>
      </c>
      <c r="E122" s="40">
        <v>20.07</v>
      </c>
      <c r="F122" s="40">
        <v>67</v>
      </c>
      <c r="G122" s="40">
        <v>90</v>
      </c>
      <c r="H122" s="40" t="s">
        <v>77</v>
      </c>
      <c r="I122" s="43" t="s">
        <v>99</v>
      </c>
      <c r="J122" s="33" t="s">
        <v>68</v>
      </c>
      <c r="K122" s="39" t="str">
        <f t="shared" si="1"/>
        <v>Flat 13</v>
      </c>
    </row>
    <row r="123" spans="3:11" x14ac:dyDescent="0.2">
      <c r="C123" s="40" t="s">
        <v>53</v>
      </c>
      <c r="D123" s="40">
        <v>2073</v>
      </c>
      <c r="E123" s="40">
        <v>6.91</v>
      </c>
      <c r="F123" s="40">
        <v>157</v>
      </c>
      <c r="G123" s="40">
        <v>90</v>
      </c>
      <c r="H123" s="40" t="s">
        <v>76</v>
      </c>
      <c r="I123" s="43" t="s">
        <v>99</v>
      </c>
      <c r="J123" s="33" t="s">
        <v>68</v>
      </c>
      <c r="K123" s="39" t="str">
        <f t="shared" si="1"/>
        <v>Flat 13</v>
      </c>
    </row>
    <row r="124" spans="3:11" x14ac:dyDescent="0.2">
      <c r="C124" s="40" t="s">
        <v>53</v>
      </c>
      <c r="D124" s="40">
        <v>3287</v>
      </c>
      <c r="E124" s="40">
        <v>23.37</v>
      </c>
      <c r="F124" s="40">
        <v>189.95</v>
      </c>
      <c r="G124" s="40">
        <v>90</v>
      </c>
      <c r="H124" s="40" t="s">
        <v>42</v>
      </c>
      <c r="I124" s="43" t="s">
        <v>100</v>
      </c>
      <c r="J124" s="33" t="s">
        <v>68</v>
      </c>
      <c r="K124" s="39" t="str">
        <f t="shared" si="1"/>
        <v>Flat 10</v>
      </c>
    </row>
    <row r="125" spans="3:11" x14ac:dyDescent="0.2">
      <c r="C125" s="40" t="s">
        <v>53</v>
      </c>
      <c r="D125" s="40">
        <v>3292</v>
      </c>
      <c r="E125" s="40">
        <v>21.79</v>
      </c>
      <c r="F125" s="40">
        <v>9.9499999999999993</v>
      </c>
      <c r="G125" s="40">
        <v>90</v>
      </c>
      <c r="H125" s="40" t="s">
        <v>47</v>
      </c>
      <c r="I125" s="43" t="s">
        <v>100</v>
      </c>
      <c r="J125" s="33" t="s">
        <v>68</v>
      </c>
      <c r="K125" s="39" t="str">
        <f t="shared" si="1"/>
        <v>Flat 10</v>
      </c>
    </row>
    <row r="126" spans="3:11" x14ac:dyDescent="0.2">
      <c r="C126" s="40" t="s">
        <v>53</v>
      </c>
      <c r="D126" s="40">
        <v>3293</v>
      </c>
      <c r="E126" s="40">
        <v>5.0599999999999996</v>
      </c>
      <c r="F126" s="40">
        <v>279.95</v>
      </c>
      <c r="G126" s="40">
        <v>90</v>
      </c>
      <c r="H126" s="40" t="s">
        <v>49</v>
      </c>
      <c r="I126" s="43" t="s">
        <v>100</v>
      </c>
      <c r="J126" s="33" t="s">
        <v>68</v>
      </c>
      <c r="K126" s="39" t="str">
        <f t="shared" si="1"/>
        <v>Flat 10</v>
      </c>
    </row>
    <row r="127" spans="3:11" x14ac:dyDescent="0.2">
      <c r="C127" s="40" t="s">
        <v>29</v>
      </c>
      <c r="D127" s="40">
        <v>3946</v>
      </c>
      <c r="E127" s="40">
        <v>6.68</v>
      </c>
      <c r="F127" s="40">
        <v>279.95</v>
      </c>
      <c r="G127" s="40">
        <v>90</v>
      </c>
      <c r="H127" s="40" t="s">
        <v>49</v>
      </c>
      <c r="I127" s="43" t="s">
        <v>83</v>
      </c>
      <c r="J127" s="33" t="s">
        <v>68</v>
      </c>
      <c r="K127" s="39" t="str">
        <f t="shared" si="1"/>
        <v>Flat 09</v>
      </c>
    </row>
    <row r="128" spans="3:11" x14ac:dyDescent="0.2">
      <c r="C128" s="40" t="s">
        <v>29</v>
      </c>
      <c r="D128" s="40">
        <v>3948</v>
      </c>
      <c r="E128" s="40">
        <v>5.33</v>
      </c>
      <c r="F128" s="40">
        <v>189.95</v>
      </c>
      <c r="G128" s="40">
        <v>90</v>
      </c>
      <c r="H128" s="40" t="s">
        <v>42</v>
      </c>
      <c r="I128" s="43" t="s">
        <v>83</v>
      </c>
      <c r="J128" s="33" t="s">
        <v>68</v>
      </c>
      <c r="K128" s="39" t="str">
        <f t="shared" si="1"/>
        <v>Flat 09</v>
      </c>
    </row>
    <row r="129" spans="3:11" x14ac:dyDescent="0.2">
      <c r="C129" s="40" t="s">
        <v>29</v>
      </c>
      <c r="D129" s="40">
        <v>3952</v>
      </c>
      <c r="E129" s="40">
        <v>2.66</v>
      </c>
      <c r="F129" s="40">
        <v>279.95</v>
      </c>
      <c r="G129" s="40">
        <v>90</v>
      </c>
      <c r="H129" s="40" t="s">
        <v>49</v>
      </c>
      <c r="I129" s="43" t="s">
        <v>83</v>
      </c>
      <c r="J129" s="33" t="s">
        <v>68</v>
      </c>
      <c r="K129" s="39" t="str">
        <f t="shared" si="1"/>
        <v>Flat 09</v>
      </c>
    </row>
    <row r="130" spans="3:11" x14ac:dyDescent="0.2">
      <c r="C130" s="40" t="s">
        <v>29</v>
      </c>
      <c r="D130" s="40">
        <v>3953</v>
      </c>
      <c r="E130" s="40">
        <v>6.51</v>
      </c>
      <c r="F130" s="40">
        <v>279.95</v>
      </c>
      <c r="G130" s="40">
        <v>90</v>
      </c>
      <c r="H130" s="40" t="s">
        <v>49</v>
      </c>
      <c r="I130" s="43" t="s">
        <v>83</v>
      </c>
      <c r="J130" s="33" t="s">
        <v>68</v>
      </c>
      <c r="K130" s="39" t="str">
        <f t="shared" si="1"/>
        <v>Flat 09</v>
      </c>
    </row>
    <row r="131" spans="3:11" x14ac:dyDescent="0.2">
      <c r="C131" s="40" t="s">
        <v>29</v>
      </c>
      <c r="D131" s="40">
        <v>3954</v>
      </c>
      <c r="E131" s="40">
        <v>2.94</v>
      </c>
      <c r="F131" s="40">
        <v>9.9499999999999993</v>
      </c>
      <c r="G131" s="40">
        <v>90</v>
      </c>
      <c r="H131" s="40" t="s">
        <v>47</v>
      </c>
      <c r="I131" s="43" t="s">
        <v>83</v>
      </c>
      <c r="J131" s="33" t="s">
        <v>68</v>
      </c>
      <c r="K131" s="39" t="str">
        <f t="shared" si="1"/>
        <v>Flat 09</v>
      </c>
    </row>
    <row r="132" spans="3:11" x14ac:dyDescent="0.2">
      <c r="C132" s="40" t="s">
        <v>29</v>
      </c>
      <c r="D132" s="40">
        <v>4087</v>
      </c>
      <c r="E132" s="40">
        <v>19.29</v>
      </c>
      <c r="F132" s="40">
        <v>157</v>
      </c>
      <c r="G132" s="40">
        <v>90</v>
      </c>
      <c r="H132" s="40" t="s">
        <v>76</v>
      </c>
      <c r="I132" s="43" t="s">
        <v>84</v>
      </c>
      <c r="J132" s="33" t="s">
        <v>68</v>
      </c>
      <c r="K132" s="39" t="str">
        <f t="shared" si="1"/>
        <v>Flat 07</v>
      </c>
    </row>
    <row r="133" spans="3:11" x14ac:dyDescent="0.2">
      <c r="C133" s="40" t="s">
        <v>29</v>
      </c>
      <c r="D133" s="40">
        <v>1264</v>
      </c>
      <c r="E133" s="40">
        <v>4.96</v>
      </c>
      <c r="F133" s="40">
        <v>67</v>
      </c>
      <c r="G133" s="40">
        <v>90</v>
      </c>
      <c r="H133" s="40" t="s">
        <v>77</v>
      </c>
      <c r="I133" s="43" t="s">
        <v>85</v>
      </c>
      <c r="J133" s="33" t="s">
        <v>68</v>
      </c>
      <c r="K133" s="39" t="str">
        <f t="shared" si="1"/>
        <v>Flat 01</v>
      </c>
    </row>
    <row r="134" spans="3:11" x14ac:dyDescent="0.2">
      <c r="C134" s="40" t="s">
        <v>29</v>
      </c>
      <c r="D134" s="40">
        <v>1266</v>
      </c>
      <c r="E134" s="40">
        <v>2.82</v>
      </c>
      <c r="F134" s="40">
        <v>157</v>
      </c>
      <c r="G134" s="40">
        <v>90</v>
      </c>
      <c r="H134" s="40" t="s">
        <v>76</v>
      </c>
      <c r="I134" s="43" t="s">
        <v>85</v>
      </c>
      <c r="J134" s="33" t="s">
        <v>68</v>
      </c>
      <c r="K134" s="39" t="str">
        <f t="shared" si="1"/>
        <v>Flat 01</v>
      </c>
    </row>
    <row r="135" spans="3:11" x14ac:dyDescent="0.2">
      <c r="C135" s="40" t="s">
        <v>29</v>
      </c>
      <c r="D135" s="40">
        <v>1267</v>
      </c>
      <c r="E135" s="40">
        <v>9.94</v>
      </c>
      <c r="F135" s="40">
        <v>157</v>
      </c>
      <c r="G135" s="40">
        <v>90</v>
      </c>
      <c r="H135" s="40" t="s">
        <v>76</v>
      </c>
      <c r="I135" s="43" t="s">
        <v>85</v>
      </c>
      <c r="J135" s="33" t="s">
        <v>68</v>
      </c>
      <c r="K135" s="39" t="str">
        <f t="shared" ref="K135:K198" si="2">LEFT(I135,7)</f>
        <v>Flat 01</v>
      </c>
    </row>
    <row r="136" spans="3:11" x14ac:dyDescent="0.2">
      <c r="C136" s="40" t="s">
        <v>29</v>
      </c>
      <c r="D136" s="40">
        <v>1285</v>
      </c>
      <c r="E136" s="40">
        <v>6.96</v>
      </c>
      <c r="F136" s="40">
        <v>67</v>
      </c>
      <c r="G136" s="40">
        <v>90</v>
      </c>
      <c r="H136" s="40" t="s">
        <v>77</v>
      </c>
      <c r="I136" s="43" t="s">
        <v>85</v>
      </c>
      <c r="J136" s="33" t="s">
        <v>68</v>
      </c>
      <c r="K136" s="39" t="str">
        <f t="shared" si="2"/>
        <v>Flat 01</v>
      </c>
    </row>
    <row r="137" spans="3:11" x14ac:dyDescent="0.2">
      <c r="C137" s="40" t="s">
        <v>29</v>
      </c>
      <c r="D137" s="40">
        <v>1487</v>
      </c>
      <c r="E137" s="40">
        <v>20.76</v>
      </c>
      <c r="F137" s="40">
        <v>247</v>
      </c>
      <c r="G137" s="40">
        <v>90</v>
      </c>
      <c r="H137" s="40" t="s">
        <v>75</v>
      </c>
      <c r="I137" s="43" t="s">
        <v>86</v>
      </c>
      <c r="J137" s="33" t="s">
        <v>68</v>
      </c>
      <c r="K137" s="39" t="str">
        <f t="shared" si="2"/>
        <v>Flat 02</v>
      </c>
    </row>
    <row r="138" spans="3:11" x14ac:dyDescent="0.2">
      <c r="C138" s="40" t="s">
        <v>29</v>
      </c>
      <c r="D138" s="40">
        <v>1507</v>
      </c>
      <c r="E138" s="40">
        <v>3.27</v>
      </c>
      <c r="F138" s="40">
        <v>157</v>
      </c>
      <c r="G138" s="40">
        <v>90</v>
      </c>
      <c r="H138" s="40" t="s">
        <v>76</v>
      </c>
      <c r="I138" s="43" t="s">
        <v>86</v>
      </c>
      <c r="J138" s="33" t="s">
        <v>68</v>
      </c>
      <c r="K138" s="39" t="str">
        <f t="shared" si="2"/>
        <v>Flat 02</v>
      </c>
    </row>
    <row r="139" spans="3:11" x14ac:dyDescent="0.2">
      <c r="C139" s="40" t="s">
        <v>29</v>
      </c>
      <c r="D139" s="40">
        <v>1200</v>
      </c>
      <c r="E139" s="40">
        <v>5.33</v>
      </c>
      <c r="F139" s="40">
        <v>9.9499999999999993</v>
      </c>
      <c r="G139" s="40">
        <v>90</v>
      </c>
      <c r="H139" s="40" t="s">
        <v>47</v>
      </c>
      <c r="I139" s="43" t="s">
        <v>87</v>
      </c>
      <c r="J139" s="33" t="s">
        <v>68</v>
      </c>
      <c r="K139" s="39" t="str">
        <f t="shared" si="2"/>
        <v>Flat 04</v>
      </c>
    </row>
    <row r="140" spans="3:11" x14ac:dyDescent="0.2">
      <c r="C140" s="40" t="s">
        <v>29</v>
      </c>
      <c r="D140" s="40">
        <v>1203</v>
      </c>
      <c r="E140" s="40">
        <v>2.85</v>
      </c>
      <c r="F140" s="40">
        <v>279.95</v>
      </c>
      <c r="G140" s="40">
        <v>90</v>
      </c>
      <c r="H140" s="40" t="s">
        <v>49</v>
      </c>
      <c r="I140" s="43" t="s">
        <v>87</v>
      </c>
      <c r="J140" s="33" t="s">
        <v>68</v>
      </c>
      <c r="K140" s="39" t="str">
        <f t="shared" si="2"/>
        <v>Flat 04</v>
      </c>
    </row>
    <row r="141" spans="3:11" x14ac:dyDescent="0.2">
      <c r="C141" s="40" t="s">
        <v>29</v>
      </c>
      <c r="D141" s="40">
        <v>1225</v>
      </c>
      <c r="E141" s="40">
        <v>8.58</v>
      </c>
      <c r="F141" s="40">
        <v>279.95</v>
      </c>
      <c r="G141" s="40">
        <v>90</v>
      </c>
      <c r="H141" s="40" t="s">
        <v>49</v>
      </c>
      <c r="I141" s="43" t="s">
        <v>87</v>
      </c>
      <c r="J141" s="33" t="s">
        <v>68</v>
      </c>
      <c r="K141" s="39" t="str">
        <f t="shared" si="2"/>
        <v>Flat 04</v>
      </c>
    </row>
    <row r="142" spans="3:11" x14ac:dyDescent="0.2">
      <c r="C142" s="40" t="s">
        <v>29</v>
      </c>
      <c r="D142" s="40">
        <v>2509</v>
      </c>
      <c r="E142" s="40">
        <v>4.16</v>
      </c>
      <c r="F142" s="40">
        <v>9.9499999999999993</v>
      </c>
      <c r="G142" s="40">
        <v>90</v>
      </c>
      <c r="H142" s="40" t="s">
        <v>47</v>
      </c>
      <c r="I142" s="43" t="s">
        <v>88</v>
      </c>
      <c r="J142" s="33" t="s">
        <v>68</v>
      </c>
      <c r="K142" s="39" t="str">
        <f t="shared" si="2"/>
        <v>Flat 05</v>
      </c>
    </row>
    <row r="143" spans="3:11" x14ac:dyDescent="0.2">
      <c r="C143" s="40" t="s">
        <v>29</v>
      </c>
      <c r="D143" s="40">
        <v>1738</v>
      </c>
      <c r="E143" s="40">
        <v>6.33</v>
      </c>
      <c r="F143" s="40">
        <v>337</v>
      </c>
      <c r="G143" s="40">
        <v>90</v>
      </c>
      <c r="H143" s="40" t="s">
        <v>74</v>
      </c>
      <c r="I143" s="43" t="s">
        <v>89</v>
      </c>
      <c r="J143" s="33" t="s">
        <v>68</v>
      </c>
      <c r="K143" s="39" t="str">
        <f t="shared" si="2"/>
        <v>Flat 06</v>
      </c>
    </row>
    <row r="144" spans="3:11" x14ac:dyDescent="0.2">
      <c r="C144" s="40" t="s">
        <v>29</v>
      </c>
      <c r="D144" s="40">
        <v>1739</v>
      </c>
      <c r="E144" s="40">
        <v>8.93</v>
      </c>
      <c r="F144" s="40">
        <v>99.95</v>
      </c>
      <c r="G144" s="40">
        <v>90</v>
      </c>
      <c r="H144" s="40" t="s">
        <v>48</v>
      </c>
      <c r="I144" s="43" t="s">
        <v>89</v>
      </c>
      <c r="J144" s="33" t="s">
        <v>68</v>
      </c>
      <c r="K144" s="39" t="str">
        <f t="shared" si="2"/>
        <v>Flat 06</v>
      </c>
    </row>
    <row r="145" spans="3:11" x14ac:dyDescent="0.2">
      <c r="C145" s="40" t="s">
        <v>29</v>
      </c>
      <c r="D145" s="40">
        <v>1741</v>
      </c>
      <c r="E145" s="40">
        <v>3.94</v>
      </c>
      <c r="F145" s="40">
        <v>67</v>
      </c>
      <c r="G145" s="40">
        <v>90</v>
      </c>
      <c r="H145" s="40" t="s">
        <v>77</v>
      </c>
      <c r="I145" s="43" t="s">
        <v>89</v>
      </c>
      <c r="J145" s="33" t="s">
        <v>68</v>
      </c>
      <c r="K145" s="39" t="str">
        <f t="shared" si="2"/>
        <v>Flat 06</v>
      </c>
    </row>
    <row r="146" spans="3:11" x14ac:dyDescent="0.2">
      <c r="C146" s="40" t="s">
        <v>29</v>
      </c>
      <c r="D146" s="40">
        <v>1744</v>
      </c>
      <c r="E146" s="40">
        <v>1.75</v>
      </c>
      <c r="F146" s="40">
        <v>9.9499999999999993</v>
      </c>
      <c r="G146" s="40">
        <v>90</v>
      </c>
      <c r="H146" s="40" t="s">
        <v>47</v>
      </c>
      <c r="I146" s="43" t="s">
        <v>89</v>
      </c>
      <c r="J146" s="33" t="s">
        <v>68</v>
      </c>
      <c r="K146" s="39" t="str">
        <f t="shared" si="2"/>
        <v>Flat 06</v>
      </c>
    </row>
    <row r="147" spans="3:11" x14ac:dyDescent="0.2">
      <c r="C147" s="40" t="s">
        <v>29</v>
      </c>
      <c r="D147" s="40">
        <v>1746</v>
      </c>
      <c r="E147" s="40">
        <v>7.72</v>
      </c>
      <c r="F147" s="40">
        <v>67</v>
      </c>
      <c r="G147" s="40">
        <v>90</v>
      </c>
      <c r="H147" s="40" t="s">
        <v>77</v>
      </c>
      <c r="I147" s="43" t="s">
        <v>89</v>
      </c>
      <c r="J147" s="33" t="s">
        <v>68</v>
      </c>
      <c r="K147" s="39" t="str">
        <f t="shared" si="2"/>
        <v>Flat 06</v>
      </c>
    </row>
    <row r="148" spans="3:11" x14ac:dyDescent="0.2">
      <c r="C148" s="40" t="s">
        <v>29</v>
      </c>
      <c r="D148" s="40">
        <v>1762</v>
      </c>
      <c r="E148" s="40">
        <v>4.08</v>
      </c>
      <c r="F148" s="40">
        <v>99.95</v>
      </c>
      <c r="G148" s="40">
        <v>90</v>
      </c>
      <c r="H148" s="40" t="s">
        <v>48</v>
      </c>
      <c r="I148" s="43" t="s">
        <v>89</v>
      </c>
      <c r="J148" s="33" t="s">
        <v>68</v>
      </c>
      <c r="K148" s="39" t="str">
        <f t="shared" si="2"/>
        <v>Flat 06</v>
      </c>
    </row>
    <row r="149" spans="3:11" x14ac:dyDescent="0.2">
      <c r="C149" s="40" t="s">
        <v>29</v>
      </c>
      <c r="D149" s="40">
        <v>2932</v>
      </c>
      <c r="E149" s="40">
        <v>6.68</v>
      </c>
      <c r="F149" s="40">
        <v>279.95</v>
      </c>
      <c r="G149" s="40">
        <v>90</v>
      </c>
      <c r="H149" s="40" t="s">
        <v>49</v>
      </c>
      <c r="I149" s="43" t="s">
        <v>90</v>
      </c>
      <c r="J149" s="33" t="s">
        <v>68</v>
      </c>
      <c r="K149" s="39" t="str">
        <f t="shared" si="2"/>
        <v>Flat 03</v>
      </c>
    </row>
    <row r="150" spans="3:11" x14ac:dyDescent="0.2">
      <c r="C150" s="40" t="s">
        <v>29</v>
      </c>
      <c r="D150" s="40">
        <v>2925</v>
      </c>
      <c r="E150" s="40">
        <v>5.33</v>
      </c>
      <c r="F150" s="40">
        <v>189.95</v>
      </c>
      <c r="G150" s="40">
        <v>90</v>
      </c>
      <c r="H150" s="40" t="s">
        <v>42</v>
      </c>
      <c r="I150" s="43" t="s">
        <v>90</v>
      </c>
      <c r="J150" s="33" t="s">
        <v>68</v>
      </c>
      <c r="K150" s="39" t="str">
        <f t="shared" si="2"/>
        <v>Flat 03</v>
      </c>
    </row>
    <row r="151" spans="3:11" x14ac:dyDescent="0.2">
      <c r="C151" s="40" t="s">
        <v>29</v>
      </c>
      <c r="D151" s="40">
        <v>2901</v>
      </c>
      <c r="E151" s="40">
        <v>6.51</v>
      </c>
      <c r="F151" s="40">
        <v>279.95</v>
      </c>
      <c r="G151" s="40">
        <v>90</v>
      </c>
      <c r="H151" s="40" t="s">
        <v>49</v>
      </c>
      <c r="I151" s="43" t="s">
        <v>90</v>
      </c>
      <c r="J151" s="33" t="s">
        <v>68</v>
      </c>
      <c r="K151" s="39" t="str">
        <f t="shared" si="2"/>
        <v>Flat 03</v>
      </c>
    </row>
    <row r="152" spans="3:11" x14ac:dyDescent="0.2">
      <c r="C152" s="40" t="s">
        <v>29</v>
      </c>
      <c r="D152" s="40">
        <v>2922</v>
      </c>
      <c r="E152" s="40">
        <v>2.66</v>
      </c>
      <c r="F152" s="40">
        <v>279.95</v>
      </c>
      <c r="G152" s="40">
        <v>90</v>
      </c>
      <c r="H152" s="40" t="s">
        <v>49</v>
      </c>
      <c r="I152" s="43" t="s">
        <v>90</v>
      </c>
      <c r="J152" s="33" t="s">
        <v>68</v>
      </c>
      <c r="K152" s="39" t="str">
        <f t="shared" si="2"/>
        <v>Flat 03</v>
      </c>
    </row>
    <row r="153" spans="3:11" x14ac:dyDescent="0.2">
      <c r="C153" s="40" t="s">
        <v>29</v>
      </c>
      <c r="D153" s="40">
        <v>2810</v>
      </c>
      <c r="E153" s="40">
        <v>4.21</v>
      </c>
      <c r="F153" s="40">
        <v>99.95</v>
      </c>
      <c r="G153" s="40">
        <v>90</v>
      </c>
      <c r="H153" s="40" t="s">
        <v>48</v>
      </c>
      <c r="I153" s="43" t="s">
        <v>91</v>
      </c>
      <c r="J153" s="33" t="s">
        <v>68</v>
      </c>
      <c r="K153" s="39" t="str">
        <f t="shared" si="2"/>
        <v>Flat 18</v>
      </c>
    </row>
    <row r="154" spans="3:11" x14ac:dyDescent="0.2">
      <c r="C154" s="40" t="s">
        <v>29</v>
      </c>
      <c r="D154" s="40">
        <v>2814</v>
      </c>
      <c r="E154" s="40">
        <v>1.77</v>
      </c>
      <c r="F154" s="40">
        <v>9.9499999999999993</v>
      </c>
      <c r="G154" s="40">
        <v>90</v>
      </c>
      <c r="H154" s="40" t="s">
        <v>47</v>
      </c>
      <c r="I154" s="43" t="s">
        <v>91</v>
      </c>
      <c r="J154" s="33" t="s">
        <v>68</v>
      </c>
      <c r="K154" s="39" t="str">
        <f t="shared" si="2"/>
        <v>Flat 18</v>
      </c>
    </row>
    <row r="155" spans="3:11" x14ac:dyDescent="0.2">
      <c r="C155" s="40" t="s">
        <v>29</v>
      </c>
      <c r="D155" s="40">
        <v>2816</v>
      </c>
      <c r="E155" s="40">
        <v>7.92</v>
      </c>
      <c r="F155" s="40">
        <v>66.97</v>
      </c>
      <c r="G155" s="40">
        <v>90</v>
      </c>
      <c r="H155" s="40" t="s">
        <v>77</v>
      </c>
      <c r="I155" s="43" t="s">
        <v>91</v>
      </c>
      <c r="J155" s="33" t="s">
        <v>68</v>
      </c>
      <c r="K155" s="39" t="str">
        <f t="shared" si="2"/>
        <v>Flat 18</v>
      </c>
    </row>
    <row r="156" spans="3:11" x14ac:dyDescent="0.2">
      <c r="C156" s="40" t="s">
        <v>29</v>
      </c>
      <c r="D156" s="40">
        <v>2831</v>
      </c>
      <c r="E156" s="40">
        <v>4.1100000000000003</v>
      </c>
      <c r="F156" s="40">
        <v>67</v>
      </c>
      <c r="G156" s="40">
        <v>90</v>
      </c>
      <c r="H156" s="40" t="s">
        <v>77</v>
      </c>
      <c r="I156" s="43" t="s">
        <v>91</v>
      </c>
      <c r="J156" s="33" t="s">
        <v>68</v>
      </c>
      <c r="K156" s="39" t="str">
        <f t="shared" si="2"/>
        <v>Flat 18</v>
      </c>
    </row>
    <row r="157" spans="3:11" x14ac:dyDescent="0.2">
      <c r="C157" s="40" t="s">
        <v>29</v>
      </c>
      <c r="D157" s="40">
        <v>2834</v>
      </c>
      <c r="E157" s="40">
        <v>6.56</v>
      </c>
      <c r="F157" s="40">
        <v>337</v>
      </c>
      <c r="G157" s="40">
        <v>90</v>
      </c>
      <c r="H157" s="40" t="s">
        <v>74</v>
      </c>
      <c r="I157" s="43" t="s">
        <v>91</v>
      </c>
      <c r="J157" s="33" t="s">
        <v>68</v>
      </c>
      <c r="K157" s="39" t="str">
        <f t="shared" si="2"/>
        <v>Flat 18</v>
      </c>
    </row>
    <row r="158" spans="3:11" x14ac:dyDescent="0.2">
      <c r="C158" s="40" t="s">
        <v>29</v>
      </c>
      <c r="D158" s="40">
        <v>2835</v>
      </c>
      <c r="E158" s="40">
        <v>9.2200000000000006</v>
      </c>
      <c r="F158" s="40">
        <v>99.95</v>
      </c>
      <c r="G158" s="40">
        <v>90</v>
      </c>
      <c r="H158" s="40" t="s">
        <v>48</v>
      </c>
      <c r="I158" s="43" t="s">
        <v>91</v>
      </c>
      <c r="J158" s="33" t="s">
        <v>68</v>
      </c>
      <c r="K158" s="39" t="str">
        <f t="shared" si="2"/>
        <v>Flat 18</v>
      </c>
    </row>
    <row r="159" spans="3:11" x14ac:dyDescent="0.2">
      <c r="C159" s="40" t="s">
        <v>29</v>
      </c>
      <c r="D159" s="40">
        <v>2429</v>
      </c>
      <c r="E159" s="40">
        <v>6.88</v>
      </c>
      <c r="F159" s="40">
        <v>279.95</v>
      </c>
      <c r="G159" s="40">
        <v>90</v>
      </c>
      <c r="H159" s="40" t="s">
        <v>49</v>
      </c>
      <c r="I159" s="43" t="s">
        <v>92</v>
      </c>
      <c r="J159" s="33" t="s">
        <v>68</v>
      </c>
      <c r="K159" s="39" t="str">
        <f t="shared" si="2"/>
        <v>Flat 15</v>
      </c>
    </row>
    <row r="160" spans="3:11" x14ac:dyDescent="0.2">
      <c r="C160" s="40" t="s">
        <v>29</v>
      </c>
      <c r="D160" s="40">
        <v>2431</v>
      </c>
      <c r="E160" s="40">
        <v>5.49</v>
      </c>
      <c r="F160" s="40">
        <v>189.95</v>
      </c>
      <c r="G160" s="40">
        <v>90</v>
      </c>
      <c r="H160" s="40" t="s">
        <v>42</v>
      </c>
      <c r="I160" s="43" t="s">
        <v>92</v>
      </c>
      <c r="J160" s="33" t="s">
        <v>68</v>
      </c>
      <c r="K160" s="39" t="str">
        <f t="shared" si="2"/>
        <v>Flat 15</v>
      </c>
    </row>
    <row r="161" spans="3:11" x14ac:dyDescent="0.2">
      <c r="C161" s="40" t="s">
        <v>29</v>
      </c>
      <c r="D161" s="40">
        <v>2435</v>
      </c>
      <c r="E161" s="40">
        <v>2.75</v>
      </c>
      <c r="F161" s="40">
        <v>279.95</v>
      </c>
      <c r="G161" s="40">
        <v>90</v>
      </c>
      <c r="H161" s="40" t="s">
        <v>49</v>
      </c>
      <c r="I161" s="43" t="s">
        <v>92</v>
      </c>
      <c r="J161" s="33" t="s">
        <v>68</v>
      </c>
      <c r="K161" s="39" t="str">
        <f t="shared" si="2"/>
        <v>Flat 15</v>
      </c>
    </row>
    <row r="162" spans="3:11" x14ac:dyDescent="0.2">
      <c r="C162" s="40" t="s">
        <v>29</v>
      </c>
      <c r="D162" s="40">
        <v>2436</v>
      </c>
      <c r="E162" s="40">
        <v>6.71</v>
      </c>
      <c r="F162" s="40">
        <v>279.95</v>
      </c>
      <c r="G162" s="40">
        <v>90</v>
      </c>
      <c r="H162" s="40" t="s">
        <v>49</v>
      </c>
      <c r="I162" s="43" t="s">
        <v>92</v>
      </c>
      <c r="J162" s="33" t="s">
        <v>68</v>
      </c>
      <c r="K162" s="39" t="str">
        <f t="shared" si="2"/>
        <v>Flat 15</v>
      </c>
    </row>
    <row r="163" spans="3:11" x14ac:dyDescent="0.2">
      <c r="C163" s="40" t="s">
        <v>29</v>
      </c>
      <c r="D163" s="40">
        <v>2437</v>
      </c>
      <c r="E163" s="40">
        <v>3.03</v>
      </c>
      <c r="F163" s="40">
        <v>9.9499999999999993</v>
      </c>
      <c r="G163" s="40">
        <v>90</v>
      </c>
      <c r="H163" s="40" t="s">
        <v>47</v>
      </c>
      <c r="I163" s="43" t="s">
        <v>92</v>
      </c>
      <c r="J163" s="33" t="s">
        <v>68</v>
      </c>
      <c r="K163" s="39" t="str">
        <f t="shared" si="2"/>
        <v>Flat 15</v>
      </c>
    </row>
    <row r="164" spans="3:11" x14ac:dyDescent="0.2">
      <c r="C164" s="40" t="s">
        <v>29</v>
      </c>
      <c r="D164" s="40">
        <v>3355</v>
      </c>
      <c r="E164" s="40">
        <v>4.08</v>
      </c>
      <c r="F164" s="40">
        <v>99.95</v>
      </c>
      <c r="G164" s="40">
        <v>90</v>
      </c>
      <c r="H164" s="40" t="s">
        <v>48</v>
      </c>
      <c r="I164" s="43" t="s">
        <v>93</v>
      </c>
      <c r="J164" s="33" t="s">
        <v>68</v>
      </c>
      <c r="K164" s="39" t="str">
        <f t="shared" si="2"/>
        <v>Flat 12</v>
      </c>
    </row>
    <row r="165" spans="3:11" x14ac:dyDescent="0.2">
      <c r="C165" s="40" t="s">
        <v>29</v>
      </c>
      <c r="D165" s="40">
        <v>3359</v>
      </c>
      <c r="E165" s="40">
        <v>1.72</v>
      </c>
      <c r="F165" s="40">
        <v>9.9499999999999993</v>
      </c>
      <c r="G165" s="40">
        <v>90</v>
      </c>
      <c r="H165" s="40" t="s">
        <v>47</v>
      </c>
      <c r="I165" s="43" t="s">
        <v>93</v>
      </c>
      <c r="J165" s="33" t="s">
        <v>68</v>
      </c>
      <c r="K165" s="39" t="str">
        <f t="shared" si="2"/>
        <v>Flat 12</v>
      </c>
    </row>
    <row r="166" spans="3:11" x14ac:dyDescent="0.2">
      <c r="C166" s="40" t="s">
        <v>29</v>
      </c>
      <c r="D166" s="40">
        <v>3361</v>
      </c>
      <c r="E166" s="40">
        <v>7.69</v>
      </c>
      <c r="F166" s="40">
        <v>66.97</v>
      </c>
      <c r="G166" s="40">
        <v>90</v>
      </c>
      <c r="H166" s="40" t="s">
        <v>77</v>
      </c>
      <c r="I166" s="43" t="s">
        <v>93</v>
      </c>
      <c r="J166" s="33" t="s">
        <v>68</v>
      </c>
      <c r="K166" s="39" t="str">
        <f t="shared" si="2"/>
        <v>Flat 12</v>
      </c>
    </row>
    <row r="167" spans="3:11" x14ac:dyDescent="0.2">
      <c r="C167" s="40" t="s">
        <v>29</v>
      </c>
      <c r="D167" s="40">
        <v>3376</v>
      </c>
      <c r="E167" s="40">
        <v>3.98</v>
      </c>
      <c r="F167" s="40">
        <v>67</v>
      </c>
      <c r="G167" s="40">
        <v>90</v>
      </c>
      <c r="H167" s="40" t="s">
        <v>77</v>
      </c>
      <c r="I167" s="43" t="s">
        <v>93</v>
      </c>
      <c r="J167" s="33" t="s">
        <v>68</v>
      </c>
      <c r="K167" s="39" t="str">
        <f t="shared" si="2"/>
        <v>Flat 12</v>
      </c>
    </row>
    <row r="168" spans="3:11" x14ac:dyDescent="0.2">
      <c r="C168" s="40" t="s">
        <v>29</v>
      </c>
      <c r="D168" s="40">
        <v>3379</v>
      </c>
      <c r="E168" s="40">
        <v>6.36</v>
      </c>
      <c r="F168" s="40">
        <v>337</v>
      </c>
      <c r="G168" s="40">
        <v>90</v>
      </c>
      <c r="H168" s="40" t="s">
        <v>74</v>
      </c>
      <c r="I168" s="43" t="s">
        <v>93</v>
      </c>
      <c r="J168" s="33" t="s">
        <v>68</v>
      </c>
      <c r="K168" s="39" t="str">
        <f t="shared" si="2"/>
        <v>Flat 12</v>
      </c>
    </row>
    <row r="169" spans="3:11" x14ac:dyDescent="0.2">
      <c r="C169" s="40" t="s">
        <v>29</v>
      </c>
      <c r="D169" s="40">
        <v>3380</v>
      </c>
      <c r="E169" s="40">
        <v>8.94</v>
      </c>
      <c r="F169" s="40">
        <v>99.95</v>
      </c>
      <c r="G169" s="40">
        <v>90</v>
      </c>
      <c r="H169" s="40" t="s">
        <v>48</v>
      </c>
      <c r="I169" s="43" t="s">
        <v>93</v>
      </c>
      <c r="J169" s="33" t="s">
        <v>68</v>
      </c>
      <c r="K169" s="39" t="str">
        <f t="shared" si="2"/>
        <v>Flat 12</v>
      </c>
    </row>
    <row r="170" spans="3:11" x14ac:dyDescent="0.2">
      <c r="C170" s="40" t="s">
        <v>29</v>
      </c>
      <c r="D170" s="40">
        <v>2132</v>
      </c>
      <c r="E170" s="40">
        <v>4.29</v>
      </c>
      <c r="F170" s="40">
        <v>9.9499999999999993</v>
      </c>
      <c r="G170" s="40">
        <v>90</v>
      </c>
      <c r="H170" s="40" t="s">
        <v>47</v>
      </c>
      <c r="I170" s="43" t="s">
        <v>94</v>
      </c>
      <c r="J170" s="33" t="s">
        <v>68</v>
      </c>
      <c r="K170" s="39" t="str">
        <f t="shared" si="2"/>
        <v>Flat 17</v>
      </c>
    </row>
    <row r="171" spans="3:11" x14ac:dyDescent="0.2">
      <c r="C171" s="40" t="s">
        <v>29</v>
      </c>
      <c r="D171" s="40">
        <v>2647</v>
      </c>
      <c r="E171" s="40">
        <v>5.49</v>
      </c>
      <c r="F171" s="40">
        <v>9.9499999999999993</v>
      </c>
      <c r="G171" s="40">
        <v>90</v>
      </c>
      <c r="H171" s="40" t="s">
        <v>47</v>
      </c>
      <c r="I171" s="43" t="s">
        <v>95</v>
      </c>
      <c r="J171" s="33" t="s">
        <v>68</v>
      </c>
      <c r="K171" s="39" t="str">
        <f t="shared" si="2"/>
        <v>Flat 16</v>
      </c>
    </row>
    <row r="172" spans="3:11" x14ac:dyDescent="0.2">
      <c r="C172" s="40" t="s">
        <v>29</v>
      </c>
      <c r="D172" s="40">
        <v>2652</v>
      </c>
      <c r="E172" s="40">
        <v>2.93</v>
      </c>
      <c r="F172" s="40">
        <v>279.95</v>
      </c>
      <c r="G172" s="40">
        <v>90</v>
      </c>
      <c r="H172" s="40" t="s">
        <v>49</v>
      </c>
      <c r="I172" s="43" t="s">
        <v>95</v>
      </c>
      <c r="J172" s="33" t="s">
        <v>68</v>
      </c>
      <c r="K172" s="39" t="str">
        <f t="shared" si="2"/>
        <v>Flat 16</v>
      </c>
    </row>
    <row r="173" spans="3:11" x14ac:dyDescent="0.2">
      <c r="C173" s="40" t="s">
        <v>29</v>
      </c>
      <c r="D173" s="40">
        <v>2658</v>
      </c>
      <c r="E173" s="40">
        <v>8.84</v>
      </c>
      <c r="F173" s="40">
        <v>279.95</v>
      </c>
      <c r="G173" s="40">
        <v>90</v>
      </c>
      <c r="H173" s="40" t="s">
        <v>49</v>
      </c>
      <c r="I173" s="43" t="s">
        <v>95</v>
      </c>
      <c r="J173" s="33" t="s">
        <v>68</v>
      </c>
      <c r="K173" s="39" t="str">
        <f t="shared" si="2"/>
        <v>Flat 16</v>
      </c>
    </row>
    <row r="174" spans="3:11" x14ac:dyDescent="0.2">
      <c r="C174" s="40" t="s">
        <v>29</v>
      </c>
      <c r="D174" s="40">
        <v>2570</v>
      </c>
      <c r="E174" s="40">
        <v>4.87</v>
      </c>
      <c r="F174" s="40">
        <v>247</v>
      </c>
      <c r="G174" s="40">
        <v>90</v>
      </c>
      <c r="H174" s="40" t="s">
        <v>75</v>
      </c>
      <c r="I174" s="43" t="s">
        <v>96</v>
      </c>
      <c r="J174" s="33" t="s">
        <v>68</v>
      </c>
      <c r="K174" s="39" t="str">
        <f t="shared" si="2"/>
        <v>Flat 14</v>
      </c>
    </row>
    <row r="175" spans="3:11" x14ac:dyDescent="0.2">
      <c r="C175" s="40" t="s">
        <v>29</v>
      </c>
      <c r="D175" s="40">
        <v>2585</v>
      </c>
      <c r="E175" s="40">
        <v>3.37</v>
      </c>
      <c r="F175" s="40">
        <v>157</v>
      </c>
      <c r="G175" s="40">
        <v>90</v>
      </c>
      <c r="H175" s="40" t="s">
        <v>76</v>
      </c>
      <c r="I175" s="43" t="s">
        <v>96</v>
      </c>
      <c r="J175" s="33" t="s">
        <v>68</v>
      </c>
      <c r="K175" s="39" t="str">
        <f t="shared" si="2"/>
        <v>Flat 14</v>
      </c>
    </row>
    <row r="176" spans="3:11" x14ac:dyDescent="0.2">
      <c r="C176" s="40" t="s">
        <v>29</v>
      </c>
      <c r="D176" s="40">
        <v>4023</v>
      </c>
      <c r="E176" s="40">
        <v>4.16</v>
      </c>
      <c r="F176" s="40">
        <v>9.9499999999999993</v>
      </c>
      <c r="G176" s="40">
        <v>90</v>
      </c>
      <c r="H176" s="40" t="s">
        <v>47</v>
      </c>
      <c r="I176" s="43" t="s">
        <v>97</v>
      </c>
      <c r="J176" s="33" t="s">
        <v>68</v>
      </c>
      <c r="K176" s="39" t="str">
        <f t="shared" si="2"/>
        <v>Flat 11</v>
      </c>
    </row>
    <row r="177" spans="3:11" x14ac:dyDescent="0.2">
      <c r="C177" s="40" t="s">
        <v>29</v>
      </c>
      <c r="D177" s="40">
        <v>3209</v>
      </c>
      <c r="E177" s="40">
        <v>4.72</v>
      </c>
      <c r="F177" s="40">
        <v>247</v>
      </c>
      <c r="G177" s="40">
        <v>90</v>
      </c>
      <c r="H177" s="40" t="s">
        <v>75</v>
      </c>
      <c r="I177" s="43" t="s">
        <v>98</v>
      </c>
      <c r="J177" s="33" t="s">
        <v>68</v>
      </c>
      <c r="K177" s="39" t="str">
        <f t="shared" si="2"/>
        <v>Flat 08</v>
      </c>
    </row>
    <row r="178" spans="3:11" x14ac:dyDescent="0.2">
      <c r="C178" s="40" t="s">
        <v>29</v>
      </c>
      <c r="D178" s="40">
        <v>3224</v>
      </c>
      <c r="E178" s="40">
        <v>3.27</v>
      </c>
      <c r="F178" s="40">
        <v>157</v>
      </c>
      <c r="G178" s="40">
        <v>90</v>
      </c>
      <c r="H178" s="40" t="s">
        <v>76</v>
      </c>
      <c r="I178" s="43" t="s">
        <v>98</v>
      </c>
      <c r="J178" s="33" t="s">
        <v>68</v>
      </c>
      <c r="K178" s="39" t="str">
        <f t="shared" si="2"/>
        <v>Flat 08</v>
      </c>
    </row>
    <row r="179" spans="3:11" x14ac:dyDescent="0.2">
      <c r="C179" s="40" t="s">
        <v>29</v>
      </c>
      <c r="D179" s="40">
        <v>2055</v>
      </c>
      <c r="E179" s="40">
        <v>19.88</v>
      </c>
      <c r="F179" s="40">
        <v>157</v>
      </c>
      <c r="G179" s="40">
        <v>90</v>
      </c>
      <c r="H179" s="40" t="s">
        <v>76</v>
      </c>
      <c r="I179" s="43" t="s">
        <v>99</v>
      </c>
      <c r="J179" s="33" t="s">
        <v>68</v>
      </c>
      <c r="K179" s="39" t="str">
        <f t="shared" si="2"/>
        <v>Flat 13</v>
      </c>
    </row>
    <row r="180" spans="3:11" x14ac:dyDescent="0.2">
      <c r="C180" s="40" t="s">
        <v>29</v>
      </c>
      <c r="D180" s="40">
        <v>3286</v>
      </c>
      <c r="E180" s="40">
        <v>5.33</v>
      </c>
      <c r="F180" s="40">
        <v>9.9499999999999993</v>
      </c>
      <c r="G180" s="40">
        <v>90</v>
      </c>
      <c r="H180" s="40" t="s">
        <v>47</v>
      </c>
      <c r="I180" s="43" t="s">
        <v>100</v>
      </c>
      <c r="J180" s="33" t="s">
        <v>68</v>
      </c>
      <c r="K180" s="39" t="str">
        <f t="shared" si="2"/>
        <v>Flat 10</v>
      </c>
    </row>
    <row r="181" spans="3:11" x14ac:dyDescent="0.2">
      <c r="C181" s="40" t="s">
        <v>29</v>
      </c>
      <c r="D181" s="40">
        <v>3291</v>
      </c>
      <c r="E181" s="40">
        <v>2.85</v>
      </c>
      <c r="F181" s="40">
        <v>279.95</v>
      </c>
      <c r="G181" s="40">
        <v>90</v>
      </c>
      <c r="H181" s="40" t="s">
        <v>49</v>
      </c>
      <c r="I181" s="43" t="s">
        <v>100</v>
      </c>
      <c r="J181" s="33" t="s">
        <v>68</v>
      </c>
      <c r="K181" s="39" t="str">
        <f t="shared" si="2"/>
        <v>Flat 10</v>
      </c>
    </row>
    <row r="182" spans="3:11" x14ac:dyDescent="0.2">
      <c r="C182" s="40" t="s">
        <v>29</v>
      </c>
      <c r="D182" s="40">
        <v>3297</v>
      </c>
      <c r="E182" s="40">
        <v>8.58</v>
      </c>
      <c r="F182" s="40">
        <v>279.95</v>
      </c>
      <c r="G182" s="40">
        <v>90</v>
      </c>
      <c r="H182" s="40" t="s">
        <v>49</v>
      </c>
      <c r="I182" s="43" t="s">
        <v>100</v>
      </c>
      <c r="J182" s="33" t="s">
        <v>68</v>
      </c>
      <c r="K182" s="39" t="str">
        <f t="shared" si="2"/>
        <v>Flat 10</v>
      </c>
    </row>
    <row r="183" spans="3:11" x14ac:dyDescent="0.2">
      <c r="C183" s="40" t="s">
        <v>32</v>
      </c>
      <c r="D183" s="40">
        <v>2738</v>
      </c>
      <c r="E183" s="40">
        <v>2.35</v>
      </c>
      <c r="F183" s="40">
        <v>189.95</v>
      </c>
      <c r="G183" s="40">
        <v>90</v>
      </c>
      <c r="H183" s="40" t="s">
        <v>42</v>
      </c>
      <c r="I183" s="43" t="s">
        <v>101</v>
      </c>
      <c r="J183" s="33" t="s">
        <v>68</v>
      </c>
      <c r="K183" s="39" t="str">
        <f t="shared" si="2"/>
        <v>Flat 06</v>
      </c>
    </row>
    <row r="184" spans="3:11" x14ac:dyDescent="0.2">
      <c r="C184" s="40" t="s">
        <v>32</v>
      </c>
      <c r="D184" s="40">
        <v>2739</v>
      </c>
      <c r="E184" s="40">
        <v>1.71</v>
      </c>
      <c r="F184" s="40">
        <v>99.95</v>
      </c>
      <c r="G184" s="40">
        <v>90</v>
      </c>
      <c r="H184" s="40" t="s">
        <v>48</v>
      </c>
      <c r="I184" s="43" t="s">
        <v>101</v>
      </c>
      <c r="J184" s="33" t="s">
        <v>68</v>
      </c>
      <c r="K184" s="39" t="str">
        <f t="shared" si="2"/>
        <v>Flat 06</v>
      </c>
    </row>
    <row r="185" spans="3:11" x14ac:dyDescent="0.2">
      <c r="C185" s="40" t="s">
        <v>32</v>
      </c>
      <c r="D185" s="40">
        <v>2740</v>
      </c>
      <c r="E185" s="40">
        <v>2.88</v>
      </c>
      <c r="F185" s="40">
        <v>189.95</v>
      </c>
      <c r="G185" s="40">
        <v>90</v>
      </c>
      <c r="H185" s="40" t="s">
        <v>42</v>
      </c>
      <c r="I185" s="43" t="s">
        <v>101</v>
      </c>
      <c r="J185" s="33" t="s">
        <v>68</v>
      </c>
      <c r="K185" s="39" t="str">
        <f t="shared" si="2"/>
        <v>Flat 06</v>
      </c>
    </row>
    <row r="186" spans="3:11" x14ac:dyDescent="0.2">
      <c r="C186" s="40" t="s">
        <v>32</v>
      </c>
      <c r="D186" s="40">
        <v>2741</v>
      </c>
      <c r="E186" s="40">
        <v>4.7699999999999996</v>
      </c>
      <c r="F186" s="40">
        <v>99.95</v>
      </c>
      <c r="G186" s="40">
        <v>90</v>
      </c>
      <c r="H186" s="40" t="s">
        <v>48</v>
      </c>
      <c r="I186" s="43" t="s">
        <v>101</v>
      </c>
      <c r="J186" s="33" t="s">
        <v>68</v>
      </c>
      <c r="K186" s="39" t="str">
        <f t="shared" si="2"/>
        <v>Flat 06</v>
      </c>
    </row>
    <row r="187" spans="3:11" x14ac:dyDescent="0.2">
      <c r="C187" s="40" t="s">
        <v>32</v>
      </c>
      <c r="D187" s="40">
        <v>2742</v>
      </c>
      <c r="E187" s="40">
        <v>1.31</v>
      </c>
      <c r="F187" s="40">
        <v>99.95</v>
      </c>
      <c r="G187" s="40">
        <v>90</v>
      </c>
      <c r="H187" s="40" t="s">
        <v>48</v>
      </c>
      <c r="I187" s="43" t="s">
        <v>101</v>
      </c>
      <c r="J187" s="33" t="s">
        <v>68</v>
      </c>
      <c r="K187" s="39" t="str">
        <f t="shared" si="2"/>
        <v>Flat 06</v>
      </c>
    </row>
    <row r="188" spans="3:11" x14ac:dyDescent="0.2">
      <c r="C188" s="40" t="s">
        <v>32</v>
      </c>
      <c r="D188" s="40">
        <v>2743</v>
      </c>
      <c r="E188" s="40">
        <v>3.52</v>
      </c>
      <c r="F188" s="40">
        <v>189.95</v>
      </c>
      <c r="G188" s="40">
        <v>90</v>
      </c>
      <c r="H188" s="40" t="s">
        <v>42</v>
      </c>
      <c r="I188" s="43" t="s">
        <v>101</v>
      </c>
      <c r="J188" s="33" t="s">
        <v>68</v>
      </c>
      <c r="K188" s="39" t="str">
        <f t="shared" si="2"/>
        <v>Flat 06</v>
      </c>
    </row>
    <row r="189" spans="3:11" x14ac:dyDescent="0.2">
      <c r="C189" s="40" t="s">
        <v>32</v>
      </c>
      <c r="D189" s="40">
        <v>2744</v>
      </c>
      <c r="E189" s="40">
        <v>5.84</v>
      </c>
      <c r="F189" s="40">
        <v>99.95</v>
      </c>
      <c r="G189" s="40">
        <v>90</v>
      </c>
      <c r="H189" s="40" t="s">
        <v>48</v>
      </c>
      <c r="I189" s="43" t="s">
        <v>101</v>
      </c>
      <c r="J189" s="33" t="s">
        <v>68</v>
      </c>
      <c r="K189" s="39" t="str">
        <f t="shared" si="2"/>
        <v>Flat 06</v>
      </c>
    </row>
    <row r="190" spans="3:11" x14ac:dyDescent="0.2">
      <c r="C190" s="40" t="s">
        <v>32</v>
      </c>
      <c r="D190" s="40">
        <v>2745</v>
      </c>
      <c r="E190" s="40">
        <v>2.35</v>
      </c>
      <c r="F190" s="40">
        <v>189.95</v>
      </c>
      <c r="G190" s="40">
        <v>90</v>
      </c>
      <c r="H190" s="40" t="s">
        <v>42</v>
      </c>
      <c r="I190" s="43" t="s">
        <v>101</v>
      </c>
      <c r="J190" s="33" t="s">
        <v>68</v>
      </c>
      <c r="K190" s="39" t="str">
        <f t="shared" si="2"/>
        <v>Flat 06</v>
      </c>
    </row>
    <row r="191" spans="3:11" x14ac:dyDescent="0.2">
      <c r="C191" s="40" t="s">
        <v>32</v>
      </c>
      <c r="D191" s="40">
        <v>2746</v>
      </c>
      <c r="E191" s="40">
        <v>2.77</v>
      </c>
      <c r="F191" s="40">
        <v>189.95</v>
      </c>
      <c r="G191" s="40">
        <v>90</v>
      </c>
      <c r="H191" s="40" t="s">
        <v>42</v>
      </c>
      <c r="I191" s="43" t="s">
        <v>101</v>
      </c>
      <c r="J191" s="33" t="s">
        <v>68</v>
      </c>
      <c r="K191" s="39" t="str">
        <f t="shared" si="2"/>
        <v>Flat 06</v>
      </c>
    </row>
    <row r="192" spans="3:11" x14ac:dyDescent="0.2">
      <c r="C192" s="40" t="s">
        <v>32</v>
      </c>
      <c r="D192" s="40">
        <v>2747</v>
      </c>
      <c r="E192" s="40">
        <v>5.84</v>
      </c>
      <c r="F192" s="40">
        <v>99.95</v>
      </c>
      <c r="G192" s="40">
        <v>90</v>
      </c>
      <c r="H192" s="40" t="s">
        <v>48</v>
      </c>
      <c r="I192" s="43" t="s">
        <v>101</v>
      </c>
      <c r="J192" s="33" t="s">
        <v>68</v>
      </c>
      <c r="K192" s="39" t="str">
        <f t="shared" si="2"/>
        <v>Flat 06</v>
      </c>
    </row>
    <row r="193" spans="3:11" x14ac:dyDescent="0.2">
      <c r="C193" s="40" t="s">
        <v>32</v>
      </c>
      <c r="D193" s="40">
        <v>2748</v>
      </c>
      <c r="E193" s="40">
        <v>5.59</v>
      </c>
      <c r="F193" s="40">
        <v>189.95</v>
      </c>
      <c r="G193" s="40">
        <v>90</v>
      </c>
      <c r="H193" s="40" t="s">
        <v>42</v>
      </c>
      <c r="I193" s="43" t="s">
        <v>101</v>
      </c>
      <c r="J193" s="33" t="s">
        <v>68</v>
      </c>
      <c r="K193" s="39" t="str">
        <f t="shared" si="2"/>
        <v>Flat 06</v>
      </c>
    </row>
    <row r="194" spans="3:11" x14ac:dyDescent="0.2">
      <c r="C194" s="40" t="s">
        <v>32</v>
      </c>
      <c r="D194" s="40">
        <v>2749</v>
      </c>
      <c r="E194" s="40">
        <v>8.94</v>
      </c>
      <c r="F194" s="40">
        <v>189.95</v>
      </c>
      <c r="G194" s="40">
        <v>90</v>
      </c>
      <c r="H194" s="40" t="s">
        <v>42</v>
      </c>
      <c r="I194" s="43" t="s">
        <v>101</v>
      </c>
      <c r="J194" s="33" t="s">
        <v>68</v>
      </c>
      <c r="K194" s="39" t="str">
        <f t="shared" si="2"/>
        <v>Flat 06</v>
      </c>
    </row>
    <row r="195" spans="3:11" x14ac:dyDescent="0.2">
      <c r="C195" s="40" t="s">
        <v>32</v>
      </c>
      <c r="D195" s="40">
        <v>2750</v>
      </c>
      <c r="E195" s="40">
        <v>4.3499999999999996</v>
      </c>
      <c r="F195" s="40">
        <v>189.95</v>
      </c>
      <c r="G195" s="40">
        <v>90</v>
      </c>
      <c r="H195" s="40" t="s">
        <v>42</v>
      </c>
      <c r="I195" s="43" t="s">
        <v>101</v>
      </c>
      <c r="J195" s="33" t="s">
        <v>68</v>
      </c>
      <c r="K195" s="39" t="str">
        <f t="shared" si="2"/>
        <v>Flat 06</v>
      </c>
    </row>
    <row r="196" spans="3:11" x14ac:dyDescent="0.2">
      <c r="C196" s="40" t="s">
        <v>32</v>
      </c>
      <c r="D196" s="40">
        <v>2751</v>
      </c>
      <c r="E196" s="40">
        <v>9.36</v>
      </c>
      <c r="F196" s="40">
        <v>189.95</v>
      </c>
      <c r="G196" s="40">
        <v>90</v>
      </c>
      <c r="H196" s="40" t="s">
        <v>42</v>
      </c>
      <c r="I196" s="43" t="s">
        <v>101</v>
      </c>
      <c r="J196" s="33" t="s">
        <v>68</v>
      </c>
      <c r="K196" s="39" t="str">
        <f t="shared" si="2"/>
        <v>Flat 06</v>
      </c>
    </row>
    <row r="197" spans="3:11" x14ac:dyDescent="0.2">
      <c r="C197" s="40" t="s">
        <v>32</v>
      </c>
      <c r="D197" s="40">
        <v>2752</v>
      </c>
      <c r="E197" s="40">
        <v>5.53</v>
      </c>
      <c r="F197" s="40">
        <v>99.95</v>
      </c>
      <c r="G197" s="40">
        <v>90</v>
      </c>
      <c r="H197" s="40" t="s">
        <v>48</v>
      </c>
      <c r="I197" s="43" t="s">
        <v>101</v>
      </c>
      <c r="J197" s="33" t="s">
        <v>68</v>
      </c>
      <c r="K197" s="39" t="str">
        <f t="shared" si="2"/>
        <v>Flat 06</v>
      </c>
    </row>
    <row r="198" spans="3:11" x14ac:dyDescent="0.2">
      <c r="C198" s="40" t="s">
        <v>32</v>
      </c>
      <c r="D198" s="40">
        <v>1998</v>
      </c>
      <c r="E198" s="40">
        <v>2.4</v>
      </c>
      <c r="F198" s="40">
        <v>157</v>
      </c>
      <c r="G198" s="40">
        <v>90</v>
      </c>
      <c r="H198" s="40" t="s">
        <v>76</v>
      </c>
      <c r="I198" s="43" t="s">
        <v>102</v>
      </c>
      <c r="J198" s="33" t="s">
        <v>68</v>
      </c>
      <c r="K198" s="39" t="str">
        <f t="shared" si="2"/>
        <v>Flat 01</v>
      </c>
    </row>
    <row r="199" spans="3:11" x14ac:dyDescent="0.2">
      <c r="C199" s="40" t="s">
        <v>32</v>
      </c>
      <c r="D199" s="40">
        <v>1999</v>
      </c>
      <c r="E199" s="40">
        <v>1.88</v>
      </c>
      <c r="F199" s="40">
        <v>247</v>
      </c>
      <c r="G199" s="40">
        <v>90</v>
      </c>
      <c r="H199" s="40" t="s">
        <v>75</v>
      </c>
      <c r="I199" s="43" t="s">
        <v>102</v>
      </c>
      <c r="J199" s="33" t="s">
        <v>68</v>
      </c>
      <c r="K199" s="39" t="str">
        <f t="shared" ref="K199:K262" si="3">LEFT(I199,7)</f>
        <v>Flat 01</v>
      </c>
    </row>
    <row r="200" spans="3:11" x14ac:dyDescent="0.2">
      <c r="C200" s="40" t="s">
        <v>32</v>
      </c>
      <c r="D200" s="40">
        <v>2000</v>
      </c>
      <c r="E200" s="40">
        <v>3.26</v>
      </c>
      <c r="F200" s="40">
        <v>157</v>
      </c>
      <c r="G200" s="40">
        <v>90</v>
      </c>
      <c r="H200" s="40" t="s">
        <v>76</v>
      </c>
      <c r="I200" s="43" t="s">
        <v>102</v>
      </c>
      <c r="J200" s="33" t="s">
        <v>68</v>
      </c>
      <c r="K200" s="39" t="str">
        <f t="shared" si="3"/>
        <v>Flat 01</v>
      </c>
    </row>
    <row r="201" spans="3:11" x14ac:dyDescent="0.2">
      <c r="C201" s="40" t="s">
        <v>32</v>
      </c>
      <c r="D201" s="40">
        <v>2001</v>
      </c>
      <c r="E201" s="40">
        <v>3.2</v>
      </c>
      <c r="F201" s="40">
        <v>247</v>
      </c>
      <c r="G201" s="40">
        <v>90</v>
      </c>
      <c r="H201" s="40" t="s">
        <v>75</v>
      </c>
      <c r="I201" s="43" t="s">
        <v>102</v>
      </c>
      <c r="J201" s="33" t="s">
        <v>68</v>
      </c>
      <c r="K201" s="39" t="str">
        <f t="shared" si="3"/>
        <v>Flat 01</v>
      </c>
    </row>
    <row r="202" spans="3:11" x14ac:dyDescent="0.2">
      <c r="C202" s="40" t="s">
        <v>32</v>
      </c>
      <c r="D202" s="40">
        <v>2002</v>
      </c>
      <c r="E202" s="40">
        <v>4.3899999999999997</v>
      </c>
      <c r="F202" s="40">
        <v>67</v>
      </c>
      <c r="G202" s="40">
        <v>90</v>
      </c>
      <c r="H202" s="40" t="s">
        <v>77</v>
      </c>
      <c r="I202" s="43" t="s">
        <v>102</v>
      </c>
      <c r="J202" s="33" t="s">
        <v>68</v>
      </c>
      <c r="K202" s="39" t="str">
        <f t="shared" si="3"/>
        <v>Flat 01</v>
      </c>
    </row>
    <row r="203" spans="3:11" x14ac:dyDescent="0.2">
      <c r="C203" s="40" t="s">
        <v>32</v>
      </c>
      <c r="D203" s="40">
        <v>2003</v>
      </c>
      <c r="E203" s="40">
        <v>3.6</v>
      </c>
      <c r="F203" s="40">
        <v>67</v>
      </c>
      <c r="G203" s="40">
        <v>90</v>
      </c>
      <c r="H203" s="40" t="s">
        <v>77</v>
      </c>
      <c r="I203" s="43" t="s">
        <v>102</v>
      </c>
      <c r="J203" s="33" t="s">
        <v>68</v>
      </c>
      <c r="K203" s="39" t="str">
        <f t="shared" si="3"/>
        <v>Flat 01</v>
      </c>
    </row>
    <row r="204" spans="3:11" x14ac:dyDescent="0.2">
      <c r="C204" s="40" t="s">
        <v>32</v>
      </c>
      <c r="D204" s="40">
        <v>2004</v>
      </c>
      <c r="E204" s="40">
        <v>4.5199999999999996</v>
      </c>
      <c r="F204" s="40">
        <v>247</v>
      </c>
      <c r="G204" s="40">
        <v>90</v>
      </c>
      <c r="H204" s="40" t="s">
        <v>75</v>
      </c>
      <c r="I204" s="43" t="s">
        <v>102</v>
      </c>
      <c r="J204" s="33" t="s">
        <v>68</v>
      </c>
      <c r="K204" s="39" t="str">
        <f t="shared" si="3"/>
        <v>Flat 01</v>
      </c>
    </row>
    <row r="205" spans="3:11" x14ac:dyDescent="0.2">
      <c r="C205" s="40" t="s">
        <v>32</v>
      </c>
      <c r="D205" s="40">
        <v>2005</v>
      </c>
      <c r="E205" s="40">
        <v>0.86</v>
      </c>
      <c r="F205" s="40">
        <v>337</v>
      </c>
      <c r="G205" s="40">
        <v>90</v>
      </c>
      <c r="H205" s="40" t="s">
        <v>74</v>
      </c>
      <c r="I205" s="43" t="s">
        <v>102</v>
      </c>
      <c r="J205" s="33" t="s">
        <v>68</v>
      </c>
      <c r="K205" s="39" t="str">
        <f t="shared" si="3"/>
        <v>Flat 01</v>
      </c>
    </row>
    <row r="206" spans="3:11" x14ac:dyDescent="0.2">
      <c r="C206" s="40" t="s">
        <v>32</v>
      </c>
      <c r="D206" s="40">
        <v>2006</v>
      </c>
      <c r="E206" s="40">
        <v>3.18</v>
      </c>
      <c r="F206" s="40">
        <v>157</v>
      </c>
      <c r="G206" s="40">
        <v>90</v>
      </c>
      <c r="H206" s="40" t="s">
        <v>76</v>
      </c>
      <c r="I206" s="43" t="s">
        <v>102</v>
      </c>
      <c r="J206" s="33" t="s">
        <v>68</v>
      </c>
      <c r="K206" s="39" t="str">
        <f t="shared" si="3"/>
        <v>Flat 01</v>
      </c>
    </row>
    <row r="207" spans="3:11" x14ac:dyDescent="0.2">
      <c r="C207" s="40" t="s">
        <v>32</v>
      </c>
      <c r="D207" s="40">
        <v>2007</v>
      </c>
      <c r="E207" s="40">
        <v>4.3899999999999997</v>
      </c>
      <c r="F207" s="40">
        <v>247</v>
      </c>
      <c r="G207" s="40">
        <v>90</v>
      </c>
      <c r="H207" s="40" t="s">
        <v>75</v>
      </c>
      <c r="I207" s="43" t="s">
        <v>102</v>
      </c>
      <c r="J207" s="33" t="s">
        <v>68</v>
      </c>
      <c r="K207" s="39" t="str">
        <f t="shared" si="3"/>
        <v>Flat 01</v>
      </c>
    </row>
    <row r="208" spans="3:11" x14ac:dyDescent="0.2">
      <c r="C208" s="40" t="s">
        <v>32</v>
      </c>
      <c r="D208" s="40">
        <v>2008</v>
      </c>
      <c r="E208" s="40">
        <v>12.78</v>
      </c>
      <c r="F208" s="40">
        <v>157</v>
      </c>
      <c r="G208" s="40">
        <v>90</v>
      </c>
      <c r="H208" s="40" t="s">
        <v>76</v>
      </c>
      <c r="I208" s="43" t="s">
        <v>102</v>
      </c>
      <c r="J208" s="33" t="s">
        <v>68</v>
      </c>
      <c r="K208" s="39" t="str">
        <f t="shared" si="3"/>
        <v>Flat 01</v>
      </c>
    </row>
    <row r="209" spans="3:11" x14ac:dyDescent="0.2">
      <c r="C209" s="40" t="s">
        <v>32</v>
      </c>
      <c r="D209" s="40">
        <v>1861</v>
      </c>
      <c r="E209" s="40">
        <v>4.16</v>
      </c>
      <c r="F209" s="40">
        <v>157</v>
      </c>
      <c r="G209" s="40">
        <v>90</v>
      </c>
      <c r="H209" s="40" t="s">
        <v>76</v>
      </c>
      <c r="I209" s="43" t="s">
        <v>103</v>
      </c>
      <c r="J209" s="33" t="s">
        <v>68</v>
      </c>
      <c r="K209" s="39" t="str">
        <f t="shared" si="3"/>
        <v>Flat 02</v>
      </c>
    </row>
    <row r="210" spans="3:11" x14ac:dyDescent="0.2">
      <c r="C210" s="40" t="s">
        <v>32</v>
      </c>
      <c r="D210" s="40">
        <v>1862</v>
      </c>
      <c r="E210" s="40">
        <v>2.81</v>
      </c>
      <c r="F210" s="40">
        <v>157</v>
      </c>
      <c r="G210" s="40">
        <v>90</v>
      </c>
      <c r="H210" s="40" t="s">
        <v>76</v>
      </c>
      <c r="I210" s="43" t="s">
        <v>103</v>
      </c>
      <c r="J210" s="33" t="s">
        <v>68</v>
      </c>
      <c r="K210" s="39" t="str">
        <f t="shared" si="3"/>
        <v>Flat 02</v>
      </c>
    </row>
    <row r="211" spans="3:11" x14ac:dyDescent="0.2">
      <c r="C211" s="40" t="s">
        <v>32</v>
      </c>
      <c r="D211" s="40">
        <v>1863</v>
      </c>
      <c r="E211" s="40">
        <v>5.43</v>
      </c>
      <c r="F211" s="40">
        <v>67</v>
      </c>
      <c r="G211" s="40">
        <v>90</v>
      </c>
      <c r="H211" s="40" t="s">
        <v>77</v>
      </c>
      <c r="I211" s="43" t="s">
        <v>103</v>
      </c>
      <c r="J211" s="33" t="s">
        <v>68</v>
      </c>
      <c r="K211" s="39" t="str">
        <f t="shared" si="3"/>
        <v>Flat 02</v>
      </c>
    </row>
    <row r="212" spans="3:11" x14ac:dyDescent="0.2">
      <c r="C212" s="40" t="s">
        <v>32</v>
      </c>
      <c r="D212" s="40">
        <v>1864</v>
      </c>
      <c r="E212" s="40">
        <v>1.24</v>
      </c>
      <c r="F212" s="40">
        <v>337</v>
      </c>
      <c r="G212" s="40">
        <v>90</v>
      </c>
      <c r="H212" s="40" t="s">
        <v>74</v>
      </c>
      <c r="I212" s="43" t="s">
        <v>103</v>
      </c>
      <c r="J212" s="33" t="s">
        <v>68</v>
      </c>
      <c r="K212" s="39" t="str">
        <f t="shared" si="3"/>
        <v>Flat 02</v>
      </c>
    </row>
    <row r="213" spans="3:11" x14ac:dyDescent="0.2">
      <c r="C213" s="40" t="s">
        <v>32</v>
      </c>
      <c r="D213" s="40">
        <v>1865</v>
      </c>
      <c r="E213" s="40">
        <v>2.2599999999999998</v>
      </c>
      <c r="F213" s="40">
        <v>247</v>
      </c>
      <c r="G213" s="40">
        <v>90</v>
      </c>
      <c r="H213" s="40" t="s">
        <v>75</v>
      </c>
      <c r="I213" s="43" t="s">
        <v>103</v>
      </c>
      <c r="J213" s="33" t="s">
        <v>68</v>
      </c>
      <c r="K213" s="39" t="str">
        <f t="shared" si="3"/>
        <v>Flat 02</v>
      </c>
    </row>
    <row r="214" spans="3:11" x14ac:dyDescent="0.2">
      <c r="C214" s="40" t="s">
        <v>32</v>
      </c>
      <c r="D214" s="40">
        <v>1866</v>
      </c>
      <c r="E214" s="40">
        <v>1.24</v>
      </c>
      <c r="F214" s="40">
        <v>157</v>
      </c>
      <c r="G214" s="40">
        <v>90</v>
      </c>
      <c r="H214" s="40" t="s">
        <v>76</v>
      </c>
      <c r="I214" s="43" t="s">
        <v>103</v>
      </c>
      <c r="J214" s="33" t="s">
        <v>68</v>
      </c>
      <c r="K214" s="39" t="str">
        <f t="shared" si="3"/>
        <v>Flat 02</v>
      </c>
    </row>
    <row r="215" spans="3:11" x14ac:dyDescent="0.2">
      <c r="C215" s="40" t="s">
        <v>32</v>
      </c>
      <c r="D215" s="40">
        <v>1867</v>
      </c>
      <c r="E215" s="40">
        <v>4.37</v>
      </c>
      <c r="F215" s="40">
        <v>157</v>
      </c>
      <c r="G215" s="40">
        <v>90</v>
      </c>
      <c r="H215" s="40" t="s">
        <v>76</v>
      </c>
      <c r="I215" s="43" t="s">
        <v>103</v>
      </c>
      <c r="J215" s="33" t="s">
        <v>68</v>
      </c>
      <c r="K215" s="39" t="str">
        <f t="shared" si="3"/>
        <v>Flat 02</v>
      </c>
    </row>
    <row r="216" spans="3:11" x14ac:dyDescent="0.2">
      <c r="C216" s="40" t="s">
        <v>32</v>
      </c>
      <c r="D216" s="40">
        <v>1868</v>
      </c>
      <c r="E216" s="40">
        <v>2.2599999999999998</v>
      </c>
      <c r="F216" s="40">
        <v>67</v>
      </c>
      <c r="G216" s="40">
        <v>90</v>
      </c>
      <c r="H216" s="40" t="s">
        <v>77</v>
      </c>
      <c r="I216" s="43" t="s">
        <v>103</v>
      </c>
      <c r="J216" s="33" t="s">
        <v>68</v>
      </c>
      <c r="K216" s="39" t="str">
        <f t="shared" si="3"/>
        <v>Flat 02</v>
      </c>
    </row>
    <row r="217" spans="3:11" x14ac:dyDescent="0.2">
      <c r="C217" s="40" t="s">
        <v>32</v>
      </c>
      <c r="D217" s="40">
        <v>1869</v>
      </c>
      <c r="E217" s="40">
        <v>5.21</v>
      </c>
      <c r="F217" s="40">
        <v>67</v>
      </c>
      <c r="G217" s="40">
        <v>90</v>
      </c>
      <c r="H217" s="40" t="s">
        <v>77</v>
      </c>
      <c r="I217" s="43" t="s">
        <v>103</v>
      </c>
      <c r="J217" s="33" t="s">
        <v>68</v>
      </c>
      <c r="K217" s="39" t="str">
        <f t="shared" si="3"/>
        <v>Flat 02</v>
      </c>
    </row>
    <row r="218" spans="3:11" x14ac:dyDescent="0.2">
      <c r="C218" s="40" t="s">
        <v>32</v>
      </c>
      <c r="D218" s="40">
        <v>1870</v>
      </c>
      <c r="E218" s="40">
        <v>2.2599999999999998</v>
      </c>
      <c r="F218" s="40">
        <v>247</v>
      </c>
      <c r="G218" s="40">
        <v>90</v>
      </c>
      <c r="H218" s="40" t="s">
        <v>75</v>
      </c>
      <c r="I218" s="43" t="s">
        <v>103</v>
      </c>
      <c r="J218" s="33" t="s">
        <v>68</v>
      </c>
      <c r="K218" s="39" t="str">
        <f t="shared" si="3"/>
        <v>Flat 02</v>
      </c>
    </row>
    <row r="219" spans="3:11" x14ac:dyDescent="0.2">
      <c r="C219" s="40" t="s">
        <v>32</v>
      </c>
      <c r="D219" s="40">
        <v>1871</v>
      </c>
      <c r="E219" s="40">
        <v>2.83</v>
      </c>
      <c r="F219" s="40">
        <v>157</v>
      </c>
      <c r="G219" s="40">
        <v>90</v>
      </c>
      <c r="H219" s="40" t="s">
        <v>76</v>
      </c>
      <c r="I219" s="43" t="s">
        <v>103</v>
      </c>
      <c r="J219" s="33" t="s">
        <v>68</v>
      </c>
      <c r="K219" s="39" t="str">
        <f t="shared" si="3"/>
        <v>Flat 02</v>
      </c>
    </row>
    <row r="220" spans="3:11" x14ac:dyDescent="0.2">
      <c r="C220" s="40" t="s">
        <v>32</v>
      </c>
      <c r="D220" s="40">
        <v>1872</v>
      </c>
      <c r="E220" s="40">
        <v>6.64</v>
      </c>
      <c r="F220" s="40">
        <v>157</v>
      </c>
      <c r="G220" s="40">
        <v>90</v>
      </c>
      <c r="H220" s="40" t="s">
        <v>76</v>
      </c>
      <c r="I220" s="43" t="s">
        <v>103</v>
      </c>
      <c r="J220" s="33" t="s">
        <v>68</v>
      </c>
      <c r="K220" s="39" t="str">
        <f t="shared" si="3"/>
        <v>Flat 02</v>
      </c>
    </row>
    <row r="221" spans="3:11" x14ac:dyDescent="0.2">
      <c r="C221" s="40" t="s">
        <v>32</v>
      </c>
      <c r="D221" s="40">
        <v>1873</v>
      </c>
      <c r="E221" s="40">
        <v>4.16</v>
      </c>
      <c r="F221" s="40">
        <v>157</v>
      </c>
      <c r="G221" s="40">
        <v>90</v>
      </c>
      <c r="H221" s="40" t="s">
        <v>76</v>
      </c>
      <c r="I221" s="43" t="s">
        <v>103</v>
      </c>
      <c r="J221" s="33" t="s">
        <v>68</v>
      </c>
      <c r="K221" s="39" t="str">
        <f t="shared" si="3"/>
        <v>Flat 02</v>
      </c>
    </row>
    <row r="222" spans="3:11" x14ac:dyDescent="0.2">
      <c r="C222" s="40" t="s">
        <v>32</v>
      </c>
      <c r="D222" s="40">
        <v>1874</v>
      </c>
      <c r="E222" s="40">
        <v>5.21</v>
      </c>
      <c r="F222" s="40">
        <v>247</v>
      </c>
      <c r="G222" s="40">
        <v>90</v>
      </c>
      <c r="H222" s="40" t="s">
        <v>75</v>
      </c>
      <c r="I222" s="43" t="s">
        <v>103</v>
      </c>
      <c r="J222" s="33" t="s">
        <v>68</v>
      </c>
      <c r="K222" s="39" t="str">
        <f t="shared" si="3"/>
        <v>Flat 02</v>
      </c>
    </row>
    <row r="223" spans="3:11" x14ac:dyDescent="0.2">
      <c r="C223" s="40" t="s">
        <v>32</v>
      </c>
      <c r="D223" s="40">
        <v>1875</v>
      </c>
      <c r="E223" s="40">
        <v>4.37</v>
      </c>
      <c r="F223" s="40">
        <v>337</v>
      </c>
      <c r="G223" s="40">
        <v>90</v>
      </c>
      <c r="H223" s="40" t="s">
        <v>74</v>
      </c>
      <c r="I223" s="43" t="s">
        <v>103</v>
      </c>
      <c r="J223" s="33" t="s">
        <v>68</v>
      </c>
      <c r="K223" s="39" t="str">
        <f t="shared" si="3"/>
        <v>Flat 02</v>
      </c>
    </row>
    <row r="224" spans="3:11" x14ac:dyDescent="0.2">
      <c r="C224" s="40" t="s">
        <v>32</v>
      </c>
      <c r="D224" s="40">
        <v>1876</v>
      </c>
      <c r="E224" s="40">
        <v>11.38</v>
      </c>
      <c r="F224" s="40">
        <v>67</v>
      </c>
      <c r="G224" s="40">
        <v>90</v>
      </c>
      <c r="H224" s="40" t="s">
        <v>77</v>
      </c>
      <c r="I224" s="43" t="s">
        <v>103</v>
      </c>
      <c r="J224" s="33" t="s">
        <v>68</v>
      </c>
      <c r="K224" s="39" t="str">
        <f t="shared" si="3"/>
        <v>Flat 02</v>
      </c>
    </row>
    <row r="225" spans="3:11" x14ac:dyDescent="0.2">
      <c r="C225" s="40" t="s">
        <v>32</v>
      </c>
      <c r="D225" s="40">
        <v>1877</v>
      </c>
      <c r="E225" s="40">
        <v>4.16</v>
      </c>
      <c r="F225" s="40">
        <v>337</v>
      </c>
      <c r="G225" s="40">
        <v>90</v>
      </c>
      <c r="H225" s="40" t="s">
        <v>74</v>
      </c>
      <c r="I225" s="43" t="s">
        <v>103</v>
      </c>
      <c r="J225" s="33" t="s">
        <v>68</v>
      </c>
      <c r="K225" s="39" t="str">
        <f t="shared" si="3"/>
        <v>Flat 02</v>
      </c>
    </row>
    <row r="226" spans="3:11" x14ac:dyDescent="0.2">
      <c r="C226" s="40" t="s">
        <v>32</v>
      </c>
      <c r="D226" s="40">
        <v>1878</v>
      </c>
      <c r="E226" s="40">
        <v>2.95</v>
      </c>
      <c r="F226" s="40">
        <v>67</v>
      </c>
      <c r="G226" s="40">
        <v>90</v>
      </c>
      <c r="H226" s="40" t="s">
        <v>77</v>
      </c>
      <c r="I226" s="43" t="s">
        <v>103</v>
      </c>
      <c r="J226" s="33" t="s">
        <v>68</v>
      </c>
      <c r="K226" s="39" t="str">
        <f t="shared" si="3"/>
        <v>Flat 02</v>
      </c>
    </row>
    <row r="227" spans="3:11" x14ac:dyDescent="0.2">
      <c r="C227" s="40" t="s">
        <v>32</v>
      </c>
      <c r="D227" s="40">
        <v>1879</v>
      </c>
      <c r="E227" s="40">
        <v>1.59</v>
      </c>
      <c r="F227" s="40">
        <v>67</v>
      </c>
      <c r="G227" s="40">
        <v>90</v>
      </c>
      <c r="H227" s="40" t="s">
        <v>77</v>
      </c>
      <c r="I227" s="43" t="s">
        <v>103</v>
      </c>
      <c r="J227" s="33" t="s">
        <v>68</v>
      </c>
      <c r="K227" s="39" t="str">
        <f t="shared" si="3"/>
        <v>Flat 02</v>
      </c>
    </row>
    <row r="228" spans="3:11" x14ac:dyDescent="0.2">
      <c r="C228" s="40" t="s">
        <v>32</v>
      </c>
      <c r="D228" s="40">
        <v>1880</v>
      </c>
      <c r="E228" s="40">
        <v>8.44</v>
      </c>
      <c r="F228" s="40">
        <v>157</v>
      </c>
      <c r="G228" s="40">
        <v>90</v>
      </c>
      <c r="H228" s="40" t="s">
        <v>76</v>
      </c>
      <c r="I228" s="43" t="s">
        <v>103</v>
      </c>
      <c r="J228" s="33" t="s">
        <v>68</v>
      </c>
      <c r="K228" s="39" t="str">
        <f t="shared" si="3"/>
        <v>Flat 02</v>
      </c>
    </row>
    <row r="229" spans="3:11" x14ac:dyDescent="0.2">
      <c r="C229" s="40" t="s">
        <v>32</v>
      </c>
      <c r="D229" s="40">
        <v>2224</v>
      </c>
      <c r="E229" s="40">
        <v>13.2</v>
      </c>
      <c r="F229" s="40">
        <v>189.95</v>
      </c>
      <c r="G229" s="40">
        <v>90</v>
      </c>
      <c r="H229" s="40" t="s">
        <v>42</v>
      </c>
      <c r="I229" s="43" t="s">
        <v>104</v>
      </c>
      <c r="J229" s="33" t="s">
        <v>68</v>
      </c>
      <c r="K229" s="39" t="str">
        <f t="shared" si="3"/>
        <v>Flat 05</v>
      </c>
    </row>
    <row r="230" spans="3:11" x14ac:dyDescent="0.2">
      <c r="C230" s="40" t="s">
        <v>32</v>
      </c>
      <c r="D230" s="40">
        <v>2225</v>
      </c>
      <c r="E230" s="40">
        <v>5.27</v>
      </c>
      <c r="F230" s="40">
        <v>99.95</v>
      </c>
      <c r="G230" s="40">
        <v>90</v>
      </c>
      <c r="H230" s="40" t="s">
        <v>48</v>
      </c>
      <c r="I230" s="43" t="s">
        <v>104</v>
      </c>
      <c r="J230" s="33" t="s">
        <v>68</v>
      </c>
      <c r="K230" s="39" t="str">
        <f t="shared" si="3"/>
        <v>Flat 05</v>
      </c>
    </row>
    <row r="231" spans="3:11" x14ac:dyDescent="0.2">
      <c r="C231" s="40" t="s">
        <v>32</v>
      </c>
      <c r="D231" s="40">
        <v>2226</v>
      </c>
      <c r="E231" s="40">
        <v>6.59</v>
      </c>
      <c r="F231" s="40">
        <v>9.9499999999999993</v>
      </c>
      <c r="G231" s="40">
        <v>90</v>
      </c>
      <c r="H231" s="40" t="s">
        <v>47</v>
      </c>
      <c r="I231" s="43" t="s">
        <v>104</v>
      </c>
      <c r="J231" s="33" t="s">
        <v>68</v>
      </c>
      <c r="K231" s="39" t="str">
        <f t="shared" si="3"/>
        <v>Flat 05</v>
      </c>
    </row>
    <row r="232" spans="3:11" x14ac:dyDescent="0.2">
      <c r="C232" s="40" t="s">
        <v>32</v>
      </c>
      <c r="D232" s="40">
        <v>2227</v>
      </c>
      <c r="E232" s="40">
        <v>7.03</v>
      </c>
      <c r="F232" s="40">
        <v>189.95</v>
      </c>
      <c r="G232" s="40">
        <v>90</v>
      </c>
      <c r="H232" s="40" t="s">
        <v>42</v>
      </c>
      <c r="I232" s="43" t="s">
        <v>104</v>
      </c>
      <c r="J232" s="33" t="s">
        <v>68</v>
      </c>
      <c r="K232" s="39" t="str">
        <f t="shared" si="3"/>
        <v>Flat 05</v>
      </c>
    </row>
    <row r="233" spans="3:11" x14ac:dyDescent="0.2">
      <c r="C233" s="40" t="s">
        <v>32</v>
      </c>
      <c r="D233" s="40">
        <v>2228</v>
      </c>
      <c r="E233" s="40">
        <v>5.66</v>
      </c>
      <c r="F233" s="40">
        <v>189.95</v>
      </c>
      <c r="G233" s="40">
        <v>90</v>
      </c>
      <c r="H233" s="40" t="s">
        <v>42</v>
      </c>
      <c r="I233" s="43" t="s">
        <v>104</v>
      </c>
      <c r="J233" s="33" t="s">
        <v>68</v>
      </c>
      <c r="K233" s="39" t="str">
        <f t="shared" si="3"/>
        <v>Flat 05</v>
      </c>
    </row>
    <row r="234" spans="3:11" x14ac:dyDescent="0.2">
      <c r="C234" s="40" t="s">
        <v>32</v>
      </c>
      <c r="D234" s="40">
        <v>2229</v>
      </c>
      <c r="E234" s="40">
        <v>5.27</v>
      </c>
      <c r="F234" s="40">
        <v>279.95</v>
      </c>
      <c r="G234" s="40">
        <v>90</v>
      </c>
      <c r="H234" s="40" t="s">
        <v>49</v>
      </c>
      <c r="I234" s="43" t="s">
        <v>104</v>
      </c>
      <c r="J234" s="33" t="s">
        <v>68</v>
      </c>
      <c r="K234" s="39" t="str">
        <f t="shared" si="3"/>
        <v>Flat 05</v>
      </c>
    </row>
    <row r="235" spans="3:11" x14ac:dyDescent="0.2">
      <c r="C235" s="40" t="s">
        <v>32</v>
      </c>
      <c r="D235" s="40">
        <v>2230</v>
      </c>
      <c r="E235" s="40">
        <v>1.97</v>
      </c>
      <c r="F235" s="40">
        <v>279.95</v>
      </c>
      <c r="G235" s="40">
        <v>90</v>
      </c>
      <c r="H235" s="40" t="s">
        <v>49</v>
      </c>
      <c r="I235" s="43" t="s">
        <v>104</v>
      </c>
      <c r="J235" s="33" t="s">
        <v>68</v>
      </c>
      <c r="K235" s="39" t="str">
        <f t="shared" si="3"/>
        <v>Flat 05</v>
      </c>
    </row>
    <row r="236" spans="3:11" x14ac:dyDescent="0.2">
      <c r="C236" s="40" t="s">
        <v>32</v>
      </c>
      <c r="D236" s="40">
        <v>2231</v>
      </c>
      <c r="E236" s="40">
        <v>3.06</v>
      </c>
      <c r="F236" s="40">
        <v>189.95</v>
      </c>
      <c r="G236" s="40">
        <v>90</v>
      </c>
      <c r="H236" s="40" t="s">
        <v>42</v>
      </c>
      <c r="I236" s="43" t="s">
        <v>104</v>
      </c>
      <c r="J236" s="33" t="s">
        <v>68</v>
      </c>
      <c r="K236" s="39" t="str">
        <f t="shared" si="3"/>
        <v>Flat 05</v>
      </c>
    </row>
    <row r="237" spans="3:11" x14ac:dyDescent="0.2">
      <c r="C237" s="40" t="s">
        <v>32</v>
      </c>
      <c r="D237" s="40">
        <v>2232</v>
      </c>
      <c r="E237" s="40">
        <v>2.13</v>
      </c>
      <c r="F237" s="40">
        <v>99.95</v>
      </c>
      <c r="G237" s="40">
        <v>90</v>
      </c>
      <c r="H237" s="40" t="s">
        <v>48</v>
      </c>
      <c r="I237" s="43" t="s">
        <v>104</v>
      </c>
      <c r="J237" s="33" t="s">
        <v>68</v>
      </c>
      <c r="K237" s="39" t="str">
        <f t="shared" si="3"/>
        <v>Flat 05</v>
      </c>
    </row>
    <row r="238" spans="3:11" x14ac:dyDescent="0.2">
      <c r="C238" s="40" t="s">
        <v>32</v>
      </c>
      <c r="D238" s="40">
        <v>2233</v>
      </c>
      <c r="E238" s="40">
        <v>5.66</v>
      </c>
      <c r="F238" s="40">
        <v>189.95</v>
      </c>
      <c r="G238" s="40">
        <v>90</v>
      </c>
      <c r="H238" s="40" t="s">
        <v>42</v>
      </c>
      <c r="I238" s="43" t="s">
        <v>104</v>
      </c>
      <c r="J238" s="33" t="s">
        <v>68</v>
      </c>
      <c r="K238" s="39" t="str">
        <f t="shared" si="3"/>
        <v>Flat 05</v>
      </c>
    </row>
    <row r="239" spans="3:11" x14ac:dyDescent="0.2">
      <c r="C239" s="40" t="s">
        <v>32</v>
      </c>
      <c r="D239" s="40">
        <v>2234</v>
      </c>
      <c r="E239" s="40">
        <v>5.03</v>
      </c>
      <c r="F239" s="40">
        <v>9.9499999999999993</v>
      </c>
      <c r="G239" s="40">
        <v>90</v>
      </c>
      <c r="H239" s="40" t="s">
        <v>47</v>
      </c>
      <c r="I239" s="43" t="s">
        <v>104</v>
      </c>
      <c r="J239" s="33" t="s">
        <v>68</v>
      </c>
      <c r="K239" s="39" t="str">
        <f t="shared" si="3"/>
        <v>Flat 05</v>
      </c>
    </row>
    <row r="240" spans="3:11" x14ac:dyDescent="0.2">
      <c r="C240" s="40" t="s">
        <v>32</v>
      </c>
      <c r="D240" s="40">
        <v>2235</v>
      </c>
      <c r="E240" s="40">
        <v>2.13</v>
      </c>
      <c r="F240" s="40">
        <v>279.95</v>
      </c>
      <c r="G240" s="40">
        <v>90</v>
      </c>
      <c r="H240" s="40" t="s">
        <v>49</v>
      </c>
      <c r="I240" s="43" t="s">
        <v>104</v>
      </c>
      <c r="J240" s="33" t="s">
        <v>68</v>
      </c>
      <c r="K240" s="39" t="str">
        <f t="shared" si="3"/>
        <v>Flat 05</v>
      </c>
    </row>
    <row r="241" spans="3:11" x14ac:dyDescent="0.2">
      <c r="C241" s="40" t="s">
        <v>32</v>
      </c>
      <c r="D241" s="40">
        <v>2236</v>
      </c>
      <c r="E241" s="40">
        <v>2.89</v>
      </c>
      <c r="F241" s="40">
        <v>279.95</v>
      </c>
      <c r="G241" s="40">
        <v>90</v>
      </c>
      <c r="H241" s="40" t="s">
        <v>49</v>
      </c>
      <c r="I241" s="43" t="s">
        <v>104</v>
      </c>
      <c r="J241" s="33" t="s">
        <v>68</v>
      </c>
      <c r="K241" s="39" t="str">
        <f t="shared" si="3"/>
        <v>Flat 05</v>
      </c>
    </row>
    <row r="242" spans="3:11" x14ac:dyDescent="0.2">
      <c r="C242" s="40" t="s">
        <v>32</v>
      </c>
      <c r="D242" s="40">
        <v>2237</v>
      </c>
      <c r="E242" s="40">
        <v>2.13</v>
      </c>
      <c r="F242" s="40">
        <v>279.95</v>
      </c>
      <c r="G242" s="40">
        <v>90</v>
      </c>
      <c r="H242" s="40" t="s">
        <v>49</v>
      </c>
      <c r="I242" s="43" t="s">
        <v>104</v>
      </c>
      <c r="J242" s="33" t="s">
        <v>68</v>
      </c>
      <c r="K242" s="39" t="str">
        <f t="shared" si="3"/>
        <v>Flat 05</v>
      </c>
    </row>
    <row r="243" spans="3:11" x14ac:dyDescent="0.2">
      <c r="C243" s="40" t="s">
        <v>32</v>
      </c>
      <c r="D243" s="40">
        <v>2238</v>
      </c>
      <c r="E243" s="40">
        <v>3.88</v>
      </c>
      <c r="F243" s="40">
        <v>279.95</v>
      </c>
      <c r="G243" s="40">
        <v>90</v>
      </c>
      <c r="H243" s="40" t="s">
        <v>49</v>
      </c>
      <c r="I243" s="43" t="s">
        <v>104</v>
      </c>
      <c r="J243" s="33" t="s">
        <v>68</v>
      </c>
      <c r="K243" s="39" t="str">
        <f t="shared" si="3"/>
        <v>Flat 05</v>
      </c>
    </row>
    <row r="244" spans="3:11" x14ac:dyDescent="0.2">
      <c r="C244" s="40" t="s">
        <v>32</v>
      </c>
      <c r="D244" s="40">
        <v>2239</v>
      </c>
      <c r="E244" s="40">
        <v>3.88</v>
      </c>
      <c r="F244" s="40">
        <v>99.95</v>
      </c>
      <c r="G244" s="40">
        <v>90</v>
      </c>
      <c r="H244" s="40" t="s">
        <v>48</v>
      </c>
      <c r="I244" s="43" t="s">
        <v>104</v>
      </c>
      <c r="J244" s="33" t="s">
        <v>68</v>
      </c>
      <c r="K244" s="39" t="str">
        <f t="shared" si="3"/>
        <v>Flat 05</v>
      </c>
    </row>
    <row r="245" spans="3:11" x14ac:dyDescent="0.2">
      <c r="C245" s="40" t="s">
        <v>32</v>
      </c>
      <c r="D245" s="40">
        <v>1930</v>
      </c>
      <c r="E245" s="40">
        <v>1.61</v>
      </c>
      <c r="F245" s="40">
        <v>99.95</v>
      </c>
      <c r="G245" s="40">
        <v>90</v>
      </c>
      <c r="H245" s="40" t="s">
        <v>48</v>
      </c>
      <c r="I245" s="43" t="s">
        <v>105</v>
      </c>
      <c r="J245" s="33" t="s">
        <v>68</v>
      </c>
      <c r="K245" s="39" t="str">
        <f t="shared" si="3"/>
        <v>Flat 04</v>
      </c>
    </row>
    <row r="246" spans="3:11" x14ac:dyDescent="0.2">
      <c r="C246" s="40" t="s">
        <v>32</v>
      </c>
      <c r="D246" s="40">
        <v>1931</v>
      </c>
      <c r="E246" s="40">
        <v>5.33</v>
      </c>
      <c r="F246" s="40">
        <v>9.9499999999999993</v>
      </c>
      <c r="G246" s="40">
        <v>90</v>
      </c>
      <c r="H246" s="40" t="s">
        <v>47</v>
      </c>
      <c r="I246" s="43" t="s">
        <v>105</v>
      </c>
      <c r="J246" s="33" t="s">
        <v>68</v>
      </c>
      <c r="K246" s="39" t="str">
        <f t="shared" si="3"/>
        <v>Flat 04</v>
      </c>
    </row>
    <row r="247" spans="3:11" x14ac:dyDescent="0.2">
      <c r="C247" s="40" t="s">
        <v>32</v>
      </c>
      <c r="D247" s="40">
        <v>1932</v>
      </c>
      <c r="E247" s="40">
        <v>4.46</v>
      </c>
      <c r="F247" s="40">
        <v>9.9499999999999993</v>
      </c>
      <c r="G247" s="40">
        <v>90</v>
      </c>
      <c r="H247" s="40" t="s">
        <v>47</v>
      </c>
      <c r="I247" s="43" t="s">
        <v>105</v>
      </c>
      <c r="J247" s="33" t="s">
        <v>68</v>
      </c>
      <c r="K247" s="39" t="str">
        <f t="shared" si="3"/>
        <v>Flat 04</v>
      </c>
    </row>
    <row r="248" spans="3:11" x14ac:dyDescent="0.2">
      <c r="C248" s="40" t="s">
        <v>32</v>
      </c>
      <c r="D248" s="40">
        <v>1933</v>
      </c>
      <c r="E248" s="40">
        <v>2.67</v>
      </c>
      <c r="F248" s="40">
        <v>279.95</v>
      </c>
      <c r="G248" s="40">
        <v>90</v>
      </c>
      <c r="H248" s="40" t="s">
        <v>49</v>
      </c>
      <c r="I248" s="43" t="s">
        <v>105</v>
      </c>
      <c r="J248" s="33" t="s">
        <v>68</v>
      </c>
      <c r="K248" s="39" t="str">
        <f t="shared" si="3"/>
        <v>Flat 04</v>
      </c>
    </row>
    <row r="249" spans="3:11" x14ac:dyDescent="0.2">
      <c r="C249" s="40" t="s">
        <v>32</v>
      </c>
      <c r="D249" s="40">
        <v>1934</v>
      </c>
      <c r="E249" s="40">
        <v>3</v>
      </c>
      <c r="F249" s="40">
        <v>9.9499999999999993</v>
      </c>
      <c r="G249" s="40">
        <v>90</v>
      </c>
      <c r="H249" s="40" t="s">
        <v>47</v>
      </c>
      <c r="I249" s="43" t="s">
        <v>105</v>
      </c>
      <c r="J249" s="33" t="s">
        <v>68</v>
      </c>
      <c r="K249" s="39" t="str">
        <f t="shared" si="3"/>
        <v>Flat 04</v>
      </c>
    </row>
    <row r="250" spans="3:11" x14ac:dyDescent="0.2">
      <c r="C250" s="40" t="s">
        <v>32</v>
      </c>
      <c r="D250" s="40">
        <v>1935</v>
      </c>
      <c r="E250" s="40">
        <v>1.41</v>
      </c>
      <c r="F250" s="40">
        <v>99.95</v>
      </c>
      <c r="G250" s="40">
        <v>90</v>
      </c>
      <c r="H250" s="40" t="s">
        <v>48</v>
      </c>
      <c r="I250" s="43" t="s">
        <v>105</v>
      </c>
      <c r="J250" s="33" t="s">
        <v>68</v>
      </c>
      <c r="K250" s="39" t="str">
        <f t="shared" si="3"/>
        <v>Flat 04</v>
      </c>
    </row>
    <row r="251" spans="3:11" x14ac:dyDescent="0.2">
      <c r="C251" s="40" t="s">
        <v>32</v>
      </c>
      <c r="D251" s="40">
        <v>1936</v>
      </c>
      <c r="E251" s="40">
        <v>8.31</v>
      </c>
      <c r="F251" s="40">
        <v>189.95</v>
      </c>
      <c r="G251" s="40">
        <v>90</v>
      </c>
      <c r="H251" s="40" t="s">
        <v>42</v>
      </c>
      <c r="I251" s="43" t="s">
        <v>105</v>
      </c>
      <c r="J251" s="33" t="s">
        <v>68</v>
      </c>
      <c r="K251" s="39" t="str">
        <f t="shared" si="3"/>
        <v>Flat 04</v>
      </c>
    </row>
    <row r="252" spans="3:11" x14ac:dyDescent="0.2">
      <c r="C252" s="40" t="s">
        <v>32</v>
      </c>
      <c r="D252" s="40">
        <v>1937</v>
      </c>
      <c r="E252" s="40">
        <v>12.78</v>
      </c>
      <c r="F252" s="40">
        <v>189.95</v>
      </c>
      <c r="G252" s="40">
        <v>90</v>
      </c>
      <c r="H252" s="40" t="s">
        <v>42</v>
      </c>
      <c r="I252" s="43" t="s">
        <v>105</v>
      </c>
      <c r="J252" s="33" t="s">
        <v>68</v>
      </c>
      <c r="K252" s="39" t="str">
        <f t="shared" si="3"/>
        <v>Flat 04</v>
      </c>
    </row>
    <row r="253" spans="3:11" x14ac:dyDescent="0.2">
      <c r="C253" s="40" t="s">
        <v>32</v>
      </c>
      <c r="D253" s="40">
        <v>1938</v>
      </c>
      <c r="E253" s="40">
        <v>5.27</v>
      </c>
      <c r="F253" s="40">
        <v>279.95</v>
      </c>
      <c r="G253" s="40">
        <v>90</v>
      </c>
      <c r="H253" s="40" t="s">
        <v>49</v>
      </c>
      <c r="I253" s="43" t="s">
        <v>105</v>
      </c>
      <c r="J253" s="33" t="s">
        <v>68</v>
      </c>
      <c r="K253" s="39" t="str">
        <f t="shared" si="3"/>
        <v>Flat 04</v>
      </c>
    </row>
    <row r="254" spans="3:11" x14ac:dyDescent="0.2">
      <c r="C254" s="40" t="s">
        <v>32</v>
      </c>
      <c r="D254" s="40">
        <v>3484</v>
      </c>
      <c r="E254" s="40">
        <v>8.15</v>
      </c>
      <c r="F254" s="40">
        <v>189.95</v>
      </c>
      <c r="G254" s="40">
        <v>90</v>
      </c>
      <c r="H254" s="40" t="s">
        <v>42</v>
      </c>
      <c r="I254" s="43" t="s">
        <v>106</v>
      </c>
      <c r="J254" s="33" t="s">
        <v>68</v>
      </c>
      <c r="K254" s="39" t="str">
        <f t="shared" si="3"/>
        <v>Flat 03</v>
      </c>
    </row>
    <row r="255" spans="3:11" x14ac:dyDescent="0.2">
      <c r="C255" s="40" t="s">
        <v>32</v>
      </c>
      <c r="D255" s="40">
        <v>3485</v>
      </c>
      <c r="E255" s="40">
        <v>5.47</v>
      </c>
      <c r="F255" s="40">
        <v>279.95</v>
      </c>
      <c r="G255" s="40">
        <v>90</v>
      </c>
      <c r="H255" s="40" t="s">
        <v>49</v>
      </c>
      <c r="I255" s="43" t="s">
        <v>106</v>
      </c>
      <c r="J255" s="33" t="s">
        <v>68</v>
      </c>
      <c r="K255" s="39" t="str">
        <f t="shared" si="3"/>
        <v>Flat 03</v>
      </c>
    </row>
    <row r="256" spans="3:11" x14ac:dyDescent="0.2">
      <c r="C256" s="40" t="s">
        <v>32</v>
      </c>
      <c r="D256" s="40">
        <v>3486</v>
      </c>
      <c r="E256" s="40">
        <v>2.86</v>
      </c>
      <c r="F256" s="40">
        <v>157</v>
      </c>
      <c r="G256" s="40">
        <v>90</v>
      </c>
      <c r="H256" s="40" t="s">
        <v>76</v>
      </c>
      <c r="I256" s="43" t="s">
        <v>106</v>
      </c>
      <c r="J256" s="33" t="s">
        <v>68</v>
      </c>
      <c r="K256" s="39" t="str">
        <f t="shared" si="3"/>
        <v>Flat 03</v>
      </c>
    </row>
    <row r="257" spans="3:11" x14ac:dyDescent="0.2">
      <c r="C257" s="40" t="s">
        <v>32</v>
      </c>
      <c r="D257" s="40">
        <v>3487</v>
      </c>
      <c r="E257" s="40">
        <v>3.12</v>
      </c>
      <c r="F257" s="40">
        <v>9.9499999999999993</v>
      </c>
      <c r="G257" s="40">
        <v>90</v>
      </c>
      <c r="H257" s="40" t="s">
        <v>47</v>
      </c>
      <c r="I257" s="43" t="s">
        <v>106</v>
      </c>
      <c r="J257" s="33" t="s">
        <v>68</v>
      </c>
      <c r="K257" s="39" t="str">
        <f t="shared" si="3"/>
        <v>Flat 03</v>
      </c>
    </row>
    <row r="258" spans="3:11" x14ac:dyDescent="0.2">
      <c r="C258" s="40" t="s">
        <v>32</v>
      </c>
      <c r="D258" s="40">
        <v>3488</v>
      </c>
      <c r="E258" s="40">
        <v>5.12</v>
      </c>
      <c r="F258" s="40">
        <v>9.9499999999999993</v>
      </c>
      <c r="G258" s="40">
        <v>90</v>
      </c>
      <c r="H258" s="40" t="s">
        <v>47</v>
      </c>
      <c r="I258" s="43" t="s">
        <v>106</v>
      </c>
      <c r="J258" s="33" t="s">
        <v>68</v>
      </c>
      <c r="K258" s="39" t="str">
        <f t="shared" si="3"/>
        <v>Flat 03</v>
      </c>
    </row>
    <row r="259" spans="3:11" x14ac:dyDescent="0.2">
      <c r="C259" s="40" t="s">
        <v>32</v>
      </c>
      <c r="D259" s="40">
        <v>3489</v>
      </c>
      <c r="E259" s="40">
        <v>2.33</v>
      </c>
      <c r="F259" s="40">
        <v>279.95</v>
      </c>
      <c r="G259" s="40">
        <v>90</v>
      </c>
      <c r="H259" s="40" t="s">
        <v>49</v>
      </c>
      <c r="I259" s="43" t="s">
        <v>106</v>
      </c>
      <c r="J259" s="33" t="s">
        <v>68</v>
      </c>
      <c r="K259" s="39" t="str">
        <f t="shared" si="3"/>
        <v>Flat 03</v>
      </c>
    </row>
    <row r="260" spans="3:11" x14ac:dyDescent="0.2">
      <c r="C260" s="40" t="s">
        <v>32</v>
      </c>
      <c r="D260" s="40">
        <v>3490</v>
      </c>
      <c r="E260" s="40">
        <v>3.62</v>
      </c>
      <c r="F260" s="40">
        <v>9.9499999999999993</v>
      </c>
      <c r="G260" s="40">
        <v>90</v>
      </c>
      <c r="H260" s="40" t="s">
        <v>47</v>
      </c>
      <c r="I260" s="43" t="s">
        <v>106</v>
      </c>
      <c r="J260" s="33" t="s">
        <v>68</v>
      </c>
      <c r="K260" s="39" t="str">
        <f t="shared" si="3"/>
        <v>Flat 03</v>
      </c>
    </row>
    <row r="261" spans="3:11" x14ac:dyDescent="0.2">
      <c r="C261" s="40" t="s">
        <v>32</v>
      </c>
      <c r="D261" s="40">
        <v>3491</v>
      </c>
      <c r="E261" s="40">
        <v>2.2799999999999998</v>
      </c>
      <c r="F261" s="40">
        <v>9.9499999999999993</v>
      </c>
      <c r="G261" s="40">
        <v>90</v>
      </c>
      <c r="H261" s="40" t="s">
        <v>47</v>
      </c>
      <c r="I261" s="43" t="s">
        <v>106</v>
      </c>
      <c r="J261" s="33" t="s">
        <v>68</v>
      </c>
      <c r="K261" s="39" t="str">
        <f t="shared" si="3"/>
        <v>Flat 03</v>
      </c>
    </row>
    <row r="262" spans="3:11" x14ac:dyDescent="0.2">
      <c r="C262" s="40" t="s">
        <v>32</v>
      </c>
      <c r="D262" s="40">
        <v>3492</v>
      </c>
      <c r="E262" s="40">
        <v>1.64</v>
      </c>
      <c r="F262" s="40">
        <v>99.95</v>
      </c>
      <c r="G262" s="40">
        <v>90</v>
      </c>
      <c r="H262" s="40" t="s">
        <v>48</v>
      </c>
      <c r="I262" s="43" t="s">
        <v>106</v>
      </c>
      <c r="J262" s="33" t="s">
        <v>68</v>
      </c>
      <c r="K262" s="39" t="str">
        <f t="shared" si="3"/>
        <v>Flat 03</v>
      </c>
    </row>
    <row r="263" spans="3:11" x14ac:dyDescent="0.2">
      <c r="C263" s="40" t="s">
        <v>32</v>
      </c>
      <c r="D263" s="40">
        <v>3493</v>
      </c>
      <c r="E263" s="40">
        <v>2.82</v>
      </c>
      <c r="F263" s="40">
        <v>99.95</v>
      </c>
      <c r="G263" s="40">
        <v>90</v>
      </c>
      <c r="H263" s="40" t="s">
        <v>48</v>
      </c>
      <c r="I263" s="43" t="s">
        <v>106</v>
      </c>
      <c r="J263" s="33" t="s">
        <v>68</v>
      </c>
      <c r="K263" s="39" t="str">
        <f t="shared" ref="K263:K326" si="4">LEFT(I263,7)</f>
        <v>Flat 03</v>
      </c>
    </row>
    <row r="264" spans="3:11" x14ac:dyDescent="0.2">
      <c r="C264" s="40" t="s">
        <v>32</v>
      </c>
      <c r="D264" s="40">
        <v>3494</v>
      </c>
      <c r="E264" s="40">
        <v>1.95</v>
      </c>
      <c r="F264" s="40">
        <v>99.95</v>
      </c>
      <c r="G264" s="40">
        <v>90</v>
      </c>
      <c r="H264" s="40" t="s">
        <v>48</v>
      </c>
      <c r="I264" s="43" t="s">
        <v>106</v>
      </c>
      <c r="J264" s="33" t="s">
        <v>68</v>
      </c>
      <c r="K264" s="39" t="str">
        <f t="shared" si="4"/>
        <v>Flat 03</v>
      </c>
    </row>
    <row r="265" spans="3:11" x14ac:dyDescent="0.2">
      <c r="C265" s="40" t="s">
        <v>32</v>
      </c>
      <c r="D265" s="40">
        <v>3495</v>
      </c>
      <c r="E265" s="40">
        <v>5.75</v>
      </c>
      <c r="F265" s="40">
        <v>189.95</v>
      </c>
      <c r="G265" s="40">
        <v>90</v>
      </c>
      <c r="H265" s="40" t="s">
        <v>42</v>
      </c>
      <c r="I265" s="43" t="s">
        <v>106</v>
      </c>
      <c r="J265" s="33" t="s">
        <v>68</v>
      </c>
      <c r="K265" s="39" t="str">
        <f t="shared" si="4"/>
        <v>Flat 03</v>
      </c>
    </row>
    <row r="266" spans="3:11" x14ac:dyDescent="0.2">
      <c r="C266" s="40" t="s">
        <v>32</v>
      </c>
      <c r="D266" s="40">
        <v>3496</v>
      </c>
      <c r="E266" s="40">
        <v>3.09</v>
      </c>
      <c r="F266" s="40">
        <v>99.95</v>
      </c>
      <c r="G266" s="40">
        <v>90</v>
      </c>
      <c r="H266" s="40" t="s">
        <v>48</v>
      </c>
      <c r="I266" s="43" t="s">
        <v>106</v>
      </c>
      <c r="J266" s="33" t="s">
        <v>68</v>
      </c>
      <c r="K266" s="39" t="str">
        <f t="shared" si="4"/>
        <v>Flat 03</v>
      </c>
    </row>
    <row r="267" spans="3:11" x14ac:dyDescent="0.2">
      <c r="C267" s="40" t="s">
        <v>32</v>
      </c>
      <c r="D267" s="40">
        <v>3497</v>
      </c>
      <c r="E267" s="40">
        <v>4.3499999999999996</v>
      </c>
      <c r="F267" s="40">
        <v>189.95</v>
      </c>
      <c r="G267" s="40">
        <v>90</v>
      </c>
      <c r="H267" s="40" t="s">
        <v>42</v>
      </c>
      <c r="I267" s="43" t="s">
        <v>106</v>
      </c>
      <c r="J267" s="33" t="s">
        <v>68</v>
      </c>
      <c r="K267" s="39" t="str">
        <f t="shared" si="4"/>
        <v>Flat 03</v>
      </c>
    </row>
    <row r="268" spans="3:11" x14ac:dyDescent="0.2">
      <c r="C268" s="40" t="s">
        <v>32</v>
      </c>
      <c r="D268" s="40">
        <v>3498</v>
      </c>
      <c r="E268" s="40">
        <v>1.64</v>
      </c>
      <c r="F268" s="40">
        <v>279.95</v>
      </c>
      <c r="G268" s="40">
        <v>90</v>
      </c>
      <c r="H268" s="40" t="s">
        <v>49</v>
      </c>
      <c r="I268" s="43" t="s">
        <v>106</v>
      </c>
      <c r="J268" s="33" t="s">
        <v>68</v>
      </c>
      <c r="K268" s="39" t="str">
        <f t="shared" si="4"/>
        <v>Flat 03</v>
      </c>
    </row>
    <row r="269" spans="3:11" x14ac:dyDescent="0.2">
      <c r="C269" s="40" t="s">
        <v>32</v>
      </c>
      <c r="D269" s="40">
        <v>3499</v>
      </c>
      <c r="E269" s="40">
        <v>0.74</v>
      </c>
      <c r="F269" s="40">
        <v>279.95</v>
      </c>
      <c r="G269" s="40">
        <v>90</v>
      </c>
      <c r="H269" s="40" t="s">
        <v>49</v>
      </c>
      <c r="I269" s="43" t="s">
        <v>106</v>
      </c>
      <c r="J269" s="33" t="s">
        <v>68</v>
      </c>
      <c r="K269" s="39" t="str">
        <f t="shared" si="4"/>
        <v>Flat 03</v>
      </c>
    </row>
    <row r="270" spans="3:11" x14ac:dyDescent="0.2">
      <c r="C270" s="40" t="s">
        <v>32</v>
      </c>
      <c r="D270" s="40">
        <v>3500</v>
      </c>
      <c r="E270" s="40">
        <v>4.67</v>
      </c>
      <c r="F270" s="40">
        <v>9.9499999999999993</v>
      </c>
      <c r="G270" s="40">
        <v>90</v>
      </c>
      <c r="H270" s="40" t="s">
        <v>47</v>
      </c>
      <c r="I270" s="43" t="s">
        <v>106</v>
      </c>
      <c r="J270" s="33" t="s">
        <v>68</v>
      </c>
      <c r="K270" s="39" t="str">
        <f t="shared" si="4"/>
        <v>Flat 03</v>
      </c>
    </row>
    <row r="271" spans="3:11" x14ac:dyDescent="0.2">
      <c r="C271" s="40" t="s">
        <v>32</v>
      </c>
      <c r="D271" s="40">
        <v>4302</v>
      </c>
      <c r="E271" s="40">
        <v>4.3499999999999996</v>
      </c>
      <c r="F271" s="40">
        <v>189.95</v>
      </c>
      <c r="G271" s="40">
        <v>90</v>
      </c>
      <c r="H271" s="40" t="s">
        <v>42</v>
      </c>
      <c r="I271" s="43" t="s">
        <v>107</v>
      </c>
      <c r="J271" s="33" t="s">
        <v>68</v>
      </c>
      <c r="K271" s="39" t="str">
        <f t="shared" si="4"/>
        <v>Flat 18</v>
      </c>
    </row>
    <row r="272" spans="3:11" x14ac:dyDescent="0.2">
      <c r="C272" s="40" t="s">
        <v>32</v>
      </c>
      <c r="D272" s="40">
        <v>4303</v>
      </c>
      <c r="E272" s="40">
        <v>2.88</v>
      </c>
      <c r="F272" s="40">
        <v>9.9499999999999993</v>
      </c>
      <c r="G272" s="40">
        <v>90</v>
      </c>
      <c r="H272" s="40" t="s">
        <v>47</v>
      </c>
      <c r="I272" s="43" t="s">
        <v>107</v>
      </c>
      <c r="J272" s="33" t="s">
        <v>68</v>
      </c>
      <c r="K272" s="39" t="str">
        <f t="shared" si="4"/>
        <v>Flat 18</v>
      </c>
    </row>
    <row r="273" spans="3:11" x14ac:dyDescent="0.2">
      <c r="C273" s="40" t="s">
        <v>32</v>
      </c>
      <c r="D273" s="40">
        <v>4304</v>
      </c>
      <c r="E273" s="40">
        <v>3.52</v>
      </c>
      <c r="F273" s="40">
        <v>9.9499999999999993</v>
      </c>
      <c r="G273" s="40">
        <v>90</v>
      </c>
      <c r="H273" s="40" t="s">
        <v>47</v>
      </c>
      <c r="I273" s="43" t="s">
        <v>107</v>
      </c>
      <c r="J273" s="33" t="s">
        <v>68</v>
      </c>
      <c r="K273" s="39" t="str">
        <f t="shared" si="4"/>
        <v>Flat 18</v>
      </c>
    </row>
    <row r="274" spans="3:11" x14ac:dyDescent="0.2">
      <c r="C274" s="40" t="s">
        <v>32</v>
      </c>
      <c r="D274" s="40">
        <v>4305</v>
      </c>
      <c r="E274" s="40">
        <v>5.84</v>
      </c>
      <c r="F274" s="40">
        <v>279.95</v>
      </c>
      <c r="G274" s="40">
        <v>90</v>
      </c>
      <c r="H274" s="40" t="s">
        <v>49</v>
      </c>
      <c r="I274" s="43" t="s">
        <v>107</v>
      </c>
      <c r="J274" s="33" t="s">
        <v>68</v>
      </c>
      <c r="K274" s="39" t="str">
        <f t="shared" si="4"/>
        <v>Flat 18</v>
      </c>
    </row>
    <row r="275" spans="3:11" x14ac:dyDescent="0.2">
      <c r="C275" s="40" t="s">
        <v>32</v>
      </c>
      <c r="D275" s="40">
        <v>4306</v>
      </c>
      <c r="E275" s="40">
        <v>5.53</v>
      </c>
      <c r="F275" s="40">
        <v>99.95</v>
      </c>
      <c r="G275" s="40">
        <v>90</v>
      </c>
      <c r="H275" s="40" t="s">
        <v>48</v>
      </c>
      <c r="I275" s="43" t="s">
        <v>107</v>
      </c>
      <c r="J275" s="33" t="s">
        <v>68</v>
      </c>
      <c r="K275" s="39" t="str">
        <f t="shared" si="4"/>
        <v>Flat 18</v>
      </c>
    </row>
    <row r="276" spans="3:11" x14ac:dyDescent="0.2">
      <c r="C276" s="40" t="s">
        <v>32</v>
      </c>
      <c r="D276" s="40">
        <v>4307</v>
      </c>
      <c r="E276" s="40">
        <v>4.7699999999999996</v>
      </c>
      <c r="F276" s="40">
        <v>279.95</v>
      </c>
      <c r="G276" s="40">
        <v>90</v>
      </c>
      <c r="H276" s="40" t="s">
        <v>49</v>
      </c>
      <c r="I276" s="43" t="s">
        <v>107</v>
      </c>
      <c r="J276" s="33" t="s">
        <v>68</v>
      </c>
      <c r="K276" s="39" t="str">
        <f t="shared" si="4"/>
        <v>Flat 18</v>
      </c>
    </row>
    <row r="277" spans="3:11" x14ac:dyDescent="0.2">
      <c r="C277" s="40" t="s">
        <v>32</v>
      </c>
      <c r="D277" s="40">
        <v>4308</v>
      </c>
      <c r="E277" s="40">
        <v>2.35</v>
      </c>
      <c r="F277" s="40">
        <v>9.9499999999999993</v>
      </c>
      <c r="G277" s="40">
        <v>90</v>
      </c>
      <c r="H277" s="40" t="s">
        <v>47</v>
      </c>
      <c r="I277" s="43" t="s">
        <v>107</v>
      </c>
      <c r="J277" s="33" t="s">
        <v>68</v>
      </c>
      <c r="K277" s="39" t="str">
        <f t="shared" si="4"/>
        <v>Flat 18</v>
      </c>
    </row>
    <row r="278" spans="3:11" x14ac:dyDescent="0.2">
      <c r="C278" s="40" t="s">
        <v>32</v>
      </c>
      <c r="D278" s="40">
        <v>4309</v>
      </c>
      <c r="E278" s="40">
        <v>5.84</v>
      </c>
      <c r="F278" s="40">
        <v>279.95</v>
      </c>
      <c r="G278" s="40">
        <v>90</v>
      </c>
      <c r="H278" s="40" t="s">
        <v>49</v>
      </c>
      <c r="I278" s="43" t="s">
        <v>107</v>
      </c>
      <c r="J278" s="33" t="s">
        <v>68</v>
      </c>
      <c r="K278" s="39" t="str">
        <f t="shared" si="4"/>
        <v>Flat 18</v>
      </c>
    </row>
    <row r="279" spans="3:11" x14ac:dyDescent="0.2">
      <c r="C279" s="40" t="s">
        <v>32</v>
      </c>
      <c r="D279" s="40">
        <v>4310</v>
      </c>
      <c r="E279" s="40">
        <v>9.36</v>
      </c>
      <c r="F279" s="40">
        <v>9.9499999999999993</v>
      </c>
      <c r="G279" s="40">
        <v>90</v>
      </c>
      <c r="H279" s="40" t="s">
        <v>47</v>
      </c>
      <c r="I279" s="43" t="s">
        <v>107</v>
      </c>
      <c r="J279" s="33" t="s">
        <v>68</v>
      </c>
      <c r="K279" s="39" t="str">
        <f t="shared" si="4"/>
        <v>Flat 18</v>
      </c>
    </row>
    <row r="280" spans="3:11" x14ac:dyDescent="0.2">
      <c r="C280" s="40" t="s">
        <v>32</v>
      </c>
      <c r="D280" s="40">
        <v>4311</v>
      </c>
      <c r="E280" s="40">
        <v>2.35</v>
      </c>
      <c r="F280" s="40">
        <v>9.9499999999999993</v>
      </c>
      <c r="G280" s="40">
        <v>90</v>
      </c>
      <c r="H280" s="40" t="s">
        <v>47</v>
      </c>
      <c r="I280" s="43" t="s">
        <v>107</v>
      </c>
      <c r="J280" s="33" t="s">
        <v>68</v>
      </c>
      <c r="K280" s="39" t="str">
        <f t="shared" si="4"/>
        <v>Flat 18</v>
      </c>
    </row>
    <row r="281" spans="3:11" x14ac:dyDescent="0.2">
      <c r="C281" s="40" t="s">
        <v>32</v>
      </c>
      <c r="D281" s="40">
        <v>4312</v>
      </c>
      <c r="E281" s="40">
        <v>1.71</v>
      </c>
      <c r="F281" s="40">
        <v>99.95</v>
      </c>
      <c r="G281" s="40">
        <v>90</v>
      </c>
      <c r="H281" s="40" t="s">
        <v>48</v>
      </c>
      <c r="I281" s="43" t="s">
        <v>107</v>
      </c>
      <c r="J281" s="33" t="s">
        <v>68</v>
      </c>
      <c r="K281" s="39" t="str">
        <f t="shared" si="4"/>
        <v>Flat 18</v>
      </c>
    </row>
    <row r="282" spans="3:11" x14ac:dyDescent="0.2">
      <c r="C282" s="40" t="s">
        <v>32</v>
      </c>
      <c r="D282" s="40">
        <v>4313</v>
      </c>
      <c r="E282" s="40">
        <v>5.62</v>
      </c>
      <c r="F282" s="40">
        <v>9.9499999999999993</v>
      </c>
      <c r="G282" s="40">
        <v>90</v>
      </c>
      <c r="H282" s="40" t="s">
        <v>47</v>
      </c>
      <c r="I282" s="43" t="s">
        <v>107</v>
      </c>
      <c r="J282" s="33" t="s">
        <v>68</v>
      </c>
      <c r="K282" s="39" t="str">
        <f t="shared" si="4"/>
        <v>Flat 18</v>
      </c>
    </row>
    <row r="283" spans="3:11" x14ac:dyDescent="0.2">
      <c r="C283" s="40" t="s">
        <v>32</v>
      </c>
      <c r="D283" s="40">
        <v>4314</v>
      </c>
      <c r="E283" s="40">
        <v>1.31</v>
      </c>
      <c r="F283" s="40">
        <v>99.95</v>
      </c>
      <c r="G283" s="40">
        <v>90</v>
      </c>
      <c r="H283" s="40" t="s">
        <v>48</v>
      </c>
      <c r="I283" s="43" t="s">
        <v>107</v>
      </c>
      <c r="J283" s="33" t="s">
        <v>68</v>
      </c>
      <c r="K283" s="39" t="str">
        <f t="shared" si="4"/>
        <v>Flat 18</v>
      </c>
    </row>
    <row r="284" spans="3:11" x14ac:dyDescent="0.2">
      <c r="C284" s="40" t="s">
        <v>32</v>
      </c>
      <c r="D284" s="40">
        <v>4315</v>
      </c>
      <c r="E284" s="40">
        <v>8.94</v>
      </c>
      <c r="F284" s="40">
        <v>9.9499999999999993</v>
      </c>
      <c r="G284" s="40">
        <v>90</v>
      </c>
      <c r="H284" s="40" t="s">
        <v>47</v>
      </c>
      <c r="I284" s="43" t="s">
        <v>107</v>
      </c>
      <c r="J284" s="33" t="s">
        <v>68</v>
      </c>
      <c r="K284" s="39" t="str">
        <f t="shared" si="4"/>
        <v>Flat 18</v>
      </c>
    </row>
    <row r="285" spans="3:11" x14ac:dyDescent="0.2">
      <c r="C285" s="40" t="s">
        <v>32</v>
      </c>
      <c r="D285" s="40">
        <v>4316</v>
      </c>
      <c r="E285" s="40">
        <v>2.77</v>
      </c>
      <c r="F285" s="40">
        <v>9.9499999999999993</v>
      </c>
      <c r="G285" s="40">
        <v>90</v>
      </c>
      <c r="H285" s="40" t="s">
        <v>47</v>
      </c>
      <c r="I285" s="43" t="s">
        <v>107</v>
      </c>
      <c r="J285" s="33" t="s">
        <v>68</v>
      </c>
      <c r="K285" s="39" t="str">
        <f t="shared" si="4"/>
        <v>Flat 18</v>
      </c>
    </row>
    <row r="286" spans="3:11" x14ac:dyDescent="0.2">
      <c r="C286" s="40" t="s">
        <v>32</v>
      </c>
      <c r="D286" s="40">
        <v>4585</v>
      </c>
      <c r="E286" s="40">
        <v>4.28</v>
      </c>
      <c r="F286" s="40">
        <v>157</v>
      </c>
      <c r="G286" s="40">
        <v>90</v>
      </c>
      <c r="H286" s="40" t="s">
        <v>76</v>
      </c>
      <c r="I286" s="43" t="s">
        <v>108</v>
      </c>
      <c r="J286" s="33" t="s">
        <v>68</v>
      </c>
      <c r="K286" s="39" t="str">
        <f t="shared" si="4"/>
        <v>Flat 13</v>
      </c>
    </row>
    <row r="287" spans="3:11" x14ac:dyDescent="0.2">
      <c r="C287" s="40" t="s">
        <v>32</v>
      </c>
      <c r="D287" s="40">
        <v>4586</v>
      </c>
      <c r="E287" s="40">
        <v>5.54</v>
      </c>
      <c r="F287" s="40">
        <v>337</v>
      </c>
      <c r="G287" s="40">
        <v>90</v>
      </c>
      <c r="H287" s="40" t="s">
        <v>74</v>
      </c>
      <c r="I287" s="43" t="s">
        <v>108</v>
      </c>
      <c r="J287" s="33" t="s">
        <v>68</v>
      </c>
      <c r="K287" s="39" t="str">
        <f t="shared" si="4"/>
        <v>Flat 13</v>
      </c>
    </row>
    <row r="288" spans="3:11" x14ac:dyDescent="0.2">
      <c r="C288" s="40" t="s">
        <v>32</v>
      </c>
      <c r="D288" s="40">
        <v>4587</v>
      </c>
      <c r="E288" s="40">
        <v>3.07</v>
      </c>
      <c r="F288" s="40">
        <v>67</v>
      </c>
      <c r="G288" s="40">
        <v>90</v>
      </c>
      <c r="H288" s="40" t="s">
        <v>77</v>
      </c>
      <c r="I288" s="43" t="s">
        <v>108</v>
      </c>
      <c r="J288" s="33" t="s">
        <v>68</v>
      </c>
      <c r="K288" s="39" t="str">
        <f t="shared" si="4"/>
        <v>Flat 13</v>
      </c>
    </row>
    <row r="289" spans="3:11" x14ac:dyDescent="0.2">
      <c r="C289" s="40" t="s">
        <v>32</v>
      </c>
      <c r="D289" s="40">
        <v>4588</v>
      </c>
      <c r="E289" s="40">
        <v>5.52</v>
      </c>
      <c r="F289" s="40">
        <v>67</v>
      </c>
      <c r="G289" s="40">
        <v>90</v>
      </c>
      <c r="H289" s="40" t="s">
        <v>77</v>
      </c>
      <c r="I289" s="43" t="s">
        <v>108</v>
      </c>
      <c r="J289" s="33" t="s">
        <v>68</v>
      </c>
      <c r="K289" s="39" t="str">
        <f t="shared" si="4"/>
        <v>Flat 13</v>
      </c>
    </row>
    <row r="290" spans="3:11" x14ac:dyDescent="0.2">
      <c r="C290" s="40" t="s">
        <v>32</v>
      </c>
      <c r="D290" s="40">
        <v>4589</v>
      </c>
      <c r="E290" s="40">
        <v>2.2799999999999998</v>
      </c>
      <c r="F290" s="40">
        <v>337</v>
      </c>
      <c r="G290" s="40">
        <v>90</v>
      </c>
      <c r="H290" s="40" t="s">
        <v>74</v>
      </c>
      <c r="I290" s="43" t="s">
        <v>108</v>
      </c>
      <c r="J290" s="33" t="s">
        <v>68</v>
      </c>
      <c r="K290" s="39" t="str">
        <f t="shared" si="4"/>
        <v>Flat 13</v>
      </c>
    </row>
    <row r="291" spans="3:11" x14ac:dyDescent="0.2">
      <c r="C291" s="40" t="s">
        <v>32</v>
      </c>
      <c r="D291" s="40">
        <v>4590</v>
      </c>
      <c r="E291" s="40">
        <v>5.52</v>
      </c>
      <c r="F291" s="40">
        <v>247</v>
      </c>
      <c r="G291" s="40">
        <v>90</v>
      </c>
      <c r="H291" s="40" t="s">
        <v>75</v>
      </c>
      <c r="I291" s="43" t="s">
        <v>108</v>
      </c>
      <c r="J291" s="33" t="s">
        <v>68</v>
      </c>
      <c r="K291" s="39" t="str">
        <f t="shared" si="4"/>
        <v>Flat 13</v>
      </c>
    </row>
    <row r="292" spans="3:11" x14ac:dyDescent="0.2">
      <c r="C292" s="40" t="s">
        <v>32</v>
      </c>
      <c r="D292" s="40">
        <v>4591</v>
      </c>
      <c r="E292" s="40">
        <v>5.45</v>
      </c>
      <c r="F292" s="40">
        <v>247</v>
      </c>
      <c r="G292" s="40">
        <v>90</v>
      </c>
      <c r="H292" s="40" t="s">
        <v>75</v>
      </c>
      <c r="I292" s="43" t="s">
        <v>108</v>
      </c>
      <c r="J292" s="33" t="s">
        <v>68</v>
      </c>
      <c r="K292" s="39" t="str">
        <f t="shared" si="4"/>
        <v>Flat 13</v>
      </c>
    </row>
    <row r="293" spans="3:11" x14ac:dyDescent="0.2">
      <c r="C293" s="40" t="s">
        <v>32</v>
      </c>
      <c r="D293" s="40">
        <v>4592</v>
      </c>
      <c r="E293" s="40">
        <v>4.28</v>
      </c>
      <c r="F293" s="40">
        <v>337</v>
      </c>
      <c r="G293" s="40">
        <v>90</v>
      </c>
      <c r="H293" s="40" t="s">
        <v>74</v>
      </c>
      <c r="I293" s="43" t="s">
        <v>108</v>
      </c>
      <c r="J293" s="33" t="s">
        <v>68</v>
      </c>
      <c r="K293" s="39" t="str">
        <f t="shared" si="4"/>
        <v>Flat 13</v>
      </c>
    </row>
    <row r="294" spans="3:11" x14ac:dyDescent="0.2">
      <c r="C294" s="40" t="s">
        <v>32</v>
      </c>
      <c r="D294" s="40">
        <v>4593</v>
      </c>
      <c r="E294" s="40">
        <v>3.09</v>
      </c>
      <c r="F294" s="40">
        <v>337</v>
      </c>
      <c r="G294" s="40">
        <v>90</v>
      </c>
      <c r="H294" s="40" t="s">
        <v>74</v>
      </c>
      <c r="I294" s="43" t="s">
        <v>108</v>
      </c>
      <c r="J294" s="33" t="s">
        <v>68</v>
      </c>
      <c r="K294" s="39" t="str">
        <f t="shared" si="4"/>
        <v>Flat 13</v>
      </c>
    </row>
    <row r="295" spans="3:11" x14ac:dyDescent="0.2">
      <c r="C295" s="40" t="s">
        <v>32</v>
      </c>
      <c r="D295" s="40">
        <v>4594</v>
      </c>
      <c r="E295" s="40">
        <v>5.52</v>
      </c>
      <c r="F295" s="40">
        <v>67</v>
      </c>
      <c r="G295" s="40">
        <v>90</v>
      </c>
      <c r="H295" s="40" t="s">
        <v>77</v>
      </c>
      <c r="I295" s="43" t="s">
        <v>108</v>
      </c>
      <c r="J295" s="33" t="s">
        <v>68</v>
      </c>
      <c r="K295" s="39" t="str">
        <f t="shared" si="4"/>
        <v>Flat 13</v>
      </c>
    </row>
    <row r="296" spans="3:11" x14ac:dyDescent="0.2">
      <c r="C296" s="40" t="s">
        <v>32</v>
      </c>
      <c r="D296" s="40">
        <v>4595</v>
      </c>
      <c r="E296" s="40">
        <v>1.98</v>
      </c>
      <c r="F296" s="40">
        <v>67</v>
      </c>
      <c r="G296" s="40">
        <v>90</v>
      </c>
      <c r="H296" s="40" t="s">
        <v>77</v>
      </c>
      <c r="I296" s="43" t="s">
        <v>108</v>
      </c>
      <c r="J296" s="33" t="s">
        <v>68</v>
      </c>
      <c r="K296" s="39" t="str">
        <f t="shared" si="4"/>
        <v>Flat 13</v>
      </c>
    </row>
    <row r="297" spans="3:11" x14ac:dyDescent="0.2">
      <c r="C297" s="40" t="s">
        <v>32</v>
      </c>
      <c r="D297" s="40">
        <v>4596</v>
      </c>
      <c r="E297" s="40">
        <v>1.97</v>
      </c>
      <c r="F297" s="40">
        <v>337</v>
      </c>
      <c r="G297" s="40">
        <v>90</v>
      </c>
      <c r="H297" s="40" t="s">
        <v>74</v>
      </c>
      <c r="I297" s="43" t="s">
        <v>108</v>
      </c>
      <c r="J297" s="33" t="s">
        <v>68</v>
      </c>
      <c r="K297" s="39" t="str">
        <f t="shared" si="4"/>
        <v>Flat 13</v>
      </c>
    </row>
    <row r="298" spans="3:11" x14ac:dyDescent="0.2">
      <c r="C298" s="40" t="s">
        <v>32</v>
      </c>
      <c r="D298" s="40">
        <v>4597</v>
      </c>
      <c r="E298" s="40">
        <v>8.56</v>
      </c>
      <c r="F298" s="40">
        <v>337</v>
      </c>
      <c r="G298" s="40">
        <v>90</v>
      </c>
      <c r="H298" s="40" t="s">
        <v>74</v>
      </c>
      <c r="I298" s="43" t="s">
        <v>108</v>
      </c>
      <c r="J298" s="33" t="s">
        <v>68</v>
      </c>
      <c r="K298" s="39" t="str">
        <f t="shared" si="4"/>
        <v>Flat 13</v>
      </c>
    </row>
    <row r="299" spans="3:11" x14ac:dyDescent="0.2">
      <c r="C299" s="40" t="s">
        <v>32</v>
      </c>
      <c r="D299" s="40">
        <v>4598</v>
      </c>
      <c r="E299" s="40">
        <v>6.97</v>
      </c>
      <c r="F299" s="40">
        <v>67</v>
      </c>
      <c r="G299" s="40">
        <v>90</v>
      </c>
      <c r="H299" s="40" t="s">
        <v>77</v>
      </c>
      <c r="I299" s="43" t="s">
        <v>108</v>
      </c>
      <c r="J299" s="33" t="s">
        <v>68</v>
      </c>
      <c r="K299" s="39" t="str">
        <f t="shared" si="4"/>
        <v>Flat 13</v>
      </c>
    </row>
    <row r="300" spans="3:11" x14ac:dyDescent="0.2">
      <c r="C300" s="40" t="s">
        <v>32</v>
      </c>
      <c r="D300" s="40">
        <v>4599</v>
      </c>
      <c r="E300" s="40">
        <v>1.98</v>
      </c>
      <c r="F300" s="40">
        <v>67</v>
      </c>
      <c r="G300" s="40">
        <v>90</v>
      </c>
      <c r="H300" s="40" t="s">
        <v>77</v>
      </c>
      <c r="I300" s="43" t="s">
        <v>108</v>
      </c>
      <c r="J300" s="33" t="s">
        <v>68</v>
      </c>
      <c r="K300" s="39" t="str">
        <f t="shared" si="4"/>
        <v>Flat 13</v>
      </c>
    </row>
    <row r="301" spans="3:11" x14ac:dyDescent="0.2">
      <c r="C301" s="40" t="s">
        <v>32</v>
      </c>
      <c r="D301" s="40">
        <v>4600</v>
      </c>
      <c r="E301" s="40">
        <v>1.97</v>
      </c>
      <c r="F301" s="40">
        <v>337</v>
      </c>
      <c r="G301" s="40">
        <v>90</v>
      </c>
      <c r="H301" s="40" t="s">
        <v>74</v>
      </c>
      <c r="I301" s="43" t="s">
        <v>108</v>
      </c>
      <c r="J301" s="33" t="s">
        <v>68</v>
      </c>
      <c r="K301" s="39" t="str">
        <f t="shared" si="4"/>
        <v>Flat 13</v>
      </c>
    </row>
    <row r="302" spans="3:11" x14ac:dyDescent="0.2">
      <c r="C302" s="40" t="s">
        <v>32</v>
      </c>
      <c r="D302" s="40">
        <v>4601</v>
      </c>
      <c r="E302" s="40">
        <v>5.53</v>
      </c>
      <c r="F302" s="40">
        <v>337</v>
      </c>
      <c r="G302" s="40">
        <v>90</v>
      </c>
      <c r="H302" s="40" t="s">
        <v>74</v>
      </c>
      <c r="I302" s="43" t="s">
        <v>108</v>
      </c>
      <c r="J302" s="33" t="s">
        <v>68</v>
      </c>
      <c r="K302" s="39" t="str">
        <f t="shared" si="4"/>
        <v>Flat 13</v>
      </c>
    </row>
    <row r="303" spans="3:11" x14ac:dyDescent="0.2">
      <c r="C303" s="40" t="s">
        <v>32</v>
      </c>
      <c r="D303" s="40">
        <v>4207</v>
      </c>
      <c r="E303" s="40">
        <v>3.06</v>
      </c>
      <c r="F303" s="40">
        <v>189.95</v>
      </c>
      <c r="G303" s="40">
        <v>90</v>
      </c>
      <c r="H303" s="40" t="s">
        <v>42</v>
      </c>
      <c r="I303" s="43" t="s">
        <v>109</v>
      </c>
      <c r="J303" s="33" t="s">
        <v>68</v>
      </c>
      <c r="K303" s="39" t="str">
        <f t="shared" si="4"/>
        <v>Flat 17</v>
      </c>
    </row>
    <row r="304" spans="3:11" x14ac:dyDescent="0.2">
      <c r="C304" s="40" t="s">
        <v>32</v>
      </c>
      <c r="D304" s="40">
        <v>4208</v>
      </c>
      <c r="E304" s="40">
        <v>5.66</v>
      </c>
      <c r="F304" s="40">
        <v>189.95</v>
      </c>
      <c r="G304" s="40">
        <v>90</v>
      </c>
      <c r="H304" s="40" t="s">
        <v>42</v>
      </c>
      <c r="I304" s="43" t="s">
        <v>109</v>
      </c>
      <c r="J304" s="33" t="s">
        <v>68</v>
      </c>
      <c r="K304" s="39" t="str">
        <f t="shared" si="4"/>
        <v>Flat 17</v>
      </c>
    </row>
    <row r="305" spans="3:11" x14ac:dyDescent="0.2">
      <c r="C305" s="40" t="s">
        <v>32</v>
      </c>
      <c r="D305" s="40">
        <v>4209</v>
      </c>
      <c r="E305" s="40">
        <v>5.27</v>
      </c>
      <c r="F305" s="40">
        <v>99.95</v>
      </c>
      <c r="G305" s="40">
        <v>90</v>
      </c>
      <c r="H305" s="40" t="s">
        <v>48</v>
      </c>
      <c r="I305" s="43" t="s">
        <v>109</v>
      </c>
      <c r="J305" s="33" t="s">
        <v>68</v>
      </c>
      <c r="K305" s="39" t="str">
        <f t="shared" si="4"/>
        <v>Flat 17</v>
      </c>
    </row>
    <row r="306" spans="3:11" x14ac:dyDescent="0.2">
      <c r="C306" s="40" t="s">
        <v>32</v>
      </c>
      <c r="D306" s="40">
        <v>4210</v>
      </c>
      <c r="E306" s="40">
        <v>2.13</v>
      </c>
      <c r="F306" s="40">
        <v>279.95</v>
      </c>
      <c r="G306" s="40">
        <v>90</v>
      </c>
      <c r="H306" s="40" t="s">
        <v>49</v>
      </c>
      <c r="I306" s="43" t="s">
        <v>109</v>
      </c>
      <c r="J306" s="33" t="s">
        <v>68</v>
      </c>
      <c r="K306" s="39" t="str">
        <f t="shared" si="4"/>
        <v>Flat 17</v>
      </c>
    </row>
    <row r="307" spans="3:11" x14ac:dyDescent="0.2">
      <c r="C307" s="40" t="s">
        <v>32</v>
      </c>
      <c r="D307" s="40">
        <v>4211</v>
      </c>
      <c r="E307" s="40">
        <v>7.03</v>
      </c>
      <c r="F307" s="40">
        <v>189.95</v>
      </c>
      <c r="G307" s="40">
        <v>90</v>
      </c>
      <c r="H307" s="40" t="s">
        <v>42</v>
      </c>
      <c r="I307" s="43" t="s">
        <v>109</v>
      </c>
      <c r="J307" s="33" t="s">
        <v>68</v>
      </c>
      <c r="K307" s="39" t="str">
        <f t="shared" si="4"/>
        <v>Flat 17</v>
      </c>
    </row>
    <row r="308" spans="3:11" x14ac:dyDescent="0.2">
      <c r="C308" s="40" t="s">
        <v>32</v>
      </c>
      <c r="D308" s="40">
        <v>4212</v>
      </c>
      <c r="E308" s="40">
        <v>5.41</v>
      </c>
      <c r="F308" s="40">
        <v>189.95</v>
      </c>
      <c r="G308" s="40">
        <v>90</v>
      </c>
      <c r="H308" s="40" t="s">
        <v>42</v>
      </c>
      <c r="I308" s="43" t="s">
        <v>109</v>
      </c>
      <c r="J308" s="33" t="s">
        <v>68</v>
      </c>
      <c r="K308" s="39" t="str">
        <f t="shared" si="4"/>
        <v>Flat 17</v>
      </c>
    </row>
    <row r="309" spans="3:11" x14ac:dyDescent="0.2">
      <c r="C309" s="40" t="s">
        <v>32</v>
      </c>
      <c r="D309" s="40">
        <v>4213</v>
      </c>
      <c r="E309" s="40">
        <v>2.89</v>
      </c>
      <c r="F309" s="40">
        <v>99.95</v>
      </c>
      <c r="G309" s="40">
        <v>90</v>
      </c>
      <c r="H309" s="40" t="s">
        <v>48</v>
      </c>
      <c r="I309" s="43" t="s">
        <v>109</v>
      </c>
      <c r="J309" s="33" t="s">
        <v>68</v>
      </c>
      <c r="K309" s="39" t="str">
        <f t="shared" si="4"/>
        <v>Flat 17</v>
      </c>
    </row>
    <row r="310" spans="3:11" x14ac:dyDescent="0.2">
      <c r="C310" s="40" t="s">
        <v>32</v>
      </c>
      <c r="D310" s="40">
        <v>4214</v>
      </c>
      <c r="E310" s="40">
        <v>1.97</v>
      </c>
      <c r="F310" s="40">
        <v>99.95</v>
      </c>
      <c r="G310" s="40">
        <v>90</v>
      </c>
      <c r="H310" s="40" t="s">
        <v>48</v>
      </c>
      <c r="I310" s="43" t="s">
        <v>109</v>
      </c>
      <c r="J310" s="33" t="s">
        <v>68</v>
      </c>
      <c r="K310" s="39" t="str">
        <f t="shared" si="4"/>
        <v>Flat 17</v>
      </c>
    </row>
    <row r="311" spans="3:11" x14ac:dyDescent="0.2">
      <c r="C311" s="40" t="s">
        <v>32</v>
      </c>
      <c r="D311" s="40">
        <v>4215</v>
      </c>
      <c r="E311" s="40">
        <v>3.92</v>
      </c>
      <c r="F311" s="40">
        <v>99.95</v>
      </c>
      <c r="G311" s="40">
        <v>90</v>
      </c>
      <c r="H311" s="40" t="s">
        <v>48</v>
      </c>
      <c r="I311" s="43" t="s">
        <v>109</v>
      </c>
      <c r="J311" s="33" t="s">
        <v>68</v>
      </c>
      <c r="K311" s="39" t="str">
        <f t="shared" si="4"/>
        <v>Flat 17</v>
      </c>
    </row>
    <row r="312" spans="3:11" x14ac:dyDescent="0.2">
      <c r="C312" s="40" t="s">
        <v>32</v>
      </c>
      <c r="D312" s="40">
        <v>4216</v>
      </c>
      <c r="E312" s="40">
        <v>5.66</v>
      </c>
      <c r="F312" s="40">
        <v>189.95</v>
      </c>
      <c r="G312" s="40">
        <v>90</v>
      </c>
      <c r="H312" s="40" t="s">
        <v>42</v>
      </c>
      <c r="I312" s="43" t="s">
        <v>109</v>
      </c>
      <c r="J312" s="33" t="s">
        <v>68</v>
      </c>
      <c r="K312" s="39" t="str">
        <f t="shared" si="4"/>
        <v>Flat 17</v>
      </c>
    </row>
    <row r="313" spans="3:11" x14ac:dyDescent="0.2">
      <c r="C313" s="40" t="s">
        <v>32</v>
      </c>
      <c r="D313" s="40">
        <v>4217</v>
      </c>
      <c r="E313" s="40">
        <v>6.59</v>
      </c>
      <c r="F313" s="40">
        <v>189.95</v>
      </c>
      <c r="G313" s="40">
        <v>90</v>
      </c>
      <c r="H313" s="40" t="s">
        <v>42</v>
      </c>
      <c r="I313" s="43" t="s">
        <v>109</v>
      </c>
      <c r="J313" s="33" t="s">
        <v>68</v>
      </c>
      <c r="K313" s="39" t="str">
        <f t="shared" si="4"/>
        <v>Flat 17</v>
      </c>
    </row>
    <row r="314" spans="3:11" x14ac:dyDescent="0.2">
      <c r="C314" s="40" t="s">
        <v>32</v>
      </c>
      <c r="D314" s="40">
        <v>4218</v>
      </c>
      <c r="E314" s="40">
        <v>2.13</v>
      </c>
      <c r="F314" s="40">
        <v>99.95</v>
      </c>
      <c r="G314" s="40">
        <v>90</v>
      </c>
      <c r="H314" s="40" t="s">
        <v>48</v>
      </c>
      <c r="I314" s="43" t="s">
        <v>109</v>
      </c>
      <c r="J314" s="33" t="s">
        <v>68</v>
      </c>
      <c r="K314" s="39" t="str">
        <f t="shared" si="4"/>
        <v>Flat 17</v>
      </c>
    </row>
    <row r="315" spans="3:11" x14ac:dyDescent="0.2">
      <c r="C315" s="40" t="s">
        <v>32</v>
      </c>
      <c r="D315" s="40">
        <v>4219</v>
      </c>
      <c r="E315" s="40">
        <v>3.92</v>
      </c>
      <c r="F315" s="40">
        <v>99.95</v>
      </c>
      <c r="G315" s="40">
        <v>90</v>
      </c>
      <c r="H315" s="40" t="s">
        <v>48</v>
      </c>
      <c r="I315" s="43" t="s">
        <v>109</v>
      </c>
      <c r="J315" s="33" t="s">
        <v>68</v>
      </c>
      <c r="K315" s="39" t="str">
        <f t="shared" si="4"/>
        <v>Flat 17</v>
      </c>
    </row>
    <row r="316" spans="3:11" x14ac:dyDescent="0.2">
      <c r="C316" s="39" t="s">
        <v>32</v>
      </c>
      <c r="D316" s="39">
        <v>4220</v>
      </c>
      <c r="E316" s="39">
        <v>5.27</v>
      </c>
      <c r="F316" s="39">
        <v>99.95</v>
      </c>
      <c r="G316" s="39">
        <v>90</v>
      </c>
      <c r="H316" s="39" t="s">
        <v>48</v>
      </c>
      <c r="I316" s="44" t="s">
        <v>109</v>
      </c>
      <c r="J316" s="33" t="s">
        <v>68</v>
      </c>
      <c r="K316" s="39" t="str">
        <f t="shared" si="4"/>
        <v>Flat 17</v>
      </c>
    </row>
    <row r="317" spans="3:11" x14ac:dyDescent="0.2">
      <c r="C317" s="39" t="s">
        <v>32</v>
      </c>
      <c r="D317" s="39">
        <v>4221</v>
      </c>
      <c r="E317" s="39">
        <v>13.2</v>
      </c>
      <c r="F317" s="39">
        <v>9.9499999999999993</v>
      </c>
      <c r="G317" s="39">
        <v>90</v>
      </c>
      <c r="H317" s="39" t="s">
        <v>47</v>
      </c>
      <c r="I317" s="44" t="s">
        <v>109</v>
      </c>
      <c r="J317" s="33" t="s">
        <v>68</v>
      </c>
      <c r="K317" s="39" t="str">
        <f t="shared" si="4"/>
        <v>Flat 17</v>
      </c>
    </row>
    <row r="318" spans="3:11" x14ac:dyDescent="0.2">
      <c r="C318" s="39" t="s">
        <v>32</v>
      </c>
      <c r="D318" s="39">
        <v>4222</v>
      </c>
      <c r="E318" s="39">
        <v>2.13</v>
      </c>
      <c r="F318" s="39">
        <v>99.95</v>
      </c>
      <c r="G318" s="39">
        <v>90</v>
      </c>
      <c r="H318" s="39" t="s">
        <v>48</v>
      </c>
      <c r="I318" s="44" t="s">
        <v>109</v>
      </c>
      <c r="J318" s="33" t="s">
        <v>68</v>
      </c>
      <c r="K318" s="39" t="str">
        <f t="shared" si="4"/>
        <v>Flat 17</v>
      </c>
    </row>
    <row r="319" spans="3:11" x14ac:dyDescent="0.2">
      <c r="C319" s="39" t="s">
        <v>32</v>
      </c>
      <c r="D319" s="39">
        <v>4496</v>
      </c>
      <c r="E319" s="39">
        <v>2.81</v>
      </c>
      <c r="F319" s="39">
        <v>157</v>
      </c>
      <c r="G319" s="39">
        <v>90</v>
      </c>
      <c r="H319" s="39" t="s">
        <v>76</v>
      </c>
      <c r="I319" s="44" t="s">
        <v>110</v>
      </c>
      <c r="J319" s="33" t="s">
        <v>68</v>
      </c>
      <c r="K319" s="39" t="str">
        <f t="shared" si="4"/>
        <v>Flat 14</v>
      </c>
    </row>
    <row r="320" spans="3:11" x14ac:dyDescent="0.2">
      <c r="C320" s="39" t="s">
        <v>32</v>
      </c>
      <c r="D320" s="39">
        <v>4481</v>
      </c>
      <c r="E320" s="39">
        <v>2.2599999999999998</v>
      </c>
      <c r="F320" s="39">
        <v>67</v>
      </c>
      <c r="G320" s="39">
        <v>90</v>
      </c>
      <c r="H320" s="39" t="s">
        <v>77</v>
      </c>
      <c r="I320" s="44" t="s">
        <v>110</v>
      </c>
      <c r="J320" s="33" t="s">
        <v>68</v>
      </c>
      <c r="K320" s="39" t="str">
        <f t="shared" si="4"/>
        <v>Flat 14</v>
      </c>
    </row>
    <row r="321" spans="3:11" x14ac:dyDescent="0.2">
      <c r="C321" s="39" t="s">
        <v>32</v>
      </c>
      <c r="D321" s="39">
        <v>4488</v>
      </c>
      <c r="E321" s="39">
        <v>1.24</v>
      </c>
      <c r="F321" s="39">
        <v>337</v>
      </c>
      <c r="G321" s="39">
        <v>90</v>
      </c>
      <c r="H321" s="39" t="s">
        <v>74</v>
      </c>
      <c r="I321" s="44" t="s">
        <v>110</v>
      </c>
      <c r="J321" s="33" t="s">
        <v>68</v>
      </c>
      <c r="K321" s="39" t="str">
        <f t="shared" si="4"/>
        <v>Flat 14</v>
      </c>
    </row>
    <row r="322" spans="3:11" x14ac:dyDescent="0.2">
      <c r="C322" s="39" t="s">
        <v>32</v>
      </c>
      <c r="D322" s="39">
        <v>4492</v>
      </c>
      <c r="E322" s="39">
        <v>5.43</v>
      </c>
      <c r="F322" s="39">
        <v>247</v>
      </c>
      <c r="G322" s="39">
        <v>90</v>
      </c>
      <c r="H322" s="39" t="s">
        <v>75</v>
      </c>
      <c r="I322" s="44" t="s">
        <v>110</v>
      </c>
      <c r="J322" s="33" t="s">
        <v>68</v>
      </c>
      <c r="K322" s="39" t="str">
        <f t="shared" si="4"/>
        <v>Flat 14</v>
      </c>
    </row>
    <row r="323" spans="3:11" x14ac:dyDescent="0.2">
      <c r="C323" s="39" t="s">
        <v>32</v>
      </c>
      <c r="D323" s="39">
        <v>4497</v>
      </c>
      <c r="E323" s="39">
        <v>1.59</v>
      </c>
      <c r="F323" s="39">
        <v>247</v>
      </c>
      <c r="G323" s="39">
        <v>90</v>
      </c>
      <c r="H323" s="39" t="s">
        <v>75</v>
      </c>
      <c r="I323" s="44" t="s">
        <v>110</v>
      </c>
      <c r="J323" s="33" t="s">
        <v>68</v>
      </c>
      <c r="K323" s="39" t="str">
        <f t="shared" si="4"/>
        <v>Flat 14</v>
      </c>
    </row>
    <row r="324" spans="3:11" x14ac:dyDescent="0.2">
      <c r="C324" s="39" t="s">
        <v>32</v>
      </c>
      <c r="D324" s="39">
        <v>4498</v>
      </c>
      <c r="E324" s="39">
        <v>6.64</v>
      </c>
      <c r="F324" s="39">
        <v>337</v>
      </c>
      <c r="G324" s="39">
        <v>90</v>
      </c>
      <c r="H324" s="39" t="s">
        <v>74</v>
      </c>
      <c r="I324" s="44" t="s">
        <v>110</v>
      </c>
      <c r="J324" s="33" t="s">
        <v>68</v>
      </c>
      <c r="K324" s="39" t="str">
        <f t="shared" si="4"/>
        <v>Flat 14</v>
      </c>
    </row>
    <row r="325" spans="3:11" x14ac:dyDescent="0.2">
      <c r="C325" s="39" t="s">
        <v>32</v>
      </c>
      <c r="D325" s="39">
        <v>4482</v>
      </c>
      <c r="E325" s="39">
        <v>5.21</v>
      </c>
      <c r="F325" s="39">
        <v>67</v>
      </c>
      <c r="G325" s="39">
        <v>90</v>
      </c>
      <c r="H325" s="39" t="s">
        <v>77</v>
      </c>
      <c r="I325" s="44" t="s">
        <v>110</v>
      </c>
      <c r="J325" s="33" t="s">
        <v>68</v>
      </c>
      <c r="K325" s="39" t="str">
        <f t="shared" si="4"/>
        <v>Flat 14</v>
      </c>
    </row>
    <row r="326" spans="3:11" x14ac:dyDescent="0.2">
      <c r="C326" s="39" t="s">
        <v>32</v>
      </c>
      <c r="D326" s="39">
        <v>4483</v>
      </c>
      <c r="E326" s="39">
        <v>4.16</v>
      </c>
      <c r="F326" s="39">
        <v>157</v>
      </c>
      <c r="G326" s="39">
        <v>90</v>
      </c>
      <c r="H326" s="39" t="s">
        <v>76</v>
      </c>
      <c r="I326" s="44" t="s">
        <v>110</v>
      </c>
      <c r="J326" s="33" t="s">
        <v>68</v>
      </c>
      <c r="K326" s="39" t="str">
        <f t="shared" si="4"/>
        <v>Flat 14</v>
      </c>
    </row>
    <row r="327" spans="3:11" x14ac:dyDescent="0.2">
      <c r="C327" s="39" t="s">
        <v>32</v>
      </c>
      <c r="D327" s="39">
        <v>4484</v>
      </c>
      <c r="E327" s="39">
        <v>4.37</v>
      </c>
      <c r="F327" s="39">
        <v>157</v>
      </c>
      <c r="G327" s="39">
        <v>90</v>
      </c>
      <c r="H327" s="39" t="s">
        <v>76</v>
      </c>
      <c r="I327" s="44" t="s">
        <v>110</v>
      </c>
      <c r="J327" s="33" t="s">
        <v>68</v>
      </c>
      <c r="K327" s="39" t="str">
        <f t="shared" ref="K327:K390" si="5">LEFT(I327,7)</f>
        <v>Flat 14</v>
      </c>
    </row>
    <row r="328" spans="3:11" x14ac:dyDescent="0.2">
      <c r="C328" s="39" t="s">
        <v>32</v>
      </c>
      <c r="D328" s="39">
        <v>4485</v>
      </c>
      <c r="E328" s="39">
        <v>2.95</v>
      </c>
      <c r="F328" s="39">
        <v>67</v>
      </c>
      <c r="G328" s="39">
        <v>90</v>
      </c>
      <c r="H328" s="39" t="s">
        <v>77</v>
      </c>
      <c r="I328" s="44" t="s">
        <v>110</v>
      </c>
      <c r="J328" s="33" t="s">
        <v>68</v>
      </c>
      <c r="K328" s="39" t="str">
        <f t="shared" si="5"/>
        <v>Flat 14</v>
      </c>
    </row>
    <row r="329" spans="3:11" x14ac:dyDescent="0.2">
      <c r="C329" s="39" t="s">
        <v>32</v>
      </c>
      <c r="D329" s="39">
        <v>4489</v>
      </c>
      <c r="E329" s="39">
        <v>1.24</v>
      </c>
      <c r="F329" s="39">
        <v>157</v>
      </c>
      <c r="G329" s="39">
        <v>90</v>
      </c>
      <c r="H329" s="39" t="s">
        <v>76</v>
      </c>
      <c r="I329" s="44" t="s">
        <v>110</v>
      </c>
      <c r="J329" s="33" t="s">
        <v>68</v>
      </c>
      <c r="K329" s="39" t="str">
        <f t="shared" si="5"/>
        <v>Flat 14</v>
      </c>
    </row>
    <row r="330" spans="3:11" x14ac:dyDescent="0.2">
      <c r="C330" s="39" t="s">
        <v>32</v>
      </c>
      <c r="D330" s="39">
        <v>4490</v>
      </c>
      <c r="E330" s="39">
        <v>5.21</v>
      </c>
      <c r="F330" s="39">
        <v>67</v>
      </c>
      <c r="G330" s="39">
        <v>90</v>
      </c>
      <c r="H330" s="39" t="s">
        <v>77</v>
      </c>
      <c r="I330" s="44" t="s">
        <v>110</v>
      </c>
      <c r="J330" s="33" t="s">
        <v>68</v>
      </c>
      <c r="K330" s="39" t="str">
        <f t="shared" si="5"/>
        <v>Flat 14</v>
      </c>
    </row>
    <row r="331" spans="3:11" x14ac:dyDescent="0.2">
      <c r="C331" s="39" t="s">
        <v>32</v>
      </c>
      <c r="D331" s="39">
        <v>4493</v>
      </c>
      <c r="E331" s="39">
        <v>2.2599999999999998</v>
      </c>
      <c r="F331" s="39">
        <v>247</v>
      </c>
      <c r="G331" s="39">
        <v>90</v>
      </c>
      <c r="H331" s="39" t="s">
        <v>75</v>
      </c>
      <c r="I331" s="44" t="s">
        <v>110</v>
      </c>
      <c r="J331" s="33" t="s">
        <v>68</v>
      </c>
      <c r="K331" s="39" t="str">
        <f t="shared" si="5"/>
        <v>Flat 14</v>
      </c>
    </row>
    <row r="332" spans="3:11" x14ac:dyDescent="0.2">
      <c r="C332" s="39" t="s">
        <v>32</v>
      </c>
      <c r="D332" s="39">
        <v>4486</v>
      </c>
      <c r="E332" s="39">
        <v>4.16</v>
      </c>
      <c r="F332" s="39">
        <v>157</v>
      </c>
      <c r="G332" s="39">
        <v>90</v>
      </c>
      <c r="H332" s="39" t="s">
        <v>76</v>
      </c>
      <c r="I332" s="44" t="s">
        <v>110</v>
      </c>
      <c r="J332" s="33" t="s">
        <v>68</v>
      </c>
      <c r="K332" s="39" t="str">
        <f t="shared" si="5"/>
        <v>Flat 14</v>
      </c>
    </row>
    <row r="333" spans="3:11" x14ac:dyDescent="0.2">
      <c r="C333" s="39" t="s">
        <v>32</v>
      </c>
      <c r="D333" s="39">
        <v>4487</v>
      </c>
      <c r="E333" s="39">
        <v>4.16</v>
      </c>
      <c r="F333" s="39">
        <v>337</v>
      </c>
      <c r="G333" s="39">
        <v>90</v>
      </c>
      <c r="H333" s="39" t="s">
        <v>74</v>
      </c>
      <c r="I333" s="44" t="s">
        <v>110</v>
      </c>
      <c r="J333" s="33" t="s">
        <v>68</v>
      </c>
      <c r="K333" s="39" t="str">
        <f t="shared" si="5"/>
        <v>Flat 14</v>
      </c>
    </row>
    <row r="334" spans="3:11" x14ac:dyDescent="0.2">
      <c r="C334" s="39" t="s">
        <v>32</v>
      </c>
      <c r="D334" s="39">
        <v>4491</v>
      </c>
      <c r="E334" s="39">
        <v>8.44</v>
      </c>
      <c r="F334" s="39">
        <v>337</v>
      </c>
      <c r="G334" s="39">
        <v>90</v>
      </c>
      <c r="H334" s="39" t="s">
        <v>74</v>
      </c>
      <c r="I334" s="44" t="s">
        <v>110</v>
      </c>
      <c r="J334" s="33" t="s">
        <v>68</v>
      </c>
      <c r="K334" s="39" t="str">
        <f t="shared" si="5"/>
        <v>Flat 14</v>
      </c>
    </row>
    <row r="335" spans="3:11" x14ac:dyDescent="0.2">
      <c r="C335" s="39" t="s">
        <v>32</v>
      </c>
      <c r="D335" s="39">
        <v>4494</v>
      </c>
      <c r="E335" s="39">
        <v>4.37</v>
      </c>
      <c r="F335" s="39">
        <v>337</v>
      </c>
      <c r="G335" s="39">
        <v>90</v>
      </c>
      <c r="H335" s="39" t="s">
        <v>74</v>
      </c>
      <c r="I335" s="44" t="s">
        <v>110</v>
      </c>
      <c r="J335" s="33" t="s">
        <v>68</v>
      </c>
      <c r="K335" s="39" t="str">
        <f t="shared" si="5"/>
        <v>Flat 14</v>
      </c>
    </row>
    <row r="336" spans="3:11" x14ac:dyDescent="0.2">
      <c r="C336" s="39" t="s">
        <v>32</v>
      </c>
      <c r="D336" s="39">
        <v>4495</v>
      </c>
      <c r="E336" s="39">
        <v>2.2599999999999998</v>
      </c>
      <c r="F336" s="39">
        <v>247</v>
      </c>
      <c r="G336" s="39">
        <v>90</v>
      </c>
      <c r="H336" s="39" t="s">
        <v>75</v>
      </c>
      <c r="I336" s="44" t="s">
        <v>110</v>
      </c>
      <c r="J336" s="33" t="s">
        <v>68</v>
      </c>
      <c r="K336" s="39" t="str">
        <f t="shared" si="5"/>
        <v>Flat 14</v>
      </c>
    </row>
    <row r="337" spans="3:11" x14ac:dyDescent="0.2">
      <c r="C337" s="39" t="s">
        <v>32</v>
      </c>
      <c r="D337" s="39">
        <v>4479</v>
      </c>
      <c r="E337" s="39">
        <v>2.83</v>
      </c>
      <c r="F337" s="39">
        <v>337</v>
      </c>
      <c r="G337" s="39">
        <v>90</v>
      </c>
      <c r="H337" s="39" t="s">
        <v>74</v>
      </c>
      <c r="I337" s="44" t="s">
        <v>110</v>
      </c>
      <c r="J337" s="33" t="s">
        <v>68</v>
      </c>
      <c r="K337" s="39" t="str">
        <f t="shared" si="5"/>
        <v>Flat 14</v>
      </c>
    </row>
    <row r="338" spans="3:11" x14ac:dyDescent="0.2">
      <c r="C338" s="39" t="s">
        <v>32</v>
      </c>
      <c r="D338" s="39">
        <v>4480</v>
      </c>
      <c r="E338" s="39">
        <v>11.38</v>
      </c>
      <c r="F338" s="39">
        <v>67</v>
      </c>
      <c r="G338" s="39">
        <v>90</v>
      </c>
      <c r="H338" s="39" t="s">
        <v>77</v>
      </c>
      <c r="I338" s="44" t="s">
        <v>110</v>
      </c>
      <c r="J338" s="33" t="s">
        <v>68</v>
      </c>
      <c r="K338" s="39" t="str">
        <f t="shared" si="5"/>
        <v>Flat 14</v>
      </c>
    </row>
    <row r="339" spans="3:11" x14ac:dyDescent="0.2">
      <c r="C339" s="39" t="s">
        <v>32</v>
      </c>
      <c r="D339" s="39">
        <v>4371</v>
      </c>
      <c r="E339" s="39">
        <v>8.27</v>
      </c>
      <c r="F339" s="39">
        <v>9.9499999999999993</v>
      </c>
      <c r="G339" s="39">
        <v>90</v>
      </c>
      <c r="H339" s="39" t="s">
        <v>47</v>
      </c>
      <c r="I339" s="44" t="s">
        <v>111</v>
      </c>
      <c r="J339" s="33" t="s">
        <v>68</v>
      </c>
      <c r="K339" s="39" t="str">
        <f t="shared" si="5"/>
        <v>Flat 16</v>
      </c>
    </row>
    <row r="340" spans="3:11" x14ac:dyDescent="0.2">
      <c r="C340" s="39" t="s">
        <v>32</v>
      </c>
      <c r="D340" s="39">
        <v>4372</v>
      </c>
      <c r="E340" s="39">
        <v>12.78</v>
      </c>
      <c r="F340" s="39">
        <v>9.9499999999999993</v>
      </c>
      <c r="G340" s="39">
        <v>90</v>
      </c>
      <c r="H340" s="39" t="s">
        <v>47</v>
      </c>
      <c r="I340" s="44" t="s">
        <v>111</v>
      </c>
      <c r="J340" s="33" t="s">
        <v>68</v>
      </c>
      <c r="K340" s="39" t="str">
        <f t="shared" si="5"/>
        <v>Flat 16</v>
      </c>
    </row>
    <row r="341" spans="3:11" x14ac:dyDescent="0.2">
      <c r="C341" s="39" t="s">
        <v>32</v>
      </c>
      <c r="D341" s="39">
        <v>4373</v>
      </c>
      <c r="E341" s="39">
        <v>1.41</v>
      </c>
      <c r="F341" s="39">
        <v>279.95</v>
      </c>
      <c r="G341" s="39">
        <v>90</v>
      </c>
      <c r="H341" s="39" t="s">
        <v>49</v>
      </c>
      <c r="I341" s="44" t="s">
        <v>111</v>
      </c>
      <c r="J341" s="33" t="s">
        <v>68</v>
      </c>
      <c r="K341" s="39" t="str">
        <f t="shared" si="5"/>
        <v>Flat 16</v>
      </c>
    </row>
    <row r="342" spans="3:11" x14ac:dyDescent="0.2">
      <c r="C342" s="39" t="s">
        <v>32</v>
      </c>
      <c r="D342" s="39">
        <v>4374</v>
      </c>
      <c r="E342" s="39">
        <v>0.27</v>
      </c>
      <c r="F342" s="39">
        <v>279.95</v>
      </c>
      <c r="G342" s="39">
        <v>90</v>
      </c>
      <c r="H342" s="39" t="s">
        <v>49</v>
      </c>
      <c r="I342" s="44" t="s">
        <v>111</v>
      </c>
      <c r="J342" s="33" t="s">
        <v>68</v>
      </c>
      <c r="K342" s="39" t="str">
        <f t="shared" si="5"/>
        <v>Flat 16</v>
      </c>
    </row>
    <row r="343" spans="3:11" x14ac:dyDescent="0.2">
      <c r="C343" s="39" t="s">
        <v>32</v>
      </c>
      <c r="D343" s="39">
        <v>4375</v>
      </c>
      <c r="E343" s="39">
        <v>2.4</v>
      </c>
      <c r="F343" s="39">
        <v>279.95</v>
      </c>
      <c r="G343" s="39">
        <v>90</v>
      </c>
      <c r="H343" s="39" t="s">
        <v>49</v>
      </c>
      <c r="I343" s="44" t="s">
        <v>111</v>
      </c>
      <c r="J343" s="33" t="s">
        <v>68</v>
      </c>
      <c r="K343" s="39" t="str">
        <f t="shared" si="5"/>
        <v>Flat 16</v>
      </c>
    </row>
    <row r="344" spans="3:11" x14ac:dyDescent="0.2">
      <c r="C344" s="39" t="s">
        <v>32</v>
      </c>
      <c r="D344" s="39">
        <v>4376</v>
      </c>
      <c r="E344" s="39">
        <v>4.67</v>
      </c>
      <c r="F344" s="39">
        <v>189.95</v>
      </c>
      <c r="G344" s="39">
        <v>90</v>
      </c>
      <c r="H344" s="39" t="s">
        <v>42</v>
      </c>
      <c r="I344" s="44" t="s">
        <v>111</v>
      </c>
      <c r="J344" s="33" t="s">
        <v>68</v>
      </c>
      <c r="K344" s="39" t="str">
        <f t="shared" si="5"/>
        <v>Flat 16</v>
      </c>
    </row>
    <row r="345" spans="3:11" x14ac:dyDescent="0.2">
      <c r="C345" s="39" t="s">
        <v>32</v>
      </c>
      <c r="D345" s="39">
        <v>4377</v>
      </c>
      <c r="E345" s="39">
        <v>5.12</v>
      </c>
      <c r="F345" s="39">
        <v>189.95</v>
      </c>
      <c r="G345" s="39">
        <v>90</v>
      </c>
      <c r="H345" s="39" t="s">
        <v>42</v>
      </c>
      <c r="I345" s="44" t="s">
        <v>111</v>
      </c>
      <c r="J345" s="33" t="s">
        <v>68</v>
      </c>
      <c r="K345" s="39" t="str">
        <f t="shared" si="5"/>
        <v>Flat 16</v>
      </c>
    </row>
    <row r="346" spans="3:11" x14ac:dyDescent="0.2">
      <c r="C346" s="39" t="s">
        <v>32</v>
      </c>
      <c r="D346" s="39">
        <v>4378</v>
      </c>
      <c r="E346" s="39">
        <v>1.61</v>
      </c>
      <c r="F346" s="39">
        <v>279.95</v>
      </c>
      <c r="G346" s="39">
        <v>90</v>
      </c>
      <c r="H346" s="39" t="s">
        <v>49</v>
      </c>
      <c r="I346" s="44" t="s">
        <v>111</v>
      </c>
      <c r="J346" s="33" t="s">
        <v>68</v>
      </c>
      <c r="K346" s="39" t="str">
        <f t="shared" si="5"/>
        <v>Flat 16</v>
      </c>
    </row>
    <row r="347" spans="3:11" x14ac:dyDescent="0.2">
      <c r="C347" s="39" t="s">
        <v>32</v>
      </c>
      <c r="D347" s="39">
        <v>4379</v>
      </c>
      <c r="E347" s="39">
        <v>5.27</v>
      </c>
      <c r="F347" s="39">
        <v>99.95</v>
      </c>
      <c r="G347" s="39">
        <v>90</v>
      </c>
      <c r="H347" s="39" t="s">
        <v>48</v>
      </c>
      <c r="I347" s="44" t="s">
        <v>111</v>
      </c>
      <c r="J347" s="33" t="s">
        <v>68</v>
      </c>
      <c r="K347" s="39" t="str">
        <f t="shared" si="5"/>
        <v>Flat 16</v>
      </c>
    </row>
    <row r="348" spans="3:11" x14ac:dyDescent="0.2">
      <c r="C348" s="39" t="s">
        <v>32</v>
      </c>
      <c r="D348" s="39">
        <v>4380</v>
      </c>
      <c r="E348" s="39">
        <v>3</v>
      </c>
      <c r="F348" s="39">
        <v>189.95</v>
      </c>
      <c r="G348" s="39">
        <v>90</v>
      </c>
      <c r="H348" s="39" t="s">
        <v>42</v>
      </c>
      <c r="I348" s="44" t="s">
        <v>111</v>
      </c>
      <c r="J348" s="33" t="s">
        <v>68</v>
      </c>
      <c r="K348" s="39" t="str">
        <f t="shared" si="5"/>
        <v>Flat 16</v>
      </c>
    </row>
    <row r="349" spans="3:11" x14ac:dyDescent="0.2">
      <c r="C349" s="39" t="s">
        <v>32</v>
      </c>
      <c r="D349" s="39">
        <v>4693</v>
      </c>
      <c r="E349" s="39">
        <v>5.5</v>
      </c>
      <c r="F349" s="39">
        <v>99.95</v>
      </c>
      <c r="G349" s="39">
        <v>90</v>
      </c>
      <c r="H349" s="39" t="s">
        <v>48</v>
      </c>
      <c r="I349" s="44" t="s">
        <v>112</v>
      </c>
      <c r="J349" s="33" t="s">
        <v>68</v>
      </c>
      <c r="K349" s="39" t="str">
        <f t="shared" si="5"/>
        <v>Flat 15</v>
      </c>
    </row>
    <row r="350" spans="3:11" x14ac:dyDescent="0.2">
      <c r="C350" s="39" t="s">
        <v>32</v>
      </c>
      <c r="D350" s="39">
        <v>4689</v>
      </c>
      <c r="E350" s="39">
        <v>3.12</v>
      </c>
      <c r="F350" s="39">
        <v>189.95</v>
      </c>
      <c r="G350" s="39">
        <v>90</v>
      </c>
      <c r="H350" s="39" t="s">
        <v>42</v>
      </c>
      <c r="I350" s="44" t="s">
        <v>112</v>
      </c>
      <c r="J350" s="33" t="s">
        <v>68</v>
      </c>
      <c r="K350" s="39" t="str">
        <f t="shared" si="5"/>
        <v>Flat 15</v>
      </c>
    </row>
    <row r="351" spans="3:11" x14ac:dyDescent="0.2">
      <c r="C351" s="39" t="s">
        <v>32</v>
      </c>
      <c r="D351" s="39">
        <v>4691</v>
      </c>
      <c r="E351" s="39">
        <v>3.08</v>
      </c>
      <c r="F351" s="39">
        <v>99.95</v>
      </c>
      <c r="G351" s="39">
        <v>90</v>
      </c>
      <c r="H351" s="39" t="s">
        <v>48</v>
      </c>
      <c r="I351" s="44" t="s">
        <v>112</v>
      </c>
      <c r="J351" s="33" t="s">
        <v>68</v>
      </c>
      <c r="K351" s="39" t="str">
        <f t="shared" si="5"/>
        <v>Flat 15</v>
      </c>
    </row>
    <row r="352" spans="3:11" x14ac:dyDescent="0.2">
      <c r="C352" s="39" t="s">
        <v>32</v>
      </c>
      <c r="D352" s="39">
        <v>4692</v>
      </c>
      <c r="E352" s="39">
        <v>1.95</v>
      </c>
      <c r="F352" s="39">
        <v>99.95</v>
      </c>
      <c r="G352" s="39">
        <v>90</v>
      </c>
      <c r="H352" s="39" t="s">
        <v>48</v>
      </c>
      <c r="I352" s="44" t="s">
        <v>112</v>
      </c>
      <c r="J352" s="33" t="s">
        <v>68</v>
      </c>
      <c r="K352" s="39" t="str">
        <f t="shared" si="5"/>
        <v>Flat 15</v>
      </c>
    </row>
    <row r="353" spans="3:11" x14ac:dyDescent="0.2">
      <c r="C353" s="39" t="s">
        <v>32</v>
      </c>
      <c r="D353" s="39">
        <v>4687</v>
      </c>
      <c r="E353" s="39">
        <v>2.86</v>
      </c>
      <c r="F353" s="39">
        <v>157</v>
      </c>
      <c r="G353" s="39">
        <v>90</v>
      </c>
      <c r="H353" s="39" t="s">
        <v>76</v>
      </c>
      <c r="I353" s="44" t="s">
        <v>112</v>
      </c>
      <c r="J353" s="33" t="s">
        <v>68</v>
      </c>
      <c r="K353" s="39" t="str">
        <f t="shared" si="5"/>
        <v>Flat 15</v>
      </c>
    </row>
    <row r="354" spans="3:11" x14ac:dyDescent="0.2">
      <c r="C354" s="39" t="s">
        <v>32</v>
      </c>
      <c r="D354" s="39">
        <v>4695</v>
      </c>
      <c r="E354" s="39">
        <v>5.75</v>
      </c>
      <c r="F354" s="39">
        <v>189.95</v>
      </c>
      <c r="G354" s="39">
        <v>90</v>
      </c>
      <c r="H354" s="39" t="s">
        <v>42</v>
      </c>
      <c r="I354" s="44" t="s">
        <v>112</v>
      </c>
      <c r="J354" s="33" t="s">
        <v>68</v>
      </c>
      <c r="K354" s="39" t="str">
        <f t="shared" si="5"/>
        <v>Flat 15</v>
      </c>
    </row>
    <row r="355" spans="3:11" x14ac:dyDescent="0.2">
      <c r="C355" s="39" t="s">
        <v>32</v>
      </c>
      <c r="D355" s="39">
        <v>4694</v>
      </c>
      <c r="E355" s="39">
        <v>2.83</v>
      </c>
      <c r="F355" s="39">
        <v>99.95</v>
      </c>
      <c r="G355" s="39">
        <v>90</v>
      </c>
      <c r="H355" s="39" t="s">
        <v>48</v>
      </c>
      <c r="I355" s="44" t="s">
        <v>112</v>
      </c>
      <c r="J355" s="33" t="s">
        <v>68</v>
      </c>
      <c r="K355" s="39" t="str">
        <f t="shared" si="5"/>
        <v>Flat 15</v>
      </c>
    </row>
    <row r="356" spans="3:11" x14ac:dyDescent="0.2">
      <c r="C356" s="39" t="s">
        <v>32</v>
      </c>
      <c r="D356" s="39">
        <v>4688</v>
      </c>
      <c r="E356" s="39">
        <v>2.2400000000000002</v>
      </c>
      <c r="F356" s="39">
        <v>9.9499999999999993</v>
      </c>
      <c r="G356" s="39">
        <v>90</v>
      </c>
      <c r="H356" s="39" t="s">
        <v>47</v>
      </c>
      <c r="I356" s="44" t="s">
        <v>112</v>
      </c>
      <c r="J356" s="33" t="s">
        <v>68</v>
      </c>
      <c r="K356" s="39" t="str">
        <f t="shared" si="5"/>
        <v>Flat 15</v>
      </c>
    </row>
    <row r="357" spans="3:11" x14ac:dyDescent="0.2">
      <c r="C357" s="39" t="s">
        <v>32</v>
      </c>
      <c r="D357" s="39">
        <v>4690</v>
      </c>
      <c r="E357" s="39">
        <v>8.15</v>
      </c>
      <c r="F357" s="39">
        <v>9.9499999999999993</v>
      </c>
      <c r="G357" s="39">
        <v>90</v>
      </c>
      <c r="H357" s="39" t="s">
        <v>47</v>
      </c>
      <c r="I357" s="44" t="s">
        <v>112</v>
      </c>
      <c r="J357" s="33" t="s">
        <v>68</v>
      </c>
      <c r="K357" s="39" t="str">
        <f t="shared" si="5"/>
        <v>Flat 15</v>
      </c>
    </row>
    <row r="358" spans="3:11" x14ac:dyDescent="0.2">
      <c r="C358" s="39" t="s">
        <v>32</v>
      </c>
      <c r="D358" s="39">
        <v>4698</v>
      </c>
      <c r="E358" s="39">
        <v>5.12</v>
      </c>
      <c r="F358" s="39">
        <v>189.95</v>
      </c>
      <c r="G358" s="39">
        <v>90</v>
      </c>
      <c r="H358" s="39" t="s">
        <v>42</v>
      </c>
      <c r="I358" s="44" t="s">
        <v>112</v>
      </c>
      <c r="J358" s="33" t="s">
        <v>68</v>
      </c>
      <c r="K358" s="39" t="str">
        <f t="shared" si="5"/>
        <v>Flat 15</v>
      </c>
    </row>
    <row r="359" spans="3:11" x14ac:dyDescent="0.2">
      <c r="C359" s="39" t="s">
        <v>32</v>
      </c>
      <c r="D359" s="39">
        <v>4705</v>
      </c>
      <c r="E359" s="39">
        <v>4.67</v>
      </c>
      <c r="F359" s="39">
        <v>189.95</v>
      </c>
      <c r="G359" s="39">
        <v>90</v>
      </c>
      <c r="H359" s="39" t="s">
        <v>42</v>
      </c>
      <c r="I359" s="44" t="s">
        <v>112</v>
      </c>
      <c r="J359" s="33" t="s">
        <v>68</v>
      </c>
      <c r="K359" s="39" t="str">
        <f t="shared" si="5"/>
        <v>Flat 15</v>
      </c>
    </row>
    <row r="360" spans="3:11" x14ac:dyDescent="0.2">
      <c r="C360" s="39" t="s">
        <v>32</v>
      </c>
      <c r="D360" s="39">
        <v>4696</v>
      </c>
      <c r="E360" s="39">
        <v>3.64</v>
      </c>
      <c r="F360" s="39">
        <v>189.95</v>
      </c>
      <c r="G360" s="39">
        <v>90</v>
      </c>
      <c r="H360" s="39" t="s">
        <v>42</v>
      </c>
      <c r="I360" s="44" t="s">
        <v>112</v>
      </c>
      <c r="J360" s="33" t="s">
        <v>68</v>
      </c>
      <c r="K360" s="39" t="str">
        <f t="shared" si="5"/>
        <v>Flat 15</v>
      </c>
    </row>
    <row r="361" spans="3:11" x14ac:dyDescent="0.2">
      <c r="C361" s="39" t="s">
        <v>32</v>
      </c>
      <c r="D361" s="39">
        <v>4710</v>
      </c>
      <c r="E361" s="39">
        <v>1.68</v>
      </c>
      <c r="F361" s="39">
        <v>99.95</v>
      </c>
      <c r="G361" s="39">
        <v>90</v>
      </c>
      <c r="H361" s="39" t="s">
        <v>48</v>
      </c>
      <c r="I361" s="44" t="s">
        <v>112</v>
      </c>
      <c r="J361" s="33" t="s">
        <v>68</v>
      </c>
      <c r="K361" s="39" t="str">
        <f t="shared" si="5"/>
        <v>Flat 15</v>
      </c>
    </row>
    <row r="362" spans="3:11" x14ac:dyDescent="0.2">
      <c r="C362" s="39" t="s">
        <v>32</v>
      </c>
      <c r="D362" s="39">
        <v>4706</v>
      </c>
      <c r="E362" s="39">
        <v>0.74</v>
      </c>
      <c r="F362" s="39">
        <v>99.95</v>
      </c>
      <c r="G362" s="39">
        <v>90</v>
      </c>
      <c r="H362" s="39" t="s">
        <v>48</v>
      </c>
      <c r="I362" s="44" t="s">
        <v>112</v>
      </c>
      <c r="J362" s="33" t="s">
        <v>68</v>
      </c>
      <c r="K362" s="39" t="str">
        <f t="shared" si="5"/>
        <v>Flat 15</v>
      </c>
    </row>
    <row r="363" spans="3:11" x14ac:dyDescent="0.2">
      <c r="C363" s="39" t="s">
        <v>32</v>
      </c>
      <c r="D363" s="39">
        <v>4709</v>
      </c>
      <c r="E363" s="39">
        <v>1.68</v>
      </c>
      <c r="F363" s="39">
        <v>279.95</v>
      </c>
      <c r="G363" s="39">
        <v>90</v>
      </c>
      <c r="H363" s="39" t="s">
        <v>49</v>
      </c>
      <c r="I363" s="44" t="s">
        <v>112</v>
      </c>
      <c r="J363" s="33" t="s">
        <v>68</v>
      </c>
      <c r="K363" s="39" t="str">
        <f t="shared" si="5"/>
        <v>Flat 15</v>
      </c>
    </row>
    <row r="364" spans="3:11" x14ac:dyDescent="0.2">
      <c r="C364" s="39" t="s">
        <v>32</v>
      </c>
      <c r="D364" s="39">
        <v>4697</v>
      </c>
      <c r="E364" s="39">
        <v>4.37</v>
      </c>
      <c r="F364" s="39">
        <v>189.95</v>
      </c>
      <c r="G364" s="39">
        <v>90</v>
      </c>
      <c r="H364" s="39" t="s">
        <v>42</v>
      </c>
      <c r="I364" s="44" t="s">
        <v>112</v>
      </c>
      <c r="J364" s="33" t="s">
        <v>68</v>
      </c>
      <c r="K364" s="39" t="str">
        <f t="shared" si="5"/>
        <v>Flat 15</v>
      </c>
    </row>
    <row r="365" spans="3:11" x14ac:dyDescent="0.2">
      <c r="C365" s="39" t="s">
        <v>32</v>
      </c>
      <c r="D365" s="39">
        <v>4685</v>
      </c>
      <c r="E365" s="39">
        <v>2.2400000000000002</v>
      </c>
      <c r="F365" s="39">
        <v>189.95</v>
      </c>
      <c r="G365" s="39">
        <v>90</v>
      </c>
      <c r="H365" s="39" t="s">
        <v>42</v>
      </c>
      <c r="I365" s="44" t="s">
        <v>112</v>
      </c>
      <c r="J365" s="33" t="s">
        <v>68</v>
      </c>
      <c r="K365" s="39" t="str">
        <f t="shared" si="5"/>
        <v>Flat 15</v>
      </c>
    </row>
    <row r="366" spans="3:11" x14ac:dyDescent="0.2">
      <c r="C366" s="39" t="s">
        <v>32</v>
      </c>
      <c r="D366" s="39">
        <v>4686</v>
      </c>
      <c r="E366" s="39">
        <v>2.33</v>
      </c>
      <c r="F366" s="39">
        <v>99.95</v>
      </c>
      <c r="G366" s="39">
        <v>90</v>
      </c>
      <c r="H366" s="39" t="s">
        <v>48</v>
      </c>
      <c r="I366" s="44" t="s">
        <v>112</v>
      </c>
      <c r="J366" s="33" t="s">
        <v>68</v>
      </c>
      <c r="K366" s="39" t="str">
        <f t="shared" si="5"/>
        <v>Flat 15</v>
      </c>
    </row>
    <row r="367" spans="3:11" x14ac:dyDescent="0.2">
      <c r="C367" s="39" t="s">
        <v>32</v>
      </c>
      <c r="D367" s="39">
        <v>6390</v>
      </c>
      <c r="E367" s="39">
        <v>4.37</v>
      </c>
      <c r="F367" s="39">
        <v>337</v>
      </c>
      <c r="G367" s="39">
        <v>90</v>
      </c>
      <c r="H367" s="39" t="s">
        <v>74</v>
      </c>
      <c r="I367" s="44" t="s">
        <v>113</v>
      </c>
      <c r="J367" s="33" t="s">
        <v>68</v>
      </c>
      <c r="K367" s="39" t="str">
        <f t="shared" si="5"/>
        <v>Flat 08</v>
      </c>
    </row>
    <row r="368" spans="3:11" x14ac:dyDescent="0.2">
      <c r="C368" s="39" t="s">
        <v>32</v>
      </c>
      <c r="D368" s="39">
        <v>6391</v>
      </c>
      <c r="E368" s="39">
        <v>2.2599999999999998</v>
      </c>
      <c r="F368" s="39">
        <v>247</v>
      </c>
      <c r="G368" s="39">
        <v>90</v>
      </c>
      <c r="H368" s="39" t="s">
        <v>75</v>
      </c>
      <c r="I368" s="44" t="s">
        <v>113</v>
      </c>
      <c r="J368" s="33" t="s">
        <v>68</v>
      </c>
      <c r="K368" s="39" t="str">
        <f t="shared" si="5"/>
        <v>Flat 08</v>
      </c>
    </row>
    <row r="369" spans="3:11" x14ac:dyDescent="0.2">
      <c r="C369" s="39" t="s">
        <v>32</v>
      </c>
      <c r="D369" s="39">
        <v>6381</v>
      </c>
      <c r="E369" s="39">
        <v>2.95</v>
      </c>
      <c r="F369" s="39">
        <v>67</v>
      </c>
      <c r="G369" s="39">
        <v>90</v>
      </c>
      <c r="H369" s="39" t="s">
        <v>77</v>
      </c>
      <c r="I369" s="44" t="s">
        <v>113</v>
      </c>
      <c r="J369" s="33" t="s">
        <v>68</v>
      </c>
      <c r="K369" s="39" t="str">
        <f t="shared" si="5"/>
        <v>Flat 08</v>
      </c>
    </row>
    <row r="370" spans="3:11" x14ac:dyDescent="0.2">
      <c r="C370" s="39" t="s">
        <v>32</v>
      </c>
      <c r="D370" s="39">
        <v>6392</v>
      </c>
      <c r="E370" s="39">
        <v>2.81</v>
      </c>
      <c r="F370" s="39">
        <v>157</v>
      </c>
      <c r="G370" s="39">
        <v>90</v>
      </c>
      <c r="H370" s="39" t="s">
        <v>76</v>
      </c>
      <c r="I370" s="44" t="s">
        <v>113</v>
      </c>
      <c r="J370" s="33" t="s">
        <v>68</v>
      </c>
      <c r="K370" s="39" t="str">
        <f t="shared" si="5"/>
        <v>Flat 08</v>
      </c>
    </row>
    <row r="371" spans="3:11" x14ac:dyDescent="0.2">
      <c r="C371" s="39" t="s">
        <v>32</v>
      </c>
      <c r="D371" s="39">
        <v>6376</v>
      </c>
      <c r="E371" s="39">
        <v>11.38</v>
      </c>
      <c r="F371" s="39">
        <v>67</v>
      </c>
      <c r="G371" s="39">
        <v>90</v>
      </c>
      <c r="H371" s="39" t="s">
        <v>77</v>
      </c>
      <c r="I371" s="44" t="s">
        <v>113</v>
      </c>
      <c r="J371" s="33" t="s">
        <v>68</v>
      </c>
      <c r="K371" s="39" t="str">
        <f t="shared" si="5"/>
        <v>Flat 08</v>
      </c>
    </row>
    <row r="372" spans="3:11" x14ac:dyDescent="0.2">
      <c r="C372" s="39" t="s">
        <v>32</v>
      </c>
      <c r="D372" s="39">
        <v>6379</v>
      </c>
      <c r="E372" s="39">
        <v>4.16</v>
      </c>
      <c r="F372" s="39">
        <v>157</v>
      </c>
      <c r="G372" s="39">
        <v>90</v>
      </c>
      <c r="H372" s="39" t="s">
        <v>76</v>
      </c>
      <c r="I372" s="44" t="s">
        <v>113</v>
      </c>
      <c r="J372" s="33" t="s">
        <v>68</v>
      </c>
      <c r="K372" s="39" t="str">
        <f t="shared" si="5"/>
        <v>Flat 08</v>
      </c>
    </row>
    <row r="373" spans="3:11" x14ac:dyDescent="0.2">
      <c r="C373" s="39" t="s">
        <v>32</v>
      </c>
      <c r="D373" s="39">
        <v>6377</v>
      </c>
      <c r="E373" s="39">
        <v>2.2599999999999998</v>
      </c>
      <c r="F373" s="39">
        <v>67</v>
      </c>
      <c r="G373" s="39">
        <v>90</v>
      </c>
      <c r="H373" s="39" t="s">
        <v>77</v>
      </c>
      <c r="I373" s="44" t="s">
        <v>113</v>
      </c>
      <c r="J373" s="33" t="s">
        <v>68</v>
      </c>
      <c r="K373" s="39" t="str">
        <f t="shared" si="5"/>
        <v>Flat 08</v>
      </c>
    </row>
    <row r="374" spans="3:11" x14ac:dyDescent="0.2">
      <c r="C374" s="39" t="s">
        <v>32</v>
      </c>
      <c r="D374" s="39">
        <v>6375</v>
      </c>
      <c r="E374" s="39">
        <v>2.83</v>
      </c>
      <c r="F374" s="39">
        <v>337</v>
      </c>
      <c r="G374" s="39">
        <v>90</v>
      </c>
      <c r="H374" s="39" t="s">
        <v>74</v>
      </c>
      <c r="I374" s="44" t="s">
        <v>113</v>
      </c>
      <c r="J374" s="33" t="s">
        <v>68</v>
      </c>
      <c r="K374" s="39" t="str">
        <f t="shared" si="5"/>
        <v>Flat 08</v>
      </c>
    </row>
    <row r="375" spans="3:11" x14ac:dyDescent="0.2">
      <c r="C375" s="39" t="s">
        <v>32</v>
      </c>
      <c r="D375" s="39">
        <v>6380</v>
      </c>
      <c r="E375" s="39">
        <v>4.37</v>
      </c>
      <c r="F375" s="39">
        <v>157</v>
      </c>
      <c r="G375" s="39">
        <v>90</v>
      </c>
      <c r="H375" s="39" t="s">
        <v>76</v>
      </c>
      <c r="I375" s="44" t="s">
        <v>113</v>
      </c>
      <c r="J375" s="33" t="s">
        <v>68</v>
      </c>
      <c r="K375" s="39" t="str">
        <f t="shared" si="5"/>
        <v>Flat 08</v>
      </c>
    </row>
    <row r="376" spans="3:11" x14ac:dyDescent="0.2">
      <c r="C376" s="39" t="s">
        <v>32</v>
      </c>
      <c r="D376" s="39">
        <v>6382</v>
      </c>
      <c r="E376" s="39">
        <v>4.16</v>
      </c>
      <c r="F376" s="39">
        <v>157</v>
      </c>
      <c r="G376" s="39">
        <v>90</v>
      </c>
      <c r="H376" s="39" t="s">
        <v>76</v>
      </c>
      <c r="I376" s="44" t="s">
        <v>113</v>
      </c>
      <c r="J376" s="33" t="s">
        <v>68</v>
      </c>
      <c r="K376" s="39" t="str">
        <f t="shared" si="5"/>
        <v>Flat 08</v>
      </c>
    </row>
    <row r="377" spans="3:11" x14ac:dyDescent="0.2">
      <c r="C377" s="39" t="s">
        <v>32</v>
      </c>
      <c r="D377" s="39">
        <v>6385</v>
      </c>
      <c r="E377" s="39">
        <v>1.24</v>
      </c>
      <c r="F377" s="39">
        <v>157</v>
      </c>
      <c r="G377" s="39">
        <v>90</v>
      </c>
      <c r="H377" s="39" t="s">
        <v>76</v>
      </c>
      <c r="I377" s="44" t="s">
        <v>113</v>
      </c>
      <c r="J377" s="33" t="s">
        <v>68</v>
      </c>
      <c r="K377" s="39" t="str">
        <f t="shared" si="5"/>
        <v>Flat 08</v>
      </c>
    </row>
    <row r="378" spans="3:11" x14ac:dyDescent="0.2">
      <c r="C378" s="39" t="s">
        <v>32</v>
      </c>
      <c r="D378" s="39">
        <v>6386</v>
      </c>
      <c r="E378" s="39">
        <v>5.21</v>
      </c>
      <c r="F378" s="39">
        <v>67</v>
      </c>
      <c r="G378" s="39">
        <v>90</v>
      </c>
      <c r="H378" s="39" t="s">
        <v>77</v>
      </c>
      <c r="I378" s="44" t="s">
        <v>113</v>
      </c>
      <c r="J378" s="33" t="s">
        <v>68</v>
      </c>
      <c r="K378" s="39" t="str">
        <f t="shared" si="5"/>
        <v>Flat 08</v>
      </c>
    </row>
    <row r="379" spans="3:11" x14ac:dyDescent="0.2">
      <c r="C379" s="39" t="s">
        <v>32</v>
      </c>
      <c r="D379" s="39">
        <v>6378</v>
      </c>
      <c r="E379" s="39">
        <v>5.21</v>
      </c>
      <c r="F379" s="39">
        <v>67</v>
      </c>
      <c r="G379" s="39">
        <v>90</v>
      </c>
      <c r="H379" s="39" t="s">
        <v>77</v>
      </c>
      <c r="I379" s="44" t="s">
        <v>113</v>
      </c>
      <c r="J379" s="33" t="s">
        <v>68</v>
      </c>
      <c r="K379" s="39" t="str">
        <f t="shared" si="5"/>
        <v>Flat 08</v>
      </c>
    </row>
    <row r="380" spans="3:11" x14ac:dyDescent="0.2">
      <c r="C380" s="39" t="s">
        <v>32</v>
      </c>
      <c r="D380" s="39">
        <v>6388</v>
      </c>
      <c r="E380" s="39">
        <v>5.43</v>
      </c>
      <c r="F380" s="39">
        <v>247</v>
      </c>
      <c r="G380" s="39">
        <v>90</v>
      </c>
      <c r="H380" s="39" t="s">
        <v>75</v>
      </c>
      <c r="I380" s="44" t="s">
        <v>113</v>
      </c>
      <c r="J380" s="33" t="s">
        <v>68</v>
      </c>
      <c r="K380" s="39" t="str">
        <f t="shared" si="5"/>
        <v>Flat 08</v>
      </c>
    </row>
    <row r="381" spans="3:11" x14ac:dyDescent="0.2">
      <c r="C381" s="39" t="s">
        <v>32</v>
      </c>
      <c r="D381" s="39">
        <v>6383</v>
      </c>
      <c r="E381" s="39">
        <v>4.16</v>
      </c>
      <c r="F381" s="39">
        <v>337</v>
      </c>
      <c r="G381" s="39">
        <v>90</v>
      </c>
      <c r="H381" s="39" t="s">
        <v>74</v>
      </c>
      <c r="I381" s="44" t="s">
        <v>113</v>
      </c>
      <c r="J381" s="33" t="s">
        <v>68</v>
      </c>
      <c r="K381" s="39" t="str">
        <f t="shared" si="5"/>
        <v>Flat 08</v>
      </c>
    </row>
    <row r="382" spans="3:11" x14ac:dyDescent="0.2">
      <c r="C382" s="39" t="s">
        <v>32</v>
      </c>
      <c r="D382" s="39">
        <v>6384</v>
      </c>
      <c r="E382" s="39">
        <v>1.24</v>
      </c>
      <c r="F382" s="39">
        <v>337</v>
      </c>
      <c r="G382" s="39">
        <v>90</v>
      </c>
      <c r="H382" s="39" t="s">
        <v>74</v>
      </c>
      <c r="I382" s="44" t="s">
        <v>113</v>
      </c>
      <c r="J382" s="33" t="s">
        <v>68</v>
      </c>
      <c r="K382" s="39" t="str">
        <f t="shared" si="5"/>
        <v>Flat 08</v>
      </c>
    </row>
    <row r="383" spans="3:11" x14ac:dyDescent="0.2">
      <c r="C383" s="39" t="s">
        <v>32</v>
      </c>
      <c r="D383" s="39">
        <v>6387</v>
      </c>
      <c r="E383" s="39">
        <v>8.44</v>
      </c>
      <c r="F383" s="39">
        <v>337</v>
      </c>
      <c r="G383" s="39">
        <v>90</v>
      </c>
      <c r="H383" s="39" t="s">
        <v>74</v>
      </c>
      <c r="I383" s="44" t="s">
        <v>113</v>
      </c>
      <c r="J383" s="33" t="s">
        <v>68</v>
      </c>
      <c r="K383" s="39" t="str">
        <f t="shared" si="5"/>
        <v>Flat 08</v>
      </c>
    </row>
    <row r="384" spans="3:11" x14ac:dyDescent="0.2">
      <c r="C384" s="39" t="s">
        <v>32</v>
      </c>
      <c r="D384" s="39">
        <v>6389</v>
      </c>
      <c r="E384" s="39">
        <v>2.2599999999999998</v>
      </c>
      <c r="F384" s="39">
        <v>247</v>
      </c>
      <c r="G384" s="39">
        <v>90</v>
      </c>
      <c r="H384" s="39" t="s">
        <v>75</v>
      </c>
      <c r="I384" s="44" t="s">
        <v>113</v>
      </c>
      <c r="J384" s="33" t="s">
        <v>68</v>
      </c>
      <c r="K384" s="39" t="str">
        <f t="shared" si="5"/>
        <v>Flat 08</v>
      </c>
    </row>
    <row r="385" spans="3:11" x14ac:dyDescent="0.2">
      <c r="C385" s="39" t="s">
        <v>32</v>
      </c>
      <c r="D385" s="39">
        <v>6393</v>
      </c>
      <c r="E385" s="39">
        <v>1.59</v>
      </c>
      <c r="F385" s="39">
        <v>247</v>
      </c>
      <c r="G385" s="39">
        <v>90</v>
      </c>
      <c r="H385" s="39" t="s">
        <v>75</v>
      </c>
      <c r="I385" s="44" t="s">
        <v>113</v>
      </c>
      <c r="J385" s="33" t="s">
        <v>68</v>
      </c>
      <c r="K385" s="39" t="str">
        <f t="shared" si="5"/>
        <v>Flat 08</v>
      </c>
    </row>
    <row r="386" spans="3:11" x14ac:dyDescent="0.2">
      <c r="C386" s="39" t="s">
        <v>32</v>
      </c>
      <c r="D386" s="39">
        <v>6394</v>
      </c>
      <c r="E386" s="39">
        <v>6.64</v>
      </c>
      <c r="F386" s="39">
        <v>337</v>
      </c>
      <c r="G386" s="39">
        <v>90</v>
      </c>
      <c r="H386" s="39" t="s">
        <v>74</v>
      </c>
      <c r="I386" s="44" t="s">
        <v>113</v>
      </c>
      <c r="J386" s="33" t="s">
        <v>68</v>
      </c>
      <c r="K386" s="39" t="str">
        <f t="shared" si="5"/>
        <v>Flat 08</v>
      </c>
    </row>
    <row r="387" spans="3:11" x14ac:dyDescent="0.2">
      <c r="C387" s="39" t="s">
        <v>32</v>
      </c>
      <c r="D387" s="39">
        <v>6484</v>
      </c>
      <c r="E387" s="39">
        <v>5.52</v>
      </c>
      <c r="F387" s="39">
        <v>247</v>
      </c>
      <c r="G387" s="39">
        <v>90</v>
      </c>
      <c r="H387" s="39" t="s">
        <v>75</v>
      </c>
      <c r="I387" s="44" t="s">
        <v>114</v>
      </c>
      <c r="J387" s="33" t="s">
        <v>68</v>
      </c>
      <c r="K387" s="39" t="str">
        <f t="shared" si="5"/>
        <v>Flat 07</v>
      </c>
    </row>
    <row r="388" spans="3:11" x14ac:dyDescent="0.2">
      <c r="C388" s="39" t="s">
        <v>32</v>
      </c>
      <c r="D388" s="39">
        <v>6485</v>
      </c>
      <c r="E388" s="39">
        <v>8.56</v>
      </c>
      <c r="F388" s="39">
        <v>337</v>
      </c>
      <c r="G388" s="39">
        <v>90</v>
      </c>
      <c r="H388" s="39" t="s">
        <v>74</v>
      </c>
      <c r="I388" s="44" t="s">
        <v>114</v>
      </c>
      <c r="J388" s="33" t="s">
        <v>68</v>
      </c>
      <c r="K388" s="39" t="str">
        <f t="shared" si="5"/>
        <v>Flat 07</v>
      </c>
    </row>
    <row r="389" spans="3:11" x14ac:dyDescent="0.2">
      <c r="C389" s="39" t="s">
        <v>32</v>
      </c>
      <c r="D389" s="39">
        <v>6483</v>
      </c>
      <c r="E389" s="39">
        <v>1.97</v>
      </c>
      <c r="F389" s="39">
        <v>337</v>
      </c>
      <c r="G389" s="39">
        <v>90</v>
      </c>
      <c r="H389" s="39" t="s">
        <v>74</v>
      </c>
      <c r="I389" s="44" t="s">
        <v>114</v>
      </c>
      <c r="J389" s="33" t="s">
        <v>68</v>
      </c>
      <c r="K389" s="39" t="str">
        <f t="shared" si="5"/>
        <v>Flat 07</v>
      </c>
    </row>
    <row r="390" spans="3:11" x14ac:dyDescent="0.2">
      <c r="C390" s="39" t="s">
        <v>32</v>
      </c>
      <c r="D390" s="39">
        <v>6486</v>
      </c>
      <c r="E390" s="39">
        <v>5.52</v>
      </c>
      <c r="F390" s="39">
        <v>247</v>
      </c>
      <c r="G390" s="39">
        <v>90</v>
      </c>
      <c r="H390" s="39" t="s">
        <v>75</v>
      </c>
      <c r="I390" s="44" t="s">
        <v>114</v>
      </c>
      <c r="J390" s="33" t="s">
        <v>68</v>
      </c>
      <c r="K390" s="39" t="str">
        <f t="shared" si="5"/>
        <v>Flat 07</v>
      </c>
    </row>
    <row r="391" spans="3:11" x14ac:dyDescent="0.2">
      <c r="C391" s="39" t="s">
        <v>32</v>
      </c>
      <c r="D391" s="39">
        <v>6487</v>
      </c>
      <c r="E391" s="39">
        <v>6.97</v>
      </c>
      <c r="F391" s="39">
        <v>247</v>
      </c>
      <c r="G391" s="39">
        <v>90</v>
      </c>
      <c r="H391" s="39" t="s">
        <v>75</v>
      </c>
      <c r="I391" s="44" t="s">
        <v>114</v>
      </c>
      <c r="J391" s="33" t="s">
        <v>68</v>
      </c>
      <c r="K391" s="39" t="str">
        <f t="shared" ref="K391:K454" si="6">LEFT(I391,7)</f>
        <v>Flat 07</v>
      </c>
    </row>
    <row r="392" spans="3:11" x14ac:dyDescent="0.2">
      <c r="C392" s="39" t="s">
        <v>32</v>
      </c>
      <c r="D392" s="39">
        <v>6482</v>
      </c>
      <c r="E392" s="39">
        <v>1.97</v>
      </c>
      <c r="F392" s="39">
        <v>157</v>
      </c>
      <c r="G392" s="39">
        <v>90</v>
      </c>
      <c r="H392" s="39" t="s">
        <v>76</v>
      </c>
      <c r="I392" s="44" t="s">
        <v>114</v>
      </c>
      <c r="J392" s="33" t="s">
        <v>68</v>
      </c>
      <c r="K392" s="39" t="str">
        <f t="shared" si="6"/>
        <v>Flat 07</v>
      </c>
    </row>
    <row r="393" spans="3:11" x14ac:dyDescent="0.2">
      <c r="C393" s="39" t="s">
        <v>32</v>
      </c>
      <c r="D393" s="39">
        <v>6489</v>
      </c>
      <c r="E393" s="39">
        <v>1.98</v>
      </c>
      <c r="F393" s="39">
        <v>67</v>
      </c>
      <c r="G393" s="39">
        <v>90</v>
      </c>
      <c r="H393" s="39" t="s">
        <v>77</v>
      </c>
      <c r="I393" s="44" t="s">
        <v>114</v>
      </c>
      <c r="J393" s="33" t="s">
        <v>68</v>
      </c>
      <c r="K393" s="39" t="str">
        <f t="shared" si="6"/>
        <v>Flat 07</v>
      </c>
    </row>
    <row r="394" spans="3:11" x14ac:dyDescent="0.2">
      <c r="C394" s="39" t="s">
        <v>32</v>
      </c>
      <c r="D394" s="39">
        <v>6490</v>
      </c>
      <c r="E394" s="39">
        <v>3.07</v>
      </c>
      <c r="F394" s="39">
        <v>67</v>
      </c>
      <c r="G394" s="39">
        <v>90</v>
      </c>
      <c r="H394" s="39" t="s">
        <v>77</v>
      </c>
      <c r="I394" s="44" t="s">
        <v>114</v>
      </c>
      <c r="J394" s="33" t="s">
        <v>68</v>
      </c>
      <c r="K394" s="39" t="str">
        <f t="shared" si="6"/>
        <v>Flat 07</v>
      </c>
    </row>
    <row r="395" spans="3:11" x14ac:dyDescent="0.2">
      <c r="C395" s="39" t="s">
        <v>32</v>
      </c>
      <c r="D395" s="39">
        <v>6491</v>
      </c>
      <c r="E395" s="39">
        <v>5.52</v>
      </c>
      <c r="F395" s="39">
        <v>67</v>
      </c>
      <c r="G395" s="39">
        <v>90</v>
      </c>
      <c r="H395" s="39" t="s">
        <v>77</v>
      </c>
      <c r="I395" s="44" t="s">
        <v>114</v>
      </c>
      <c r="J395" s="33" t="s">
        <v>68</v>
      </c>
      <c r="K395" s="39" t="str">
        <f t="shared" si="6"/>
        <v>Flat 07</v>
      </c>
    </row>
    <row r="396" spans="3:11" x14ac:dyDescent="0.2">
      <c r="C396" s="39" t="s">
        <v>32</v>
      </c>
      <c r="D396" s="39">
        <v>6488</v>
      </c>
      <c r="E396" s="39">
        <v>5.53</v>
      </c>
      <c r="F396" s="39">
        <v>337</v>
      </c>
      <c r="G396" s="39">
        <v>90</v>
      </c>
      <c r="H396" s="39" t="s">
        <v>74</v>
      </c>
      <c r="I396" s="44" t="s">
        <v>114</v>
      </c>
      <c r="J396" s="33" t="s">
        <v>68</v>
      </c>
      <c r="K396" s="39" t="str">
        <f t="shared" si="6"/>
        <v>Flat 07</v>
      </c>
    </row>
    <row r="397" spans="3:11" x14ac:dyDescent="0.2">
      <c r="C397" s="39" t="s">
        <v>32</v>
      </c>
      <c r="D397" s="39">
        <v>6497</v>
      </c>
      <c r="E397" s="39">
        <v>5.54</v>
      </c>
      <c r="F397" s="39">
        <v>157</v>
      </c>
      <c r="G397" s="39">
        <v>90</v>
      </c>
      <c r="H397" s="39" t="s">
        <v>76</v>
      </c>
      <c r="I397" s="44" t="s">
        <v>114</v>
      </c>
      <c r="J397" s="33" t="s">
        <v>68</v>
      </c>
      <c r="K397" s="39" t="str">
        <f t="shared" si="6"/>
        <v>Flat 07</v>
      </c>
    </row>
    <row r="398" spans="3:11" x14ac:dyDescent="0.2">
      <c r="C398" s="39" t="s">
        <v>32</v>
      </c>
      <c r="D398" s="39">
        <v>6493</v>
      </c>
      <c r="E398" s="39">
        <v>5.45</v>
      </c>
      <c r="F398" s="39">
        <v>67</v>
      </c>
      <c r="G398" s="39">
        <v>90</v>
      </c>
      <c r="H398" s="39" t="s">
        <v>77</v>
      </c>
      <c r="I398" s="44" t="s">
        <v>114</v>
      </c>
      <c r="J398" s="33" t="s">
        <v>68</v>
      </c>
      <c r="K398" s="39" t="str">
        <f t="shared" si="6"/>
        <v>Flat 07</v>
      </c>
    </row>
    <row r="399" spans="3:11" x14ac:dyDescent="0.2">
      <c r="C399" s="39" t="s">
        <v>32</v>
      </c>
      <c r="D399" s="39">
        <v>6495</v>
      </c>
      <c r="E399" s="39">
        <v>2.2799999999999998</v>
      </c>
      <c r="F399" s="39">
        <v>337</v>
      </c>
      <c r="G399" s="39">
        <v>90</v>
      </c>
      <c r="H399" s="39" t="s">
        <v>74</v>
      </c>
      <c r="I399" s="44" t="s">
        <v>114</v>
      </c>
      <c r="J399" s="33" t="s">
        <v>68</v>
      </c>
      <c r="K399" s="39" t="str">
        <f t="shared" si="6"/>
        <v>Flat 07</v>
      </c>
    </row>
    <row r="400" spans="3:11" x14ac:dyDescent="0.2">
      <c r="C400" s="39" t="s">
        <v>32</v>
      </c>
      <c r="D400" s="39">
        <v>6494</v>
      </c>
      <c r="E400" s="39">
        <v>3.09</v>
      </c>
      <c r="F400" s="39">
        <v>337</v>
      </c>
      <c r="G400" s="39">
        <v>90</v>
      </c>
      <c r="H400" s="39" t="s">
        <v>74</v>
      </c>
      <c r="I400" s="44" t="s">
        <v>114</v>
      </c>
      <c r="J400" s="33" t="s">
        <v>68</v>
      </c>
      <c r="K400" s="39" t="str">
        <f t="shared" si="6"/>
        <v>Flat 07</v>
      </c>
    </row>
    <row r="401" spans="3:11" x14ac:dyDescent="0.2">
      <c r="C401" s="39" t="s">
        <v>32</v>
      </c>
      <c r="D401" s="39">
        <v>6498</v>
      </c>
      <c r="E401" s="39">
        <v>4.28</v>
      </c>
      <c r="F401" s="39">
        <v>337</v>
      </c>
      <c r="G401" s="39">
        <v>90</v>
      </c>
      <c r="H401" s="39" t="s">
        <v>74</v>
      </c>
      <c r="I401" s="44" t="s">
        <v>114</v>
      </c>
      <c r="J401" s="33" t="s">
        <v>68</v>
      </c>
      <c r="K401" s="39" t="str">
        <f t="shared" si="6"/>
        <v>Flat 07</v>
      </c>
    </row>
    <row r="402" spans="3:11" x14ac:dyDescent="0.2">
      <c r="C402" s="39" t="s">
        <v>32</v>
      </c>
      <c r="D402" s="39">
        <v>6492</v>
      </c>
      <c r="E402" s="39">
        <v>1.98</v>
      </c>
      <c r="F402" s="39">
        <v>247</v>
      </c>
      <c r="G402" s="39">
        <v>90</v>
      </c>
      <c r="H402" s="39" t="s">
        <v>75</v>
      </c>
      <c r="I402" s="44" t="s">
        <v>114</v>
      </c>
      <c r="J402" s="33" t="s">
        <v>68</v>
      </c>
      <c r="K402" s="39" t="str">
        <f t="shared" si="6"/>
        <v>Flat 07</v>
      </c>
    </row>
    <row r="403" spans="3:11" x14ac:dyDescent="0.2">
      <c r="C403" s="39" t="s">
        <v>32</v>
      </c>
      <c r="D403" s="39">
        <v>6496</v>
      </c>
      <c r="E403" s="39">
        <v>4.28</v>
      </c>
      <c r="F403" s="39">
        <v>337</v>
      </c>
      <c r="G403" s="39">
        <v>90</v>
      </c>
      <c r="H403" s="39" t="s">
        <v>74</v>
      </c>
      <c r="I403" s="44" t="s">
        <v>114</v>
      </c>
      <c r="J403" s="33" t="s">
        <v>68</v>
      </c>
      <c r="K403" s="39" t="str">
        <f t="shared" si="6"/>
        <v>Flat 07</v>
      </c>
    </row>
    <row r="404" spans="3:11" x14ac:dyDescent="0.2">
      <c r="C404" s="39" t="s">
        <v>32</v>
      </c>
      <c r="D404" s="39">
        <v>6586</v>
      </c>
      <c r="E404" s="39">
        <v>2.2400000000000002</v>
      </c>
      <c r="F404" s="39">
        <v>9.9499999999999993</v>
      </c>
      <c r="G404" s="39">
        <v>90</v>
      </c>
      <c r="H404" s="39" t="s">
        <v>47</v>
      </c>
      <c r="I404" s="44" t="s">
        <v>115</v>
      </c>
      <c r="J404" s="33" t="s">
        <v>68</v>
      </c>
      <c r="K404" s="39" t="str">
        <f t="shared" si="6"/>
        <v>Flat 09</v>
      </c>
    </row>
    <row r="405" spans="3:11" x14ac:dyDescent="0.2">
      <c r="C405" s="39" t="s">
        <v>32</v>
      </c>
      <c r="D405" s="39">
        <v>6583</v>
      </c>
      <c r="E405" s="39">
        <v>2.2400000000000002</v>
      </c>
      <c r="F405" s="39">
        <v>189.95</v>
      </c>
      <c r="G405" s="39">
        <v>90</v>
      </c>
      <c r="H405" s="39" t="s">
        <v>42</v>
      </c>
      <c r="I405" s="44" t="s">
        <v>115</v>
      </c>
      <c r="J405" s="33" t="s">
        <v>68</v>
      </c>
      <c r="K405" s="39" t="str">
        <f t="shared" si="6"/>
        <v>Flat 09</v>
      </c>
    </row>
    <row r="406" spans="3:11" x14ac:dyDescent="0.2">
      <c r="C406" s="39" t="s">
        <v>32</v>
      </c>
      <c r="D406" s="39">
        <v>6584</v>
      </c>
      <c r="E406" s="39">
        <v>2.33</v>
      </c>
      <c r="F406" s="39">
        <v>99.95</v>
      </c>
      <c r="G406" s="39">
        <v>90</v>
      </c>
      <c r="H406" s="39" t="s">
        <v>48</v>
      </c>
      <c r="I406" s="44" t="s">
        <v>115</v>
      </c>
      <c r="J406" s="33" t="s">
        <v>68</v>
      </c>
      <c r="K406" s="39" t="str">
        <f t="shared" si="6"/>
        <v>Flat 09</v>
      </c>
    </row>
    <row r="407" spans="3:11" x14ac:dyDescent="0.2">
      <c r="C407" s="39" t="s">
        <v>32</v>
      </c>
      <c r="D407" s="39">
        <v>6585</v>
      </c>
      <c r="E407" s="39">
        <v>2.86</v>
      </c>
      <c r="F407" s="39">
        <v>157</v>
      </c>
      <c r="G407" s="39">
        <v>90</v>
      </c>
      <c r="H407" s="39" t="s">
        <v>76</v>
      </c>
      <c r="I407" s="44" t="s">
        <v>115</v>
      </c>
      <c r="J407" s="33" t="s">
        <v>68</v>
      </c>
      <c r="K407" s="39" t="str">
        <f t="shared" si="6"/>
        <v>Flat 09</v>
      </c>
    </row>
    <row r="408" spans="3:11" x14ac:dyDescent="0.2">
      <c r="C408" s="39" t="s">
        <v>32</v>
      </c>
      <c r="D408" s="39">
        <v>6587</v>
      </c>
      <c r="E408" s="39">
        <v>3.12</v>
      </c>
      <c r="F408" s="39">
        <v>189.95</v>
      </c>
      <c r="G408" s="39">
        <v>90</v>
      </c>
      <c r="H408" s="39" t="s">
        <v>42</v>
      </c>
      <c r="I408" s="44" t="s">
        <v>115</v>
      </c>
      <c r="J408" s="33" t="s">
        <v>68</v>
      </c>
      <c r="K408" s="39" t="str">
        <f t="shared" si="6"/>
        <v>Flat 09</v>
      </c>
    </row>
    <row r="409" spans="3:11" x14ac:dyDescent="0.2">
      <c r="C409" s="39" t="s">
        <v>32</v>
      </c>
      <c r="D409" s="39">
        <v>6590</v>
      </c>
      <c r="E409" s="39">
        <v>1.95</v>
      </c>
      <c r="F409" s="39">
        <v>99.95</v>
      </c>
      <c r="G409" s="39">
        <v>90</v>
      </c>
      <c r="H409" s="39" t="s">
        <v>48</v>
      </c>
      <c r="I409" s="44" t="s">
        <v>115</v>
      </c>
      <c r="J409" s="33" t="s">
        <v>68</v>
      </c>
      <c r="K409" s="39" t="str">
        <f t="shared" si="6"/>
        <v>Flat 09</v>
      </c>
    </row>
    <row r="410" spans="3:11" x14ac:dyDescent="0.2">
      <c r="C410" s="39" t="s">
        <v>32</v>
      </c>
      <c r="D410" s="39">
        <v>6588</v>
      </c>
      <c r="E410" s="39">
        <v>8.15</v>
      </c>
      <c r="F410" s="39">
        <v>9.9499999999999993</v>
      </c>
      <c r="G410" s="39">
        <v>90</v>
      </c>
      <c r="H410" s="39" t="s">
        <v>47</v>
      </c>
      <c r="I410" s="44" t="s">
        <v>115</v>
      </c>
      <c r="J410" s="33" t="s">
        <v>68</v>
      </c>
      <c r="K410" s="39" t="str">
        <f t="shared" si="6"/>
        <v>Flat 09</v>
      </c>
    </row>
    <row r="411" spans="3:11" x14ac:dyDescent="0.2">
      <c r="C411" s="39" t="s">
        <v>32</v>
      </c>
      <c r="D411" s="39">
        <v>6589</v>
      </c>
      <c r="E411" s="39">
        <v>3.08</v>
      </c>
      <c r="F411" s="39">
        <v>99.95</v>
      </c>
      <c r="G411" s="39">
        <v>90</v>
      </c>
      <c r="H411" s="39" t="s">
        <v>48</v>
      </c>
      <c r="I411" s="44" t="s">
        <v>115</v>
      </c>
      <c r="J411" s="33" t="s">
        <v>68</v>
      </c>
      <c r="K411" s="39" t="str">
        <f t="shared" si="6"/>
        <v>Flat 09</v>
      </c>
    </row>
    <row r="412" spans="3:11" x14ac:dyDescent="0.2">
      <c r="C412" s="39" t="s">
        <v>32</v>
      </c>
      <c r="D412" s="39">
        <v>6603</v>
      </c>
      <c r="E412" s="39">
        <v>4.67</v>
      </c>
      <c r="F412" s="39">
        <v>189.95</v>
      </c>
      <c r="G412" s="39">
        <v>90</v>
      </c>
      <c r="H412" s="39" t="s">
        <v>42</v>
      </c>
      <c r="I412" s="44" t="s">
        <v>115</v>
      </c>
      <c r="J412" s="33" t="s">
        <v>68</v>
      </c>
      <c r="K412" s="39" t="str">
        <f t="shared" si="6"/>
        <v>Flat 09</v>
      </c>
    </row>
    <row r="413" spans="3:11" x14ac:dyDescent="0.2">
      <c r="C413" s="39" t="s">
        <v>32</v>
      </c>
      <c r="D413" s="39">
        <v>6604</v>
      </c>
      <c r="E413" s="39">
        <v>0.74</v>
      </c>
      <c r="F413" s="39">
        <v>99.95</v>
      </c>
      <c r="G413" s="39">
        <v>90</v>
      </c>
      <c r="H413" s="39" t="s">
        <v>48</v>
      </c>
      <c r="I413" s="44" t="s">
        <v>115</v>
      </c>
      <c r="J413" s="33" t="s">
        <v>68</v>
      </c>
      <c r="K413" s="39" t="str">
        <f t="shared" si="6"/>
        <v>Flat 09</v>
      </c>
    </row>
    <row r="414" spans="3:11" x14ac:dyDescent="0.2">
      <c r="C414" s="39" t="s">
        <v>32</v>
      </c>
      <c r="D414" s="39">
        <v>6591</v>
      </c>
      <c r="E414" s="39">
        <v>5.5</v>
      </c>
      <c r="F414" s="39">
        <v>99.95</v>
      </c>
      <c r="G414" s="39">
        <v>90</v>
      </c>
      <c r="H414" s="39" t="s">
        <v>48</v>
      </c>
      <c r="I414" s="44" t="s">
        <v>115</v>
      </c>
      <c r="J414" s="33" t="s">
        <v>68</v>
      </c>
      <c r="K414" s="39" t="str">
        <f t="shared" si="6"/>
        <v>Flat 09</v>
      </c>
    </row>
    <row r="415" spans="3:11" x14ac:dyDescent="0.2">
      <c r="C415" s="39" t="s">
        <v>32</v>
      </c>
      <c r="D415" s="39">
        <v>6593</v>
      </c>
      <c r="E415" s="39">
        <v>5.75</v>
      </c>
      <c r="F415" s="39">
        <v>189.95</v>
      </c>
      <c r="G415" s="39">
        <v>90</v>
      </c>
      <c r="H415" s="39" t="s">
        <v>42</v>
      </c>
      <c r="I415" s="44" t="s">
        <v>115</v>
      </c>
      <c r="J415" s="33" t="s">
        <v>68</v>
      </c>
      <c r="K415" s="39" t="str">
        <f t="shared" si="6"/>
        <v>Flat 09</v>
      </c>
    </row>
    <row r="416" spans="3:11" x14ac:dyDescent="0.2">
      <c r="C416" s="39" t="s">
        <v>32</v>
      </c>
      <c r="D416" s="39">
        <v>6592</v>
      </c>
      <c r="E416" s="39">
        <v>2.83</v>
      </c>
      <c r="F416" s="39">
        <v>99.95</v>
      </c>
      <c r="G416" s="39">
        <v>90</v>
      </c>
      <c r="H416" s="39" t="s">
        <v>48</v>
      </c>
      <c r="I416" s="44" t="s">
        <v>115</v>
      </c>
      <c r="J416" s="33" t="s">
        <v>68</v>
      </c>
      <c r="K416" s="39" t="str">
        <f t="shared" si="6"/>
        <v>Flat 09</v>
      </c>
    </row>
    <row r="417" spans="3:11" x14ac:dyDescent="0.2">
      <c r="C417" s="39" t="s">
        <v>32</v>
      </c>
      <c r="D417" s="39">
        <v>6594</v>
      </c>
      <c r="E417" s="39">
        <v>3.64</v>
      </c>
      <c r="F417" s="39">
        <v>189.95</v>
      </c>
      <c r="G417" s="39">
        <v>90</v>
      </c>
      <c r="H417" s="39" t="s">
        <v>42</v>
      </c>
      <c r="I417" s="44" t="s">
        <v>115</v>
      </c>
      <c r="J417" s="33" t="s">
        <v>68</v>
      </c>
      <c r="K417" s="39" t="str">
        <f t="shared" si="6"/>
        <v>Flat 09</v>
      </c>
    </row>
    <row r="418" spans="3:11" x14ac:dyDescent="0.2">
      <c r="C418" s="39" t="s">
        <v>32</v>
      </c>
      <c r="D418" s="39">
        <v>6595</v>
      </c>
      <c r="E418" s="39">
        <v>4.37</v>
      </c>
      <c r="F418" s="39">
        <v>189.95</v>
      </c>
      <c r="G418" s="39">
        <v>90</v>
      </c>
      <c r="H418" s="39" t="s">
        <v>42</v>
      </c>
      <c r="I418" s="44" t="s">
        <v>115</v>
      </c>
      <c r="J418" s="33" t="s">
        <v>68</v>
      </c>
      <c r="K418" s="39" t="str">
        <f t="shared" si="6"/>
        <v>Flat 09</v>
      </c>
    </row>
    <row r="419" spans="3:11" x14ac:dyDescent="0.2">
      <c r="C419" s="39" t="s">
        <v>32</v>
      </c>
      <c r="D419" s="39">
        <v>6596</v>
      </c>
      <c r="E419" s="39">
        <v>5.12</v>
      </c>
      <c r="F419" s="39">
        <v>189.95</v>
      </c>
      <c r="G419" s="39">
        <v>90</v>
      </c>
      <c r="H419" s="39" t="s">
        <v>42</v>
      </c>
      <c r="I419" s="44" t="s">
        <v>115</v>
      </c>
      <c r="J419" s="33" t="s">
        <v>68</v>
      </c>
      <c r="K419" s="39" t="str">
        <f t="shared" si="6"/>
        <v>Flat 09</v>
      </c>
    </row>
    <row r="420" spans="3:11" x14ac:dyDescent="0.2">
      <c r="C420" s="39" t="s">
        <v>32</v>
      </c>
      <c r="D420" s="39">
        <v>6607</v>
      </c>
      <c r="E420" s="39">
        <v>1.68</v>
      </c>
      <c r="F420" s="39">
        <v>279.95</v>
      </c>
      <c r="G420" s="39">
        <v>90</v>
      </c>
      <c r="H420" s="39" t="s">
        <v>49</v>
      </c>
      <c r="I420" s="44" t="s">
        <v>115</v>
      </c>
      <c r="J420" s="33" t="s">
        <v>68</v>
      </c>
      <c r="K420" s="39" t="str">
        <f t="shared" si="6"/>
        <v>Flat 09</v>
      </c>
    </row>
    <row r="421" spans="3:11" x14ac:dyDescent="0.2">
      <c r="C421" s="39" t="s">
        <v>32</v>
      </c>
      <c r="D421" s="39">
        <v>6608</v>
      </c>
      <c r="E421" s="39">
        <v>1.68</v>
      </c>
      <c r="F421" s="39">
        <v>99.95</v>
      </c>
      <c r="G421" s="39">
        <v>90</v>
      </c>
      <c r="H421" s="39" t="s">
        <v>48</v>
      </c>
      <c r="I421" s="44" t="s">
        <v>115</v>
      </c>
      <c r="J421" s="33" t="s">
        <v>68</v>
      </c>
      <c r="K421" s="39" t="str">
        <f t="shared" si="6"/>
        <v>Flat 09</v>
      </c>
    </row>
    <row r="422" spans="3:11" x14ac:dyDescent="0.2">
      <c r="C422" s="39" t="s">
        <v>32</v>
      </c>
      <c r="D422" s="39">
        <v>6668</v>
      </c>
      <c r="E422" s="39">
        <v>2.4</v>
      </c>
      <c r="F422" s="39">
        <v>279.95</v>
      </c>
      <c r="G422" s="39">
        <v>90</v>
      </c>
      <c r="H422" s="39" t="s">
        <v>49</v>
      </c>
      <c r="I422" s="44" t="s">
        <v>116</v>
      </c>
      <c r="J422" s="33" t="s">
        <v>68</v>
      </c>
      <c r="K422" s="39" t="str">
        <f t="shared" si="6"/>
        <v>Flat 10</v>
      </c>
    </row>
    <row r="423" spans="3:11" x14ac:dyDescent="0.2">
      <c r="C423" s="39" t="s">
        <v>32</v>
      </c>
      <c r="D423" s="39">
        <v>6665</v>
      </c>
      <c r="E423" s="39">
        <v>3</v>
      </c>
      <c r="F423" s="39">
        <v>189.95</v>
      </c>
      <c r="G423" s="39">
        <v>90</v>
      </c>
      <c r="H423" s="39" t="s">
        <v>42</v>
      </c>
      <c r="I423" s="44" t="s">
        <v>116</v>
      </c>
      <c r="J423" s="33" t="s">
        <v>68</v>
      </c>
      <c r="K423" s="39" t="str">
        <f t="shared" si="6"/>
        <v>Flat 10</v>
      </c>
    </row>
    <row r="424" spans="3:11" x14ac:dyDescent="0.2">
      <c r="C424" s="39" t="s">
        <v>32</v>
      </c>
      <c r="D424" s="39">
        <v>6666</v>
      </c>
      <c r="E424" s="39">
        <v>1.61</v>
      </c>
      <c r="F424" s="39">
        <v>279.95</v>
      </c>
      <c r="G424" s="39">
        <v>90</v>
      </c>
      <c r="H424" s="39" t="s">
        <v>49</v>
      </c>
      <c r="I424" s="44" t="s">
        <v>116</v>
      </c>
      <c r="J424" s="33" t="s">
        <v>68</v>
      </c>
      <c r="K424" s="39" t="str">
        <f t="shared" si="6"/>
        <v>Flat 10</v>
      </c>
    </row>
    <row r="425" spans="3:11" x14ac:dyDescent="0.2">
      <c r="C425" s="39" t="s">
        <v>32</v>
      </c>
      <c r="D425" s="39">
        <v>6667</v>
      </c>
      <c r="E425" s="39">
        <v>12.78</v>
      </c>
      <c r="F425" s="39">
        <v>9.9499999999999993</v>
      </c>
      <c r="G425" s="39">
        <v>90</v>
      </c>
      <c r="H425" s="39" t="s">
        <v>47</v>
      </c>
      <c r="I425" s="44" t="s">
        <v>116</v>
      </c>
      <c r="J425" s="33" t="s">
        <v>68</v>
      </c>
      <c r="K425" s="39" t="str">
        <f t="shared" si="6"/>
        <v>Flat 10</v>
      </c>
    </row>
    <row r="426" spans="3:11" x14ac:dyDescent="0.2">
      <c r="C426" s="39" t="s">
        <v>32</v>
      </c>
      <c r="D426" s="39">
        <v>6664</v>
      </c>
      <c r="E426" s="39">
        <v>1.41</v>
      </c>
      <c r="F426" s="39">
        <v>279.95</v>
      </c>
      <c r="G426" s="39">
        <v>90</v>
      </c>
      <c r="H426" s="39" t="s">
        <v>49</v>
      </c>
      <c r="I426" s="44" t="s">
        <v>116</v>
      </c>
      <c r="J426" s="33" t="s">
        <v>68</v>
      </c>
      <c r="K426" s="39" t="str">
        <f t="shared" si="6"/>
        <v>Flat 10</v>
      </c>
    </row>
    <row r="427" spans="3:11" x14ac:dyDescent="0.2">
      <c r="C427" s="39" t="s">
        <v>32</v>
      </c>
      <c r="D427" s="39">
        <v>6670</v>
      </c>
      <c r="E427" s="39">
        <v>5.12</v>
      </c>
      <c r="F427" s="39">
        <v>189.95</v>
      </c>
      <c r="G427" s="39">
        <v>90</v>
      </c>
      <c r="H427" s="39" t="s">
        <v>42</v>
      </c>
      <c r="I427" s="44" t="s">
        <v>116</v>
      </c>
      <c r="J427" s="33" t="s">
        <v>68</v>
      </c>
      <c r="K427" s="39" t="str">
        <f t="shared" si="6"/>
        <v>Flat 10</v>
      </c>
    </row>
    <row r="428" spans="3:11" x14ac:dyDescent="0.2">
      <c r="C428" s="39" t="s">
        <v>32</v>
      </c>
      <c r="D428" s="39">
        <v>6673</v>
      </c>
      <c r="E428" s="39">
        <v>5.23</v>
      </c>
      <c r="F428" s="39">
        <v>99.95</v>
      </c>
      <c r="G428" s="39">
        <v>90</v>
      </c>
      <c r="H428" s="39" t="s">
        <v>48</v>
      </c>
      <c r="I428" s="44" t="s">
        <v>116</v>
      </c>
      <c r="J428" s="33" t="s">
        <v>68</v>
      </c>
      <c r="K428" s="39" t="str">
        <f t="shared" si="6"/>
        <v>Flat 10</v>
      </c>
    </row>
    <row r="429" spans="3:11" x14ac:dyDescent="0.2">
      <c r="C429" s="39" t="s">
        <v>32</v>
      </c>
      <c r="D429" s="39">
        <v>6671</v>
      </c>
      <c r="E429" s="39">
        <v>0.27</v>
      </c>
      <c r="F429" s="39">
        <v>279.95</v>
      </c>
      <c r="G429" s="39">
        <v>90</v>
      </c>
      <c r="H429" s="39" t="s">
        <v>49</v>
      </c>
      <c r="I429" s="44" t="s">
        <v>116</v>
      </c>
      <c r="J429" s="33" t="s">
        <v>68</v>
      </c>
      <c r="K429" s="39" t="str">
        <f t="shared" si="6"/>
        <v>Flat 10</v>
      </c>
    </row>
    <row r="430" spans="3:11" x14ac:dyDescent="0.2">
      <c r="C430" s="39" t="s">
        <v>32</v>
      </c>
      <c r="D430" s="39">
        <v>6672</v>
      </c>
      <c r="E430" s="39">
        <v>8.27</v>
      </c>
      <c r="F430" s="39">
        <v>189.95</v>
      </c>
      <c r="G430" s="39">
        <v>90</v>
      </c>
      <c r="H430" s="39" t="s">
        <v>42</v>
      </c>
      <c r="I430" s="44" t="s">
        <v>116</v>
      </c>
      <c r="J430" s="33" t="s">
        <v>68</v>
      </c>
      <c r="K430" s="39" t="str">
        <f t="shared" si="6"/>
        <v>Flat 10</v>
      </c>
    </row>
    <row r="431" spans="3:11" x14ac:dyDescent="0.2">
      <c r="C431" s="39" t="s">
        <v>32</v>
      </c>
      <c r="D431" s="39">
        <v>6669</v>
      </c>
      <c r="E431" s="39">
        <v>4.67</v>
      </c>
      <c r="F431" s="39">
        <v>189.95</v>
      </c>
      <c r="G431" s="39">
        <v>90</v>
      </c>
      <c r="H431" s="39" t="s">
        <v>42</v>
      </c>
      <c r="I431" s="44" t="s">
        <v>116</v>
      </c>
      <c r="J431" s="33" t="s">
        <v>68</v>
      </c>
      <c r="K431" s="39" t="str">
        <f t="shared" si="6"/>
        <v>Flat 10</v>
      </c>
    </row>
    <row r="432" spans="3:11" x14ac:dyDescent="0.2">
      <c r="C432" s="39" t="s">
        <v>32</v>
      </c>
      <c r="D432" s="39">
        <v>6771</v>
      </c>
      <c r="E432" s="39">
        <v>1.97</v>
      </c>
      <c r="F432" s="39">
        <v>279.95</v>
      </c>
      <c r="G432" s="39">
        <v>90</v>
      </c>
      <c r="H432" s="39" t="s">
        <v>49</v>
      </c>
      <c r="I432" s="44" t="s">
        <v>117</v>
      </c>
      <c r="J432" s="33" t="s">
        <v>68</v>
      </c>
      <c r="K432" s="39" t="str">
        <f t="shared" si="6"/>
        <v>Flat 11</v>
      </c>
    </row>
    <row r="433" spans="3:11" x14ac:dyDescent="0.2">
      <c r="C433" s="39" t="s">
        <v>32</v>
      </c>
      <c r="D433" s="39">
        <v>6773</v>
      </c>
      <c r="E433" s="39">
        <v>2.89</v>
      </c>
      <c r="F433" s="39">
        <v>279.95</v>
      </c>
      <c r="G433" s="39">
        <v>90</v>
      </c>
      <c r="H433" s="39" t="s">
        <v>49</v>
      </c>
      <c r="I433" s="44" t="s">
        <v>117</v>
      </c>
      <c r="J433" s="33" t="s">
        <v>68</v>
      </c>
      <c r="K433" s="39" t="str">
        <f t="shared" si="6"/>
        <v>Flat 11</v>
      </c>
    </row>
    <row r="434" spans="3:11" x14ac:dyDescent="0.2">
      <c r="C434" s="39" t="s">
        <v>32</v>
      </c>
      <c r="D434" s="39">
        <v>6769</v>
      </c>
      <c r="E434" s="39">
        <v>3.06</v>
      </c>
      <c r="F434" s="39">
        <v>189.95</v>
      </c>
      <c r="G434" s="39">
        <v>90</v>
      </c>
      <c r="H434" s="39" t="s">
        <v>42</v>
      </c>
      <c r="I434" s="44" t="s">
        <v>117</v>
      </c>
      <c r="J434" s="33" t="s">
        <v>68</v>
      </c>
      <c r="K434" s="39" t="str">
        <f t="shared" si="6"/>
        <v>Flat 11</v>
      </c>
    </row>
    <row r="435" spans="3:11" x14ac:dyDescent="0.2">
      <c r="C435" s="39" t="s">
        <v>32</v>
      </c>
      <c r="D435" s="39">
        <v>6770</v>
      </c>
      <c r="E435" s="39">
        <v>5.66</v>
      </c>
      <c r="F435" s="39">
        <v>189.95</v>
      </c>
      <c r="G435" s="39">
        <v>90</v>
      </c>
      <c r="H435" s="39" t="s">
        <v>42</v>
      </c>
      <c r="I435" s="44" t="s">
        <v>117</v>
      </c>
      <c r="J435" s="33" t="s">
        <v>68</v>
      </c>
      <c r="K435" s="39" t="str">
        <f t="shared" si="6"/>
        <v>Flat 11</v>
      </c>
    </row>
    <row r="436" spans="3:11" x14ac:dyDescent="0.2">
      <c r="C436" s="39" t="s">
        <v>32</v>
      </c>
      <c r="D436" s="39">
        <v>6772</v>
      </c>
      <c r="E436" s="39">
        <v>2.13</v>
      </c>
      <c r="F436" s="39">
        <v>279.95</v>
      </c>
      <c r="G436" s="39">
        <v>90</v>
      </c>
      <c r="H436" s="39" t="s">
        <v>49</v>
      </c>
      <c r="I436" s="44" t="s">
        <v>117</v>
      </c>
      <c r="J436" s="33" t="s">
        <v>68</v>
      </c>
      <c r="K436" s="39" t="str">
        <f t="shared" si="6"/>
        <v>Flat 11</v>
      </c>
    </row>
    <row r="437" spans="3:11" x14ac:dyDescent="0.2">
      <c r="C437" s="39" t="s">
        <v>32</v>
      </c>
      <c r="D437" s="39">
        <v>6759</v>
      </c>
      <c r="E437" s="39">
        <v>3.92</v>
      </c>
      <c r="F437" s="39">
        <v>279.95</v>
      </c>
      <c r="G437" s="39">
        <v>90</v>
      </c>
      <c r="H437" s="39" t="s">
        <v>49</v>
      </c>
      <c r="I437" s="44" t="s">
        <v>117</v>
      </c>
      <c r="J437" s="33" t="s">
        <v>68</v>
      </c>
      <c r="K437" s="39" t="str">
        <f t="shared" si="6"/>
        <v>Flat 11</v>
      </c>
    </row>
    <row r="438" spans="3:11" x14ac:dyDescent="0.2">
      <c r="C438" s="39" t="s">
        <v>32</v>
      </c>
      <c r="D438" s="39">
        <v>6762</v>
      </c>
      <c r="E438" s="39">
        <v>6.59</v>
      </c>
      <c r="F438" s="39">
        <v>9.9499999999999993</v>
      </c>
      <c r="G438" s="39">
        <v>90</v>
      </c>
      <c r="H438" s="39" t="s">
        <v>47</v>
      </c>
      <c r="I438" s="44" t="s">
        <v>117</v>
      </c>
      <c r="J438" s="33" t="s">
        <v>68</v>
      </c>
      <c r="K438" s="39" t="str">
        <f t="shared" si="6"/>
        <v>Flat 11</v>
      </c>
    </row>
    <row r="439" spans="3:11" x14ac:dyDescent="0.2">
      <c r="C439" s="39" t="s">
        <v>32</v>
      </c>
      <c r="D439" s="39">
        <v>6758</v>
      </c>
      <c r="E439" s="39">
        <v>5.66</v>
      </c>
      <c r="F439" s="39">
        <v>9.9499999999999993</v>
      </c>
      <c r="G439" s="39">
        <v>90</v>
      </c>
      <c r="H439" s="39" t="s">
        <v>47</v>
      </c>
      <c r="I439" s="44" t="s">
        <v>117</v>
      </c>
      <c r="J439" s="33" t="s">
        <v>68</v>
      </c>
      <c r="K439" s="39" t="str">
        <f t="shared" si="6"/>
        <v>Flat 11</v>
      </c>
    </row>
    <row r="440" spans="3:11" x14ac:dyDescent="0.2">
      <c r="C440" s="39" t="s">
        <v>32</v>
      </c>
      <c r="D440" s="39">
        <v>6760</v>
      </c>
      <c r="E440" s="39">
        <v>5.27</v>
      </c>
      <c r="F440" s="39">
        <v>279.95</v>
      </c>
      <c r="G440" s="39">
        <v>90</v>
      </c>
      <c r="H440" s="39" t="s">
        <v>49</v>
      </c>
      <c r="I440" s="44" t="s">
        <v>117</v>
      </c>
      <c r="J440" s="33" t="s">
        <v>68</v>
      </c>
      <c r="K440" s="39" t="str">
        <f t="shared" si="6"/>
        <v>Flat 11</v>
      </c>
    </row>
    <row r="441" spans="3:11" x14ac:dyDescent="0.2">
      <c r="C441" s="39" t="s">
        <v>32</v>
      </c>
      <c r="D441" s="39">
        <v>6761</v>
      </c>
      <c r="E441" s="39">
        <v>7.03</v>
      </c>
      <c r="F441" s="39">
        <v>189.95</v>
      </c>
      <c r="G441" s="39">
        <v>90</v>
      </c>
      <c r="H441" s="39" t="s">
        <v>42</v>
      </c>
      <c r="I441" s="44" t="s">
        <v>117</v>
      </c>
      <c r="J441" s="33" t="s">
        <v>68</v>
      </c>
      <c r="K441" s="39" t="str">
        <f t="shared" si="6"/>
        <v>Flat 11</v>
      </c>
    </row>
    <row r="442" spans="3:11" x14ac:dyDescent="0.2">
      <c r="C442" s="39" t="s">
        <v>32</v>
      </c>
      <c r="D442" s="39">
        <v>6763</v>
      </c>
      <c r="E442" s="39">
        <v>2.13</v>
      </c>
      <c r="F442" s="39">
        <v>279.95</v>
      </c>
      <c r="G442" s="39">
        <v>90</v>
      </c>
      <c r="H442" s="39" t="s">
        <v>49</v>
      </c>
      <c r="I442" s="44" t="s">
        <v>117</v>
      </c>
      <c r="J442" s="33" t="s">
        <v>68</v>
      </c>
      <c r="K442" s="39" t="str">
        <f t="shared" si="6"/>
        <v>Flat 11</v>
      </c>
    </row>
    <row r="443" spans="3:11" x14ac:dyDescent="0.2">
      <c r="C443" s="39" t="s">
        <v>32</v>
      </c>
      <c r="D443" s="39">
        <v>6766</v>
      </c>
      <c r="E443" s="39">
        <v>2.13</v>
      </c>
      <c r="F443" s="39">
        <v>279.95</v>
      </c>
      <c r="G443" s="39">
        <v>90</v>
      </c>
      <c r="H443" s="39" t="s">
        <v>49</v>
      </c>
      <c r="I443" s="44" t="s">
        <v>117</v>
      </c>
      <c r="J443" s="33" t="s">
        <v>68</v>
      </c>
      <c r="K443" s="39" t="str">
        <f t="shared" si="6"/>
        <v>Flat 11</v>
      </c>
    </row>
    <row r="444" spans="3:11" x14ac:dyDescent="0.2">
      <c r="C444" s="39" t="s">
        <v>32</v>
      </c>
      <c r="D444" s="39">
        <v>6764</v>
      </c>
      <c r="E444" s="39">
        <v>3.92</v>
      </c>
      <c r="F444" s="39">
        <v>99.95</v>
      </c>
      <c r="G444" s="39">
        <v>90</v>
      </c>
      <c r="H444" s="39" t="s">
        <v>48</v>
      </c>
      <c r="I444" s="44" t="s">
        <v>117</v>
      </c>
      <c r="J444" s="33" t="s">
        <v>68</v>
      </c>
      <c r="K444" s="39" t="str">
        <f t="shared" si="6"/>
        <v>Flat 11</v>
      </c>
    </row>
    <row r="445" spans="3:11" x14ac:dyDescent="0.2">
      <c r="C445" s="39" t="s">
        <v>32</v>
      </c>
      <c r="D445" s="39">
        <v>6767</v>
      </c>
      <c r="E445" s="39">
        <v>5.41</v>
      </c>
      <c r="F445" s="39">
        <v>9.9499999999999993</v>
      </c>
      <c r="G445" s="39">
        <v>90</v>
      </c>
      <c r="H445" s="39" t="s">
        <v>47</v>
      </c>
      <c r="I445" s="44" t="s">
        <v>117</v>
      </c>
      <c r="J445" s="33" t="s">
        <v>68</v>
      </c>
      <c r="K445" s="39" t="str">
        <f t="shared" si="6"/>
        <v>Flat 11</v>
      </c>
    </row>
    <row r="446" spans="3:11" x14ac:dyDescent="0.2">
      <c r="C446" s="39" t="s">
        <v>32</v>
      </c>
      <c r="D446" s="39">
        <v>6765</v>
      </c>
      <c r="E446" s="39">
        <v>13.2</v>
      </c>
      <c r="F446" s="39">
        <v>189.95</v>
      </c>
      <c r="G446" s="39">
        <v>90</v>
      </c>
      <c r="H446" s="39" t="s">
        <v>42</v>
      </c>
      <c r="I446" s="44" t="s">
        <v>117</v>
      </c>
      <c r="J446" s="33" t="s">
        <v>68</v>
      </c>
      <c r="K446" s="39" t="str">
        <f t="shared" si="6"/>
        <v>Flat 11</v>
      </c>
    </row>
    <row r="447" spans="3:11" x14ac:dyDescent="0.2">
      <c r="C447" s="39" t="s">
        <v>32</v>
      </c>
      <c r="D447" s="39">
        <v>6768</v>
      </c>
      <c r="E447" s="39">
        <v>5.27</v>
      </c>
      <c r="F447" s="39">
        <v>99.95</v>
      </c>
      <c r="G447" s="39">
        <v>90</v>
      </c>
      <c r="H447" s="39" t="s">
        <v>48</v>
      </c>
      <c r="I447" s="44" t="s">
        <v>117</v>
      </c>
      <c r="J447" s="33" t="s">
        <v>68</v>
      </c>
      <c r="K447" s="39" t="str">
        <f t="shared" si="6"/>
        <v>Flat 11</v>
      </c>
    </row>
    <row r="448" spans="3:11" x14ac:dyDescent="0.2">
      <c r="C448" s="39" t="s">
        <v>32</v>
      </c>
      <c r="D448" s="39">
        <v>6862</v>
      </c>
      <c r="E448" s="39">
        <v>5.53</v>
      </c>
      <c r="F448" s="39">
        <v>279.95</v>
      </c>
      <c r="G448" s="39">
        <v>90</v>
      </c>
      <c r="H448" s="39" t="s">
        <v>49</v>
      </c>
      <c r="I448" s="44" t="s">
        <v>118</v>
      </c>
      <c r="J448" s="33" t="s">
        <v>68</v>
      </c>
      <c r="K448" s="39" t="str">
        <f t="shared" si="6"/>
        <v>Flat 12</v>
      </c>
    </row>
    <row r="449" spans="3:11" x14ac:dyDescent="0.2">
      <c r="C449" s="39" t="s">
        <v>32</v>
      </c>
      <c r="D449" s="39">
        <v>6861</v>
      </c>
      <c r="E449" s="39">
        <v>5.84</v>
      </c>
      <c r="F449" s="39">
        <v>279.95</v>
      </c>
      <c r="G449" s="39">
        <v>90</v>
      </c>
      <c r="H449" s="39" t="s">
        <v>49</v>
      </c>
      <c r="I449" s="44" t="s">
        <v>118</v>
      </c>
      <c r="J449" s="33" t="s">
        <v>68</v>
      </c>
      <c r="K449" s="39" t="str">
        <f t="shared" si="6"/>
        <v>Flat 12</v>
      </c>
    </row>
    <row r="450" spans="3:11" x14ac:dyDescent="0.2">
      <c r="C450" s="39" t="s">
        <v>32</v>
      </c>
      <c r="D450" s="39">
        <v>6863</v>
      </c>
      <c r="E450" s="39">
        <v>5.84</v>
      </c>
      <c r="F450" s="39">
        <v>99.95</v>
      </c>
      <c r="G450" s="39">
        <v>90</v>
      </c>
      <c r="H450" s="39" t="s">
        <v>48</v>
      </c>
      <c r="I450" s="44" t="s">
        <v>118</v>
      </c>
      <c r="J450" s="33" t="s">
        <v>68</v>
      </c>
      <c r="K450" s="39" t="str">
        <f t="shared" si="6"/>
        <v>Flat 12</v>
      </c>
    </row>
    <row r="451" spans="3:11" x14ac:dyDescent="0.2">
      <c r="C451" s="39" t="s">
        <v>32</v>
      </c>
      <c r="D451" s="39">
        <v>6858</v>
      </c>
      <c r="E451" s="39">
        <v>4.3499999999999996</v>
      </c>
      <c r="F451" s="39">
        <v>9.9499999999999993</v>
      </c>
      <c r="G451" s="39">
        <v>90</v>
      </c>
      <c r="H451" s="39" t="s">
        <v>47</v>
      </c>
      <c r="I451" s="44" t="s">
        <v>118</v>
      </c>
      <c r="J451" s="33" t="s">
        <v>68</v>
      </c>
      <c r="K451" s="39" t="str">
        <f t="shared" si="6"/>
        <v>Flat 12</v>
      </c>
    </row>
    <row r="452" spans="3:11" x14ac:dyDescent="0.2">
      <c r="C452" s="39" t="s">
        <v>32</v>
      </c>
      <c r="D452" s="39">
        <v>6866</v>
      </c>
      <c r="E452" s="39">
        <v>2.88</v>
      </c>
      <c r="F452" s="39">
        <v>9.9499999999999993</v>
      </c>
      <c r="G452" s="39">
        <v>90</v>
      </c>
      <c r="H452" s="39" t="s">
        <v>47</v>
      </c>
      <c r="I452" s="44" t="s">
        <v>118</v>
      </c>
      <c r="J452" s="33" t="s">
        <v>68</v>
      </c>
      <c r="K452" s="39" t="str">
        <f t="shared" si="6"/>
        <v>Flat 12</v>
      </c>
    </row>
    <row r="453" spans="3:11" x14ac:dyDescent="0.2">
      <c r="C453" s="39" t="s">
        <v>32</v>
      </c>
      <c r="D453" s="39">
        <v>6864</v>
      </c>
      <c r="E453" s="39">
        <v>1.31</v>
      </c>
      <c r="F453" s="39">
        <v>279.95</v>
      </c>
      <c r="G453" s="39">
        <v>90</v>
      </c>
      <c r="H453" s="39" t="s">
        <v>49</v>
      </c>
      <c r="I453" s="44" t="s">
        <v>118</v>
      </c>
      <c r="J453" s="33" t="s">
        <v>68</v>
      </c>
      <c r="K453" s="39" t="str">
        <f t="shared" si="6"/>
        <v>Flat 12</v>
      </c>
    </row>
    <row r="454" spans="3:11" x14ac:dyDescent="0.2">
      <c r="C454" s="39" t="s">
        <v>32</v>
      </c>
      <c r="D454" s="39">
        <v>6854</v>
      </c>
      <c r="E454" s="39">
        <v>5.62</v>
      </c>
      <c r="F454" s="39">
        <v>9.9499999999999993</v>
      </c>
      <c r="G454" s="39">
        <v>90</v>
      </c>
      <c r="H454" s="39" t="s">
        <v>47</v>
      </c>
      <c r="I454" s="44" t="s">
        <v>118</v>
      </c>
      <c r="J454" s="33" t="s">
        <v>68</v>
      </c>
      <c r="K454" s="39" t="str">
        <f t="shared" si="6"/>
        <v>Flat 12</v>
      </c>
    </row>
    <row r="455" spans="3:11" x14ac:dyDescent="0.2">
      <c r="C455" s="39" t="s">
        <v>32</v>
      </c>
      <c r="D455" s="39">
        <v>6860</v>
      </c>
      <c r="E455" s="39">
        <v>1.71</v>
      </c>
      <c r="F455" s="39">
        <v>279.95</v>
      </c>
      <c r="G455" s="39">
        <v>90</v>
      </c>
      <c r="H455" s="39" t="s">
        <v>49</v>
      </c>
      <c r="I455" s="44" t="s">
        <v>118</v>
      </c>
      <c r="J455" s="33" t="s">
        <v>68</v>
      </c>
      <c r="K455" s="39" t="str">
        <f t="shared" ref="K455:K518" si="7">LEFT(I455,7)</f>
        <v>Flat 12</v>
      </c>
    </row>
    <row r="456" spans="3:11" x14ac:dyDescent="0.2">
      <c r="C456" s="39" t="s">
        <v>32</v>
      </c>
      <c r="D456" s="39">
        <v>6855</v>
      </c>
      <c r="E456" s="39">
        <v>3.52</v>
      </c>
      <c r="F456" s="39">
        <v>9.9499999999999993</v>
      </c>
      <c r="G456" s="39">
        <v>90</v>
      </c>
      <c r="H456" s="39" t="s">
        <v>47</v>
      </c>
      <c r="I456" s="44" t="s">
        <v>118</v>
      </c>
      <c r="J456" s="33" t="s">
        <v>68</v>
      </c>
      <c r="K456" s="39" t="str">
        <f t="shared" si="7"/>
        <v>Flat 12</v>
      </c>
    </row>
    <row r="457" spans="3:11" x14ac:dyDescent="0.2">
      <c r="C457" s="39" t="s">
        <v>32</v>
      </c>
      <c r="D457" s="39">
        <v>6867</v>
      </c>
      <c r="E457" s="39">
        <v>2.77</v>
      </c>
      <c r="F457" s="39">
        <v>9.9499999999999993</v>
      </c>
      <c r="G457" s="39">
        <v>90</v>
      </c>
      <c r="H457" s="39" t="s">
        <v>47</v>
      </c>
      <c r="I457" s="44" t="s">
        <v>118</v>
      </c>
      <c r="J457" s="33" t="s">
        <v>68</v>
      </c>
      <c r="K457" s="39" t="str">
        <f t="shared" si="7"/>
        <v>Flat 12</v>
      </c>
    </row>
    <row r="458" spans="3:11" x14ac:dyDescent="0.2">
      <c r="C458" s="39" t="s">
        <v>32</v>
      </c>
      <c r="D458" s="39">
        <v>6868</v>
      </c>
      <c r="E458" s="39">
        <v>4.7699999999999996</v>
      </c>
      <c r="F458" s="39">
        <v>99.95</v>
      </c>
      <c r="G458" s="39">
        <v>90</v>
      </c>
      <c r="H458" s="39" t="s">
        <v>48</v>
      </c>
      <c r="I458" s="44" t="s">
        <v>118</v>
      </c>
      <c r="J458" s="33" t="s">
        <v>68</v>
      </c>
      <c r="K458" s="39" t="str">
        <f t="shared" si="7"/>
        <v>Flat 12</v>
      </c>
    </row>
    <row r="459" spans="3:11" x14ac:dyDescent="0.2">
      <c r="C459" s="39" t="s">
        <v>32</v>
      </c>
      <c r="D459" s="39">
        <v>6857</v>
      </c>
      <c r="E459" s="39">
        <v>2.35</v>
      </c>
      <c r="F459" s="39">
        <v>189.95</v>
      </c>
      <c r="G459" s="39">
        <v>90</v>
      </c>
      <c r="H459" s="39" t="s">
        <v>42</v>
      </c>
      <c r="I459" s="44" t="s">
        <v>118</v>
      </c>
      <c r="J459" s="33" t="s">
        <v>68</v>
      </c>
      <c r="K459" s="39" t="str">
        <f t="shared" si="7"/>
        <v>Flat 12</v>
      </c>
    </row>
    <row r="460" spans="3:11" x14ac:dyDescent="0.2">
      <c r="C460" s="39" t="s">
        <v>32</v>
      </c>
      <c r="D460" s="39">
        <v>6856</v>
      </c>
      <c r="E460" s="39">
        <v>2.35</v>
      </c>
      <c r="F460" s="39">
        <v>9.9499999999999993</v>
      </c>
      <c r="G460" s="39">
        <v>90</v>
      </c>
      <c r="H460" s="39" t="s">
        <v>47</v>
      </c>
      <c r="I460" s="44" t="s">
        <v>118</v>
      </c>
      <c r="J460" s="33" t="s">
        <v>68</v>
      </c>
      <c r="K460" s="39" t="str">
        <f t="shared" si="7"/>
        <v>Flat 12</v>
      </c>
    </row>
    <row r="461" spans="3:11" x14ac:dyDescent="0.2">
      <c r="C461" s="39" t="s">
        <v>32</v>
      </c>
      <c r="D461" s="39">
        <v>6865</v>
      </c>
      <c r="E461" s="39">
        <v>9.36</v>
      </c>
      <c r="F461" s="39">
        <v>9.9499999999999993</v>
      </c>
      <c r="G461" s="39">
        <v>90</v>
      </c>
      <c r="H461" s="39" t="s">
        <v>47</v>
      </c>
      <c r="I461" s="44" t="s">
        <v>118</v>
      </c>
      <c r="J461" s="33" t="s">
        <v>68</v>
      </c>
      <c r="K461" s="39" t="str">
        <f t="shared" si="7"/>
        <v>Flat 12</v>
      </c>
    </row>
    <row r="462" spans="3:11" x14ac:dyDescent="0.2">
      <c r="C462" s="39" t="s">
        <v>32</v>
      </c>
      <c r="D462" s="39">
        <v>6859</v>
      </c>
      <c r="E462" s="39">
        <v>8.94</v>
      </c>
      <c r="F462" s="39">
        <v>9.9499999999999993</v>
      </c>
      <c r="G462" s="39">
        <v>90</v>
      </c>
      <c r="H462" s="39" t="s">
        <v>47</v>
      </c>
      <c r="I462" s="44" t="s">
        <v>118</v>
      </c>
      <c r="J462" s="33" t="s">
        <v>68</v>
      </c>
      <c r="K462" s="39" t="str">
        <f t="shared" si="7"/>
        <v>Flat 12</v>
      </c>
    </row>
    <row r="463" spans="3:11" x14ac:dyDescent="0.2">
      <c r="C463" s="39" t="s">
        <v>30</v>
      </c>
      <c r="D463" s="39">
        <v>3935</v>
      </c>
      <c r="E463" s="39">
        <v>65.52</v>
      </c>
      <c r="F463" s="39">
        <v>93.57</v>
      </c>
      <c r="G463" s="39">
        <v>0</v>
      </c>
      <c r="H463" s="39" t="s">
        <v>67</v>
      </c>
      <c r="I463" s="44" t="s">
        <v>83</v>
      </c>
      <c r="J463" s="33" t="s">
        <v>68</v>
      </c>
      <c r="K463" s="39" t="str">
        <f t="shared" si="7"/>
        <v>Flat 09</v>
      </c>
    </row>
    <row r="464" spans="3:11" x14ac:dyDescent="0.2">
      <c r="C464" s="39" t="s">
        <v>30</v>
      </c>
      <c r="D464" s="39">
        <v>4076</v>
      </c>
      <c r="E464" s="39">
        <v>71.69</v>
      </c>
      <c r="F464" s="39">
        <v>168.31</v>
      </c>
      <c r="G464" s="39">
        <v>0</v>
      </c>
      <c r="H464" s="39" t="s">
        <v>67</v>
      </c>
      <c r="I464" s="44" t="s">
        <v>84</v>
      </c>
      <c r="J464" s="33" t="s">
        <v>68</v>
      </c>
      <c r="K464" s="39" t="str">
        <f t="shared" si="7"/>
        <v>Flat 07</v>
      </c>
    </row>
    <row r="465" spans="3:11" x14ac:dyDescent="0.2">
      <c r="C465" s="39" t="s">
        <v>30</v>
      </c>
      <c r="D465" s="39">
        <v>1316</v>
      </c>
      <c r="E465" s="39">
        <v>48.08</v>
      </c>
      <c r="F465" s="39">
        <v>0</v>
      </c>
      <c r="G465" s="39">
        <v>0</v>
      </c>
      <c r="H465" s="39" t="s">
        <v>67</v>
      </c>
      <c r="I465" s="44" t="s">
        <v>85</v>
      </c>
      <c r="J465" s="33" t="s">
        <v>68</v>
      </c>
      <c r="K465" s="39" t="str">
        <f t="shared" si="7"/>
        <v>Flat 01</v>
      </c>
    </row>
    <row r="466" spans="3:11" x14ac:dyDescent="0.2">
      <c r="C466" s="39" t="s">
        <v>30</v>
      </c>
      <c r="D466" s="39">
        <v>1463</v>
      </c>
      <c r="E466" s="39">
        <v>72.97</v>
      </c>
      <c r="F466" s="39">
        <v>247</v>
      </c>
      <c r="G466" s="39">
        <v>0</v>
      </c>
      <c r="H466" s="39" t="s">
        <v>67</v>
      </c>
      <c r="I466" s="44" t="s">
        <v>86</v>
      </c>
      <c r="J466" s="33" t="s">
        <v>68</v>
      </c>
      <c r="K466" s="39" t="str">
        <f t="shared" si="7"/>
        <v>Flat 02</v>
      </c>
    </row>
    <row r="467" spans="3:11" x14ac:dyDescent="0.2">
      <c r="C467" s="39" t="s">
        <v>30</v>
      </c>
      <c r="D467" s="39">
        <v>1211</v>
      </c>
      <c r="E467" s="39">
        <v>51.69</v>
      </c>
      <c r="F467" s="39">
        <v>220.43</v>
      </c>
      <c r="G467" s="39">
        <v>0</v>
      </c>
      <c r="H467" s="39" t="s">
        <v>67</v>
      </c>
      <c r="I467" s="44" t="s">
        <v>87</v>
      </c>
      <c r="J467" s="33" t="s">
        <v>68</v>
      </c>
      <c r="K467" s="39" t="str">
        <f t="shared" si="7"/>
        <v>Flat 04</v>
      </c>
    </row>
    <row r="468" spans="3:11" x14ac:dyDescent="0.2">
      <c r="C468" s="39" t="s">
        <v>30</v>
      </c>
      <c r="D468" s="39">
        <v>2472</v>
      </c>
      <c r="E468" s="39">
        <v>91.57</v>
      </c>
      <c r="F468" s="39">
        <v>40.43</v>
      </c>
      <c r="G468" s="39">
        <v>0</v>
      </c>
      <c r="H468" s="39" t="s">
        <v>67</v>
      </c>
      <c r="I468" s="44" t="s">
        <v>88</v>
      </c>
      <c r="J468" s="33" t="s">
        <v>68</v>
      </c>
      <c r="K468" s="39" t="str">
        <f t="shared" si="7"/>
        <v>Flat 05</v>
      </c>
    </row>
    <row r="469" spans="3:11" x14ac:dyDescent="0.2">
      <c r="C469" s="39" t="s">
        <v>30</v>
      </c>
      <c r="D469" s="39">
        <v>1691</v>
      </c>
      <c r="E469" s="39">
        <v>71.95</v>
      </c>
      <c r="F469" s="39">
        <v>130.43</v>
      </c>
      <c r="G469" s="39">
        <v>0</v>
      </c>
      <c r="H469" s="39" t="s">
        <v>67</v>
      </c>
      <c r="I469" s="44" t="s">
        <v>89</v>
      </c>
      <c r="J469" s="33" t="s">
        <v>68</v>
      </c>
      <c r="K469" s="39" t="str">
        <f t="shared" si="7"/>
        <v>Flat 06</v>
      </c>
    </row>
    <row r="470" spans="3:11" x14ac:dyDescent="0.2">
      <c r="C470" s="39" t="s">
        <v>30</v>
      </c>
      <c r="D470" s="39">
        <v>2914</v>
      </c>
      <c r="E470" s="39">
        <v>65.53</v>
      </c>
      <c r="F470" s="39">
        <v>0</v>
      </c>
      <c r="G470" s="39">
        <v>0</v>
      </c>
      <c r="H470" s="39" t="s">
        <v>67</v>
      </c>
      <c r="I470" s="44" t="s">
        <v>90</v>
      </c>
      <c r="J470" s="33" t="s">
        <v>68</v>
      </c>
      <c r="K470" s="39" t="str">
        <f t="shared" si="7"/>
        <v>Flat 03</v>
      </c>
    </row>
    <row r="471" spans="3:11" x14ac:dyDescent="0.2">
      <c r="C471" s="39" t="s">
        <v>30</v>
      </c>
      <c r="D471" s="39">
        <v>3353</v>
      </c>
      <c r="E471" s="39">
        <v>72.040000000000006</v>
      </c>
      <c r="F471" s="39">
        <v>344.13</v>
      </c>
      <c r="G471" s="39">
        <v>0</v>
      </c>
      <c r="H471" s="39" t="s">
        <v>67</v>
      </c>
      <c r="I471" s="44" t="s">
        <v>93</v>
      </c>
      <c r="J471" s="33" t="s">
        <v>68</v>
      </c>
      <c r="K471" s="39" t="str">
        <f t="shared" si="7"/>
        <v>Flat 12</v>
      </c>
    </row>
    <row r="472" spans="3:11" x14ac:dyDescent="0.2">
      <c r="C472" s="39" t="s">
        <v>30</v>
      </c>
      <c r="D472" s="39">
        <v>4015</v>
      </c>
      <c r="E472" s="39">
        <v>91.57</v>
      </c>
      <c r="F472" s="39">
        <v>349.53</v>
      </c>
      <c r="G472" s="39">
        <v>0</v>
      </c>
      <c r="H472" s="39" t="s">
        <v>67</v>
      </c>
      <c r="I472" s="44" t="s">
        <v>97</v>
      </c>
      <c r="J472" s="33" t="s">
        <v>68</v>
      </c>
      <c r="K472" s="39" t="str">
        <f t="shared" si="7"/>
        <v>Flat 11</v>
      </c>
    </row>
    <row r="473" spans="3:11" x14ac:dyDescent="0.2">
      <c r="C473" s="39" t="s">
        <v>30</v>
      </c>
      <c r="D473" s="39">
        <v>3204</v>
      </c>
      <c r="E473" s="39">
        <v>72.97</v>
      </c>
      <c r="F473" s="39">
        <v>191.51</v>
      </c>
      <c r="G473" s="39">
        <v>0</v>
      </c>
      <c r="H473" s="39" t="s">
        <v>67</v>
      </c>
      <c r="I473" s="44" t="s">
        <v>98</v>
      </c>
      <c r="J473" s="33" t="s">
        <v>68</v>
      </c>
      <c r="K473" s="39" t="str">
        <f t="shared" si="7"/>
        <v>Flat 08</v>
      </c>
    </row>
    <row r="474" spans="3:11" x14ac:dyDescent="0.2">
      <c r="C474" s="39" t="s">
        <v>30</v>
      </c>
      <c r="D474" s="39">
        <v>3276</v>
      </c>
      <c r="E474" s="39">
        <v>51.69</v>
      </c>
      <c r="F474" s="39">
        <v>292</v>
      </c>
      <c r="G474" s="39">
        <v>0</v>
      </c>
      <c r="H474" s="39" t="s">
        <v>67</v>
      </c>
      <c r="I474" s="44" t="s">
        <v>100</v>
      </c>
      <c r="J474" s="33" t="s">
        <v>68</v>
      </c>
      <c r="K474" s="39" t="str">
        <f t="shared" si="7"/>
        <v>Flat 10</v>
      </c>
    </row>
    <row r="475" spans="3:11" x14ac:dyDescent="0.2">
      <c r="C475" s="39" t="s">
        <v>28</v>
      </c>
      <c r="D475" s="39">
        <v>1301</v>
      </c>
      <c r="E475" s="39">
        <v>29.34</v>
      </c>
      <c r="F475" s="39">
        <v>67</v>
      </c>
      <c r="G475" s="39">
        <v>180</v>
      </c>
      <c r="H475" s="39" t="s">
        <v>67</v>
      </c>
      <c r="I475" s="44" t="s">
        <v>85</v>
      </c>
      <c r="J475" s="33" t="s">
        <v>68</v>
      </c>
      <c r="K475" s="39" t="str">
        <f t="shared" si="7"/>
        <v>Flat 01</v>
      </c>
    </row>
    <row r="476" spans="3:11" x14ac:dyDescent="0.2">
      <c r="C476" s="39" t="s">
        <v>28</v>
      </c>
      <c r="D476" s="39">
        <v>1464</v>
      </c>
      <c r="E476" s="39">
        <v>47.3</v>
      </c>
      <c r="F476" s="39">
        <v>67</v>
      </c>
      <c r="G476" s="39">
        <v>180</v>
      </c>
      <c r="H476" s="39" t="s">
        <v>67</v>
      </c>
      <c r="I476" s="44" t="s">
        <v>86</v>
      </c>
      <c r="J476" s="33" t="s">
        <v>68</v>
      </c>
      <c r="K476" s="39" t="str">
        <f t="shared" si="7"/>
        <v>Flat 02</v>
      </c>
    </row>
    <row r="477" spans="3:11" x14ac:dyDescent="0.2">
      <c r="C477" s="39" t="s">
        <v>28</v>
      </c>
      <c r="D477" s="39">
        <v>1212</v>
      </c>
      <c r="E477" s="39">
        <v>28.09</v>
      </c>
      <c r="F477" s="39">
        <v>337</v>
      </c>
      <c r="G477" s="39">
        <v>180</v>
      </c>
      <c r="H477" s="39" t="s">
        <v>67</v>
      </c>
      <c r="I477" s="44" t="s">
        <v>87</v>
      </c>
      <c r="J477" s="33" t="s">
        <v>68</v>
      </c>
      <c r="K477" s="39" t="str">
        <f t="shared" si="7"/>
        <v>Flat 04</v>
      </c>
    </row>
    <row r="478" spans="3:11" x14ac:dyDescent="0.2">
      <c r="C478" s="39" t="s">
        <v>28</v>
      </c>
      <c r="D478" s="39">
        <v>2517</v>
      </c>
      <c r="E478" s="39">
        <v>58.88</v>
      </c>
      <c r="F478" s="39">
        <v>0</v>
      </c>
      <c r="G478" s="39">
        <v>180</v>
      </c>
      <c r="H478" s="39" t="s">
        <v>67</v>
      </c>
      <c r="I478" s="44" t="s">
        <v>88</v>
      </c>
      <c r="J478" s="33" t="s">
        <v>68</v>
      </c>
      <c r="K478" s="39" t="str">
        <f t="shared" si="7"/>
        <v>Flat 05</v>
      </c>
    </row>
    <row r="479" spans="3:11" x14ac:dyDescent="0.2">
      <c r="C479" s="39" t="s">
        <v>28</v>
      </c>
      <c r="D479" s="39">
        <v>1692</v>
      </c>
      <c r="E479" s="39">
        <v>47.39</v>
      </c>
      <c r="F479" s="39">
        <v>292</v>
      </c>
      <c r="G479" s="39">
        <v>180</v>
      </c>
      <c r="H479" s="39" t="s">
        <v>67</v>
      </c>
      <c r="I479" s="44" t="s">
        <v>89</v>
      </c>
      <c r="J479" s="33" t="s">
        <v>68</v>
      </c>
      <c r="K479" s="39" t="str">
        <f t="shared" si="7"/>
        <v>Flat 06</v>
      </c>
    </row>
    <row r="480" spans="3:11" x14ac:dyDescent="0.2">
      <c r="C480" s="39" t="s">
        <v>28</v>
      </c>
      <c r="D480" s="39">
        <v>2948</v>
      </c>
      <c r="E480" s="39">
        <v>39.799999999999997</v>
      </c>
      <c r="F480" s="39">
        <v>202</v>
      </c>
      <c r="G480" s="39">
        <v>180</v>
      </c>
      <c r="H480" s="39" t="s">
        <v>67</v>
      </c>
      <c r="I480" s="44" t="s">
        <v>90</v>
      </c>
      <c r="J480" s="33" t="s">
        <v>68</v>
      </c>
      <c r="K480" s="39" t="str">
        <f t="shared" si="7"/>
        <v>Flat 03</v>
      </c>
    </row>
    <row r="481" spans="3:11" x14ac:dyDescent="0.2">
      <c r="C481" s="39" t="s">
        <v>119</v>
      </c>
      <c r="D481" s="39">
        <v>4064</v>
      </c>
      <c r="E481" s="39">
        <v>2.91</v>
      </c>
      <c r="F481" s="39">
        <v>13.16</v>
      </c>
      <c r="G481" s="39">
        <v>180</v>
      </c>
      <c r="H481" s="39" t="s">
        <v>67</v>
      </c>
      <c r="I481" s="44" t="s">
        <v>84</v>
      </c>
      <c r="J481" s="33" t="s">
        <v>68</v>
      </c>
      <c r="K481" s="39" t="str">
        <f t="shared" si="7"/>
        <v>Flat 07</v>
      </c>
    </row>
    <row r="482" spans="3:11" x14ac:dyDescent="0.2">
      <c r="C482" s="39" t="s">
        <v>31</v>
      </c>
      <c r="D482" s="39">
        <v>3920</v>
      </c>
      <c r="E482" s="39">
        <v>39.79</v>
      </c>
      <c r="F482" s="39">
        <v>347.62</v>
      </c>
      <c r="G482" s="39">
        <v>180</v>
      </c>
      <c r="H482" s="39" t="s">
        <v>67</v>
      </c>
      <c r="I482" s="44" t="s">
        <v>83</v>
      </c>
      <c r="J482" s="33" t="s">
        <v>68</v>
      </c>
      <c r="K482" s="39" t="str">
        <f t="shared" si="7"/>
        <v>Flat 09</v>
      </c>
    </row>
    <row r="483" spans="3:11" x14ac:dyDescent="0.2">
      <c r="C483" s="39" t="s">
        <v>31</v>
      </c>
      <c r="D483" s="39">
        <v>4120</v>
      </c>
      <c r="E483" s="39">
        <v>39.659999999999997</v>
      </c>
      <c r="F483" s="39">
        <v>126.74</v>
      </c>
      <c r="G483" s="39">
        <v>180</v>
      </c>
      <c r="H483" s="39" t="s">
        <v>67</v>
      </c>
      <c r="I483" s="44" t="s">
        <v>84</v>
      </c>
      <c r="J483" s="33" t="s">
        <v>68</v>
      </c>
      <c r="K483" s="39" t="str">
        <f t="shared" si="7"/>
        <v>Flat 07</v>
      </c>
    </row>
    <row r="484" spans="3:11" x14ac:dyDescent="0.2">
      <c r="C484" s="39" t="s">
        <v>31</v>
      </c>
      <c r="D484" s="39">
        <v>2829</v>
      </c>
      <c r="E484" s="39">
        <v>47.39</v>
      </c>
      <c r="F484" s="39">
        <v>131.65</v>
      </c>
      <c r="G484" s="39">
        <v>180</v>
      </c>
      <c r="H484" s="39" t="s">
        <v>67</v>
      </c>
      <c r="I484" s="44" t="s">
        <v>91</v>
      </c>
      <c r="J484" s="33" t="s">
        <v>68</v>
      </c>
      <c r="K484" s="39" t="str">
        <f t="shared" si="7"/>
        <v>Flat 18</v>
      </c>
    </row>
    <row r="485" spans="3:11" x14ac:dyDescent="0.2">
      <c r="C485" s="39" t="s">
        <v>31</v>
      </c>
      <c r="D485" s="39">
        <v>2403</v>
      </c>
      <c r="E485" s="39">
        <v>39.79</v>
      </c>
      <c r="F485" s="39">
        <v>351.04</v>
      </c>
      <c r="G485" s="39">
        <v>180</v>
      </c>
      <c r="H485" s="39" t="s">
        <v>67</v>
      </c>
      <c r="I485" s="44" t="s">
        <v>92</v>
      </c>
      <c r="J485" s="33" t="s">
        <v>68</v>
      </c>
      <c r="K485" s="39" t="str">
        <f t="shared" si="7"/>
        <v>Flat 15</v>
      </c>
    </row>
    <row r="486" spans="3:11" x14ac:dyDescent="0.2">
      <c r="C486" s="39" t="s">
        <v>31</v>
      </c>
      <c r="D486" s="39">
        <v>3374</v>
      </c>
      <c r="E486" s="39">
        <v>47.39</v>
      </c>
      <c r="F486" s="39">
        <v>130.43</v>
      </c>
      <c r="G486" s="39">
        <v>180</v>
      </c>
      <c r="H486" s="39" t="s">
        <v>67</v>
      </c>
      <c r="I486" s="44" t="s">
        <v>93</v>
      </c>
      <c r="J486" s="33" t="s">
        <v>68</v>
      </c>
      <c r="K486" s="39" t="str">
        <f t="shared" si="7"/>
        <v>Flat 12</v>
      </c>
    </row>
    <row r="487" spans="3:11" x14ac:dyDescent="0.2">
      <c r="C487" s="39" t="s">
        <v>31</v>
      </c>
      <c r="D487" s="39">
        <v>2088</v>
      </c>
      <c r="E487" s="39">
        <v>58.88</v>
      </c>
      <c r="F487" s="39">
        <v>172.95</v>
      </c>
      <c r="G487" s="39">
        <v>180</v>
      </c>
      <c r="H487" s="39" t="s">
        <v>67</v>
      </c>
      <c r="I487" s="44" t="s">
        <v>94</v>
      </c>
      <c r="J487" s="33" t="s">
        <v>68</v>
      </c>
      <c r="K487" s="39" t="str">
        <f t="shared" si="7"/>
        <v>Flat 17</v>
      </c>
    </row>
    <row r="488" spans="3:11" x14ac:dyDescent="0.2">
      <c r="C488" s="39" t="s">
        <v>31</v>
      </c>
      <c r="D488" s="39">
        <v>2598</v>
      </c>
      <c r="E488" s="39">
        <v>28.08</v>
      </c>
      <c r="F488" s="39">
        <v>157</v>
      </c>
      <c r="G488" s="39">
        <v>180</v>
      </c>
      <c r="H488" s="39" t="s">
        <v>67</v>
      </c>
      <c r="I488" s="44" t="s">
        <v>95</v>
      </c>
      <c r="J488" s="33" t="s">
        <v>68</v>
      </c>
      <c r="K488" s="39" t="str">
        <f t="shared" si="7"/>
        <v>Flat 16</v>
      </c>
    </row>
    <row r="489" spans="3:11" x14ac:dyDescent="0.2">
      <c r="C489" s="39" t="s">
        <v>31</v>
      </c>
      <c r="D489" s="39">
        <v>2581</v>
      </c>
      <c r="E489" s="39">
        <v>47.3</v>
      </c>
      <c r="F489" s="39">
        <v>17.43</v>
      </c>
      <c r="G489" s="39">
        <v>180</v>
      </c>
      <c r="H489" s="39" t="s">
        <v>67</v>
      </c>
      <c r="I489" s="44" t="s">
        <v>96</v>
      </c>
      <c r="J489" s="33" t="s">
        <v>68</v>
      </c>
      <c r="K489" s="39" t="str">
        <f t="shared" si="7"/>
        <v>Flat 14</v>
      </c>
    </row>
    <row r="490" spans="3:11" x14ac:dyDescent="0.2">
      <c r="C490" s="39" t="s">
        <v>31</v>
      </c>
      <c r="D490" s="39">
        <v>3984</v>
      </c>
      <c r="E490" s="39">
        <v>58.88</v>
      </c>
      <c r="F490" s="39">
        <v>177.85</v>
      </c>
      <c r="G490" s="39">
        <v>180</v>
      </c>
      <c r="H490" s="39" t="s">
        <v>67</v>
      </c>
      <c r="I490" s="44" t="s">
        <v>97</v>
      </c>
      <c r="J490" s="33" t="s">
        <v>68</v>
      </c>
      <c r="K490" s="39" t="str">
        <f t="shared" si="7"/>
        <v>Flat 11</v>
      </c>
    </row>
    <row r="491" spans="3:11" x14ac:dyDescent="0.2">
      <c r="C491" s="39" t="s">
        <v>31</v>
      </c>
      <c r="D491" s="39">
        <v>3220</v>
      </c>
      <c r="E491" s="39">
        <v>47.3</v>
      </c>
      <c r="F491" s="39">
        <v>17.43</v>
      </c>
      <c r="G491" s="39">
        <v>180</v>
      </c>
      <c r="H491" s="39" t="s">
        <v>67</v>
      </c>
      <c r="I491" s="44" t="s">
        <v>98</v>
      </c>
      <c r="J491" s="33" t="s">
        <v>68</v>
      </c>
      <c r="K491" s="39" t="str">
        <f t="shared" si="7"/>
        <v>Flat 08</v>
      </c>
    </row>
    <row r="492" spans="3:11" x14ac:dyDescent="0.2">
      <c r="C492" s="39" t="s">
        <v>31</v>
      </c>
      <c r="D492" s="39">
        <v>2034</v>
      </c>
      <c r="E492" s="39">
        <v>46.05</v>
      </c>
      <c r="F492" s="39">
        <v>67</v>
      </c>
      <c r="G492" s="39">
        <v>180</v>
      </c>
      <c r="H492" s="39" t="s">
        <v>67</v>
      </c>
      <c r="I492" s="44" t="s">
        <v>99</v>
      </c>
      <c r="J492" s="33" t="s">
        <v>68</v>
      </c>
      <c r="K492" s="39" t="str">
        <f t="shared" si="7"/>
        <v>Flat 13</v>
      </c>
    </row>
    <row r="493" spans="3:11" x14ac:dyDescent="0.2">
      <c r="C493" s="39" t="s">
        <v>31</v>
      </c>
      <c r="D493" s="39">
        <v>3237</v>
      </c>
      <c r="E493" s="39">
        <v>28.08</v>
      </c>
      <c r="F493" s="39">
        <v>157</v>
      </c>
      <c r="G493" s="39">
        <v>180</v>
      </c>
      <c r="H493" s="39" t="s">
        <v>67</v>
      </c>
      <c r="I493" s="44" t="s">
        <v>100</v>
      </c>
      <c r="J493" s="33" t="s">
        <v>68</v>
      </c>
      <c r="K493" s="39" t="str">
        <f t="shared" si="7"/>
        <v>Flat 10</v>
      </c>
    </row>
    <row r="494" spans="3:11" x14ac:dyDescent="0.2">
      <c r="C494" s="39" t="s">
        <v>120</v>
      </c>
      <c r="D494" s="39">
        <v>1152</v>
      </c>
      <c r="E494" s="39">
        <v>2.12</v>
      </c>
      <c r="F494" s="39">
        <v>337</v>
      </c>
      <c r="G494" s="39">
        <v>90</v>
      </c>
      <c r="H494" s="39" t="s">
        <v>74</v>
      </c>
      <c r="I494" s="44" t="s">
        <v>121</v>
      </c>
      <c r="J494" s="33" t="s">
        <v>68</v>
      </c>
      <c r="K494" s="39" t="str">
        <f t="shared" si="7"/>
        <v>Flat 01</v>
      </c>
    </row>
    <row r="495" spans="3:11" x14ac:dyDescent="0.2">
      <c r="C495" s="39" t="s">
        <v>122</v>
      </c>
      <c r="D495" s="39">
        <v>1256</v>
      </c>
      <c r="E495" s="39">
        <v>24.62</v>
      </c>
      <c r="F495" s="39">
        <v>0</v>
      </c>
      <c r="G495" s="39">
        <v>180</v>
      </c>
      <c r="H495" s="39" t="s">
        <v>67</v>
      </c>
      <c r="I495" s="44" t="s">
        <v>85</v>
      </c>
      <c r="J495" s="33" t="s">
        <v>68</v>
      </c>
      <c r="K495" s="39" t="str">
        <f t="shared" si="7"/>
        <v>Flat 01</v>
      </c>
    </row>
    <row r="496" spans="3:11" x14ac:dyDescent="0.2">
      <c r="C496" s="39" t="s">
        <v>122</v>
      </c>
      <c r="D496" s="39">
        <v>1499</v>
      </c>
      <c r="E496" s="39">
        <v>25.67</v>
      </c>
      <c r="F496" s="39">
        <v>0</v>
      </c>
      <c r="G496" s="39">
        <v>180</v>
      </c>
      <c r="H496" s="39" t="s">
        <v>67</v>
      </c>
      <c r="I496" s="44" t="s">
        <v>86</v>
      </c>
      <c r="J496" s="33" t="s">
        <v>68</v>
      </c>
      <c r="K496" s="39" t="str">
        <f t="shared" si="7"/>
        <v>Flat 02</v>
      </c>
    </row>
    <row r="497" spans="3:11" x14ac:dyDescent="0.2">
      <c r="C497" s="39" t="s">
        <v>122</v>
      </c>
      <c r="D497" s="39">
        <v>1221</v>
      </c>
      <c r="E497" s="39">
        <v>23.6</v>
      </c>
      <c r="F497" s="39">
        <v>48.57</v>
      </c>
      <c r="G497" s="39">
        <v>180</v>
      </c>
      <c r="H497" s="39" t="s">
        <v>67</v>
      </c>
      <c r="I497" s="44" t="s">
        <v>87</v>
      </c>
      <c r="J497" s="33" t="s">
        <v>68</v>
      </c>
      <c r="K497" s="39" t="str">
        <f t="shared" si="7"/>
        <v>Flat 04</v>
      </c>
    </row>
    <row r="498" spans="3:11" x14ac:dyDescent="0.2">
      <c r="C498" s="39" t="s">
        <v>122</v>
      </c>
      <c r="D498" s="39">
        <v>2471</v>
      </c>
      <c r="E498" s="39">
        <v>32.700000000000003</v>
      </c>
      <c r="F498" s="39">
        <v>0</v>
      </c>
      <c r="G498" s="39">
        <v>180</v>
      </c>
      <c r="H498" s="39" t="s">
        <v>67</v>
      </c>
      <c r="I498" s="44" t="s">
        <v>88</v>
      </c>
      <c r="J498" s="33" t="s">
        <v>68</v>
      </c>
      <c r="K498" s="39" t="str">
        <f t="shared" si="7"/>
        <v>Flat 05</v>
      </c>
    </row>
    <row r="499" spans="3:11" x14ac:dyDescent="0.2">
      <c r="C499" s="39" t="s">
        <v>122</v>
      </c>
      <c r="D499" s="39">
        <v>1753</v>
      </c>
      <c r="E499" s="39">
        <v>24.56</v>
      </c>
      <c r="F499" s="39">
        <v>0</v>
      </c>
      <c r="G499" s="39">
        <v>180</v>
      </c>
      <c r="H499" s="39" t="s">
        <v>67</v>
      </c>
      <c r="I499" s="44" t="s">
        <v>89</v>
      </c>
      <c r="J499" s="33" t="s">
        <v>68</v>
      </c>
      <c r="K499" s="39" t="str">
        <f t="shared" si="7"/>
        <v>Flat 06</v>
      </c>
    </row>
    <row r="500" spans="3:11" x14ac:dyDescent="0.2">
      <c r="C500" s="39" t="s">
        <v>122</v>
      </c>
      <c r="D500" s="39">
        <v>2944</v>
      </c>
      <c r="E500" s="39">
        <v>25.73</v>
      </c>
      <c r="F500" s="39">
        <v>337</v>
      </c>
      <c r="G500" s="39">
        <v>180</v>
      </c>
      <c r="H500" s="39" t="s">
        <v>67</v>
      </c>
      <c r="I500" s="44" t="s">
        <v>90</v>
      </c>
      <c r="J500" s="33" t="s">
        <v>68</v>
      </c>
      <c r="K500" s="39" t="str">
        <f t="shared" si="7"/>
        <v>Flat 03</v>
      </c>
    </row>
    <row r="501" spans="3:11" x14ac:dyDescent="0.2">
      <c r="C501" s="39" t="s">
        <v>123</v>
      </c>
      <c r="D501" s="39">
        <v>1275</v>
      </c>
      <c r="E501" s="39">
        <v>5.88</v>
      </c>
      <c r="F501" s="39">
        <v>337</v>
      </c>
      <c r="G501" s="39">
        <v>0</v>
      </c>
      <c r="H501" s="39" t="s">
        <v>67</v>
      </c>
      <c r="I501" s="44" t="s">
        <v>85</v>
      </c>
      <c r="J501" s="33" t="s">
        <v>68</v>
      </c>
      <c r="K501" s="39" t="str">
        <f t="shared" si="7"/>
        <v>Flat 01</v>
      </c>
    </row>
    <row r="502" spans="3:11" x14ac:dyDescent="0.2">
      <c r="C502" s="39" t="s">
        <v>123</v>
      </c>
      <c r="D502" s="39">
        <v>2808</v>
      </c>
      <c r="E502" s="39">
        <v>72.040000000000006</v>
      </c>
      <c r="F502" s="39">
        <v>345.13</v>
      </c>
      <c r="G502" s="39">
        <v>0</v>
      </c>
      <c r="H502" s="39" t="s">
        <v>67</v>
      </c>
      <c r="I502" s="44" t="s">
        <v>91</v>
      </c>
      <c r="J502" s="33" t="s">
        <v>68</v>
      </c>
      <c r="K502" s="39" t="str">
        <f t="shared" si="7"/>
        <v>Flat 18</v>
      </c>
    </row>
    <row r="503" spans="3:11" x14ac:dyDescent="0.2">
      <c r="C503" s="39" t="s">
        <v>123</v>
      </c>
      <c r="D503" s="39">
        <v>2418</v>
      </c>
      <c r="E503" s="39">
        <v>65.52</v>
      </c>
      <c r="F503" s="39">
        <v>93.57</v>
      </c>
      <c r="G503" s="39">
        <v>0</v>
      </c>
      <c r="H503" s="39" t="s">
        <v>67</v>
      </c>
      <c r="I503" s="44" t="s">
        <v>92</v>
      </c>
      <c r="J503" s="33" t="s">
        <v>68</v>
      </c>
      <c r="K503" s="39" t="str">
        <f t="shared" si="7"/>
        <v>Flat 15</v>
      </c>
    </row>
    <row r="504" spans="3:11" x14ac:dyDescent="0.2">
      <c r="C504" s="39" t="s">
        <v>123</v>
      </c>
      <c r="D504" s="39">
        <v>2123</v>
      </c>
      <c r="E504" s="39">
        <v>91.57</v>
      </c>
      <c r="F504" s="39">
        <v>349.99</v>
      </c>
      <c r="G504" s="39">
        <v>0</v>
      </c>
      <c r="H504" s="39" t="s">
        <v>67</v>
      </c>
      <c r="I504" s="44" t="s">
        <v>94</v>
      </c>
      <c r="J504" s="33" t="s">
        <v>68</v>
      </c>
      <c r="K504" s="39" t="str">
        <f t="shared" si="7"/>
        <v>Flat 17</v>
      </c>
    </row>
    <row r="505" spans="3:11" x14ac:dyDescent="0.2">
      <c r="C505" s="39" t="s">
        <v>123</v>
      </c>
      <c r="D505" s="39">
        <v>2637</v>
      </c>
      <c r="E505" s="39">
        <v>51.69</v>
      </c>
      <c r="F505" s="39">
        <v>292</v>
      </c>
      <c r="G505" s="39">
        <v>0</v>
      </c>
      <c r="H505" s="39" t="s">
        <v>67</v>
      </c>
      <c r="I505" s="44" t="s">
        <v>95</v>
      </c>
      <c r="J505" s="33" t="s">
        <v>68</v>
      </c>
      <c r="K505" s="39" t="str">
        <f t="shared" si="7"/>
        <v>Flat 16</v>
      </c>
    </row>
    <row r="506" spans="3:11" x14ac:dyDescent="0.2">
      <c r="C506" s="39" t="s">
        <v>123</v>
      </c>
      <c r="D506" s="39">
        <v>2565</v>
      </c>
      <c r="E506" s="39">
        <v>72.97</v>
      </c>
      <c r="F506" s="39">
        <v>191.51</v>
      </c>
      <c r="G506" s="39">
        <v>0</v>
      </c>
      <c r="H506" s="39" t="s">
        <v>67</v>
      </c>
      <c r="I506" s="44" t="s">
        <v>96</v>
      </c>
      <c r="J506" s="33" t="s">
        <v>68</v>
      </c>
      <c r="K506" s="39" t="str">
        <f t="shared" si="7"/>
        <v>Flat 14</v>
      </c>
    </row>
    <row r="507" spans="3:11" x14ac:dyDescent="0.2">
      <c r="C507" s="39" t="s">
        <v>123</v>
      </c>
      <c r="D507" s="39">
        <v>2044</v>
      </c>
      <c r="E507" s="39">
        <v>71.69</v>
      </c>
      <c r="F507" s="39">
        <v>168.31</v>
      </c>
      <c r="G507" s="39">
        <v>0</v>
      </c>
      <c r="H507" s="39" t="s">
        <v>67</v>
      </c>
      <c r="I507" s="44" t="s">
        <v>99</v>
      </c>
      <c r="J507" s="33" t="s">
        <v>68</v>
      </c>
      <c r="K507" s="39" t="str">
        <f t="shared" si="7"/>
        <v>Flat 13</v>
      </c>
    </row>
    <row r="508" spans="3:11" x14ac:dyDescent="0.2">
      <c r="C508" s="39" t="s">
        <v>124</v>
      </c>
      <c r="D508" s="39">
        <v>1281</v>
      </c>
      <c r="E508" s="39">
        <v>7.55</v>
      </c>
      <c r="F508" s="39">
        <v>67</v>
      </c>
      <c r="G508" s="39">
        <v>90</v>
      </c>
      <c r="H508" s="39" t="s">
        <v>77</v>
      </c>
      <c r="I508" s="44" t="s">
        <v>85</v>
      </c>
      <c r="J508" s="33" t="s">
        <v>68</v>
      </c>
      <c r="K508" s="39" t="str">
        <f t="shared" si="7"/>
        <v>Flat 01</v>
      </c>
    </row>
    <row r="509" spans="3:11" x14ac:dyDescent="0.2">
      <c r="C509" s="39" t="s">
        <v>124</v>
      </c>
      <c r="D509" s="39">
        <v>1282</v>
      </c>
      <c r="E509" s="39">
        <v>5.4</v>
      </c>
      <c r="F509" s="39">
        <v>337</v>
      </c>
      <c r="G509" s="39">
        <v>90</v>
      </c>
      <c r="H509" s="39" t="s">
        <v>74</v>
      </c>
      <c r="I509" s="44" t="s">
        <v>85</v>
      </c>
      <c r="J509" s="33" t="s">
        <v>68</v>
      </c>
      <c r="K509" s="39" t="str">
        <f t="shared" si="7"/>
        <v>Flat 01</v>
      </c>
    </row>
    <row r="510" spans="3:11" x14ac:dyDescent="0.2">
      <c r="C510" s="39" t="s">
        <v>125</v>
      </c>
      <c r="D510" s="39">
        <v>3969</v>
      </c>
      <c r="E510" s="39">
        <v>25.73</v>
      </c>
      <c r="F510" s="39">
        <v>166.46</v>
      </c>
      <c r="G510" s="39">
        <v>180</v>
      </c>
      <c r="H510" s="39" t="s">
        <v>67</v>
      </c>
      <c r="I510" s="44" t="s">
        <v>83</v>
      </c>
      <c r="J510" s="33" t="s">
        <v>68</v>
      </c>
      <c r="K510" s="39" t="str">
        <f t="shared" si="7"/>
        <v>Flat 09</v>
      </c>
    </row>
    <row r="511" spans="3:11" x14ac:dyDescent="0.2">
      <c r="C511" s="39" t="s">
        <v>125</v>
      </c>
      <c r="D511" s="39">
        <v>4123</v>
      </c>
      <c r="E511" s="39">
        <v>25.16</v>
      </c>
      <c r="F511" s="39">
        <v>288.35000000000002</v>
      </c>
      <c r="G511" s="39">
        <v>180</v>
      </c>
      <c r="H511" s="39" t="s">
        <v>67</v>
      </c>
      <c r="I511" s="44" t="s">
        <v>84</v>
      </c>
      <c r="J511" s="33" t="s">
        <v>68</v>
      </c>
      <c r="K511" s="39" t="str">
        <f t="shared" si="7"/>
        <v>Flat 07</v>
      </c>
    </row>
    <row r="512" spans="3:11" x14ac:dyDescent="0.2">
      <c r="C512" s="39" t="s">
        <v>125</v>
      </c>
      <c r="D512" s="39">
        <v>2840</v>
      </c>
      <c r="E512" s="39">
        <v>24.65</v>
      </c>
      <c r="F512" s="39">
        <v>184.65</v>
      </c>
      <c r="G512" s="39">
        <v>180</v>
      </c>
      <c r="H512" s="39" t="s">
        <v>67</v>
      </c>
      <c r="I512" s="44" t="s">
        <v>91</v>
      </c>
      <c r="J512" s="33" t="s">
        <v>68</v>
      </c>
      <c r="K512" s="39" t="str">
        <f t="shared" si="7"/>
        <v>Flat 18</v>
      </c>
    </row>
    <row r="513" spans="3:11" x14ac:dyDescent="0.2">
      <c r="C513" s="39" t="s">
        <v>125</v>
      </c>
      <c r="D513" s="39">
        <v>2452</v>
      </c>
      <c r="E513" s="39">
        <v>25.73</v>
      </c>
      <c r="F513" s="39">
        <v>166.46</v>
      </c>
      <c r="G513" s="39">
        <v>180</v>
      </c>
      <c r="H513" s="39" t="s">
        <v>67</v>
      </c>
      <c r="I513" s="44" t="s">
        <v>92</v>
      </c>
      <c r="J513" s="33" t="s">
        <v>68</v>
      </c>
      <c r="K513" s="39" t="str">
        <f t="shared" si="7"/>
        <v>Flat 15</v>
      </c>
    </row>
    <row r="514" spans="3:11" x14ac:dyDescent="0.2">
      <c r="C514" s="39" t="s">
        <v>125</v>
      </c>
      <c r="D514" s="39">
        <v>3385</v>
      </c>
      <c r="E514" s="39">
        <v>24.65</v>
      </c>
      <c r="F514" s="39">
        <v>183.57</v>
      </c>
      <c r="G514" s="39">
        <v>180</v>
      </c>
      <c r="H514" s="39" t="s">
        <v>67</v>
      </c>
      <c r="I514" s="44" t="s">
        <v>93</v>
      </c>
      <c r="J514" s="33" t="s">
        <v>68</v>
      </c>
      <c r="K514" s="39" t="str">
        <f t="shared" si="7"/>
        <v>Flat 12</v>
      </c>
    </row>
    <row r="515" spans="3:11" x14ac:dyDescent="0.2">
      <c r="C515" s="39" t="s">
        <v>125</v>
      </c>
      <c r="D515" s="39">
        <v>2138</v>
      </c>
      <c r="E515" s="39">
        <v>32.700000000000003</v>
      </c>
      <c r="F515" s="39">
        <v>167.3</v>
      </c>
      <c r="G515" s="39">
        <v>180</v>
      </c>
      <c r="H515" s="39" t="s">
        <v>67</v>
      </c>
      <c r="I515" s="44" t="s">
        <v>94</v>
      </c>
      <c r="J515" s="33" t="s">
        <v>68</v>
      </c>
      <c r="K515" s="39" t="str">
        <f t="shared" si="7"/>
        <v>Flat 17</v>
      </c>
    </row>
    <row r="516" spans="3:11" x14ac:dyDescent="0.2">
      <c r="C516" s="39" t="s">
        <v>125</v>
      </c>
      <c r="D516" s="39">
        <v>2646</v>
      </c>
      <c r="E516" s="39">
        <v>23.6</v>
      </c>
      <c r="F516" s="39">
        <v>22</v>
      </c>
      <c r="G516" s="39">
        <v>180</v>
      </c>
      <c r="H516" s="39" t="s">
        <v>67</v>
      </c>
      <c r="I516" s="44" t="s">
        <v>95</v>
      </c>
      <c r="J516" s="33" t="s">
        <v>68</v>
      </c>
      <c r="K516" s="39" t="str">
        <f t="shared" si="7"/>
        <v>Flat 16</v>
      </c>
    </row>
    <row r="517" spans="3:11" x14ac:dyDescent="0.2">
      <c r="C517" s="39" t="s">
        <v>125</v>
      </c>
      <c r="D517" s="39">
        <v>2564</v>
      </c>
      <c r="E517" s="39">
        <v>25.67</v>
      </c>
      <c r="F517" s="39">
        <v>39.450000000000003</v>
      </c>
      <c r="G517" s="39">
        <v>180</v>
      </c>
      <c r="H517" s="39" t="s">
        <v>67</v>
      </c>
      <c r="I517" s="44" t="s">
        <v>96</v>
      </c>
      <c r="J517" s="33" t="s">
        <v>68</v>
      </c>
      <c r="K517" s="39" t="str">
        <f t="shared" si="7"/>
        <v>Flat 14</v>
      </c>
    </row>
    <row r="518" spans="3:11" x14ac:dyDescent="0.2">
      <c r="C518" s="39" t="s">
        <v>125</v>
      </c>
      <c r="D518" s="39">
        <v>4029</v>
      </c>
      <c r="E518" s="39">
        <v>32.700000000000003</v>
      </c>
      <c r="F518" s="39">
        <v>172.26</v>
      </c>
      <c r="G518" s="39">
        <v>180</v>
      </c>
      <c r="H518" s="39" t="s">
        <v>67</v>
      </c>
      <c r="I518" s="44" t="s">
        <v>97</v>
      </c>
      <c r="J518" s="33" t="s">
        <v>68</v>
      </c>
      <c r="K518" s="39" t="str">
        <f t="shared" si="7"/>
        <v>Flat 11</v>
      </c>
    </row>
    <row r="519" spans="3:11" x14ac:dyDescent="0.2">
      <c r="C519" s="39" t="s">
        <v>125</v>
      </c>
      <c r="D519" s="39">
        <v>3203</v>
      </c>
      <c r="E519" s="39">
        <v>25.67</v>
      </c>
      <c r="F519" s="39">
        <v>39.450000000000003</v>
      </c>
      <c r="G519" s="39">
        <v>180</v>
      </c>
      <c r="H519" s="39" t="s">
        <v>67</v>
      </c>
      <c r="I519" s="44" t="s">
        <v>98</v>
      </c>
      <c r="J519" s="33" t="s">
        <v>68</v>
      </c>
      <c r="K519" s="39" t="str">
        <f t="shared" ref="K519:K582" si="8">LEFT(I519,7)</f>
        <v>Flat 08</v>
      </c>
    </row>
    <row r="520" spans="3:11" x14ac:dyDescent="0.2">
      <c r="C520" s="39" t="s">
        <v>125</v>
      </c>
      <c r="D520" s="39">
        <v>2069</v>
      </c>
      <c r="E520" s="39">
        <v>25.64</v>
      </c>
      <c r="F520" s="39">
        <v>320.54000000000002</v>
      </c>
      <c r="G520" s="39">
        <v>180</v>
      </c>
      <c r="H520" s="39" t="s">
        <v>67</v>
      </c>
      <c r="I520" s="44" t="s">
        <v>99</v>
      </c>
      <c r="J520" s="33" t="s">
        <v>68</v>
      </c>
      <c r="K520" s="39" t="str">
        <f t="shared" si="8"/>
        <v>Flat 13</v>
      </c>
    </row>
    <row r="521" spans="3:11" x14ac:dyDescent="0.2">
      <c r="C521" s="39" t="s">
        <v>125</v>
      </c>
      <c r="D521" s="39">
        <v>3285</v>
      </c>
      <c r="E521" s="39">
        <v>23.6</v>
      </c>
      <c r="F521" s="39">
        <v>22</v>
      </c>
      <c r="G521" s="39">
        <v>180</v>
      </c>
      <c r="H521" s="39" t="s">
        <v>67</v>
      </c>
      <c r="I521" s="44" t="s">
        <v>100</v>
      </c>
      <c r="J521" s="33" t="s">
        <v>68</v>
      </c>
      <c r="K521" s="39" t="str">
        <f t="shared" si="8"/>
        <v>Flat 10</v>
      </c>
    </row>
    <row r="522" spans="3:11" x14ac:dyDescent="0.2">
      <c r="C522" s="39" t="s">
        <v>126</v>
      </c>
      <c r="D522" s="39">
        <v>4098</v>
      </c>
      <c r="E522" s="39">
        <v>3.48</v>
      </c>
      <c r="F522" s="39">
        <v>337</v>
      </c>
      <c r="G522" s="39">
        <v>180</v>
      </c>
      <c r="H522" s="39" t="s">
        <v>67</v>
      </c>
      <c r="I522" s="44" t="s">
        <v>84</v>
      </c>
      <c r="J522" s="33" t="s">
        <v>68</v>
      </c>
      <c r="K522" s="39" t="str">
        <f t="shared" si="8"/>
        <v>Flat 07</v>
      </c>
    </row>
    <row r="523" spans="3:11" x14ac:dyDescent="0.2">
      <c r="C523" s="39" t="s">
        <v>127</v>
      </c>
      <c r="D523" s="39">
        <v>4109</v>
      </c>
      <c r="E523" s="39">
        <v>0.48</v>
      </c>
      <c r="F523" s="39">
        <v>65.510000000000005</v>
      </c>
      <c r="G523" s="39">
        <v>180</v>
      </c>
      <c r="H523" s="39" t="s">
        <v>67</v>
      </c>
      <c r="I523" s="44" t="s">
        <v>84</v>
      </c>
      <c r="J523" s="33" t="s">
        <v>68</v>
      </c>
      <c r="K523" s="39" t="str">
        <f t="shared" si="8"/>
        <v>Flat 07</v>
      </c>
    </row>
    <row r="524" spans="3:11" x14ac:dyDescent="0.2">
      <c r="C524" s="39" t="s">
        <v>33</v>
      </c>
      <c r="D524" s="39">
        <v>1106</v>
      </c>
      <c r="E524" s="39">
        <v>0.66</v>
      </c>
      <c r="F524" s="39">
        <v>67</v>
      </c>
      <c r="G524" s="39">
        <v>90</v>
      </c>
      <c r="H524" s="39" t="s">
        <v>77</v>
      </c>
      <c r="I524" s="44" t="s">
        <v>128</v>
      </c>
      <c r="J524" s="33" t="s">
        <v>68</v>
      </c>
      <c r="K524" s="39" t="str">
        <f t="shared" si="8"/>
        <v>Flat 09</v>
      </c>
    </row>
    <row r="525" spans="3:11" x14ac:dyDescent="0.2">
      <c r="C525" s="39" t="s">
        <v>33</v>
      </c>
      <c r="D525" s="39">
        <v>1110</v>
      </c>
      <c r="E525" s="39">
        <v>1.1399999999999999</v>
      </c>
      <c r="F525" s="39">
        <v>67</v>
      </c>
      <c r="G525" s="39">
        <v>90</v>
      </c>
      <c r="H525" s="39" t="s">
        <v>77</v>
      </c>
      <c r="I525" s="44" t="s">
        <v>128</v>
      </c>
      <c r="J525" s="33" t="s">
        <v>68</v>
      </c>
      <c r="K525" s="39" t="str">
        <f t="shared" si="8"/>
        <v>Flat 09</v>
      </c>
    </row>
    <row r="526" spans="3:11" x14ac:dyDescent="0.2">
      <c r="C526" s="39" t="s">
        <v>33</v>
      </c>
      <c r="D526" s="39">
        <v>1106</v>
      </c>
      <c r="E526" s="39">
        <v>0.66</v>
      </c>
      <c r="F526" s="39">
        <v>99.95</v>
      </c>
      <c r="G526" s="39">
        <v>90</v>
      </c>
      <c r="H526" s="39" t="s">
        <v>48</v>
      </c>
      <c r="I526" s="44" t="s">
        <v>129</v>
      </c>
      <c r="J526" s="33" t="s">
        <v>68</v>
      </c>
      <c r="K526" s="39" t="str">
        <f t="shared" si="8"/>
        <v>Flat 09</v>
      </c>
    </row>
    <row r="527" spans="3:11" x14ac:dyDescent="0.2">
      <c r="C527" s="39" t="s">
        <v>33</v>
      </c>
      <c r="D527" s="39">
        <v>1110</v>
      </c>
      <c r="E527" s="39">
        <v>1.1399999999999999</v>
      </c>
      <c r="F527" s="39">
        <v>99.95</v>
      </c>
      <c r="G527" s="39">
        <v>90</v>
      </c>
      <c r="H527" s="39" t="s">
        <v>48</v>
      </c>
      <c r="I527" s="44" t="s">
        <v>129</v>
      </c>
      <c r="J527" s="33" t="s">
        <v>68</v>
      </c>
      <c r="K527" s="39" t="str">
        <f t="shared" si="8"/>
        <v>Flat 09</v>
      </c>
    </row>
    <row r="528" spans="3:11" x14ac:dyDescent="0.2">
      <c r="C528" s="39" t="s">
        <v>33</v>
      </c>
      <c r="D528" s="39">
        <v>1080</v>
      </c>
      <c r="E528" s="39">
        <v>0.91</v>
      </c>
      <c r="F528" s="39">
        <v>99.95</v>
      </c>
      <c r="G528" s="39">
        <v>90</v>
      </c>
      <c r="H528" s="39" t="s">
        <v>48</v>
      </c>
      <c r="I528" s="44" t="s">
        <v>130</v>
      </c>
      <c r="J528" s="33" t="s">
        <v>68</v>
      </c>
      <c r="K528" s="39" t="str">
        <f t="shared" si="8"/>
        <v>Flat 09</v>
      </c>
    </row>
    <row r="529" spans="3:11" x14ac:dyDescent="0.2">
      <c r="C529" s="39" t="s">
        <v>33</v>
      </c>
      <c r="D529" s="39">
        <v>1081</v>
      </c>
      <c r="E529" s="39">
        <v>0.53</v>
      </c>
      <c r="F529" s="39">
        <v>99.95</v>
      </c>
      <c r="G529" s="39">
        <v>90</v>
      </c>
      <c r="H529" s="39" t="s">
        <v>48</v>
      </c>
      <c r="I529" s="44" t="s">
        <v>130</v>
      </c>
      <c r="J529" s="33" t="s">
        <v>68</v>
      </c>
      <c r="K529" s="39" t="str">
        <f t="shared" si="8"/>
        <v>Flat 09</v>
      </c>
    </row>
    <row r="530" spans="3:11" x14ac:dyDescent="0.2">
      <c r="C530" s="39" t="s">
        <v>33</v>
      </c>
      <c r="D530" s="39">
        <v>1068</v>
      </c>
      <c r="E530" s="39">
        <v>1.89</v>
      </c>
      <c r="F530" s="39">
        <v>157</v>
      </c>
      <c r="G530" s="39">
        <v>90</v>
      </c>
      <c r="H530" s="39" t="s">
        <v>76</v>
      </c>
      <c r="I530" s="44" t="s">
        <v>131</v>
      </c>
      <c r="J530" s="33" t="s">
        <v>68</v>
      </c>
      <c r="K530" s="39" t="str">
        <f t="shared" si="8"/>
        <v>Flat 09</v>
      </c>
    </row>
    <row r="531" spans="3:11" x14ac:dyDescent="0.2">
      <c r="C531" s="39" t="s">
        <v>33</v>
      </c>
      <c r="D531" s="39">
        <v>1080</v>
      </c>
      <c r="E531" s="39">
        <v>0.91</v>
      </c>
      <c r="F531" s="39">
        <v>99.95</v>
      </c>
      <c r="G531" s="39">
        <v>90</v>
      </c>
      <c r="H531" s="39" t="s">
        <v>48</v>
      </c>
      <c r="I531" s="44" t="s">
        <v>132</v>
      </c>
      <c r="J531" s="33" t="s">
        <v>68</v>
      </c>
      <c r="K531" s="39" t="str">
        <f t="shared" si="8"/>
        <v>Flat 09</v>
      </c>
    </row>
    <row r="532" spans="3:11" x14ac:dyDescent="0.2">
      <c r="C532" s="39" t="s">
        <v>33</v>
      </c>
      <c r="D532" s="39">
        <v>1081</v>
      </c>
      <c r="E532" s="39">
        <v>0.53</v>
      </c>
      <c r="F532" s="39">
        <v>99.95</v>
      </c>
      <c r="G532" s="39">
        <v>90</v>
      </c>
      <c r="H532" s="39" t="s">
        <v>48</v>
      </c>
      <c r="I532" s="44" t="s">
        <v>132</v>
      </c>
      <c r="J532" s="33" t="s">
        <v>68</v>
      </c>
      <c r="K532" s="39" t="str">
        <f t="shared" si="8"/>
        <v>Flat 09</v>
      </c>
    </row>
    <row r="533" spans="3:11" x14ac:dyDescent="0.2">
      <c r="C533" s="39" t="s">
        <v>33</v>
      </c>
      <c r="D533" s="39">
        <v>1106</v>
      </c>
      <c r="E533" s="39">
        <v>0.66</v>
      </c>
      <c r="F533" s="39">
        <v>337</v>
      </c>
      <c r="G533" s="39">
        <v>90</v>
      </c>
      <c r="H533" s="39" t="s">
        <v>74</v>
      </c>
      <c r="I533" s="44" t="s">
        <v>133</v>
      </c>
      <c r="J533" s="33" t="s">
        <v>68</v>
      </c>
      <c r="K533" s="39" t="str">
        <f t="shared" si="8"/>
        <v>Flat 07</v>
      </c>
    </row>
    <row r="534" spans="3:11" x14ac:dyDescent="0.2">
      <c r="C534" s="39" t="s">
        <v>33</v>
      </c>
      <c r="D534" s="39">
        <v>1110</v>
      </c>
      <c r="E534" s="39">
        <v>1.1399999999999999</v>
      </c>
      <c r="F534" s="39">
        <v>337</v>
      </c>
      <c r="G534" s="39">
        <v>90</v>
      </c>
      <c r="H534" s="39" t="s">
        <v>74</v>
      </c>
      <c r="I534" s="44" t="s">
        <v>133</v>
      </c>
      <c r="J534" s="33" t="s">
        <v>68</v>
      </c>
      <c r="K534" s="39" t="str">
        <f t="shared" si="8"/>
        <v>Flat 07</v>
      </c>
    </row>
    <row r="535" spans="3:11" x14ac:dyDescent="0.2">
      <c r="C535" s="39" t="s">
        <v>33</v>
      </c>
      <c r="D535" s="39">
        <v>1106</v>
      </c>
      <c r="E535" s="39">
        <v>0.66</v>
      </c>
      <c r="F535" s="39">
        <v>337</v>
      </c>
      <c r="G535" s="39">
        <v>90</v>
      </c>
      <c r="H535" s="39" t="s">
        <v>74</v>
      </c>
      <c r="I535" s="44" t="s">
        <v>134</v>
      </c>
      <c r="J535" s="33" t="s">
        <v>68</v>
      </c>
      <c r="K535" s="39" t="str">
        <f t="shared" si="8"/>
        <v>Flat 07</v>
      </c>
    </row>
    <row r="536" spans="3:11" x14ac:dyDescent="0.2">
      <c r="C536" s="39" t="s">
        <v>33</v>
      </c>
      <c r="D536" s="39">
        <v>1110</v>
      </c>
      <c r="E536" s="39">
        <v>1.1399999999999999</v>
      </c>
      <c r="F536" s="39">
        <v>337</v>
      </c>
      <c r="G536" s="39">
        <v>90</v>
      </c>
      <c r="H536" s="39" t="s">
        <v>74</v>
      </c>
      <c r="I536" s="44" t="s">
        <v>134</v>
      </c>
      <c r="J536" s="33" t="s">
        <v>68</v>
      </c>
      <c r="K536" s="39" t="str">
        <f t="shared" si="8"/>
        <v>Flat 07</v>
      </c>
    </row>
    <row r="537" spans="3:11" x14ac:dyDescent="0.2">
      <c r="C537" s="39" t="s">
        <v>33</v>
      </c>
      <c r="D537" s="39">
        <v>1106</v>
      </c>
      <c r="E537" s="39">
        <v>0.66</v>
      </c>
      <c r="F537" s="39">
        <v>337</v>
      </c>
      <c r="G537" s="39">
        <v>90</v>
      </c>
      <c r="H537" s="39" t="s">
        <v>74</v>
      </c>
      <c r="I537" s="44" t="s">
        <v>135</v>
      </c>
      <c r="J537" s="33" t="s">
        <v>68</v>
      </c>
      <c r="K537" s="39" t="str">
        <f t="shared" si="8"/>
        <v>Flat 07</v>
      </c>
    </row>
    <row r="538" spans="3:11" x14ac:dyDescent="0.2">
      <c r="C538" s="39" t="s">
        <v>33</v>
      </c>
      <c r="D538" s="39">
        <v>1110</v>
      </c>
      <c r="E538" s="39">
        <v>1.1399999999999999</v>
      </c>
      <c r="F538" s="39">
        <v>337</v>
      </c>
      <c r="G538" s="39">
        <v>90</v>
      </c>
      <c r="H538" s="39" t="s">
        <v>74</v>
      </c>
      <c r="I538" s="44" t="s">
        <v>135</v>
      </c>
      <c r="J538" s="33" t="s">
        <v>68</v>
      </c>
      <c r="K538" s="39" t="str">
        <f t="shared" si="8"/>
        <v>Flat 07</v>
      </c>
    </row>
    <row r="539" spans="3:11" x14ac:dyDescent="0.2">
      <c r="C539" s="39" t="s">
        <v>33</v>
      </c>
      <c r="D539" s="39">
        <v>1106</v>
      </c>
      <c r="E539" s="39">
        <v>0.66</v>
      </c>
      <c r="F539" s="39">
        <v>247</v>
      </c>
      <c r="G539" s="39">
        <v>90</v>
      </c>
      <c r="H539" s="39" t="s">
        <v>75</v>
      </c>
      <c r="I539" s="44" t="s">
        <v>136</v>
      </c>
      <c r="J539" s="33" t="s">
        <v>68</v>
      </c>
      <c r="K539" s="39" t="str">
        <f t="shared" si="8"/>
        <v>Flat 07</v>
      </c>
    </row>
    <row r="540" spans="3:11" x14ac:dyDescent="0.2">
      <c r="C540" s="39" t="s">
        <v>33</v>
      </c>
      <c r="D540" s="39">
        <v>1110</v>
      </c>
      <c r="E540" s="39">
        <v>1.1399999999999999</v>
      </c>
      <c r="F540" s="39">
        <v>247</v>
      </c>
      <c r="G540" s="39">
        <v>90</v>
      </c>
      <c r="H540" s="39" t="s">
        <v>75</v>
      </c>
      <c r="I540" s="44" t="s">
        <v>136</v>
      </c>
      <c r="J540" s="33" t="s">
        <v>68</v>
      </c>
      <c r="K540" s="39" t="str">
        <f t="shared" si="8"/>
        <v>Flat 07</v>
      </c>
    </row>
    <row r="541" spans="3:11" x14ac:dyDescent="0.2">
      <c r="C541" s="39" t="s">
        <v>33</v>
      </c>
      <c r="D541" s="39">
        <v>958</v>
      </c>
      <c r="E541" s="39">
        <v>1.21</v>
      </c>
      <c r="F541" s="39">
        <v>247</v>
      </c>
      <c r="G541" s="39">
        <v>90</v>
      </c>
      <c r="H541" s="39" t="s">
        <v>75</v>
      </c>
      <c r="I541" s="44" t="s">
        <v>137</v>
      </c>
      <c r="J541" s="33" t="s">
        <v>68</v>
      </c>
      <c r="K541" s="39" t="str">
        <f t="shared" si="8"/>
        <v>Flat 07</v>
      </c>
    </row>
    <row r="542" spans="3:11" x14ac:dyDescent="0.2">
      <c r="C542" s="39" t="s">
        <v>33</v>
      </c>
      <c r="D542" s="39">
        <v>975</v>
      </c>
      <c r="E542" s="39">
        <v>1.17</v>
      </c>
      <c r="F542" s="39">
        <v>247</v>
      </c>
      <c r="G542" s="39">
        <v>90</v>
      </c>
      <c r="H542" s="39" t="s">
        <v>75</v>
      </c>
      <c r="I542" s="44" t="s">
        <v>137</v>
      </c>
      <c r="J542" s="33" t="s">
        <v>68</v>
      </c>
      <c r="K542" s="39" t="str">
        <f t="shared" si="8"/>
        <v>Flat 07</v>
      </c>
    </row>
    <row r="543" spans="3:11" x14ac:dyDescent="0.2">
      <c r="C543" s="39" t="s">
        <v>33</v>
      </c>
      <c r="D543" s="39">
        <v>983</v>
      </c>
      <c r="E543" s="39">
        <v>1.1299999999999999</v>
      </c>
      <c r="F543" s="39">
        <v>247</v>
      </c>
      <c r="G543" s="39">
        <v>90</v>
      </c>
      <c r="H543" s="39" t="s">
        <v>75</v>
      </c>
      <c r="I543" s="44" t="s">
        <v>137</v>
      </c>
      <c r="J543" s="33" t="s">
        <v>68</v>
      </c>
      <c r="K543" s="39" t="str">
        <f t="shared" si="8"/>
        <v>Flat 07</v>
      </c>
    </row>
    <row r="544" spans="3:11" x14ac:dyDescent="0.2">
      <c r="C544" s="39" t="s">
        <v>33</v>
      </c>
      <c r="D544" s="39">
        <v>984</v>
      </c>
      <c r="E544" s="39">
        <v>0.57999999999999996</v>
      </c>
      <c r="F544" s="39">
        <v>247</v>
      </c>
      <c r="G544" s="39">
        <v>90</v>
      </c>
      <c r="H544" s="39" t="s">
        <v>75</v>
      </c>
      <c r="I544" s="44" t="s">
        <v>137</v>
      </c>
      <c r="J544" s="33" t="s">
        <v>68</v>
      </c>
      <c r="K544" s="39" t="str">
        <f t="shared" si="8"/>
        <v>Flat 07</v>
      </c>
    </row>
    <row r="545" spans="3:11" x14ac:dyDescent="0.2">
      <c r="C545" s="39" t="s">
        <v>33</v>
      </c>
      <c r="D545" s="39">
        <v>985</v>
      </c>
      <c r="E545" s="39">
        <v>0.56000000000000005</v>
      </c>
      <c r="F545" s="39">
        <v>247</v>
      </c>
      <c r="G545" s="39">
        <v>90</v>
      </c>
      <c r="H545" s="39" t="s">
        <v>75</v>
      </c>
      <c r="I545" s="44" t="s">
        <v>137</v>
      </c>
      <c r="J545" s="33" t="s">
        <v>68</v>
      </c>
      <c r="K545" s="39" t="str">
        <f t="shared" si="8"/>
        <v>Flat 07</v>
      </c>
    </row>
    <row r="546" spans="3:11" x14ac:dyDescent="0.2">
      <c r="C546" s="39" t="s">
        <v>33</v>
      </c>
      <c r="D546" s="39">
        <v>986</v>
      </c>
      <c r="E546" s="39">
        <v>0.6</v>
      </c>
      <c r="F546" s="39">
        <v>247</v>
      </c>
      <c r="G546" s="39">
        <v>90</v>
      </c>
      <c r="H546" s="39" t="s">
        <v>75</v>
      </c>
      <c r="I546" s="44" t="s">
        <v>137</v>
      </c>
      <c r="J546" s="33" t="s">
        <v>68</v>
      </c>
      <c r="K546" s="39" t="str">
        <f t="shared" si="8"/>
        <v>Flat 07</v>
      </c>
    </row>
    <row r="547" spans="3:11" x14ac:dyDescent="0.2">
      <c r="C547" s="39" t="s">
        <v>33</v>
      </c>
      <c r="D547" s="39">
        <v>1094</v>
      </c>
      <c r="E547" s="39">
        <v>2.12</v>
      </c>
      <c r="F547" s="39">
        <v>157</v>
      </c>
      <c r="G547" s="39">
        <v>90</v>
      </c>
      <c r="H547" s="39" t="s">
        <v>76</v>
      </c>
      <c r="I547" s="44" t="s">
        <v>138</v>
      </c>
      <c r="J547" s="33" t="s">
        <v>68</v>
      </c>
      <c r="K547" s="39" t="str">
        <f t="shared" si="8"/>
        <v>Flat 07</v>
      </c>
    </row>
    <row r="548" spans="3:11" x14ac:dyDescent="0.2">
      <c r="C548" s="39" t="s">
        <v>33</v>
      </c>
      <c r="D548" s="39">
        <v>1138</v>
      </c>
      <c r="E548" s="39">
        <v>1.39</v>
      </c>
      <c r="F548" s="39">
        <v>247</v>
      </c>
      <c r="G548" s="39">
        <v>90</v>
      </c>
      <c r="H548" s="39" t="s">
        <v>75</v>
      </c>
      <c r="I548" s="44" t="s">
        <v>139</v>
      </c>
      <c r="J548" s="33" t="s">
        <v>68</v>
      </c>
      <c r="K548" s="39" t="str">
        <f t="shared" si="8"/>
        <v>Flat 01</v>
      </c>
    </row>
    <row r="549" spans="3:11" x14ac:dyDescent="0.2">
      <c r="C549" s="39" t="s">
        <v>33</v>
      </c>
      <c r="D549" s="39">
        <v>1139</v>
      </c>
      <c r="E549" s="39">
        <v>0.41</v>
      </c>
      <c r="F549" s="39">
        <v>247</v>
      </c>
      <c r="G549" s="39">
        <v>90</v>
      </c>
      <c r="H549" s="39" t="s">
        <v>75</v>
      </c>
      <c r="I549" s="44" t="s">
        <v>139</v>
      </c>
      <c r="J549" s="33" t="s">
        <v>68</v>
      </c>
      <c r="K549" s="39" t="str">
        <f t="shared" si="8"/>
        <v>Flat 01</v>
      </c>
    </row>
    <row r="550" spans="3:11" x14ac:dyDescent="0.2">
      <c r="C550" s="39" t="s">
        <v>33</v>
      </c>
      <c r="D550" s="39">
        <v>1138</v>
      </c>
      <c r="E550" s="39">
        <v>1.39</v>
      </c>
      <c r="F550" s="39">
        <v>337</v>
      </c>
      <c r="G550" s="39">
        <v>90</v>
      </c>
      <c r="H550" s="39" t="s">
        <v>74</v>
      </c>
      <c r="I550" s="44" t="s">
        <v>140</v>
      </c>
      <c r="J550" s="33" t="s">
        <v>68</v>
      </c>
      <c r="K550" s="39" t="str">
        <f t="shared" si="8"/>
        <v>Flat 01</v>
      </c>
    </row>
    <row r="551" spans="3:11" x14ac:dyDescent="0.2">
      <c r="C551" s="39" t="s">
        <v>33</v>
      </c>
      <c r="D551" s="39">
        <v>1139</v>
      </c>
      <c r="E551" s="39">
        <v>0.41</v>
      </c>
      <c r="F551" s="39">
        <v>337</v>
      </c>
      <c r="G551" s="39">
        <v>90</v>
      </c>
      <c r="H551" s="39" t="s">
        <v>74</v>
      </c>
      <c r="I551" s="44" t="s">
        <v>140</v>
      </c>
      <c r="J551" s="33" t="s">
        <v>68</v>
      </c>
      <c r="K551" s="39" t="str">
        <f t="shared" si="8"/>
        <v>Flat 01</v>
      </c>
    </row>
    <row r="552" spans="3:11" x14ac:dyDescent="0.2">
      <c r="C552" s="39" t="s">
        <v>33</v>
      </c>
      <c r="D552" s="39">
        <v>1039</v>
      </c>
      <c r="E552" s="39">
        <v>1.35</v>
      </c>
      <c r="F552" s="39">
        <v>247</v>
      </c>
      <c r="G552" s="39">
        <v>90</v>
      </c>
      <c r="H552" s="39" t="s">
        <v>75</v>
      </c>
      <c r="I552" s="44" t="s">
        <v>141</v>
      </c>
      <c r="J552" s="33" t="s">
        <v>68</v>
      </c>
      <c r="K552" s="39" t="str">
        <f t="shared" si="8"/>
        <v>Flat 01</v>
      </c>
    </row>
    <row r="553" spans="3:11" x14ac:dyDescent="0.2">
      <c r="C553" s="39" t="s">
        <v>33</v>
      </c>
      <c r="D553" s="39">
        <v>1055</v>
      </c>
      <c r="E553" s="39">
        <v>1.35</v>
      </c>
      <c r="F553" s="39">
        <v>247</v>
      </c>
      <c r="G553" s="39">
        <v>90</v>
      </c>
      <c r="H553" s="39" t="s">
        <v>75</v>
      </c>
      <c r="I553" s="44" t="s">
        <v>141</v>
      </c>
      <c r="J553" s="33" t="s">
        <v>68</v>
      </c>
      <c r="K553" s="39" t="str">
        <f t="shared" si="8"/>
        <v>Flat 01</v>
      </c>
    </row>
    <row r="554" spans="3:11" x14ac:dyDescent="0.2">
      <c r="C554" s="39" t="s">
        <v>33</v>
      </c>
      <c r="D554" s="39">
        <v>1056</v>
      </c>
      <c r="E554" s="39">
        <v>0.67</v>
      </c>
      <c r="F554" s="39">
        <v>247</v>
      </c>
      <c r="G554" s="39">
        <v>90</v>
      </c>
      <c r="H554" s="39" t="s">
        <v>75</v>
      </c>
      <c r="I554" s="44" t="s">
        <v>141</v>
      </c>
      <c r="J554" s="33" t="s">
        <v>68</v>
      </c>
      <c r="K554" s="39" t="str">
        <f t="shared" si="8"/>
        <v>Flat 01</v>
      </c>
    </row>
    <row r="555" spans="3:11" x14ac:dyDescent="0.2">
      <c r="C555" s="39" t="s">
        <v>33</v>
      </c>
      <c r="D555" s="39">
        <v>1057</v>
      </c>
      <c r="E555" s="39">
        <v>0.67</v>
      </c>
      <c r="F555" s="39">
        <v>247</v>
      </c>
      <c r="G555" s="39">
        <v>90</v>
      </c>
      <c r="H555" s="39" t="s">
        <v>75</v>
      </c>
      <c r="I555" s="44" t="s">
        <v>141</v>
      </c>
      <c r="J555" s="33" t="s">
        <v>68</v>
      </c>
      <c r="K555" s="39" t="str">
        <f t="shared" si="8"/>
        <v>Flat 01</v>
      </c>
    </row>
    <row r="556" spans="3:11" x14ac:dyDescent="0.2">
      <c r="C556" s="39" t="s">
        <v>33</v>
      </c>
      <c r="D556" s="39">
        <v>1058</v>
      </c>
      <c r="E556" s="39">
        <v>2.13</v>
      </c>
      <c r="F556" s="39">
        <v>247</v>
      </c>
      <c r="G556" s="39">
        <v>90</v>
      </c>
      <c r="H556" s="39" t="s">
        <v>75</v>
      </c>
      <c r="I556" s="44" t="s">
        <v>141</v>
      </c>
      <c r="J556" s="33" t="s">
        <v>68</v>
      </c>
      <c r="K556" s="39" t="str">
        <f t="shared" si="8"/>
        <v>Flat 01</v>
      </c>
    </row>
    <row r="557" spans="3:11" x14ac:dyDescent="0.2">
      <c r="C557" s="39" t="s">
        <v>33</v>
      </c>
      <c r="D557" s="39">
        <v>1138</v>
      </c>
      <c r="E557" s="39">
        <v>1.39</v>
      </c>
      <c r="F557" s="39">
        <v>337</v>
      </c>
      <c r="G557" s="39">
        <v>90</v>
      </c>
      <c r="H557" s="39" t="s">
        <v>74</v>
      </c>
      <c r="I557" s="44" t="s">
        <v>142</v>
      </c>
      <c r="J557" s="33" t="s">
        <v>68</v>
      </c>
      <c r="K557" s="39" t="str">
        <f t="shared" si="8"/>
        <v>Flat 02</v>
      </c>
    </row>
    <row r="558" spans="3:11" x14ac:dyDescent="0.2">
      <c r="C558" s="39" t="s">
        <v>33</v>
      </c>
      <c r="D558" s="39">
        <v>1139</v>
      </c>
      <c r="E558" s="39">
        <v>0.41</v>
      </c>
      <c r="F558" s="39">
        <v>337</v>
      </c>
      <c r="G558" s="39">
        <v>90</v>
      </c>
      <c r="H558" s="39" t="s">
        <v>74</v>
      </c>
      <c r="I558" s="44" t="s">
        <v>142</v>
      </c>
      <c r="J558" s="33" t="s">
        <v>68</v>
      </c>
      <c r="K558" s="39" t="str">
        <f t="shared" si="8"/>
        <v>Flat 02</v>
      </c>
    </row>
    <row r="559" spans="3:11" x14ac:dyDescent="0.2">
      <c r="C559" s="39" t="s">
        <v>33</v>
      </c>
      <c r="D559" s="39">
        <v>1138</v>
      </c>
      <c r="E559" s="39">
        <v>1.39</v>
      </c>
      <c r="F559" s="39">
        <v>337</v>
      </c>
      <c r="G559" s="39">
        <v>90</v>
      </c>
      <c r="H559" s="39" t="s">
        <v>74</v>
      </c>
      <c r="I559" s="44" t="s">
        <v>143</v>
      </c>
      <c r="J559" s="33" t="s">
        <v>68</v>
      </c>
      <c r="K559" s="39" t="str">
        <f t="shared" si="8"/>
        <v>Flat 02</v>
      </c>
    </row>
    <row r="560" spans="3:11" x14ac:dyDescent="0.2">
      <c r="C560" s="39" t="s">
        <v>33</v>
      </c>
      <c r="D560" s="39">
        <v>1139</v>
      </c>
      <c r="E560" s="39">
        <v>0.41</v>
      </c>
      <c r="F560" s="39">
        <v>337</v>
      </c>
      <c r="G560" s="39">
        <v>90</v>
      </c>
      <c r="H560" s="39" t="s">
        <v>74</v>
      </c>
      <c r="I560" s="44" t="s">
        <v>143</v>
      </c>
      <c r="J560" s="33" t="s">
        <v>68</v>
      </c>
      <c r="K560" s="39" t="str">
        <f t="shared" si="8"/>
        <v>Flat 02</v>
      </c>
    </row>
    <row r="561" spans="3:11" x14ac:dyDescent="0.2">
      <c r="C561" s="39" t="s">
        <v>33</v>
      </c>
      <c r="D561" s="39">
        <v>1020</v>
      </c>
      <c r="E561" s="39">
        <v>0.59</v>
      </c>
      <c r="F561" s="39">
        <v>337</v>
      </c>
      <c r="G561" s="39">
        <v>90</v>
      </c>
      <c r="H561" s="39" t="s">
        <v>74</v>
      </c>
      <c r="I561" s="44" t="s">
        <v>144</v>
      </c>
      <c r="J561" s="33" t="s">
        <v>68</v>
      </c>
      <c r="K561" s="39" t="str">
        <f t="shared" si="8"/>
        <v>Flat 02</v>
      </c>
    </row>
    <row r="562" spans="3:11" x14ac:dyDescent="0.2">
      <c r="C562" s="39" t="s">
        <v>33</v>
      </c>
      <c r="D562" s="39">
        <v>1021</v>
      </c>
      <c r="E562" s="39">
        <v>0.6</v>
      </c>
      <c r="F562" s="39">
        <v>337</v>
      </c>
      <c r="G562" s="39">
        <v>90</v>
      </c>
      <c r="H562" s="39" t="s">
        <v>74</v>
      </c>
      <c r="I562" s="44" t="s">
        <v>144</v>
      </c>
      <c r="J562" s="33" t="s">
        <v>68</v>
      </c>
      <c r="K562" s="39" t="str">
        <f t="shared" si="8"/>
        <v>Flat 02</v>
      </c>
    </row>
    <row r="563" spans="3:11" x14ac:dyDescent="0.2">
      <c r="C563" s="39" t="s">
        <v>33</v>
      </c>
      <c r="D563" s="39">
        <v>1022</v>
      </c>
      <c r="E563" s="39">
        <v>2.14</v>
      </c>
      <c r="F563" s="39">
        <v>337</v>
      </c>
      <c r="G563" s="39">
        <v>90</v>
      </c>
      <c r="H563" s="39" t="s">
        <v>74</v>
      </c>
      <c r="I563" s="44" t="s">
        <v>144</v>
      </c>
      <c r="J563" s="33" t="s">
        <v>68</v>
      </c>
      <c r="K563" s="39" t="str">
        <f t="shared" si="8"/>
        <v>Flat 02</v>
      </c>
    </row>
    <row r="564" spans="3:11" x14ac:dyDescent="0.2">
      <c r="C564" s="39" t="s">
        <v>33</v>
      </c>
      <c r="D564" s="39">
        <v>1023</v>
      </c>
      <c r="E564" s="39">
        <v>0.95</v>
      </c>
      <c r="F564" s="39">
        <v>337</v>
      </c>
      <c r="G564" s="39">
        <v>90</v>
      </c>
      <c r="H564" s="39" t="s">
        <v>74</v>
      </c>
      <c r="I564" s="44" t="s">
        <v>144</v>
      </c>
      <c r="J564" s="33" t="s">
        <v>68</v>
      </c>
      <c r="K564" s="39" t="str">
        <f t="shared" si="8"/>
        <v>Flat 02</v>
      </c>
    </row>
    <row r="565" spans="3:11" x14ac:dyDescent="0.2">
      <c r="C565" s="39" t="s">
        <v>33</v>
      </c>
      <c r="D565" s="39">
        <v>1024</v>
      </c>
      <c r="E565" s="39">
        <v>0.96</v>
      </c>
      <c r="F565" s="39">
        <v>337</v>
      </c>
      <c r="G565" s="39">
        <v>90</v>
      </c>
      <c r="H565" s="39" t="s">
        <v>74</v>
      </c>
      <c r="I565" s="44" t="s">
        <v>144</v>
      </c>
      <c r="J565" s="33" t="s">
        <v>68</v>
      </c>
      <c r="K565" s="39" t="str">
        <f t="shared" si="8"/>
        <v>Flat 02</v>
      </c>
    </row>
    <row r="566" spans="3:11" x14ac:dyDescent="0.2">
      <c r="C566" s="39" t="s">
        <v>33</v>
      </c>
      <c r="D566" s="39">
        <v>1122</v>
      </c>
      <c r="E566" s="39">
        <v>1.1100000000000001</v>
      </c>
      <c r="F566" s="39">
        <v>67</v>
      </c>
      <c r="G566" s="39">
        <v>90</v>
      </c>
      <c r="H566" s="39" t="s">
        <v>77</v>
      </c>
      <c r="I566" s="44" t="s">
        <v>145</v>
      </c>
      <c r="J566" s="33" t="s">
        <v>68</v>
      </c>
      <c r="K566" s="39" t="str">
        <f t="shared" si="8"/>
        <v>Flat 02</v>
      </c>
    </row>
    <row r="567" spans="3:11" x14ac:dyDescent="0.2">
      <c r="C567" s="39" t="s">
        <v>33</v>
      </c>
      <c r="D567" s="39">
        <v>1123</v>
      </c>
      <c r="E567" s="39">
        <v>0.33</v>
      </c>
      <c r="F567" s="39">
        <v>67</v>
      </c>
      <c r="G567" s="39">
        <v>90</v>
      </c>
      <c r="H567" s="39" t="s">
        <v>77</v>
      </c>
      <c r="I567" s="44" t="s">
        <v>145</v>
      </c>
      <c r="J567" s="33" t="s">
        <v>68</v>
      </c>
      <c r="K567" s="39" t="str">
        <f t="shared" si="8"/>
        <v>Flat 02</v>
      </c>
    </row>
    <row r="568" spans="3:11" x14ac:dyDescent="0.2">
      <c r="C568" s="39" t="s">
        <v>33</v>
      </c>
      <c r="D568" s="39">
        <v>1122</v>
      </c>
      <c r="E568" s="39">
        <v>1.1100000000000001</v>
      </c>
      <c r="F568" s="39">
        <v>67</v>
      </c>
      <c r="G568" s="39">
        <v>90</v>
      </c>
      <c r="H568" s="39" t="s">
        <v>77</v>
      </c>
      <c r="I568" s="44" t="s">
        <v>146</v>
      </c>
      <c r="J568" s="33" t="s">
        <v>68</v>
      </c>
      <c r="K568" s="39" t="str">
        <f t="shared" si="8"/>
        <v>Flat 02</v>
      </c>
    </row>
    <row r="569" spans="3:11" x14ac:dyDescent="0.2">
      <c r="C569" s="39" t="s">
        <v>33</v>
      </c>
      <c r="D569" s="39">
        <v>1123</v>
      </c>
      <c r="E569" s="39">
        <v>0.33</v>
      </c>
      <c r="F569" s="39">
        <v>67</v>
      </c>
      <c r="G569" s="39">
        <v>90</v>
      </c>
      <c r="H569" s="39" t="s">
        <v>77</v>
      </c>
      <c r="I569" s="44" t="s">
        <v>146</v>
      </c>
      <c r="J569" s="33" t="s">
        <v>68</v>
      </c>
      <c r="K569" s="39" t="str">
        <f t="shared" si="8"/>
        <v>Flat 02</v>
      </c>
    </row>
    <row r="570" spans="3:11" x14ac:dyDescent="0.2">
      <c r="C570" s="39" t="s">
        <v>33</v>
      </c>
      <c r="D570" s="39">
        <v>1138</v>
      </c>
      <c r="E570" s="39">
        <v>1.39</v>
      </c>
      <c r="F570" s="39">
        <v>99.95</v>
      </c>
      <c r="G570" s="39">
        <v>90</v>
      </c>
      <c r="H570" s="39" t="s">
        <v>48</v>
      </c>
      <c r="I570" s="44" t="s">
        <v>147</v>
      </c>
      <c r="J570" s="33" t="s">
        <v>68</v>
      </c>
      <c r="K570" s="39" t="str">
        <f t="shared" si="8"/>
        <v>Flat 04</v>
      </c>
    </row>
    <row r="571" spans="3:11" x14ac:dyDescent="0.2">
      <c r="C571" s="39" t="s">
        <v>33</v>
      </c>
      <c r="D571" s="39">
        <v>1139</v>
      </c>
      <c r="E571" s="39">
        <v>0.41</v>
      </c>
      <c r="F571" s="39">
        <v>99.95</v>
      </c>
      <c r="G571" s="39">
        <v>90</v>
      </c>
      <c r="H571" s="39" t="s">
        <v>48</v>
      </c>
      <c r="I571" s="44" t="s">
        <v>147</v>
      </c>
      <c r="J571" s="33" t="s">
        <v>68</v>
      </c>
      <c r="K571" s="39" t="str">
        <f t="shared" si="8"/>
        <v>Flat 04</v>
      </c>
    </row>
    <row r="572" spans="3:11" x14ac:dyDescent="0.2">
      <c r="C572" s="39" t="s">
        <v>33</v>
      </c>
      <c r="D572" s="39">
        <v>1020</v>
      </c>
      <c r="E572" s="39">
        <v>0.59</v>
      </c>
      <c r="F572" s="39">
        <v>99.95</v>
      </c>
      <c r="G572" s="39">
        <v>90</v>
      </c>
      <c r="H572" s="39" t="s">
        <v>48</v>
      </c>
      <c r="I572" s="44" t="s">
        <v>148</v>
      </c>
      <c r="J572" s="33" t="s">
        <v>68</v>
      </c>
      <c r="K572" s="39" t="str">
        <f t="shared" si="8"/>
        <v>Flat 04</v>
      </c>
    </row>
    <row r="573" spans="3:11" x14ac:dyDescent="0.2">
      <c r="C573" s="39" t="s">
        <v>33</v>
      </c>
      <c r="D573" s="39">
        <v>1021</v>
      </c>
      <c r="E573" s="39">
        <v>0.6</v>
      </c>
      <c r="F573" s="39">
        <v>99.95</v>
      </c>
      <c r="G573" s="39">
        <v>90</v>
      </c>
      <c r="H573" s="39" t="s">
        <v>48</v>
      </c>
      <c r="I573" s="44" t="s">
        <v>148</v>
      </c>
      <c r="J573" s="33" t="s">
        <v>68</v>
      </c>
      <c r="K573" s="39" t="str">
        <f t="shared" si="8"/>
        <v>Flat 04</v>
      </c>
    </row>
    <row r="574" spans="3:11" x14ac:dyDescent="0.2">
      <c r="C574" s="39" t="s">
        <v>33</v>
      </c>
      <c r="D574" s="39">
        <v>1022</v>
      </c>
      <c r="E574" s="39">
        <v>2.14</v>
      </c>
      <c r="F574" s="39">
        <v>99.95</v>
      </c>
      <c r="G574" s="39">
        <v>90</v>
      </c>
      <c r="H574" s="39" t="s">
        <v>48</v>
      </c>
      <c r="I574" s="44" t="s">
        <v>148</v>
      </c>
      <c r="J574" s="33" t="s">
        <v>68</v>
      </c>
      <c r="K574" s="39" t="str">
        <f t="shared" si="8"/>
        <v>Flat 04</v>
      </c>
    </row>
    <row r="575" spans="3:11" x14ac:dyDescent="0.2">
      <c r="C575" s="39" t="s">
        <v>33</v>
      </c>
      <c r="D575" s="39">
        <v>1023</v>
      </c>
      <c r="E575" s="39">
        <v>0.95</v>
      </c>
      <c r="F575" s="39">
        <v>99.95</v>
      </c>
      <c r="G575" s="39">
        <v>90</v>
      </c>
      <c r="H575" s="39" t="s">
        <v>48</v>
      </c>
      <c r="I575" s="44" t="s">
        <v>148</v>
      </c>
      <c r="J575" s="33" t="s">
        <v>68</v>
      </c>
      <c r="K575" s="39" t="str">
        <f t="shared" si="8"/>
        <v>Flat 04</v>
      </c>
    </row>
    <row r="576" spans="3:11" x14ac:dyDescent="0.2">
      <c r="C576" s="39" t="s">
        <v>33</v>
      </c>
      <c r="D576" s="39">
        <v>1024</v>
      </c>
      <c r="E576" s="39">
        <v>0.96</v>
      </c>
      <c r="F576" s="39">
        <v>99.95</v>
      </c>
      <c r="G576" s="39">
        <v>90</v>
      </c>
      <c r="H576" s="39" t="s">
        <v>48</v>
      </c>
      <c r="I576" s="44" t="s">
        <v>148</v>
      </c>
      <c r="J576" s="33" t="s">
        <v>68</v>
      </c>
      <c r="K576" s="39" t="str">
        <f t="shared" si="8"/>
        <v>Flat 04</v>
      </c>
    </row>
    <row r="577" spans="3:11" x14ac:dyDescent="0.2">
      <c r="C577" s="39" t="s">
        <v>33</v>
      </c>
      <c r="D577" s="39">
        <v>1122</v>
      </c>
      <c r="E577" s="39">
        <v>1.1100000000000001</v>
      </c>
      <c r="F577" s="39">
        <v>189.95</v>
      </c>
      <c r="G577" s="39">
        <v>90</v>
      </c>
      <c r="H577" s="39" t="s">
        <v>42</v>
      </c>
      <c r="I577" s="44" t="s">
        <v>149</v>
      </c>
      <c r="J577" s="33" t="s">
        <v>68</v>
      </c>
      <c r="K577" s="39" t="str">
        <f t="shared" si="8"/>
        <v>Flat 05</v>
      </c>
    </row>
    <row r="578" spans="3:11" x14ac:dyDescent="0.2">
      <c r="C578" s="39" t="s">
        <v>33</v>
      </c>
      <c r="D578" s="39">
        <v>1123</v>
      </c>
      <c r="E578" s="39">
        <v>0.33</v>
      </c>
      <c r="F578" s="39">
        <v>189.95</v>
      </c>
      <c r="G578" s="39">
        <v>90</v>
      </c>
      <c r="H578" s="39" t="s">
        <v>42</v>
      </c>
      <c r="I578" s="44" t="s">
        <v>149</v>
      </c>
      <c r="J578" s="33" t="s">
        <v>68</v>
      </c>
      <c r="K578" s="39" t="str">
        <f t="shared" si="8"/>
        <v>Flat 05</v>
      </c>
    </row>
    <row r="579" spans="3:11" x14ac:dyDescent="0.2">
      <c r="C579" s="39" t="s">
        <v>33</v>
      </c>
      <c r="D579" s="39">
        <v>1138</v>
      </c>
      <c r="E579" s="39">
        <v>1.39</v>
      </c>
      <c r="F579" s="39">
        <v>99.95</v>
      </c>
      <c r="G579" s="39">
        <v>90</v>
      </c>
      <c r="H579" s="39" t="s">
        <v>48</v>
      </c>
      <c r="I579" s="44" t="s">
        <v>150</v>
      </c>
      <c r="J579" s="33" t="s">
        <v>68</v>
      </c>
      <c r="K579" s="39" t="str">
        <f t="shared" si="8"/>
        <v>Flat 05</v>
      </c>
    </row>
    <row r="580" spans="3:11" x14ac:dyDescent="0.2">
      <c r="C580" s="39" t="s">
        <v>33</v>
      </c>
      <c r="D580" s="39">
        <v>1139</v>
      </c>
      <c r="E580" s="39">
        <v>0.41</v>
      </c>
      <c r="F580" s="39">
        <v>99.95</v>
      </c>
      <c r="G580" s="39">
        <v>90</v>
      </c>
      <c r="H580" s="39" t="s">
        <v>48</v>
      </c>
      <c r="I580" s="44" t="s">
        <v>150</v>
      </c>
      <c r="J580" s="33" t="s">
        <v>68</v>
      </c>
      <c r="K580" s="39" t="str">
        <f t="shared" si="8"/>
        <v>Flat 05</v>
      </c>
    </row>
    <row r="581" spans="3:11" x14ac:dyDescent="0.2">
      <c r="C581" s="39" t="s">
        <v>33</v>
      </c>
      <c r="D581" s="39">
        <v>1020</v>
      </c>
      <c r="E581" s="39">
        <v>0.59</v>
      </c>
      <c r="F581" s="39">
        <v>279.95</v>
      </c>
      <c r="G581" s="39">
        <v>90</v>
      </c>
      <c r="H581" s="39" t="s">
        <v>49</v>
      </c>
      <c r="I581" s="44" t="s">
        <v>151</v>
      </c>
      <c r="J581" s="33" t="s">
        <v>68</v>
      </c>
      <c r="K581" s="39" t="str">
        <f t="shared" si="8"/>
        <v>Flat 05</v>
      </c>
    </row>
    <row r="582" spans="3:11" x14ac:dyDescent="0.2">
      <c r="C582" s="39" t="s">
        <v>33</v>
      </c>
      <c r="D582" s="39">
        <v>1021</v>
      </c>
      <c r="E582" s="39">
        <v>0.6</v>
      </c>
      <c r="F582" s="39">
        <v>279.95</v>
      </c>
      <c r="G582" s="39">
        <v>90</v>
      </c>
      <c r="H582" s="39" t="s">
        <v>49</v>
      </c>
      <c r="I582" s="44" t="s">
        <v>151</v>
      </c>
      <c r="J582" s="33" t="s">
        <v>68</v>
      </c>
      <c r="K582" s="39" t="str">
        <f t="shared" si="8"/>
        <v>Flat 05</v>
      </c>
    </row>
    <row r="583" spans="3:11" x14ac:dyDescent="0.2">
      <c r="C583" s="39" t="s">
        <v>33</v>
      </c>
      <c r="D583" s="39">
        <v>1022</v>
      </c>
      <c r="E583" s="39">
        <v>2.14</v>
      </c>
      <c r="F583" s="39">
        <v>279.95</v>
      </c>
      <c r="G583" s="39">
        <v>90</v>
      </c>
      <c r="H583" s="39" t="s">
        <v>49</v>
      </c>
      <c r="I583" s="44" t="s">
        <v>151</v>
      </c>
      <c r="J583" s="33" t="s">
        <v>68</v>
      </c>
      <c r="K583" s="39" t="str">
        <f t="shared" ref="K583:K646" si="9">LEFT(I583,7)</f>
        <v>Flat 05</v>
      </c>
    </row>
    <row r="584" spans="3:11" x14ac:dyDescent="0.2">
      <c r="C584" s="39" t="s">
        <v>33</v>
      </c>
      <c r="D584" s="39">
        <v>1023</v>
      </c>
      <c r="E584" s="39">
        <v>0.95</v>
      </c>
      <c r="F584" s="39">
        <v>279.95</v>
      </c>
      <c r="G584" s="39">
        <v>90</v>
      </c>
      <c r="H584" s="39" t="s">
        <v>49</v>
      </c>
      <c r="I584" s="44" t="s">
        <v>151</v>
      </c>
      <c r="J584" s="33" t="s">
        <v>68</v>
      </c>
      <c r="K584" s="39" t="str">
        <f t="shared" si="9"/>
        <v>Flat 05</v>
      </c>
    </row>
    <row r="585" spans="3:11" x14ac:dyDescent="0.2">
      <c r="C585" s="39" t="s">
        <v>33</v>
      </c>
      <c r="D585" s="39">
        <v>1024</v>
      </c>
      <c r="E585" s="39">
        <v>0.96</v>
      </c>
      <c r="F585" s="39">
        <v>279.95</v>
      </c>
      <c r="G585" s="39">
        <v>90</v>
      </c>
      <c r="H585" s="39" t="s">
        <v>49</v>
      </c>
      <c r="I585" s="44" t="s">
        <v>151</v>
      </c>
      <c r="J585" s="33" t="s">
        <v>68</v>
      </c>
      <c r="K585" s="39" t="str">
        <f t="shared" si="9"/>
        <v>Flat 05</v>
      </c>
    </row>
    <row r="586" spans="3:11" x14ac:dyDescent="0.2">
      <c r="C586" s="39" t="s">
        <v>33</v>
      </c>
      <c r="D586" s="39">
        <v>1138</v>
      </c>
      <c r="E586" s="39">
        <v>1.39</v>
      </c>
      <c r="F586" s="39">
        <v>99.95</v>
      </c>
      <c r="G586" s="39">
        <v>90</v>
      </c>
      <c r="H586" s="39" t="s">
        <v>48</v>
      </c>
      <c r="I586" s="44" t="s">
        <v>152</v>
      </c>
      <c r="J586" s="33" t="s">
        <v>68</v>
      </c>
      <c r="K586" s="39" t="str">
        <f t="shared" si="9"/>
        <v>Flat 05</v>
      </c>
    </row>
    <row r="587" spans="3:11" x14ac:dyDescent="0.2">
      <c r="C587" s="39" t="s">
        <v>33</v>
      </c>
      <c r="D587" s="39">
        <v>1139</v>
      </c>
      <c r="E587" s="39">
        <v>0.41</v>
      </c>
      <c r="F587" s="39">
        <v>99.95</v>
      </c>
      <c r="G587" s="39">
        <v>90</v>
      </c>
      <c r="H587" s="39" t="s">
        <v>48</v>
      </c>
      <c r="I587" s="44" t="s">
        <v>152</v>
      </c>
      <c r="J587" s="33" t="s">
        <v>68</v>
      </c>
      <c r="K587" s="39" t="str">
        <f t="shared" si="9"/>
        <v>Flat 05</v>
      </c>
    </row>
    <row r="588" spans="3:11" x14ac:dyDescent="0.2">
      <c r="C588" s="39" t="s">
        <v>33</v>
      </c>
      <c r="D588" s="39">
        <v>1138</v>
      </c>
      <c r="E588" s="39">
        <v>1.39</v>
      </c>
      <c r="F588" s="39">
        <v>279.95</v>
      </c>
      <c r="G588" s="39">
        <v>90</v>
      </c>
      <c r="H588" s="39" t="s">
        <v>49</v>
      </c>
      <c r="I588" s="44" t="s">
        <v>153</v>
      </c>
      <c r="J588" s="33" t="s">
        <v>68</v>
      </c>
      <c r="K588" s="39" t="str">
        <f t="shared" si="9"/>
        <v>Flat 06</v>
      </c>
    </row>
    <row r="589" spans="3:11" x14ac:dyDescent="0.2">
      <c r="C589" s="39" t="s">
        <v>33</v>
      </c>
      <c r="D589" s="39">
        <v>1139</v>
      </c>
      <c r="E589" s="39">
        <v>0.41</v>
      </c>
      <c r="F589" s="39">
        <v>279.95</v>
      </c>
      <c r="G589" s="39">
        <v>90</v>
      </c>
      <c r="H589" s="39" t="s">
        <v>49</v>
      </c>
      <c r="I589" s="44" t="s">
        <v>153</v>
      </c>
      <c r="J589" s="33" t="s">
        <v>68</v>
      </c>
      <c r="K589" s="39" t="str">
        <f t="shared" si="9"/>
        <v>Flat 06</v>
      </c>
    </row>
    <row r="590" spans="3:11" x14ac:dyDescent="0.2">
      <c r="C590" s="39" t="s">
        <v>33</v>
      </c>
      <c r="D590" s="39">
        <v>1138</v>
      </c>
      <c r="E590" s="39">
        <v>1.39</v>
      </c>
      <c r="F590" s="39">
        <v>279.95</v>
      </c>
      <c r="G590" s="39">
        <v>90</v>
      </c>
      <c r="H590" s="39" t="s">
        <v>49</v>
      </c>
      <c r="I590" s="44" t="s">
        <v>154</v>
      </c>
      <c r="J590" s="33" t="s">
        <v>68</v>
      </c>
      <c r="K590" s="39" t="str">
        <f t="shared" si="9"/>
        <v>Flat 06</v>
      </c>
    </row>
    <row r="591" spans="3:11" x14ac:dyDescent="0.2">
      <c r="C591" s="39" t="s">
        <v>33</v>
      </c>
      <c r="D591" s="39">
        <v>1139</v>
      </c>
      <c r="E591" s="39">
        <v>0.41</v>
      </c>
      <c r="F591" s="39">
        <v>279.95</v>
      </c>
      <c r="G591" s="39">
        <v>90</v>
      </c>
      <c r="H591" s="39" t="s">
        <v>49</v>
      </c>
      <c r="I591" s="44" t="s">
        <v>154</v>
      </c>
      <c r="J591" s="33" t="s">
        <v>68</v>
      </c>
      <c r="K591" s="39" t="str">
        <f t="shared" si="9"/>
        <v>Flat 06</v>
      </c>
    </row>
    <row r="592" spans="3:11" x14ac:dyDescent="0.2">
      <c r="C592" s="39" t="s">
        <v>33</v>
      </c>
      <c r="D592" s="39">
        <v>1020</v>
      </c>
      <c r="E592" s="39">
        <v>0.59</v>
      </c>
      <c r="F592" s="39">
        <v>279.95</v>
      </c>
      <c r="G592" s="39">
        <v>90</v>
      </c>
      <c r="H592" s="39" t="s">
        <v>49</v>
      </c>
      <c r="I592" s="44" t="s">
        <v>155</v>
      </c>
      <c r="J592" s="33" t="s">
        <v>68</v>
      </c>
      <c r="K592" s="39" t="str">
        <f t="shared" si="9"/>
        <v>Flat 06</v>
      </c>
    </row>
    <row r="593" spans="3:11" x14ac:dyDescent="0.2">
      <c r="C593" s="39" t="s">
        <v>33</v>
      </c>
      <c r="D593" s="39">
        <v>1021</v>
      </c>
      <c r="E593" s="39">
        <v>0.6</v>
      </c>
      <c r="F593" s="39">
        <v>279.95</v>
      </c>
      <c r="G593" s="39">
        <v>90</v>
      </c>
      <c r="H593" s="39" t="s">
        <v>49</v>
      </c>
      <c r="I593" s="44" t="s">
        <v>155</v>
      </c>
      <c r="J593" s="33" t="s">
        <v>68</v>
      </c>
      <c r="K593" s="39" t="str">
        <f t="shared" si="9"/>
        <v>Flat 06</v>
      </c>
    </row>
    <row r="594" spans="3:11" x14ac:dyDescent="0.2">
      <c r="C594" s="39" t="s">
        <v>33</v>
      </c>
      <c r="D594" s="39">
        <v>1022</v>
      </c>
      <c r="E594" s="39">
        <v>2.14</v>
      </c>
      <c r="F594" s="39">
        <v>279.95</v>
      </c>
      <c r="G594" s="39">
        <v>90</v>
      </c>
      <c r="H594" s="39" t="s">
        <v>49</v>
      </c>
      <c r="I594" s="44" t="s">
        <v>155</v>
      </c>
      <c r="J594" s="33" t="s">
        <v>68</v>
      </c>
      <c r="K594" s="39" t="str">
        <f t="shared" si="9"/>
        <v>Flat 06</v>
      </c>
    </row>
    <row r="595" spans="3:11" x14ac:dyDescent="0.2">
      <c r="C595" s="39" t="s">
        <v>33</v>
      </c>
      <c r="D595" s="39">
        <v>1023</v>
      </c>
      <c r="E595" s="39">
        <v>0.95</v>
      </c>
      <c r="F595" s="39">
        <v>279.95</v>
      </c>
      <c r="G595" s="39">
        <v>90</v>
      </c>
      <c r="H595" s="39" t="s">
        <v>49</v>
      </c>
      <c r="I595" s="44" t="s">
        <v>155</v>
      </c>
      <c r="J595" s="33" t="s">
        <v>68</v>
      </c>
      <c r="K595" s="39" t="str">
        <f t="shared" si="9"/>
        <v>Flat 06</v>
      </c>
    </row>
    <row r="596" spans="3:11" x14ac:dyDescent="0.2">
      <c r="C596" s="39" t="s">
        <v>33</v>
      </c>
      <c r="D596" s="39">
        <v>1024</v>
      </c>
      <c r="E596" s="39">
        <v>0.96</v>
      </c>
      <c r="F596" s="39">
        <v>279.95</v>
      </c>
      <c r="G596" s="39">
        <v>90</v>
      </c>
      <c r="H596" s="39" t="s">
        <v>49</v>
      </c>
      <c r="I596" s="44" t="s">
        <v>155</v>
      </c>
      <c r="J596" s="33" t="s">
        <v>68</v>
      </c>
      <c r="K596" s="39" t="str">
        <f t="shared" si="9"/>
        <v>Flat 06</v>
      </c>
    </row>
    <row r="597" spans="3:11" x14ac:dyDescent="0.2">
      <c r="C597" s="39" t="s">
        <v>33</v>
      </c>
      <c r="D597" s="39">
        <v>1122</v>
      </c>
      <c r="E597" s="39">
        <v>1.1100000000000001</v>
      </c>
      <c r="F597" s="39">
        <v>99.95</v>
      </c>
      <c r="G597" s="39">
        <v>90</v>
      </c>
      <c r="H597" s="39" t="s">
        <v>48</v>
      </c>
      <c r="I597" s="44" t="s">
        <v>156</v>
      </c>
      <c r="J597" s="33" t="s">
        <v>68</v>
      </c>
      <c r="K597" s="39" t="str">
        <f t="shared" si="9"/>
        <v>Flat 03</v>
      </c>
    </row>
    <row r="598" spans="3:11" x14ac:dyDescent="0.2">
      <c r="C598" s="39" t="s">
        <v>33</v>
      </c>
      <c r="D598" s="39">
        <v>1123</v>
      </c>
      <c r="E598" s="39">
        <v>0.33</v>
      </c>
      <c r="F598" s="39">
        <v>99.95</v>
      </c>
      <c r="G598" s="39">
        <v>90</v>
      </c>
      <c r="H598" s="39" t="s">
        <v>48</v>
      </c>
      <c r="I598" s="44" t="s">
        <v>156</v>
      </c>
      <c r="J598" s="33" t="s">
        <v>68</v>
      </c>
      <c r="K598" s="39" t="str">
        <f t="shared" si="9"/>
        <v>Flat 03</v>
      </c>
    </row>
    <row r="599" spans="3:11" x14ac:dyDescent="0.2">
      <c r="C599" s="39" t="s">
        <v>33</v>
      </c>
      <c r="D599" s="39">
        <v>1138</v>
      </c>
      <c r="E599" s="39">
        <v>1.39</v>
      </c>
      <c r="F599" s="39">
        <v>67</v>
      </c>
      <c r="G599" s="39">
        <v>90</v>
      </c>
      <c r="H599" s="39" t="s">
        <v>77</v>
      </c>
      <c r="I599" s="44" t="s">
        <v>157</v>
      </c>
      <c r="J599" s="33" t="s">
        <v>68</v>
      </c>
      <c r="K599" s="39" t="str">
        <f t="shared" si="9"/>
        <v>Flat 03</v>
      </c>
    </row>
    <row r="600" spans="3:11" x14ac:dyDescent="0.2">
      <c r="C600" s="39" t="s">
        <v>33</v>
      </c>
      <c r="D600" s="39">
        <v>1139</v>
      </c>
      <c r="E600" s="39">
        <v>0.41</v>
      </c>
      <c r="F600" s="39">
        <v>67</v>
      </c>
      <c r="G600" s="39">
        <v>90</v>
      </c>
      <c r="H600" s="39" t="s">
        <v>77</v>
      </c>
      <c r="I600" s="44" t="s">
        <v>157</v>
      </c>
      <c r="J600" s="33" t="s">
        <v>68</v>
      </c>
      <c r="K600" s="39" t="str">
        <f t="shared" si="9"/>
        <v>Flat 03</v>
      </c>
    </row>
    <row r="601" spans="3:11" x14ac:dyDescent="0.2">
      <c r="C601" s="39" t="s">
        <v>33</v>
      </c>
      <c r="D601" s="39">
        <v>1122</v>
      </c>
      <c r="E601" s="39">
        <v>1.1100000000000001</v>
      </c>
      <c r="F601" s="39">
        <v>99.95</v>
      </c>
      <c r="G601" s="39">
        <v>90</v>
      </c>
      <c r="H601" s="39" t="s">
        <v>48</v>
      </c>
      <c r="I601" s="44" t="s">
        <v>158</v>
      </c>
      <c r="J601" s="33" t="s">
        <v>68</v>
      </c>
      <c r="K601" s="39" t="str">
        <f t="shared" si="9"/>
        <v>Flat 03</v>
      </c>
    </row>
    <row r="602" spans="3:11" x14ac:dyDescent="0.2">
      <c r="C602" s="39" t="s">
        <v>33</v>
      </c>
      <c r="D602" s="39">
        <v>1123</v>
      </c>
      <c r="E602" s="39">
        <v>0.33</v>
      </c>
      <c r="F602" s="39">
        <v>99.95</v>
      </c>
      <c r="G602" s="39">
        <v>90</v>
      </c>
      <c r="H602" s="39" t="s">
        <v>48</v>
      </c>
      <c r="I602" s="44" t="s">
        <v>158</v>
      </c>
      <c r="J602" s="33" t="s">
        <v>68</v>
      </c>
      <c r="K602" s="39" t="str">
        <f t="shared" si="9"/>
        <v>Flat 03</v>
      </c>
    </row>
    <row r="603" spans="3:11" x14ac:dyDescent="0.2">
      <c r="C603" s="39" t="s">
        <v>33</v>
      </c>
      <c r="D603" s="39">
        <v>1138</v>
      </c>
      <c r="E603" s="39">
        <v>1.39</v>
      </c>
      <c r="F603" s="39">
        <v>99.95</v>
      </c>
      <c r="G603" s="39">
        <v>90</v>
      </c>
      <c r="H603" s="39" t="s">
        <v>48</v>
      </c>
      <c r="I603" s="44" t="s">
        <v>159</v>
      </c>
      <c r="J603" s="33" t="s">
        <v>68</v>
      </c>
      <c r="K603" s="39" t="str">
        <f t="shared" si="9"/>
        <v>Flat 03</v>
      </c>
    </row>
    <row r="604" spans="3:11" x14ac:dyDescent="0.2">
      <c r="C604" s="39" t="s">
        <v>33</v>
      </c>
      <c r="D604" s="39">
        <v>1139</v>
      </c>
      <c r="E604" s="39">
        <v>0.41</v>
      </c>
      <c r="F604" s="39">
        <v>99.95</v>
      </c>
      <c r="G604" s="39">
        <v>90</v>
      </c>
      <c r="H604" s="39" t="s">
        <v>48</v>
      </c>
      <c r="I604" s="44" t="s">
        <v>159</v>
      </c>
      <c r="J604" s="33" t="s">
        <v>68</v>
      </c>
      <c r="K604" s="39" t="str">
        <f t="shared" si="9"/>
        <v>Flat 03</v>
      </c>
    </row>
    <row r="605" spans="3:11" x14ac:dyDescent="0.2">
      <c r="C605" s="39" t="s">
        <v>33</v>
      </c>
      <c r="D605" s="39">
        <v>1068</v>
      </c>
      <c r="E605" s="39">
        <v>1.89</v>
      </c>
      <c r="F605" s="39">
        <v>157</v>
      </c>
      <c r="G605" s="39">
        <v>90</v>
      </c>
      <c r="H605" s="39" t="s">
        <v>76</v>
      </c>
      <c r="I605" s="44" t="s">
        <v>160</v>
      </c>
      <c r="J605" s="33" t="s">
        <v>68</v>
      </c>
      <c r="K605" s="39" t="str">
        <f t="shared" si="9"/>
        <v>Flat 03</v>
      </c>
    </row>
    <row r="606" spans="3:11" x14ac:dyDescent="0.2">
      <c r="C606" s="39" t="s">
        <v>33</v>
      </c>
      <c r="D606" s="39">
        <v>1020</v>
      </c>
      <c r="E606" s="39">
        <v>0.59</v>
      </c>
      <c r="F606" s="39">
        <v>279.95</v>
      </c>
      <c r="G606" s="39">
        <v>90</v>
      </c>
      <c r="H606" s="39" t="s">
        <v>49</v>
      </c>
      <c r="I606" s="44" t="s">
        <v>161</v>
      </c>
      <c r="J606" s="33" t="s">
        <v>68</v>
      </c>
      <c r="K606" s="39" t="str">
        <f t="shared" si="9"/>
        <v>Flat 18</v>
      </c>
    </row>
    <row r="607" spans="3:11" x14ac:dyDescent="0.2">
      <c r="C607" s="39" t="s">
        <v>33</v>
      </c>
      <c r="D607" s="39">
        <v>1021</v>
      </c>
      <c r="E607" s="39">
        <v>0.6</v>
      </c>
      <c r="F607" s="39">
        <v>279.95</v>
      </c>
      <c r="G607" s="39">
        <v>90</v>
      </c>
      <c r="H607" s="39" t="s">
        <v>49</v>
      </c>
      <c r="I607" s="44" t="s">
        <v>161</v>
      </c>
      <c r="J607" s="33" t="s">
        <v>68</v>
      </c>
      <c r="K607" s="39" t="str">
        <f t="shared" si="9"/>
        <v>Flat 18</v>
      </c>
    </row>
    <row r="608" spans="3:11" x14ac:dyDescent="0.2">
      <c r="C608" s="39" t="s">
        <v>33</v>
      </c>
      <c r="D608" s="39">
        <v>1022</v>
      </c>
      <c r="E608" s="39">
        <v>2.14</v>
      </c>
      <c r="F608" s="39">
        <v>279.95</v>
      </c>
      <c r="G608" s="39">
        <v>90</v>
      </c>
      <c r="H608" s="39" t="s">
        <v>49</v>
      </c>
      <c r="I608" s="44" t="s">
        <v>161</v>
      </c>
      <c r="J608" s="33" t="s">
        <v>68</v>
      </c>
      <c r="K608" s="39" t="str">
        <f t="shared" si="9"/>
        <v>Flat 18</v>
      </c>
    </row>
    <row r="609" spans="3:11" x14ac:dyDescent="0.2">
      <c r="C609" s="39" t="s">
        <v>33</v>
      </c>
      <c r="D609" s="39">
        <v>1023</v>
      </c>
      <c r="E609" s="39">
        <v>0.95</v>
      </c>
      <c r="F609" s="39">
        <v>279.95</v>
      </c>
      <c r="G609" s="39">
        <v>90</v>
      </c>
      <c r="H609" s="39" t="s">
        <v>49</v>
      </c>
      <c r="I609" s="44" t="s">
        <v>161</v>
      </c>
      <c r="J609" s="33" t="s">
        <v>68</v>
      </c>
      <c r="K609" s="39" t="str">
        <f t="shared" si="9"/>
        <v>Flat 18</v>
      </c>
    </row>
    <row r="610" spans="3:11" x14ac:dyDescent="0.2">
      <c r="C610" s="39" t="s">
        <v>33</v>
      </c>
      <c r="D610" s="39">
        <v>1024</v>
      </c>
      <c r="E610" s="39">
        <v>0.96</v>
      </c>
      <c r="F610" s="39">
        <v>279.95</v>
      </c>
      <c r="G610" s="39">
        <v>90</v>
      </c>
      <c r="H610" s="39" t="s">
        <v>49</v>
      </c>
      <c r="I610" s="44" t="s">
        <v>161</v>
      </c>
      <c r="J610" s="33" t="s">
        <v>68</v>
      </c>
      <c r="K610" s="39" t="str">
        <f t="shared" si="9"/>
        <v>Flat 18</v>
      </c>
    </row>
    <row r="611" spans="3:11" x14ac:dyDescent="0.2">
      <c r="C611" s="39" t="s">
        <v>33</v>
      </c>
      <c r="D611" s="39">
        <v>1106</v>
      </c>
      <c r="E611" s="39">
        <v>0.66</v>
      </c>
      <c r="F611" s="39">
        <v>279.95</v>
      </c>
      <c r="G611" s="39">
        <v>90</v>
      </c>
      <c r="H611" s="39" t="s">
        <v>49</v>
      </c>
      <c r="I611" s="44" t="s">
        <v>162</v>
      </c>
      <c r="J611" s="33" t="s">
        <v>68</v>
      </c>
      <c r="K611" s="39" t="str">
        <f t="shared" si="9"/>
        <v>Flat 18</v>
      </c>
    </row>
    <row r="612" spans="3:11" x14ac:dyDescent="0.2">
      <c r="C612" s="39" t="s">
        <v>33</v>
      </c>
      <c r="D612" s="39">
        <v>1110</v>
      </c>
      <c r="E612" s="39">
        <v>1.1399999999999999</v>
      </c>
      <c r="F612" s="39">
        <v>279.95</v>
      </c>
      <c r="G612" s="39">
        <v>90</v>
      </c>
      <c r="H612" s="39" t="s">
        <v>49</v>
      </c>
      <c r="I612" s="44" t="s">
        <v>162</v>
      </c>
      <c r="J612" s="33" t="s">
        <v>68</v>
      </c>
      <c r="K612" s="39" t="str">
        <f t="shared" si="9"/>
        <v>Flat 18</v>
      </c>
    </row>
    <row r="613" spans="3:11" x14ac:dyDescent="0.2">
      <c r="C613" s="39" t="s">
        <v>33</v>
      </c>
      <c r="D613" s="39">
        <v>1106</v>
      </c>
      <c r="E613" s="39">
        <v>0.66</v>
      </c>
      <c r="F613" s="39">
        <v>279.95</v>
      </c>
      <c r="G613" s="39">
        <v>90</v>
      </c>
      <c r="H613" s="39" t="s">
        <v>49</v>
      </c>
      <c r="I613" s="44" t="s">
        <v>163</v>
      </c>
      <c r="J613" s="33" t="s">
        <v>68</v>
      </c>
      <c r="K613" s="39" t="str">
        <f t="shared" si="9"/>
        <v>Flat 18</v>
      </c>
    </row>
    <row r="614" spans="3:11" x14ac:dyDescent="0.2">
      <c r="C614" s="39" t="s">
        <v>33</v>
      </c>
      <c r="D614" s="39">
        <v>1110</v>
      </c>
      <c r="E614" s="39">
        <v>1.1399999999999999</v>
      </c>
      <c r="F614" s="39">
        <v>279.95</v>
      </c>
      <c r="G614" s="39">
        <v>90</v>
      </c>
      <c r="H614" s="39" t="s">
        <v>49</v>
      </c>
      <c r="I614" s="44" t="s">
        <v>163</v>
      </c>
      <c r="J614" s="33" t="s">
        <v>68</v>
      </c>
      <c r="K614" s="39" t="str">
        <f t="shared" si="9"/>
        <v>Flat 18</v>
      </c>
    </row>
    <row r="615" spans="3:11" x14ac:dyDescent="0.2">
      <c r="C615" s="39" t="s">
        <v>33</v>
      </c>
      <c r="D615" s="39">
        <v>1106</v>
      </c>
      <c r="E615" s="39">
        <v>0.66</v>
      </c>
      <c r="F615" s="39">
        <v>67</v>
      </c>
      <c r="G615" s="39">
        <v>90</v>
      </c>
      <c r="H615" s="39" t="s">
        <v>77</v>
      </c>
      <c r="I615" s="44" t="s">
        <v>164</v>
      </c>
      <c r="J615" s="33" t="s">
        <v>68</v>
      </c>
      <c r="K615" s="39" t="str">
        <f t="shared" si="9"/>
        <v>Flat 15</v>
      </c>
    </row>
    <row r="616" spans="3:11" x14ac:dyDescent="0.2">
      <c r="C616" s="39" t="s">
        <v>33</v>
      </c>
      <c r="D616" s="39">
        <v>1110</v>
      </c>
      <c r="E616" s="39">
        <v>1.1399999999999999</v>
      </c>
      <c r="F616" s="39">
        <v>67</v>
      </c>
      <c r="G616" s="39">
        <v>90</v>
      </c>
      <c r="H616" s="39" t="s">
        <v>77</v>
      </c>
      <c r="I616" s="44" t="s">
        <v>164</v>
      </c>
      <c r="J616" s="33" t="s">
        <v>68</v>
      </c>
      <c r="K616" s="39" t="str">
        <f t="shared" si="9"/>
        <v>Flat 15</v>
      </c>
    </row>
    <row r="617" spans="3:11" x14ac:dyDescent="0.2">
      <c r="C617" s="39" t="s">
        <v>33</v>
      </c>
      <c r="D617" s="39">
        <v>1106</v>
      </c>
      <c r="E617" s="39">
        <v>0.66</v>
      </c>
      <c r="F617" s="39">
        <v>99.95</v>
      </c>
      <c r="G617" s="39">
        <v>90</v>
      </c>
      <c r="H617" s="39" t="s">
        <v>48</v>
      </c>
      <c r="I617" s="44" t="s">
        <v>165</v>
      </c>
      <c r="J617" s="33" t="s">
        <v>68</v>
      </c>
      <c r="K617" s="39" t="str">
        <f t="shared" si="9"/>
        <v>Flat 15</v>
      </c>
    </row>
    <row r="618" spans="3:11" x14ac:dyDescent="0.2">
      <c r="C618" s="39" t="s">
        <v>33</v>
      </c>
      <c r="D618" s="39">
        <v>1110</v>
      </c>
      <c r="E618" s="39">
        <v>1.1399999999999999</v>
      </c>
      <c r="F618" s="39">
        <v>99.95</v>
      </c>
      <c r="G618" s="39">
        <v>90</v>
      </c>
      <c r="H618" s="39" t="s">
        <v>48</v>
      </c>
      <c r="I618" s="44" t="s">
        <v>165</v>
      </c>
      <c r="J618" s="33" t="s">
        <v>68</v>
      </c>
      <c r="K618" s="39" t="str">
        <f t="shared" si="9"/>
        <v>Flat 15</v>
      </c>
    </row>
    <row r="619" spans="3:11" x14ac:dyDescent="0.2">
      <c r="C619" s="39" t="s">
        <v>33</v>
      </c>
      <c r="D619" s="39">
        <v>1080</v>
      </c>
      <c r="E619" s="39">
        <v>0.91</v>
      </c>
      <c r="F619" s="39">
        <v>99.95</v>
      </c>
      <c r="G619" s="39">
        <v>90</v>
      </c>
      <c r="H619" s="39" t="s">
        <v>48</v>
      </c>
      <c r="I619" s="44" t="s">
        <v>166</v>
      </c>
      <c r="J619" s="33" t="s">
        <v>68</v>
      </c>
      <c r="K619" s="39" t="str">
        <f t="shared" si="9"/>
        <v>Flat 15</v>
      </c>
    </row>
    <row r="620" spans="3:11" x14ac:dyDescent="0.2">
      <c r="C620" s="39" t="s">
        <v>33</v>
      </c>
      <c r="D620" s="39">
        <v>1081</v>
      </c>
      <c r="E620" s="39">
        <v>0.53</v>
      </c>
      <c r="F620" s="39">
        <v>99.95</v>
      </c>
      <c r="G620" s="39">
        <v>90</v>
      </c>
      <c r="H620" s="39" t="s">
        <v>48</v>
      </c>
      <c r="I620" s="44" t="s">
        <v>166</v>
      </c>
      <c r="J620" s="33" t="s">
        <v>68</v>
      </c>
      <c r="K620" s="39" t="str">
        <f t="shared" si="9"/>
        <v>Flat 15</v>
      </c>
    </row>
    <row r="621" spans="3:11" x14ac:dyDescent="0.2">
      <c r="C621" s="39" t="s">
        <v>33</v>
      </c>
      <c r="D621" s="39">
        <v>1068</v>
      </c>
      <c r="E621" s="39">
        <v>1.89</v>
      </c>
      <c r="F621" s="39">
        <v>157</v>
      </c>
      <c r="G621" s="39">
        <v>90</v>
      </c>
      <c r="H621" s="39" t="s">
        <v>76</v>
      </c>
      <c r="I621" s="44" t="s">
        <v>167</v>
      </c>
      <c r="J621" s="33" t="s">
        <v>68</v>
      </c>
      <c r="K621" s="39" t="str">
        <f t="shared" si="9"/>
        <v>Flat 15</v>
      </c>
    </row>
    <row r="622" spans="3:11" x14ac:dyDescent="0.2">
      <c r="C622" s="39" t="s">
        <v>33</v>
      </c>
      <c r="D622" s="39">
        <v>1080</v>
      </c>
      <c r="E622" s="39">
        <v>0.91</v>
      </c>
      <c r="F622" s="39">
        <v>99.95</v>
      </c>
      <c r="G622" s="39">
        <v>90</v>
      </c>
      <c r="H622" s="39" t="s">
        <v>48</v>
      </c>
      <c r="I622" s="44" t="s">
        <v>168</v>
      </c>
      <c r="J622" s="33" t="s">
        <v>68</v>
      </c>
      <c r="K622" s="39" t="str">
        <f t="shared" si="9"/>
        <v>Flat 15</v>
      </c>
    </row>
    <row r="623" spans="3:11" x14ac:dyDescent="0.2">
      <c r="C623" s="39" t="s">
        <v>33</v>
      </c>
      <c r="D623" s="39">
        <v>1081</v>
      </c>
      <c r="E623" s="39">
        <v>0.53</v>
      </c>
      <c r="F623" s="39">
        <v>99.95</v>
      </c>
      <c r="G623" s="39">
        <v>90</v>
      </c>
      <c r="H623" s="39" t="s">
        <v>48</v>
      </c>
      <c r="I623" s="44" t="s">
        <v>168</v>
      </c>
      <c r="J623" s="33" t="s">
        <v>68</v>
      </c>
      <c r="K623" s="39" t="str">
        <f t="shared" si="9"/>
        <v>Flat 15</v>
      </c>
    </row>
    <row r="624" spans="3:11" x14ac:dyDescent="0.2">
      <c r="C624" s="39" t="s">
        <v>33</v>
      </c>
      <c r="D624" s="39">
        <v>1020</v>
      </c>
      <c r="E624" s="39">
        <v>0.59</v>
      </c>
      <c r="F624" s="39">
        <v>279.95</v>
      </c>
      <c r="G624" s="39">
        <v>90</v>
      </c>
      <c r="H624" s="39" t="s">
        <v>49</v>
      </c>
      <c r="I624" s="44" t="s">
        <v>169</v>
      </c>
      <c r="J624" s="33" t="s">
        <v>68</v>
      </c>
      <c r="K624" s="39" t="str">
        <f t="shared" si="9"/>
        <v>Flat 12</v>
      </c>
    </row>
    <row r="625" spans="3:11" x14ac:dyDescent="0.2">
      <c r="C625" s="39" t="s">
        <v>33</v>
      </c>
      <c r="D625" s="39">
        <v>1021</v>
      </c>
      <c r="E625" s="39">
        <v>0.6</v>
      </c>
      <c r="F625" s="39">
        <v>279.95</v>
      </c>
      <c r="G625" s="39">
        <v>90</v>
      </c>
      <c r="H625" s="39" t="s">
        <v>49</v>
      </c>
      <c r="I625" s="44" t="s">
        <v>169</v>
      </c>
      <c r="J625" s="33" t="s">
        <v>68</v>
      </c>
      <c r="K625" s="39" t="str">
        <f t="shared" si="9"/>
        <v>Flat 12</v>
      </c>
    </row>
    <row r="626" spans="3:11" x14ac:dyDescent="0.2">
      <c r="C626" s="39" t="s">
        <v>33</v>
      </c>
      <c r="D626" s="39">
        <v>1022</v>
      </c>
      <c r="E626" s="39">
        <v>2.14</v>
      </c>
      <c r="F626" s="39">
        <v>279.95</v>
      </c>
      <c r="G626" s="39">
        <v>90</v>
      </c>
      <c r="H626" s="39" t="s">
        <v>49</v>
      </c>
      <c r="I626" s="44" t="s">
        <v>169</v>
      </c>
      <c r="J626" s="33" t="s">
        <v>68</v>
      </c>
      <c r="K626" s="39" t="str">
        <f t="shared" si="9"/>
        <v>Flat 12</v>
      </c>
    </row>
    <row r="627" spans="3:11" x14ac:dyDescent="0.2">
      <c r="C627" s="39" t="s">
        <v>33</v>
      </c>
      <c r="D627" s="39">
        <v>1023</v>
      </c>
      <c r="E627" s="39">
        <v>0.95</v>
      </c>
      <c r="F627" s="39">
        <v>279.95</v>
      </c>
      <c r="G627" s="39">
        <v>90</v>
      </c>
      <c r="H627" s="39" t="s">
        <v>49</v>
      </c>
      <c r="I627" s="44" t="s">
        <v>169</v>
      </c>
      <c r="J627" s="33" t="s">
        <v>68</v>
      </c>
      <c r="K627" s="39" t="str">
        <f t="shared" si="9"/>
        <v>Flat 12</v>
      </c>
    </row>
    <row r="628" spans="3:11" x14ac:dyDescent="0.2">
      <c r="C628" s="39" t="s">
        <v>33</v>
      </c>
      <c r="D628" s="39">
        <v>1024</v>
      </c>
      <c r="E628" s="39">
        <v>0.96</v>
      </c>
      <c r="F628" s="39">
        <v>279.95</v>
      </c>
      <c r="G628" s="39">
        <v>90</v>
      </c>
      <c r="H628" s="39" t="s">
        <v>49</v>
      </c>
      <c r="I628" s="44" t="s">
        <v>169</v>
      </c>
      <c r="J628" s="33" t="s">
        <v>68</v>
      </c>
      <c r="K628" s="39" t="str">
        <f t="shared" si="9"/>
        <v>Flat 12</v>
      </c>
    </row>
    <row r="629" spans="3:11" x14ac:dyDescent="0.2">
      <c r="C629" s="39" t="s">
        <v>33</v>
      </c>
      <c r="D629" s="39">
        <v>1106</v>
      </c>
      <c r="E629" s="39">
        <v>0.66</v>
      </c>
      <c r="F629" s="39">
        <v>279.95</v>
      </c>
      <c r="G629" s="39">
        <v>90</v>
      </c>
      <c r="H629" s="39" t="s">
        <v>49</v>
      </c>
      <c r="I629" s="44" t="s">
        <v>170</v>
      </c>
      <c r="J629" s="33" t="s">
        <v>68</v>
      </c>
      <c r="K629" s="39" t="str">
        <f t="shared" si="9"/>
        <v>Flat 12</v>
      </c>
    </row>
    <row r="630" spans="3:11" x14ac:dyDescent="0.2">
      <c r="C630" s="39" t="s">
        <v>33</v>
      </c>
      <c r="D630" s="39">
        <v>1110</v>
      </c>
      <c r="E630" s="39">
        <v>1.1399999999999999</v>
      </c>
      <c r="F630" s="39">
        <v>279.95</v>
      </c>
      <c r="G630" s="39">
        <v>90</v>
      </c>
      <c r="H630" s="39" t="s">
        <v>49</v>
      </c>
      <c r="I630" s="44" t="s">
        <v>170</v>
      </c>
      <c r="J630" s="33" t="s">
        <v>68</v>
      </c>
      <c r="K630" s="39" t="str">
        <f t="shared" si="9"/>
        <v>Flat 12</v>
      </c>
    </row>
    <row r="631" spans="3:11" x14ac:dyDescent="0.2">
      <c r="C631" s="39" t="s">
        <v>33</v>
      </c>
      <c r="D631" s="39">
        <v>1106</v>
      </c>
      <c r="E631" s="39">
        <v>0.66</v>
      </c>
      <c r="F631" s="39">
        <v>279.95</v>
      </c>
      <c r="G631" s="39">
        <v>90</v>
      </c>
      <c r="H631" s="39" t="s">
        <v>49</v>
      </c>
      <c r="I631" s="44" t="s">
        <v>171</v>
      </c>
      <c r="J631" s="33" t="s">
        <v>68</v>
      </c>
      <c r="K631" s="39" t="str">
        <f t="shared" si="9"/>
        <v>Flat 12</v>
      </c>
    </row>
    <row r="632" spans="3:11" x14ac:dyDescent="0.2">
      <c r="C632" s="39" t="s">
        <v>33</v>
      </c>
      <c r="D632" s="39">
        <v>1110</v>
      </c>
      <c r="E632" s="39">
        <v>1.1399999999999999</v>
      </c>
      <c r="F632" s="39">
        <v>279.95</v>
      </c>
      <c r="G632" s="39">
        <v>90</v>
      </c>
      <c r="H632" s="39" t="s">
        <v>49</v>
      </c>
      <c r="I632" s="44" t="s">
        <v>171</v>
      </c>
      <c r="J632" s="33" t="s">
        <v>68</v>
      </c>
      <c r="K632" s="39" t="str">
        <f t="shared" si="9"/>
        <v>Flat 12</v>
      </c>
    </row>
    <row r="633" spans="3:11" x14ac:dyDescent="0.2">
      <c r="C633" s="39" t="s">
        <v>33</v>
      </c>
      <c r="D633" s="39">
        <v>1020</v>
      </c>
      <c r="E633" s="39">
        <v>0.59</v>
      </c>
      <c r="F633" s="39">
        <v>279.95</v>
      </c>
      <c r="G633" s="39">
        <v>90</v>
      </c>
      <c r="H633" s="39" t="s">
        <v>49</v>
      </c>
      <c r="I633" s="44" t="s">
        <v>172</v>
      </c>
      <c r="J633" s="33" t="s">
        <v>68</v>
      </c>
      <c r="K633" s="39" t="str">
        <f t="shared" si="9"/>
        <v>Flat 17</v>
      </c>
    </row>
    <row r="634" spans="3:11" x14ac:dyDescent="0.2">
      <c r="C634" s="39" t="s">
        <v>33</v>
      </c>
      <c r="D634" s="39">
        <v>1021</v>
      </c>
      <c r="E634" s="39">
        <v>0.6</v>
      </c>
      <c r="F634" s="39">
        <v>279.95</v>
      </c>
      <c r="G634" s="39">
        <v>90</v>
      </c>
      <c r="H634" s="39" t="s">
        <v>49</v>
      </c>
      <c r="I634" s="44" t="s">
        <v>172</v>
      </c>
      <c r="J634" s="33" t="s">
        <v>68</v>
      </c>
      <c r="K634" s="39" t="str">
        <f t="shared" si="9"/>
        <v>Flat 17</v>
      </c>
    </row>
    <row r="635" spans="3:11" x14ac:dyDescent="0.2">
      <c r="C635" s="39" t="s">
        <v>33</v>
      </c>
      <c r="D635" s="39">
        <v>1022</v>
      </c>
      <c r="E635" s="39">
        <v>2.14</v>
      </c>
      <c r="F635" s="39">
        <v>279.95</v>
      </c>
      <c r="G635" s="39">
        <v>90</v>
      </c>
      <c r="H635" s="39" t="s">
        <v>49</v>
      </c>
      <c r="I635" s="44" t="s">
        <v>172</v>
      </c>
      <c r="J635" s="33" t="s">
        <v>68</v>
      </c>
      <c r="K635" s="39" t="str">
        <f t="shared" si="9"/>
        <v>Flat 17</v>
      </c>
    </row>
    <row r="636" spans="3:11" x14ac:dyDescent="0.2">
      <c r="C636" s="39" t="s">
        <v>33</v>
      </c>
      <c r="D636" s="39">
        <v>1023</v>
      </c>
      <c r="E636" s="39">
        <v>0.95</v>
      </c>
      <c r="F636" s="39">
        <v>279.95</v>
      </c>
      <c r="G636" s="39">
        <v>90</v>
      </c>
      <c r="H636" s="39" t="s">
        <v>49</v>
      </c>
      <c r="I636" s="44" t="s">
        <v>172</v>
      </c>
      <c r="J636" s="33" t="s">
        <v>68</v>
      </c>
      <c r="K636" s="39" t="str">
        <f t="shared" si="9"/>
        <v>Flat 17</v>
      </c>
    </row>
    <row r="637" spans="3:11" x14ac:dyDescent="0.2">
      <c r="C637" s="39" t="s">
        <v>33</v>
      </c>
      <c r="D637" s="39">
        <v>1024</v>
      </c>
      <c r="E637" s="39">
        <v>0.96</v>
      </c>
      <c r="F637" s="39">
        <v>279.95</v>
      </c>
      <c r="G637" s="39">
        <v>90</v>
      </c>
      <c r="H637" s="39" t="s">
        <v>49</v>
      </c>
      <c r="I637" s="44" t="s">
        <v>172</v>
      </c>
      <c r="J637" s="33" t="s">
        <v>68</v>
      </c>
      <c r="K637" s="39" t="str">
        <f t="shared" si="9"/>
        <v>Flat 17</v>
      </c>
    </row>
    <row r="638" spans="3:11" x14ac:dyDescent="0.2">
      <c r="C638" s="39" t="s">
        <v>33</v>
      </c>
      <c r="D638" s="39">
        <v>1106</v>
      </c>
      <c r="E638" s="39">
        <v>0.66</v>
      </c>
      <c r="F638" s="39">
        <v>99.95</v>
      </c>
      <c r="G638" s="39">
        <v>90</v>
      </c>
      <c r="H638" s="39" t="s">
        <v>48</v>
      </c>
      <c r="I638" s="44" t="s">
        <v>173</v>
      </c>
      <c r="J638" s="33" t="s">
        <v>68</v>
      </c>
      <c r="K638" s="39" t="str">
        <f t="shared" si="9"/>
        <v>Flat 17</v>
      </c>
    </row>
    <row r="639" spans="3:11" x14ac:dyDescent="0.2">
      <c r="C639" s="39" t="s">
        <v>33</v>
      </c>
      <c r="D639" s="39">
        <v>1110</v>
      </c>
      <c r="E639" s="39">
        <v>1.1399999999999999</v>
      </c>
      <c r="F639" s="39">
        <v>99.95</v>
      </c>
      <c r="G639" s="39">
        <v>90</v>
      </c>
      <c r="H639" s="39" t="s">
        <v>48</v>
      </c>
      <c r="I639" s="44" t="s">
        <v>173</v>
      </c>
      <c r="J639" s="33" t="s">
        <v>68</v>
      </c>
      <c r="K639" s="39" t="str">
        <f t="shared" si="9"/>
        <v>Flat 17</v>
      </c>
    </row>
    <row r="640" spans="3:11" x14ac:dyDescent="0.2">
      <c r="C640" s="39" t="s">
        <v>33</v>
      </c>
      <c r="D640" s="39">
        <v>1106</v>
      </c>
      <c r="E640" s="39">
        <v>0.66</v>
      </c>
      <c r="F640" s="39">
        <v>99.95</v>
      </c>
      <c r="G640" s="39">
        <v>90</v>
      </c>
      <c r="H640" s="39" t="s">
        <v>48</v>
      </c>
      <c r="I640" s="44" t="s">
        <v>174</v>
      </c>
      <c r="J640" s="33" t="s">
        <v>68</v>
      </c>
      <c r="K640" s="39" t="str">
        <f t="shared" si="9"/>
        <v>Flat 17</v>
      </c>
    </row>
    <row r="641" spans="3:11" x14ac:dyDescent="0.2">
      <c r="C641" s="39" t="s">
        <v>33</v>
      </c>
      <c r="D641" s="39">
        <v>1110</v>
      </c>
      <c r="E641" s="39">
        <v>1.1399999999999999</v>
      </c>
      <c r="F641" s="39">
        <v>99.95</v>
      </c>
      <c r="G641" s="39">
        <v>90</v>
      </c>
      <c r="H641" s="39" t="s">
        <v>48</v>
      </c>
      <c r="I641" s="44" t="s">
        <v>174</v>
      </c>
      <c r="J641" s="33" t="s">
        <v>68</v>
      </c>
      <c r="K641" s="39" t="str">
        <f t="shared" si="9"/>
        <v>Flat 17</v>
      </c>
    </row>
    <row r="642" spans="3:11" x14ac:dyDescent="0.2">
      <c r="C642" s="39" t="s">
        <v>33</v>
      </c>
      <c r="D642" s="39">
        <v>1080</v>
      </c>
      <c r="E642" s="39">
        <v>0.91</v>
      </c>
      <c r="F642" s="39">
        <v>189.95</v>
      </c>
      <c r="G642" s="39">
        <v>90</v>
      </c>
      <c r="H642" s="39" t="s">
        <v>42</v>
      </c>
      <c r="I642" s="44" t="s">
        <v>175</v>
      </c>
      <c r="J642" s="33" t="s">
        <v>68</v>
      </c>
      <c r="K642" s="39" t="str">
        <f t="shared" si="9"/>
        <v>Flat 17</v>
      </c>
    </row>
    <row r="643" spans="3:11" x14ac:dyDescent="0.2">
      <c r="C643" s="39" t="s">
        <v>33</v>
      </c>
      <c r="D643" s="39">
        <v>1081</v>
      </c>
      <c r="E643" s="39">
        <v>0.53</v>
      </c>
      <c r="F643" s="39">
        <v>189.95</v>
      </c>
      <c r="G643" s="39">
        <v>90</v>
      </c>
      <c r="H643" s="39" t="s">
        <v>42</v>
      </c>
      <c r="I643" s="44" t="s">
        <v>175</v>
      </c>
      <c r="J643" s="33" t="s">
        <v>68</v>
      </c>
      <c r="K643" s="39" t="str">
        <f t="shared" si="9"/>
        <v>Flat 17</v>
      </c>
    </row>
    <row r="644" spans="3:11" x14ac:dyDescent="0.2">
      <c r="C644" s="39" t="s">
        <v>33</v>
      </c>
      <c r="D644" s="39">
        <v>1020</v>
      </c>
      <c r="E644" s="39">
        <v>0.59</v>
      </c>
      <c r="F644" s="39">
        <v>99.95</v>
      </c>
      <c r="G644" s="39">
        <v>90</v>
      </c>
      <c r="H644" s="39" t="s">
        <v>48</v>
      </c>
      <c r="I644" s="44" t="s">
        <v>176</v>
      </c>
      <c r="J644" s="33" t="s">
        <v>68</v>
      </c>
      <c r="K644" s="39" t="str">
        <f t="shared" si="9"/>
        <v>Flat 16</v>
      </c>
    </row>
    <row r="645" spans="3:11" x14ac:dyDescent="0.2">
      <c r="C645" s="39" t="s">
        <v>33</v>
      </c>
      <c r="D645" s="39">
        <v>1021</v>
      </c>
      <c r="E645" s="39">
        <v>0.6</v>
      </c>
      <c r="F645" s="39">
        <v>99.95</v>
      </c>
      <c r="G645" s="39">
        <v>90</v>
      </c>
      <c r="H645" s="39" t="s">
        <v>48</v>
      </c>
      <c r="I645" s="44" t="s">
        <v>176</v>
      </c>
      <c r="J645" s="33" t="s">
        <v>68</v>
      </c>
      <c r="K645" s="39" t="str">
        <f t="shared" si="9"/>
        <v>Flat 16</v>
      </c>
    </row>
    <row r="646" spans="3:11" x14ac:dyDescent="0.2">
      <c r="C646" s="39" t="s">
        <v>33</v>
      </c>
      <c r="D646" s="39">
        <v>1022</v>
      </c>
      <c r="E646" s="39">
        <v>2.14</v>
      </c>
      <c r="F646" s="39">
        <v>99.95</v>
      </c>
      <c r="G646" s="39">
        <v>90</v>
      </c>
      <c r="H646" s="39" t="s">
        <v>48</v>
      </c>
      <c r="I646" s="44" t="s">
        <v>176</v>
      </c>
      <c r="J646" s="33" t="s">
        <v>68</v>
      </c>
      <c r="K646" s="39" t="str">
        <f t="shared" si="9"/>
        <v>Flat 16</v>
      </c>
    </row>
    <row r="647" spans="3:11" x14ac:dyDescent="0.2">
      <c r="C647" s="39" t="s">
        <v>33</v>
      </c>
      <c r="D647" s="39">
        <v>1023</v>
      </c>
      <c r="E647" s="39">
        <v>0.95</v>
      </c>
      <c r="F647" s="39">
        <v>99.95</v>
      </c>
      <c r="G647" s="39">
        <v>90</v>
      </c>
      <c r="H647" s="39" t="s">
        <v>48</v>
      </c>
      <c r="I647" s="44" t="s">
        <v>176</v>
      </c>
      <c r="J647" s="33" t="s">
        <v>68</v>
      </c>
      <c r="K647" s="39" t="str">
        <f t="shared" ref="K647:K710" si="10">LEFT(I647,7)</f>
        <v>Flat 16</v>
      </c>
    </row>
    <row r="648" spans="3:11" x14ac:dyDescent="0.2">
      <c r="C648" s="39" t="s">
        <v>33</v>
      </c>
      <c r="D648" s="39">
        <v>1024</v>
      </c>
      <c r="E648" s="39">
        <v>0.96</v>
      </c>
      <c r="F648" s="39">
        <v>99.95</v>
      </c>
      <c r="G648" s="39">
        <v>90</v>
      </c>
      <c r="H648" s="39" t="s">
        <v>48</v>
      </c>
      <c r="I648" s="44" t="s">
        <v>176</v>
      </c>
      <c r="J648" s="33" t="s">
        <v>68</v>
      </c>
      <c r="K648" s="39" t="str">
        <f t="shared" si="10"/>
        <v>Flat 16</v>
      </c>
    </row>
    <row r="649" spans="3:11" x14ac:dyDescent="0.2">
      <c r="C649" s="39" t="s">
        <v>33</v>
      </c>
      <c r="D649" s="39">
        <v>1106</v>
      </c>
      <c r="E649" s="39">
        <v>0.66</v>
      </c>
      <c r="F649" s="39">
        <v>99.95</v>
      </c>
      <c r="G649" s="39">
        <v>90</v>
      </c>
      <c r="H649" s="39" t="s">
        <v>48</v>
      </c>
      <c r="I649" s="44" t="s">
        <v>177</v>
      </c>
      <c r="J649" s="33" t="s">
        <v>68</v>
      </c>
      <c r="K649" s="39" t="str">
        <f t="shared" si="10"/>
        <v>Flat 16</v>
      </c>
    </row>
    <row r="650" spans="3:11" x14ac:dyDescent="0.2">
      <c r="C650" s="39" t="s">
        <v>33</v>
      </c>
      <c r="D650" s="39">
        <v>1110</v>
      </c>
      <c r="E650" s="39">
        <v>1.1399999999999999</v>
      </c>
      <c r="F650" s="39">
        <v>99.95</v>
      </c>
      <c r="G650" s="39">
        <v>90</v>
      </c>
      <c r="H650" s="39" t="s">
        <v>48</v>
      </c>
      <c r="I650" s="44" t="s">
        <v>177</v>
      </c>
      <c r="J650" s="33" t="s">
        <v>68</v>
      </c>
      <c r="K650" s="39" t="str">
        <f t="shared" si="10"/>
        <v>Flat 16</v>
      </c>
    </row>
    <row r="651" spans="3:11" x14ac:dyDescent="0.2">
      <c r="C651" s="39" t="s">
        <v>33</v>
      </c>
      <c r="D651" s="39">
        <v>1080</v>
      </c>
      <c r="E651" s="39">
        <v>0.91</v>
      </c>
      <c r="F651" s="39">
        <v>67</v>
      </c>
      <c r="G651" s="39">
        <v>90</v>
      </c>
      <c r="H651" s="39" t="s">
        <v>77</v>
      </c>
      <c r="I651" s="44" t="s">
        <v>178</v>
      </c>
      <c r="J651" s="33" t="s">
        <v>68</v>
      </c>
      <c r="K651" s="39" t="str">
        <f t="shared" si="10"/>
        <v>Flat 14</v>
      </c>
    </row>
    <row r="652" spans="3:11" x14ac:dyDescent="0.2">
      <c r="C652" s="39" t="s">
        <v>33</v>
      </c>
      <c r="D652" s="39">
        <v>1081</v>
      </c>
      <c r="E652" s="39">
        <v>0.53</v>
      </c>
      <c r="F652" s="39">
        <v>67</v>
      </c>
      <c r="G652" s="39">
        <v>90</v>
      </c>
      <c r="H652" s="39" t="s">
        <v>77</v>
      </c>
      <c r="I652" s="44" t="s">
        <v>178</v>
      </c>
      <c r="J652" s="33" t="s">
        <v>68</v>
      </c>
      <c r="K652" s="39" t="str">
        <f t="shared" si="10"/>
        <v>Flat 14</v>
      </c>
    </row>
    <row r="653" spans="3:11" x14ac:dyDescent="0.2">
      <c r="C653" s="39" t="s">
        <v>33</v>
      </c>
      <c r="D653" s="39">
        <v>1106</v>
      </c>
      <c r="E653" s="39">
        <v>0.66</v>
      </c>
      <c r="F653" s="39">
        <v>337</v>
      </c>
      <c r="G653" s="39">
        <v>90</v>
      </c>
      <c r="H653" s="39" t="s">
        <v>74</v>
      </c>
      <c r="I653" s="44" t="s">
        <v>179</v>
      </c>
      <c r="J653" s="33" t="s">
        <v>68</v>
      </c>
      <c r="K653" s="39" t="str">
        <f t="shared" si="10"/>
        <v>Flat 14</v>
      </c>
    </row>
    <row r="654" spans="3:11" x14ac:dyDescent="0.2">
      <c r="C654" s="39" t="s">
        <v>33</v>
      </c>
      <c r="D654" s="39">
        <v>1110</v>
      </c>
      <c r="E654" s="39">
        <v>1.1399999999999999</v>
      </c>
      <c r="F654" s="39">
        <v>337</v>
      </c>
      <c r="G654" s="39">
        <v>90</v>
      </c>
      <c r="H654" s="39" t="s">
        <v>74</v>
      </c>
      <c r="I654" s="44" t="s">
        <v>179</v>
      </c>
      <c r="J654" s="33" t="s">
        <v>68</v>
      </c>
      <c r="K654" s="39" t="str">
        <f t="shared" si="10"/>
        <v>Flat 14</v>
      </c>
    </row>
    <row r="655" spans="3:11" x14ac:dyDescent="0.2">
      <c r="C655" s="39" t="s">
        <v>33</v>
      </c>
      <c r="D655" s="39">
        <v>1080</v>
      </c>
      <c r="E655" s="39">
        <v>0.91</v>
      </c>
      <c r="F655" s="39">
        <v>67</v>
      </c>
      <c r="G655" s="39">
        <v>90</v>
      </c>
      <c r="H655" s="39" t="s">
        <v>77</v>
      </c>
      <c r="I655" s="44" t="s">
        <v>180</v>
      </c>
      <c r="J655" s="33" t="s">
        <v>68</v>
      </c>
      <c r="K655" s="39" t="str">
        <f t="shared" si="10"/>
        <v>Flat 14</v>
      </c>
    </row>
    <row r="656" spans="3:11" x14ac:dyDescent="0.2">
      <c r="C656" s="39" t="s">
        <v>33</v>
      </c>
      <c r="D656" s="39">
        <v>1081</v>
      </c>
      <c r="E656" s="39">
        <v>0.53</v>
      </c>
      <c r="F656" s="39">
        <v>67</v>
      </c>
      <c r="G656" s="39">
        <v>90</v>
      </c>
      <c r="H656" s="39" t="s">
        <v>77</v>
      </c>
      <c r="I656" s="44" t="s">
        <v>180</v>
      </c>
      <c r="J656" s="33" t="s">
        <v>68</v>
      </c>
      <c r="K656" s="39" t="str">
        <f t="shared" si="10"/>
        <v>Flat 14</v>
      </c>
    </row>
    <row r="657" spans="3:11" x14ac:dyDescent="0.2">
      <c r="C657" s="39" t="s">
        <v>33</v>
      </c>
      <c r="D657" s="39">
        <v>1020</v>
      </c>
      <c r="E657" s="39">
        <v>0.59</v>
      </c>
      <c r="F657" s="39">
        <v>337</v>
      </c>
      <c r="G657" s="39">
        <v>90</v>
      </c>
      <c r="H657" s="39" t="s">
        <v>74</v>
      </c>
      <c r="I657" s="44" t="s">
        <v>181</v>
      </c>
      <c r="J657" s="33" t="s">
        <v>68</v>
      </c>
      <c r="K657" s="39" t="str">
        <f t="shared" si="10"/>
        <v>Flat 14</v>
      </c>
    </row>
    <row r="658" spans="3:11" x14ac:dyDescent="0.2">
      <c r="C658" s="39" t="s">
        <v>33</v>
      </c>
      <c r="D658" s="39">
        <v>1021</v>
      </c>
      <c r="E658" s="39">
        <v>0.6</v>
      </c>
      <c r="F658" s="39">
        <v>337</v>
      </c>
      <c r="G658" s="39">
        <v>90</v>
      </c>
      <c r="H658" s="39" t="s">
        <v>74</v>
      </c>
      <c r="I658" s="44" t="s">
        <v>181</v>
      </c>
      <c r="J658" s="33" t="s">
        <v>68</v>
      </c>
      <c r="K658" s="39" t="str">
        <f t="shared" si="10"/>
        <v>Flat 14</v>
      </c>
    </row>
    <row r="659" spans="3:11" x14ac:dyDescent="0.2">
      <c r="C659" s="39" t="s">
        <v>33</v>
      </c>
      <c r="D659" s="39">
        <v>1022</v>
      </c>
      <c r="E659" s="39">
        <v>2.14</v>
      </c>
      <c r="F659" s="39">
        <v>337</v>
      </c>
      <c r="G659" s="39">
        <v>90</v>
      </c>
      <c r="H659" s="39" t="s">
        <v>74</v>
      </c>
      <c r="I659" s="44" t="s">
        <v>181</v>
      </c>
      <c r="J659" s="33" t="s">
        <v>68</v>
      </c>
      <c r="K659" s="39" t="str">
        <f t="shared" si="10"/>
        <v>Flat 14</v>
      </c>
    </row>
    <row r="660" spans="3:11" x14ac:dyDescent="0.2">
      <c r="C660" s="39" t="s">
        <v>33</v>
      </c>
      <c r="D660" s="39">
        <v>1023</v>
      </c>
      <c r="E660" s="39">
        <v>0.95</v>
      </c>
      <c r="F660" s="39">
        <v>337</v>
      </c>
      <c r="G660" s="39">
        <v>90</v>
      </c>
      <c r="H660" s="39" t="s">
        <v>74</v>
      </c>
      <c r="I660" s="44" t="s">
        <v>181</v>
      </c>
      <c r="J660" s="33" t="s">
        <v>68</v>
      </c>
      <c r="K660" s="39" t="str">
        <f t="shared" si="10"/>
        <v>Flat 14</v>
      </c>
    </row>
    <row r="661" spans="3:11" x14ac:dyDescent="0.2">
      <c r="C661" s="39" t="s">
        <v>33</v>
      </c>
      <c r="D661" s="39">
        <v>1024</v>
      </c>
      <c r="E661" s="39">
        <v>0.96</v>
      </c>
      <c r="F661" s="39">
        <v>337</v>
      </c>
      <c r="G661" s="39">
        <v>90</v>
      </c>
      <c r="H661" s="39" t="s">
        <v>74</v>
      </c>
      <c r="I661" s="44" t="s">
        <v>181</v>
      </c>
      <c r="J661" s="33" t="s">
        <v>68</v>
      </c>
      <c r="K661" s="39" t="str">
        <f t="shared" si="10"/>
        <v>Flat 14</v>
      </c>
    </row>
    <row r="662" spans="3:11" x14ac:dyDescent="0.2">
      <c r="C662" s="39" t="s">
        <v>33</v>
      </c>
      <c r="D662" s="39">
        <v>1106</v>
      </c>
      <c r="E662" s="39">
        <v>0.66</v>
      </c>
      <c r="F662" s="39">
        <v>337</v>
      </c>
      <c r="G662" s="39">
        <v>90</v>
      </c>
      <c r="H662" s="39" t="s">
        <v>74</v>
      </c>
      <c r="I662" s="44" t="s">
        <v>182</v>
      </c>
      <c r="J662" s="33" t="s">
        <v>68</v>
      </c>
      <c r="K662" s="39" t="str">
        <f t="shared" si="10"/>
        <v>Flat 14</v>
      </c>
    </row>
    <row r="663" spans="3:11" x14ac:dyDescent="0.2">
      <c r="C663" s="39" t="s">
        <v>33</v>
      </c>
      <c r="D663" s="39">
        <v>1110</v>
      </c>
      <c r="E663" s="39">
        <v>1.1399999999999999</v>
      </c>
      <c r="F663" s="39">
        <v>337</v>
      </c>
      <c r="G663" s="39">
        <v>90</v>
      </c>
      <c r="H663" s="39" t="s">
        <v>74</v>
      </c>
      <c r="I663" s="44" t="s">
        <v>182</v>
      </c>
      <c r="J663" s="33" t="s">
        <v>68</v>
      </c>
      <c r="K663" s="39" t="str">
        <f t="shared" si="10"/>
        <v>Flat 14</v>
      </c>
    </row>
    <row r="664" spans="3:11" x14ac:dyDescent="0.2">
      <c r="C664" s="39" t="s">
        <v>33</v>
      </c>
      <c r="D664" s="39">
        <v>1020</v>
      </c>
      <c r="E664" s="39">
        <v>0.59</v>
      </c>
      <c r="F664" s="39">
        <v>279.95</v>
      </c>
      <c r="G664" s="39">
        <v>90</v>
      </c>
      <c r="H664" s="39" t="s">
        <v>49</v>
      </c>
      <c r="I664" s="44" t="s">
        <v>183</v>
      </c>
      <c r="J664" s="33" t="s">
        <v>68</v>
      </c>
      <c r="K664" s="39" t="str">
        <f t="shared" si="10"/>
        <v>Flat 11</v>
      </c>
    </row>
    <row r="665" spans="3:11" x14ac:dyDescent="0.2">
      <c r="C665" s="39" t="s">
        <v>33</v>
      </c>
      <c r="D665" s="39">
        <v>1021</v>
      </c>
      <c r="E665" s="39">
        <v>0.6</v>
      </c>
      <c r="F665" s="39">
        <v>279.95</v>
      </c>
      <c r="G665" s="39">
        <v>90</v>
      </c>
      <c r="H665" s="39" t="s">
        <v>49</v>
      </c>
      <c r="I665" s="44" t="s">
        <v>183</v>
      </c>
      <c r="J665" s="33" t="s">
        <v>68</v>
      </c>
      <c r="K665" s="39" t="str">
        <f t="shared" si="10"/>
        <v>Flat 11</v>
      </c>
    </row>
    <row r="666" spans="3:11" x14ac:dyDescent="0.2">
      <c r="C666" s="39" t="s">
        <v>33</v>
      </c>
      <c r="D666" s="39">
        <v>1022</v>
      </c>
      <c r="E666" s="39">
        <v>2.14</v>
      </c>
      <c r="F666" s="39">
        <v>279.95</v>
      </c>
      <c r="G666" s="39">
        <v>90</v>
      </c>
      <c r="H666" s="39" t="s">
        <v>49</v>
      </c>
      <c r="I666" s="44" t="s">
        <v>183</v>
      </c>
      <c r="J666" s="33" t="s">
        <v>68</v>
      </c>
      <c r="K666" s="39" t="str">
        <f t="shared" si="10"/>
        <v>Flat 11</v>
      </c>
    </row>
    <row r="667" spans="3:11" x14ac:dyDescent="0.2">
      <c r="C667" s="39" t="s">
        <v>33</v>
      </c>
      <c r="D667" s="39">
        <v>1023</v>
      </c>
      <c r="E667" s="39">
        <v>0.95</v>
      </c>
      <c r="F667" s="39">
        <v>279.95</v>
      </c>
      <c r="G667" s="39">
        <v>90</v>
      </c>
      <c r="H667" s="39" t="s">
        <v>49</v>
      </c>
      <c r="I667" s="44" t="s">
        <v>183</v>
      </c>
      <c r="J667" s="33" t="s">
        <v>68</v>
      </c>
      <c r="K667" s="39" t="str">
        <f t="shared" si="10"/>
        <v>Flat 11</v>
      </c>
    </row>
    <row r="668" spans="3:11" x14ac:dyDescent="0.2">
      <c r="C668" s="39" t="s">
        <v>33</v>
      </c>
      <c r="D668" s="39">
        <v>1024</v>
      </c>
      <c r="E668" s="39">
        <v>0.96</v>
      </c>
      <c r="F668" s="39">
        <v>279.95</v>
      </c>
      <c r="G668" s="39">
        <v>90</v>
      </c>
      <c r="H668" s="39" t="s">
        <v>49</v>
      </c>
      <c r="I668" s="44" t="s">
        <v>183</v>
      </c>
      <c r="J668" s="33" t="s">
        <v>68</v>
      </c>
      <c r="K668" s="39" t="str">
        <f t="shared" si="10"/>
        <v>Flat 11</v>
      </c>
    </row>
    <row r="669" spans="3:11" x14ac:dyDescent="0.2">
      <c r="C669" s="39" t="s">
        <v>33</v>
      </c>
      <c r="D669" s="39">
        <v>1106</v>
      </c>
      <c r="E669" s="39">
        <v>0.66</v>
      </c>
      <c r="F669" s="39">
        <v>99.95</v>
      </c>
      <c r="G669" s="39">
        <v>90</v>
      </c>
      <c r="H669" s="39" t="s">
        <v>48</v>
      </c>
      <c r="I669" s="44" t="s">
        <v>184</v>
      </c>
      <c r="J669" s="33" t="s">
        <v>68</v>
      </c>
      <c r="K669" s="39" t="str">
        <f t="shared" si="10"/>
        <v>Flat 11</v>
      </c>
    </row>
    <row r="670" spans="3:11" x14ac:dyDescent="0.2">
      <c r="C670" s="39" t="s">
        <v>33</v>
      </c>
      <c r="D670" s="39">
        <v>1110</v>
      </c>
      <c r="E670" s="39">
        <v>1.1399999999999999</v>
      </c>
      <c r="F670" s="39">
        <v>99.95</v>
      </c>
      <c r="G670" s="39">
        <v>90</v>
      </c>
      <c r="H670" s="39" t="s">
        <v>48</v>
      </c>
      <c r="I670" s="44" t="s">
        <v>184</v>
      </c>
      <c r="J670" s="33" t="s">
        <v>68</v>
      </c>
      <c r="K670" s="39" t="str">
        <f t="shared" si="10"/>
        <v>Flat 11</v>
      </c>
    </row>
    <row r="671" spans="3:11" x14ac:dyDescent="0.2">
      <c r="C671" s="39" t="s">
        <v>33</v>
      </c>
      <c r="D671" s="39">
        <v>1106</v>
      </c>
      <c r="E671" s="39">
        <v>0.66</v>
      </c>
      <c r="F671" s="39">
        <v>99.95</v>
      </c>
      <c r="G671" s="39">
        <v>90</v>
      </c>
      <c r="H671" s="39" t="s">
        <v>48</v>
      </c>
      <c r="I671" s="44" t="s">
        <v>185</v>
      </c>
      <c r="J671" s="33" t="s">
        <v>68</v>
      </c>
      <c r="K671" s="39" t="str">
        <f t="shared" si="10"/>
        <v>Flat 11</v>
      </c>
    </row>
    <row r="672" spans="3:11" x14ac:dyDescent="0.2">
      <c r="C672" s="39" t="s">
        <v>33</v>
      </c>
      <c r="D672" s="39">
        <v>1110</v>
      </c>
      <c r="E672" s="39">
        <v>1.1399999999999999</v>
      </c>
      <c r="F672" s="39">
        <v>99.95</v>
      </c>
      <c r="G672" s="39">
        <v>90</v>
      </c>
      <c r="H672" s="39" t="s">
        <v>48</v>
      </c>
      <c r="I672" s="44" t="s">
        <v>185</v>
      </c>
      <c r="J672" s="33" t="s">
        <v>68</v>
      </c>
      <c r="K672" s="39" t="str">
        <f t="shared" si="10"/>
        <v>Flat 11</v>
      </c>
    </row>
    <row r="673" spans="3:11" x14ac:dyDescent="0.2">
      <c r="C673" s="39" t="s">
        <v>33</v>
      </c>
      <c r="D673" s="39">
        <v>1080</v>
      </c>
      <c r="E673" s="39">
        <v>0.91</v>
      </c>
      <c r="F673" s="39">
        <v>189.95</v>
      </c>
      <c r="G673" s="39">
        <v>90</v>
      </c>
      <c r="H673" s="39" t="s">
        <v>42</v>
      </c>
      <c r="I673" s="44" t="s">
        <v>186</v>
      </c>
      <c r="J673" s="33" t="s">
        <v>68</v>
      </c>
      <c r="K673" s="39" t="str">
        <f t="shared" si="10"/>
        <v>Flat 11</v>
      </c>
    </row>
    <row r="674" spans="3:11" x14ac:dyDescent="0.2">
      <c r="C674" s="39" t="s">
        <v>33</v>
      </c>
      <c r="D674" s="39">
        <v>1081</v>
      </c>
      <c r="E674" s="39">
        <v>0.53</v>
      </c>
      <c r="F674" s="39">
        <v>189.95</v>
      </c>
      <c r="G674" s="39">
        <v>90</v>
      </c>
      <c r="H674" s="39" t="s">
        <v>42</v>
      </c>
      <c r="I674" s="44" t="s">
        <v>186</v>
      </c>
      <c r="J674" s="33" t="s">
        <v>68</v>
      </c>
      <c r="K674" s="39" t="str">
        <f t="shared" si="10"/>
        <v>Flat 11</v>
      </c>
    </row>
    <row r="675" spans="3:11" x14ac:dyDescent="0.2">
      <c r="C675" s="39" t="s">
        <v>33</v>
      </c>
      <c r="D675" s="39">
        <v>1080</v>
      </c>
      <c r="E675" s="39">
        <v>0.91</v>
      </c>
      <c r="F675" s="39">
        <v>67</v>
      </c>
      <c r="G675" s="39">
        <v>90</v>
      </c>
      <c r="H675" s="39" t="s">
        <v>77</v>
      </c>
      <c r="I675" s="44" t="s">
        <v>187</v>
      </c>
      <c r="J675" s="33" t="s">
        <v>68</v>
      </c>
      <c r="K675" s="39" t="str">
        <f t="shared" si="10"/>
        <v>Flat 08</v>
      </c>
    </row>
    <row r="676" spans="3:11" x14ac:dyDescent="0.2">
      <c r="C676" s="39" t="s">
        <v>33</v>
      </c>
      <c r="D676" s="39">
        <v>1081</v>
      </c>
      <c r="E676" s="39">
        <v>0.53</v>
      </c>
      <c r="F676" s="39">
        <v>67</v>
      </c>
      <c r="G676" s="39">
        <v>90</v>
      </c>
      <c r="H676" s="39" t="s">
        <v>77</v>
      </c>
      <c r="I676" s="44" t="s">
        <v>187</v>
      </c>
      <c r="J676" s="33" t="s">
        <v>68</v>
      </c>
      <c r="K676" s="39" t="str">
        <f t="shared" si="10"/>
        <v>Flat 08</v>
      </c>
    </row>
    <row r="677" spans="3:11" x14ac:dyDescent="0.2">
      <c r="C677" s="39" t="s">
        <v>33</v>
      </c>
      <c r="D677" s="39">
        <v>1106</v>
      </c>
      <c r="E677" s="39">
        <v>0.66</v>
      </c>
      <c r="F677" s="39">
        <v>337</v>
      </c>
      <c r="G677" s="39">
        <v>90</v>
      </c>
      <c r="H677" s="39" t="s">
        <v>74</v>
      </c>
      <c r="I677" s="44" t="s">
        <v>188</v>
      </c>
      <c r="J677" s="33" t="s">
        <v>68</v>
      </c>
      <c r="K677" s="39" t="str">
        <f t="shared" si="10"/>
        <v>Flat 08</v>
      </c>
    </row>
    <row r="678" spans="3:11" x14ac:dyDescent="0.2">
      <c r="C678" s="39" t="s">
        <v>33</v>
      </c>
      <c r="D678" s="39">
        <v>1110</v>
      </c>
      <c r="E678" s="39">
        <v>1.1399999999999999</v>
      </c>
      <c r="F678" s="39">
        <v>337</v>
      </c>
      <c r="G678" s="39">
        <v>90</v>
      </c>
      <c r="H678" s="39" t="s">
        <v>74</v>
      </c>
      <c r="I678" s="44" t="s">
        <v>188</v>
      </c>
      <c r="J678" s="33" t="s">
        <v>68</v>
      </c>
      <c r="K678" s="39" t="str">
        <f t="shared" si="10"/>
        <v>Flat 08</v>
      </c>
    </row>
    <row r="679" spans="3:11" x14ac:dyDescent="0.2">
      <c r="C679" s="39" t="s">
        <v>33</v>
      </c>
      <c r="D679" s="39">
        <v>1080</v>
      </c>
      <c r="E679" s="39">
        <v>0.91</v>
      </c>
      <c r="F679" s="39">
        <v>67</v>
      </c>
      <c r="G679" s="39">
        <v>90</v>
      </c>
      <c r="H679" s="39" t="s">
        <v>77</v>
      </c>
      <c r="I679" s="44" t="s">
        <v>189</v>
      </c>
      <c r="J679" s="33" t="s">
        <v>68</v>
      </c>
      <c r="K679" s="39" t="str">
        <f t="shared" si="10"/>
        <v>Flat 08</v>
      </c>
    </row>
    <row r="680" spans="3:11" x14ac:dyDescent="0.2">
      <c r="C680" s="39" t="s">
        <v>33</v>
      </c>
      <c r="D680" s="39">
        <v>1081</v>
      </c>
      <c r="E680" s="39">
        <v>0.53</v>
      </c>
      <c r="F680" s="39">
        <v>67</v>
      </c>
      <c r="G680" s="39">
        <v>90</v>
      </c>
      <c r="H680" s="39" t="s">
        <v>77</v>
      </c>
      <c r="I680" s="44" t="s">
        <v>189</v>
      </c>
      <c r="J680" s="33" t="s">
        <v>68</v>
      </c>
      <c r="K680" s="39" t="str">
        <f t="shared" si="10"/>
        <v>Flat 08</v>
      </c>
    </row>
    <row r="681" spans="3:11" x14ac:dyDescent="0.2">
      <c r="C681" s="39" t="s">
        <v>33</v>
      </c>
      <c r="D681" s="39">
        <v>1020</v>
      </c>
      <c r="E681" s="39">
        <v>0.59</v>
      </c>
      <c r="F681" s="39">
        <v>337</v>
      </c>
      <c r="G681" s="39">
        <v>90</v>
      </c>
      <c r="H681" s="39" t="s">
        <v>74</v>
      </c>
      <c r="I681" s="44" t="s">
        <v>190</v>
      </c>
      <c r="J681" s="33" t="s">
        <v>68</v>
      </c>
      <c r="K681" s="39" t="str">
        <f t="shared" si="10"/>
        <v>Flat 08</v>
      </c>
    </row>
    <row r="682" spans="3:11" x14ac:dyDescent="0.2">
      <c r="C682" s="39" t="s">
        <v>33</v>
      </c>
      <c r="D682" s="39">
        <v>1021</v>
      </c>
      <c r="E682" s="39">
        <v>0.6</v>
      </c>
      <c r="F682" s="39">
        <v>337</v>
      </c>
      <c r="G682" s="39">
        <v>90</v>
      </c>
      <c r="H682" s="39" t="s">
        <v>74</v>
      </c>
      <c r="I682" s="44" t="s">
        <v>190</v>
      </c>
      <c r="J682" s="33" t="s">
        <v>68</v>
      </c>
      <c r="K682" s="39" t="str">
        <f t="shared" si="10"/>
        <v>Flat 08</v>
      </c>
    </row>
    <row r="683" spans="3:11" x14ac:dyDescent="0.2">
      <c r="C683" s="39" t="s">
        <v>33</v>
      </c>
      <c r="D683" s="39">
        <v>1022</v>
      </c>
      <c r="E683" s="39">
        <v>2.14</v>
      </c>
      <c r="F683" s="39">
        <v>337</v>
      </c>
      <c r="G683" s="39">
        <v>90</v>
      </c>
      <c r="H683" s="39" t="s">
        <v>74</v>
      </c>
      <c r="I683" s="44" t="s">
        <v>190</v>
      </c>
      <c r="J683" s="33" t="s">
        <v>68</v>
      </c>
      <c r="K683" s="39" t="str">
        <f t="shared" si="10"/>
        <v>Flat 08</v>
      </c>
    </row>
    <row r="684" spans="3:11" x14ac:dyDescent="0.2">
      <c r="C684" s="39" t="s">
        <v>33</v>
      </c>
      <c r="D684" s="39">
        <v>1023</v>
      </c>
      <c r="E684" s="39">
        <v>0.95</v>
      </c>
      <c r="F684" s="39">
        <v>337</v>
      </c>
      <c r="G684" s="39">
        <v>90</v>
      </c>
      <c r="H684" s="39" t="s">
        <v>74</v>
      </c>
      <c r="I684" s="44" t="s">
        <v>190</v>
      </c>
      <c r="J684" s="33" t="s">
        <v>68</v>
      </c>
      <c r="K684" s="39" t="str">
        <f t="shared" si="10"/>
        <v>Flat 08</v>
      </c>
    </row>
    <row r="685" spans="3:11" x14ac:dyDescent="0.2">
      <c r="C685" s="39" t="s">
        <v>33</v>
      </c>
      <c r="D685" s="39">
        <v>1024</v>
      </c>
      <c r="E685" s="39">
        <v>0.96</v>
      </c>
      <c r="F685" s="39">
        <v>337</v>
      </c>
      <c r="G685" s="39">
        <v>90</v>
      </c>
      <c r="H685" s="39" t="s">
        <v>74</v>
      </c>
      <c r="I685" s="44" t="s">
        <v>190</v>
      </c>
      <c r="J685" s="33" t="s">
        <v>68</v>
      </c>
      <c r="K685" s="39" t="str">
        <f t="shared" si="10"/>
        <v>Flat 08</v>
      </c>
    </row>
    <row r="686" spans="3:11" x14ac:dyDescent="0.2">
      <c r="C686" s="39" t="s">
        <v>33</v>
      </c>
      <c r="D686" s="39">
        <v>1106</v>
      </c>
      <c r="E686" s="39">
        <v>0.66</v>
      </c>
      <c r="F686" s="39">
        <v>337</v>
      </c>
      <c r="G686" s="39">
        <v>90</v>
      </c>
      <c r="H686" s="39" t="s">
        <v>74</v>
      </c>
      <c r="I686" s="44" t="s">
        <v>191</v>
      </c>
      <c r="J686" s="33" t="s">
        <v>68</v>
      </c>
      <c r="K686" s="39" t="str">
        <f t="shared" si="10"/>
        <v>Flat 08</v>
      </c>
    </row>
    <row r="687" spans="3:11" x14ac:dyDescent="0.2">
      <c r="C687" s="39" t="s">
        <v>33</v>
      </c>
      <c r="D687" s="39">
        <v>1110</v>
      </c>
      <c r="E687" s="39">
        <v>1.1399999999999999</v>
      </c>
      <c r="F687" s="39">
        <v>337</v>
      </c>
      <c r="G687" s="39">
        <v>90</v>
      </c>
      <c r="H687" s="39" t="s">
        <v>74</v>
      </c>
      <c r="I687" s="44" t="s">
        <v>191</v>
      </c>
      <c r="J687" s="33" t="s">
        <v>68</v>
      </c>
      <c r="K687" s="39" t="str">
        <f t="shared" si="10"/>
        <v>Flat 08</v>
      </c>
    </row>
    <row r="688" spans="3:11" x14ac:dyDescent="0.2">
      <c r="C688" s="39" t="s">
        <v>33</v>
      </c>
      <c r="D688" s="39">
        <v>1106</v>
      </c>
      <c r="E688" s="39">
        <v>0.66</v>
      </c>
      <c r="F688" s="39">
        <v>337</v>
      </c>
      <c r="G688" s="39">
        <v>90</v>
      </c>
      <c r="H688" s="39" t="s">
        <v>74</v>
      </c>
      <c r="I688" s="44" t="s">
        <v>192</v>
      </c>
      <c r="J688" s="33" t="s">
        <v>68</v>
      </c>
      <c r="K688" s="39" t="str">
        <f t="shared" si="10"/>
        <v>Flat 13</v>
      </c>
    </row>
    <row r="689" spans="3:11" x14ac:dyDescent="0.2">
      <c r="C689" s="39" t="s">
        <v>33</v>
      </c>
      <c r="D689" s="39">
        <v>1110</v>
      </c>
      <c r="E689" s="39">
        <v>1.1399999999999999</v>
      </c>
      <c r="F689" s="39">
        <v>337</v>
      </c>
      <c r="G689" s="39">
        <v>90</v>
      </c>
      <c r="H689" s="39" t="s">
        <v>74</v>
      </c>
      <c r="I689" s="44" t="s">
        <v>192</v>
      </c>
      <c r="J689" s="33" t="s">
        <v>68</v>
      </c>
      <c r="K689" s="39" t="str">
        <f t="shared" si="10"/>
        <v>Flat 13</v>
      </c>
    </row>
    <row r="690" spans="3:11" x14ac:dyDescent="0.2">
      <c r="C690" s="39" t="s">
        <v>33</v>
      </c>
      <c r="D690" s="39">
        <v>1106</v>
      </c>
      <c r="E690" s="39">
        <v>0.66</v>
      </c>
      <c r="F690" s="39">
        <v>337</v>
      </c>
      <c r="G690" s="39">
        <v>90</v>
      </c>
      <c r="H690" s="39" t="s">
        <v>74</v>
      </c>
      <c r="I690" s="44" t="s">
        <v>193</v>
      </c>
      <c r="J690" s="33" t="s">
        <v>68</v>
      </c>
      <c r="K690" s="39" t="str">
        <f t="shared" si="10"/>
        <v>Flat 13</v>
      </c>
    </row>
    <row r="691" spans="3:11" x14ac:dyDescent="0.2">
      <c r="C691" s="39" t="s">
        <v>33</v>
      </c>
      <c r="D691" s="39">
        <v>1110</v>
      </c>
      <c r="E691" s="39">
        <v>1.1399999999999999</v>
      </c>
      <c r="F691" s="39">
        <v>337</v>
      </c>
      <c r="G691" s="39">
        <v>90</v>
      </c>
      <c r="H691" s="39" t="s">
        <v>74</v>
      </c>
      <c r="I691" s="44" t="s">
        <v>193</v>
      </c>
      <c r="J691" s="33" t="s">
        <v>68</v>
      </c>
      <c r="K691" s="39" t="str">
        <f t="shared" si="10"/>
        <v>Flat 13</v>
      </c>
    </row>
    <row r="692" spans="3:11" x14ac:dyDescent="0.2">
      <c r="C692" s="39" t="s">
        <v>33</v>
      </c>
      <c r="D692" s="39">
        <v>1106</v>
      </c>
      <c r="E692" s="39">
        <v>0.66</v>
      </c>
      <c r="F692" s="39">
        <v>337</v>
      </c>
      <c r="G692" s="39">
        <v>90</v>
      </c>
      <c r="H692" s="39" t="s">
        <v>74</v>
      </c>
      <c r="I692" s="44" t="s">
        <v>194</v>
      </c>
      <c r="J692" s="33" t="s">
        <v>68</v>
      </c>
      <c r="K692" s="39" t="str">
        <f t="shared" si="10"/>
        <v>Flat 13</v>
      </c>
    </row>
    <row r="693" spans="3:11" x14ac:dyDescent="0.2">
      <c r="C693" s="39" t="s">
        <v>33</v>
      </c>
      <c r="D693" s="39">
        <v>1110</v>
      </c>
      <c r="E693" s="39">
        <v>1.1399999999999999</v>
      </c>
      <c r="F693" s="39">
        <v>337</v>
      </c>
      <c r="G693" s="39">
        <v>90</v>
      </c>
      <c r="H693" s="39" t="s">
        <v>74</v>
      </c>
      <c r="I693" s="44" t="s">
        <v>194</v>
      </c>
      <c r="J693" s="33" t="s">
        <v>68</v>
      </c>
      <c r="K693" s="39" t="str">
        <f t="shared" si="10"/>
        <v>Flat 13</v>
      </c>
    </row>
    <row r="694" spans="3:11" x14ac:dyDescent="0.2">
      <c r="C694" s="39" t="s">
        <v>33</v>
      </c>
      <c r="D694" s="39">
        <v>1106</v>
      </c>
      <c r="E694" s="39">
        <v>0.66</v>
      </c>
      <c r="F694" s="39">
        <v>247</v>
      </c>
      <c r="G694" s="39">
        <v>90</v>
      </c>
      <c r="H694" s="39" t="s">
        <v>75</v>
      </c>
      <c r="I694" s="44" t="s">
        <v>195</v>
      </c>
      <c r="J694" s="33" t="s">
        <v>68</v>
      </c>
      <c r="K694" s="39" t="str">
        <f t="shared" si="10"/>
        <v>Flat 13</v>
      </c>
    </row>
    <row r="695" spans="3:11" x14ac:dyDescent="0.2">
      <c r="C695" s="39" t="s">
        <v>33</v>
      </c>
      <c r="D695" s="39">
        <v>1110</v>
      </c>
      <c r="E695" s="39">
        <v>1.1399999999999999</v>
      </c>
      <c r="F695" s="39">
        <v>247</v>
      </c>
      <c r="G695" s="39">
        <v>90</v>
      </c>
      <c r="H695" s="39" t="s">
        <v>75</v>
      </c>
      <c r="I695" s="44" t="s">
        <v>195</v>
      </c>
      <c r="J695" s="33" t="s">
        <v>68</v>
      </c>
      <c r="K695" s="39" t="str">
        <f t="shared" si="10"/>
        <v>Flat 13</v>
      </c>
    </row>
    <row r="696" spans="3:11" x14ac:dyDescent="0.2">
      <c r="C696" s="39" t="s">
        <v>33</v>
      </c>
      <c r="D696" s="39">
        <v>958</v>
      </c>
      <c r="E696" s="39">
        <v>1.21</v>
      </c>
      <c r="F696" s="39">
        <v>247</v>
      </c>
      <c r="G696" s="39">
        <v>90</v>
      </c>
      <c r="H696" s="39" t="s">
        <v>75</v>
      </c>
      <c r="I696" s="44" t="s">
        <v>196</v>
      </c>
      <c r="J696" s="33" t="s">
        <v>68</v>
      </c>
      <c r="K696" s="39" t="str">
        <f t="shared" si="10"/>
        <v>Flat 13</v>
      </c>
    </row>
    <row r="697" spans="3:11" x14ac:dyDescent="0.2">
      <c r="C697" s="39" t="s">
        <v>33</v>
      </c>
      <c r="D697" s="39">
        <v>975</v>
      </c>
      <c r="E697" s="39">
        <v>1.17</v>
      </c>
      <c r="F697" s="39">
        <v>247</v>
      </c>
      <c r="G697" s="39">
        <v>90</v>
      </c>
      <c r="H697" s="39" t="s">
        <v>75</v>
      </c>
      <c r="I697" s="44" t="s">
        <v>196</v>
      </c>
      <c r="J697" s="33" t="s">
        <v>68</v>
      </c>
      <c r="K697" s="39" t="str">
        <f t="shared" si="10"/>
        <v>Flat 13</v>
      </c>
    </row>
    <row r="698" spans="3:11" x14ac:dyDescent="0.2">
      <c r="C698" s="39" t="s">
        <v>33</v>
      </c>
      <c r="D698" s="39">
        <v>983</v>
      </c>
      <c r="E698" s="39">
        <v>1.1299999999999999</v>
      </c>
      <c r="F698" s="39">
        <v>247</v>
      </c>
      <c r="G698" s="39">
        <v>90</v>
      </c>
      <c r="H698" s="39" t="s">
        <v>75</v>
      </c>
      <c r="I698" s="44" t="s">
        <v>196</v>
      </c>
      <c r="J698" s="33" t="s">
        <v>68</v>
      </c>
      <c r="K698" s="39" t="str">
        <f t="shared" si="10"/>
        <v>Flat 13</v>
      </c>
    </row>
    <row r="699" spans="3:11" x14ac:dyDescent="0.2">
      <c r="C699" s="39" t="s">
        <v>33</v>
      </c>
      <c r="D699" s="39">
        <v>984</v>
      </c>
      <c r="E699" s="39">
        <v>0.57999999999999996</v>
      </c>
      <c r="F699" s="39">
        <v>247</v>
      </c>
      <c r="G699" s="39">
        <v>90</v>
      </c>
      <c r="H699" s="39" t="s">
        <v>75</v>
      </c>
      <c r="I699" s="44" t="s">
        <v>196</v>
      </c>
      <c r="J699" s="33" t="s">
        <v>68</v>
      </c>
      <c r="K699" s="39" t="str">
        <f t="shared" si="10"/>
        <v>Flat 13</v>
      </c>
    </row>
    <row r="700" spans="3:11" x14ac:dyDescent="0.2">
      <c r="C700" s="39" t="s">
        <v>33</v>
      </c>
      <c r="D700" s="39">
        <v>985</v>
      </c>
      <c r="E700" s="39">
        <v>0.56000000000000005</v>
      </c>
      <c r="F700" s="39">
        <v>247</v>
      </c>
      <c r="G700" s="39">
        <v>90</v>
      </c>
      <c r="H700" s="39" t="s">
        <v>75</v>
      </c>
      <c r="I700" s="44" t="s">
        <v>196</v>
      </c>
      <c r="J700" s="33" t="s">
        <v>68</v>
      </c>
      <c r="K700" s="39" t="str">
        <f t="shared" si="10"/>
        <v>Flat 13</v>
      </c>
    </row>
    <row r="701" spans="3:11" x14ac:dyDescent="0.2">
      <c r="C701" s="39" t="s">
        <v>33</v>
      </c>
      <c r="D701" s="39">
        <v>986</v>
      </c>
      <c r="E701" s="39">
        <v>0.6</v>
      </c>
      <c r="F701" s="39">
        <v>247</v>
      </c>
      <c r="G701" s="39">
        <v>90</v>
      </c>
      <c r="H701" s="39" t="s">
        <v>75</v>
      </c>
      <c r="I701" s="44" t="s">
        <v>196</v>
      </c>
      <c r="J701" s="33" t="s">
        <v>68</v>
      </c>
      <c r="K701" s="39" t="str">
        <f t="shared" si="10"/>
        <v>Flat 13</v>
      </c>
    </row>
    <row r="702" spans="3:11" x14ac:dyDescent="0.2">
      <c r="C702" s="39" t="s">
        <v>33</v>
      </c>
      <c r="D702" s="39">
        <v>1094</v>
      </c>
      <c r="E702" s="39">
        <v>2.12</v>
      </c>
      <c r="F702" s="39">
        <v>157</v>
      </c>
      <c r="G702" s="39">
        <v>90</v>
      </c>
      <c r="H702" s="39" t="s">
        <v>76</v>
      </c>
      <c r="I702" s="44" t="s">
        <v>197</v>
      </c>
      <c r="J702" s="33" t="s">
        <v>68</v>
      </c>
      <c r="K702" s="39" t="str">
        <f t="shared" si="10"/>
        <v>Flat 13</v>
      </c>
    </row>
    <row r="703" spans="3:11" x14ac:dyDescent="0.2">
      <c r="C703" s="39" t="s">
        <v>33</v>
      </c>
      <c r="D703" s="39">
        <v>1020</v>
      </c>
      <c r="E703" s="39">
        <v>0.59</v>
      </c>
      <c r="F703" s="39">
        <v>99.95</v>
      </c>
      <c r="G703" s="39">
        <v>90</v>
      </c>
      <c r="H703" s="39" t="s">
        <v>48</v>
      </c>
      <c r="I703" s="44" t="s">
        <v>198</v>
      </c>
      <c r="J703" s="33" t="s">
        <v>68</v>
      </c>
      <c r="K703" s="39" t="str">
        <f t="shared" si="10"/>
        <v>Flat 10</v>
      </c>
    </row>
    <row r="704" spans="3:11" x14ac:dyDescent="0.2">
      <c r="C704" s="39" t="s">
        <v>33</v>
      </c>
      <c r="D704" s="39">
        <v>1021</v>
      </c>
      <c r="E704" s="39">
        <v>0.6</v>
      </c>
      <c r="F704" s="39">
        <v>99.95</v>
      </c>
      <c r="G704" s="39">
        <v>90</v>
      </c>
      <c r="H704" s="39" t="s">
        <v>48</v>
      </c>
      <c r="I704" s="44" t="s">
        <v>198</v>
      </c>
      <c r="J704" s="33" t="s">
        <v>68</v>
      </c>
      <c r="K704" s="39" t="str">
        <f t="shared" si="10"/>
        <v>Flat 10</v>
      </c>
    </row>
    <row r="705" spans="3:11" x14ac:dyDescent="0.2">
      <c r="C705" s="39" t="s">
        <v>33</v>
      </c>
      <c r="D705" s="39">
        <v>1022</v>
      </c>
      <c r="E705" s="39">
        <v>2.14</v>
      </c>
      <c r="F705" s="39">
        <v>99.95</v>
      </c>
      <c r="G705" s="39">
        <v>90</v>
      </c>
      <c r="H705" s="39" t="s">
        <v>48</v>
      </c>
      <c r="I705" s="44" t="s">
        <v>198</v>
      </c>
      <c r="J705" s="33" t="s">
        <v>68</v>
      </c>
      <c r="K705" s="39" t="str">
        <f t="shared" si="10"/>
        <v>Flat 10</v>
      </c>
    </row>
    <row r="706" spans="3:11" x14ac:dyDescent="0.2">
      <c r="C706" s="39" t="s">
        <v>33</v>
      </c>
      <c r="D706" s="39">
        <v>1023</v>
      </c>
      <c r="E706" s="39">
        <v>0.95</v>
      </c>
      <c r="F706" s="39">
        <v>99.95</v>
      </c>
      <c r="G706" s="39">
        <v>90</v>
      </c>
      <c r="H706" s="39" t="s">
        <v>48</v>
      </c>
      <c r="I706" s="44" t="s">
        <v>198</v>
      </c>
      <c r="J706" s="33" t="s">
        <v>68</v>
      </c>
      <c r="K706" s="39" t="str">
        <f t="shared" si="10"/>
        <v>Flat 10</v>
      </c>
    </row>
    <row r="707" spans="3:11" x14ac:dyDescent="0.2">
      <c r="C707" s="39" t="s">
        <v>33</v>
      </c>
      <c r="D707" s="39">
        <v>1024</v>
      </c>
      <c r="E707" s="39">
        <v>0.96</v>
      </c>
      <c r="F707" s="39">
        <v>99.95</v>
      </c>
      <c r="G707" s="39">
        <v>90</v>
      </c>
      <c r="H707" s="39" t="s">
        <v>48</v>
      </c>
      <c r="I707" s="44" t="s">
        <v>198</v>
      </c>
      <c r="J707" s="33" t="s">
        <v>68</v>
      </c>
      <c r="K707" s="39" t="str">
        <f t="shared" si="10"/>
        <v>Flat 10</v>
      </c>
    </row>
    <row r="708" spans="3:11" x14ac:dyDescent="0.2">
      <c r="C708" s="39" t="s">
        <v>33</v>
      </c>
      <c r="D708" s="39">
        <v>1106</v>
      </c>
      <c r="E708" s="39">
        <v>0.66</v>
      </c>
      <c r="F708" s="39">
        <v>99.95</v>
      </c>
      <c r="G708" s="39">
        <v>90</v>
      </c>
      <c r="H708" s="39" t="s">
        <v>48</v>
      </c>
      <c r="I708" s="44" t="s">
        <v>199</v>
      </c>
      <c r="J708" s="33" t="s">
        <v>68</v>
      </c>
      <c r="K708" s="39" t="str">
        <f t="shared" si="10"/>
        <v>Flat 10</v>
      </c>
    </row>
    <row r="709" spans="3:11" x14ac:dyDescent="0.2">
      <c r="C709" s="39" t="s">
        <v>33</v>
      </c>
      <c r="D709" s="39">
        <v>1110</v>
      </c>
      <c r="E709" s="39">
        <v>1.1399999999999999</v>
      </c>
      <c r="F709" s="39">
        <v>99.95</v>
      </c>
      <c r="G709" s="39">
        <v>90</v>
      </c>
      <c r="H709" s="39" t="s">
        <v>48</v>
      </c>
      <c r="I709" s="44" t="s">
        <v>199</v>
      </c>
      <c r="J709" s="33" t="s">
        <v>68</v>
      </c>
      <c r="K709" s="39" t="str">
        <f t="shared" si="10"/>
        <v>Flat 10</v>
      </c>
    </row>
    <row r="710" spans="3:11" x14ac:dyDescent="0.2">
      <c r="C710" s="39"/>
      <c r="D710" s="39"/>
      <c r="E710" s="39"/>
      <c r="F710" s="39"/>
      <c r="G710" s="39"/>
      <c r="H710" s="39"/>
      <c r="I710" s="44"/>
      <c r="J710" s="33" t="s">
        <v>68</v>
      </c>
      <c r="K710" s="39"/>
    </row>
    <row r="711" spans="3:11" x14ac:dyDescent="0.2">
      <c r="C711" s="39"/>
      <c r="D711" s="39"/>
      <c r="E711" s="39"/>
      <c r="F711" s="39"/>
      <c r="G711" s="39"/>
      <c r="H711" s="39"/>
      <c r="I711" s="39"/>
      <c r="J711" s="33" t="s">
        <v>68</v>
      </c>
      <c r="K711" s="39"/>
    </row>
    <row r="712" spans="3:11" x14ac:dyDescent="0.2">
      <c r="C712" s="39"/>
      <c r="D712" s="39"/>
      <c r="E712" s="39"/>
      <c r="F712" s="39"/>
      <c r="G712" s="39"/>
      <c r="H712" s="39"/>
      <c r="I712" s="39"/>
      <c r="J712" s="33" t="s">
        <v>68</v>
      </c>
      <c r="K712" s="39"/>
    </row>
    <row r="713" spans="3:11" x14ac:dyDescent="0.2">
      <c r="C713" s="39"/>
      <c r="D713" s="39"/>
      <c r="E713" s="39"/>
      <c r="F713" s="39"/>
      <c r="G713" s="39"/>
      <c r="H713" s="39"/>
      <c r="I713" s="39"/>
      <c r="J713" s="33" t="s">
        <v>68</v>
      </c>
      <c r="K713" s="39"/>
    </row>
    <row r="714" spans="3:11" x14ac:dyDescent="0.2">
      <c r="C714" s="39"/>
      <c r="D714" s="39"/>
      <c r="E714" s="39"/>
      <c r="F714" s="39"/>
      <c r="G714" s="39"/>
      <c r="H714" s="39"/>
      <c r="I714" s="39"/>
      <c r="J714" s="33" t="s">
        <v>68</v>
      </c>
      <c r="K714" s="39"/>
    </row>
    <row r="715" spans="3:11" x14ac:dyDescent="0.2">
      <c r="C715" s="39"/>
      <c r="D715" s="39"/>
      <c r="E715" s="39"/>
      <c r="F715" s="39"/>
      <c r="G715" s="39"/>
      <c r="H715" s="39"/>
      <c r="I715" s="39"/>
      <c r="J715" s="33" t="s">
        <v>68</v>
      </c>
      <c r="K715" s="39"/>
    </row>
    <row r="716" spans="3:11" x14ac:dyDescent="0.2">
      <c r="C716" s="39"/>
      <c r="D716" s="39"/>
      <c r="E716" s="39"/>
      <c r="F716" s="39"/>
      <c r="G716" s="39"/>
      <c r="H716" s="39"/>
      <c r="I716" s="39"/>
      <c r="J716" s="33" t="s">
        <v>68</v>
      </c>
      <c r="K716" s="39"/>
    </row>
    <row r="717" spans="3:11" x14ac:dyDescent="0.2">
      <c r="C717" s="39"/>
      <c r="D717" s="39"/>
      <c r="E717" s="39"/>
      <c r="F717" s="39"/>
      <c r="G717" s="39"/>
      <c r="H717" s="39"/>
      <c r="I717" s="39"/>
      <c r="J717" s="33" t="s">
        <v>68</v>
      </c>
      <c r="K717" s="39"/>
    </row>
    <row r="718" spans="3:11" x14ac:dyDescent="0.2">
      <c r="C718" s="39"/>
      <c r="D718" s="39"/>
      <c r="E718" s="39"/>
      <c r="F718" s="39"/>
      <c r="G718" s="39"/>
      <c r="H718" s="39"/>
      <c r="I718" s="39"/>
      <c r="J718" s="33" t="s">
        <v>68</v>
      </c>
      <c r="K718" s="39"/>
    </row>
    <row r="719" spans="3:11" x14ac:dyDescent="0.2">
      <c r="C719" s="39"/>
      <c r="D719" s="39"/>
      <c r="E719" s="39"/>
      <c r="F719" s="39"/>
      <c r="G719" s="39"/>
      <c r="H719" s="39"/>
      <c r="I719" s="39"/>
      <c r="J719" s="33" t="s">
        <v>68</v>
      </c>
      <c r="K719" s="39"/>
    </row>
    <row r="720" spans="3:11" x14ac:dyDescent="0.2">
      <c r="C720" s="39"/>
      <c r="D720" s="39"/>
      <c r="E720" s="39"/>
      <c r="F720" s="39"/>
      <c r="G720" s="39"/>
      <c r="H720" s="39"/>
      <c r="I720" s="39"/>
      <c r="J720" s="33" t="s">
        <v>68</v>
      </c>
      <c r="K720" s="39"/>
    </row>
    <row r="721" spans="3:11" x14ac:dyDescent="0.2">
      <c r="C721" s="39"/>
      <c r="D721" s="39"/>
      <c r="E721" s="39"/>
      <c r="F721" s="39"/>
      <c r="G721" s="39"/>
      <c r="H721" s="39"/>
      <c r="I721" s="39"/>
      <c r="J721" s="33" t="s">
        <v>68</v>
      </c>
      <c r="K721" s="39"/>
    </row>
    <row r="722" spans="3:11" x14ac:dyDescent="0.2">
      <c r="C722" s="39"/>
      <c r="D722" s="39"/>
      <c r="E722" s="39"/>
      <c r="F722" s="39"/>
      <c r="G722" s="39"/>
      <c r="H722" s="39"/>
      <c r="I722" s="39"/>
      <c r="J722" s="33" t="s">
        <v>68</v>
      </c>
      <c r="K722" s="39"/>
    </row>
    <row r="723" spans="3:11" x14ac:dyDescent="0.2">
      <c r="C723" s="39"/>
      <c r="D723" s="39"/>
      <c r="E723" s="39"/>
      <c r="F723" s="39"/>
      <c r="G723" s="39"/>
      <c r="H723" s="39"/>
      <c r="I723" s="39"/>
      <c r="J723" s="33" t="s">
        <v>68</v>
      </c>
      <c r="K723" s="39"/>
    </row>
    <row r="724" spans="3:11" x14ac:dyDescent="0.2">
      <c r="C724" s="39"/>
      <c r="D724" s="39"/>
      <c r="E724" s="39"/>
      <c r="F724" s="39"/>
      <c r="G724" s="39"/>
      <c r="H724" s="39"/>
      <c r="I724" s="39"/>
      <c r="J724" s="33" t="s">
        <v>68</v>
      </c>
      <c r="K724" s="39"/>
    </row>
    <row r="725" spans="3:11" x14ac:dyDescent="0.2">
      <c r="C725" s="39"/>
      <c r="D725" s="39"/>
      <c r="E725" s="39"/>
      <c r="F725" s="39"/>
      <c r="G725" s="39"/>
      <c r="H725" s="39"/>
      <c r="I725" s="39"/>
      <c r="J725" s="33" t="s">
        <v>68</v>
      </c>
      <c r="K725" s="39"/>
    </row>
    <row r="726" spans="3:11" x14ac:dyDescent="0.2">
      <c r="C726" s="39"/>
      <c r="D726" s="39"/>
      <c r="E726" s="39"/>
      <c r="F726" s="39"/>
      <c r="G726" s="39"/>
      <c r="H726" s="39"/>
      <c r="I726" s="39"/>
      <c r="J726" s="33" t="s">
        <v>68</v>
      </c>
      <c r="K726" s="39"/>
    </row>
    <row r="727" spans="3:11" x14ac:dyDescent="0.2">
      <c r="C727" s="39"/>
      <c r="D727" s="39"/>
      <c r="E727" s="39"/>
      <c r="F727" s="39"/>
      <c r="G727" s="39"/>
      <c r="H727" s="39"/>
      <c r="I727" s="39"/>
      <c r="J727" s="33" t="s">
        <v>68</v>
      </c>
      <c r="K727" s="39"/>
    </row>
    <row r="728" spans="3:11" x14ac:dyDescent="0.2">
      <c r="C728" s="39"/>
      <c r="D728" s="39"/>
      <c r="E728" s="39"/>
      <c r="F728" s="39"/>
      <c r="G728" s="39"/>
      <c r="H728" s="39"/>
      <c r="I728" s="39"/>
      <c r="J728" s="33" t="s">
        <v>68</v>
      </c>
      <c r="K728" s="39"/>
    </row>
    <row r="729" spans="3:11" x14ac:dyDescent="0.2">
      <c r="C729" s="39"/>
      <c r="D729" s="39"/>
      <c r="E729" s="39"/>
      <c r="F729" s="39"/>
      <c r="G729" s="39"/>
      <c r="H729" s="39"/>
      <c r="I729" s="39"/>
      <c r="J729" s="33" t="s">
        <v>68</v>
      </c>
      <c r="K729" s="39"/>
    </row>
    <row r="730" spans="3:11" x14ac:dyDescent="0.2">
      <c r="C730" s="39"/>
      <c r="D730" s="39"/>
      <c r="E730" s="39"/>
      <c r="F730" s="39"/>
      <c r="G730" s="39"/>
      <c r="H730" s="39"/>
      <c r="I730" s="39"/>
      <c r="J730" s="33" t="s">
        <v>68</v>
      </c>
      <c r="K730" s="39"/>
    </row>
    <row r="731" spans="3:11" x14ac:dyDescent="0.2">
      <c r="C731" s="39"/>
      <c r="D731" s="39"/>
      <c r="E731" s="39"/>
      <c r="F731" s="39"/>
      <c r="G731" s="39"/>
      <c r="H731" s="39"/>
      <c r="I731" s="39"/>
      <c r="J731" s="33" t="s">
        <v>68</v>
      </c>
      <c r="K731" s="39"/>
    </row>
    <row r="732" spans="3:11" x14ac:dyDescent="0.2">
      <c r="C732" s="39"/>
      <c r="D732" s="39"/>
      <c r="E732" s="39"/>
      <c r="F732" s="39"/>
      <c r="G732" s="39"/>
      <c r="H732" s="39"/>
      <c r="I732" s="39"/>
      <c r="J732" s="33" t="s">
        <v>68</v>
      </c>
      <c r="K732" s="39"/>
    </row>
    <row r="733" spans="3:11" x14ac:dyDescent="0.2">
      <c r="C733" s="39"/>
      <c r="D733" s="39"/>
      <c r="E733" s="39"/>
      <c r="F733" s="39"/>
      <c r="G733" s="39"/>
      <c r="H733" s="39"/>
      <c r="I733" s="39"/>
      <c r="J733" s="33" t="s">
        <v>68</v>
      </c>
      <c r="K733" s="39"/>
    </row>
    <row r="734" spans="3:11" x14ac:dyDescent="0.2">
      <c r="C734" s="39"/>
      <c r="D734" s="39"/>
      <c r="E734" s="39"/>
      <c r="F734" s="39"/>
      <c r="G734" s="39"/>
      <c r="H734" s="39"/>
      <c r="I734" s="39"/>
      <c r="K734" s="39"/>
    </row>
    <row r="735" spans="3:11" x14ac:dyDescent="0.2">
      <c r="C735" s="39"/>
      <c r="D735" s="39"/>
      <c r="E735" s="39"/>
      <c r="F735" s="39"/>
      <c r="G735" s="39"/>
      <c r="H735" s="39"/>
      <c r="I735" s="39"/>
      <c r="K735" s="39"/>
    </row>
    <row r="736" spans="3:11" x14ac:dyDescent="0.2">
      <c r="C736" s="39"/>
      <c r="D736" s="39"/>
      <c r="E736" s="39"/>
      <c r="F736" s="39"/>
      <c r="G736" s="39"/>
      <c r="H736" s="39"/>
      <c r="I736" s="39"/>
      <c r="K736" s="39"/>
    </row>
    <row r="737" spans="3:11" x14ac:dyDescent="0.2">
      <c r="C737" s="39"/>
      <c r="D737" s="39"/>
      <c r="E737" s="39"/>
      <c r="F737" s="39"/>
      <c r="G737" s="39"/>
      <c r="H737" s="39"/>
      <c r="I737" s="39"/>
      <c r="K737" s="39"/>
    </row>
    <row r="738" spans="3:11" x14ac:dyDescent="0.2">
      <c r="C738" s="39"/>
      <c r="D738" s="39"/>
      <c r="E738" s="39"/>
      <c r="F738" s="39"/>
      <c r="G738" s="39"/>
      <c r="H738" s="39"/>
      <c r="I738" s="39"/>
      <c r="K738" s="39"/>
    </row>
    <row r="739" spans="3:11" x14ac:dyDescent="0.2">
      <c r="C739" s="39"/>
      <c r="D739" s="39"/>
      <c r="E739" s="39"/>
      <c r="F739" s="39"/>
      <c r="G739" s="39"/>
      <c r="H739" s="39"/>
      <c r="I739" s="39"/>
      <c r="K739" s="39"/>
    </row>
    <row r="740" spans="3:11" x14ac:dyDescent="0.2">
      <c r="C740" s="39"/>
      <c r="D740" s="39"/>
      <c r="E740" s="39"/>
      <c r="F740" s="39"/>
      <c r="G740" s="39"/>
      <c r="H740" s="39"/>
      <c r="I740" s="39"/>
      <c r="K740" s="39"/>
    </row>
    <row r="741" spans="3:11" x14ac:dyDescent="0.2">
      <c r="C741" s="39"/>
      <c r="D741" s="39"/>
      <c r="E741" s="39"/>
      <c r="F741" s="39"/>
      <c r="G741" s="39"/>
      <c r="H741" s="39"/>
      <c r="I741" s="39"/>
      <c r="K741" s="39"/>
    </row>
    <row r="742" spans="3:11" x14ac:dyDescent="0.2">
      <c r="C742" s="39"/>
      <c r="D742" s="39"/>
      <c r="E742" s="39"/>
      <c r="F742" s="39"/>
      <c r="G742" s="39"/>
      <c r="H742" s="39"/>
      <c r="I742" s="39"/>
      <c r="K742" s="39"/>
    </row>
    <row r="743" spans="3:11" x14ac:dyDescent="0.2">
      <c r="C743" s="39"/>
      <c r="D743" s="39"/>
      <c r="E743" s="39"/>
      <c r="F743" s="39"/>
      <c r="G743" s="39"/>
      <c r="H743" s="39"/>
      <c r="I743" s="39"/>
      <c r="K743" s="39"/>
    </row>
    <row r="744" spans="3:11" x14ac:dyDescent="0.2">
      <c r="C744" s="39"/>
      <c r="D744" s="39"/>
      <c r="E744" s="39"/>
      <c r="F744" s="39"/>
      <c r="G744" s="39"/>
      <c r="H744" s="39"/>
      <c r="I744" s="39"/>
      <c r="K744" s="39"/>
    </row>
    <row r="745" spans="3:11" x14ac:dyDescent="0.2">
      <c r="C745" s="39"/>
      <c r="D745" s="39"/>
      <c r="E745" s="39"/>
      <c r="F745" s="39"/>
      <c r="G745" s="39"/>
      <c r="H745" s="39"/>
      <c r="I745" s="39"/>
      <c r="K745" s="39"/>
    </row>
    <row r="746" spans="3:11" x14ac:dyDescent="0.2">
      <c r="C746" s="39"/>
      <c r="D746" s="39"/>
      <c r="E746" s="39"/>
      <c r="F746" s="39"/>
      <c r="G746" s="39"/>
      <c r="H746" s="39"/>
      <c r="I746" s="39"/>
      <c r="K746" s="39"/>
    </row>
    <row r="747" spans="3:11" x14ac:dyDescent="0.2">
      <c r="C747" s="39"/>
      <c r="D747" s="39"/>
      <c r="E747" s="39"/>
      <c r="F747" s="39"/>
      <c r="G747" s="39"/>
      <c r="H747" s="39"/>
      <c r="I747" s="39"/>
      <c r="K747" s="39"/>
    </row>
    <row r="748" spans="3:11" x14ac:dyDescent="0.2">
      <c r="C748" s="39"/>
      <c r="D748" s="39"/>
      <c r="E748" s="39"/>
      <c r="F748" s="39"/>
      <c r="G748" s="39"/>
      <c r="H748" s="39"/>
      <c r="I748" s="39"/>
      <c r="K748" s="39"/>
    </row>
    <row r="749" spans="3:11" x14ac:dyDescent="0.2">
      <c r="C749" s="39"/>
      <c r="D749" s="39"/>
      <c r="E749" s="39"/>
      <c r="F749" s="39"/>
      <c r="G749" s="39"/>
      <c r="H749" s="39"/>
      <c r="I749" s="39"/>
      <c r="K749" s="39"/>
    </row>
    <row r="750" spans="3:11" x14ac:dyDescent="0.2">
      <c r="C750" s="39"/>
      <c r="D750" s="39"/>
      <c r="E750" s="39"/>
      <c r="F750" s="39"/>
      <c r="G750" s="39"/>
      <c r="H750" s="39"/>
      <c r="I750" s="39"/>
      <c r="K750" s="39"/>
    </row>
    <row r="751" spans="3:11" x14ac:dyDescent="0.2">
      <c r="C751" s="39"/>
      <c r="D751" s="39"/>
      <c r="E751" s="39"/>
      <c r="F751" s="39"/>
      <c r="G751" s="39"/>
      <c r="H751" s="39"/>
      <c r="I751" s="39"/>
      <c r="K751" s="39"/>
    </row>
    <row r="752" spans="3:11" x14ac:dyDescent="0.2">
      <c r="C752" s="39"/>
      <c r="D752" s="39"/>
      <c r="E752" s="39"/>
      <c r="F752" s="39"/>
      <c r="G752" s="39"/>
      <c r="H752" s="39"/>
      <c r="I752" s="39"/>
      <c r="K752" s="39"/>
    </row>
    <row r="753" spans="3:11" x14ac:dyDescent="0.2">
      <c r="C753" s="39"/>
      <c r="D753" s="39"/>
      <c r="E753" s="39"/>
      <c r="F753" s="39"/>
      <c r="G753" s="39"/>
      <c r="H753" s="39"/>
      <c r="I753" s="39"/>
      <c r="K753" s="39"/>
    </row>
    <row r="754" spans="3:11" x14ac:dyDescent="0.2">
      <c r="C754" s="39"/>
      <c r="D754" s="39"/>
      <c r="E754" s="39"/>
      <c r="F754" s="39"/>
      <c r="G754" s="39"/>
      <c r="H754" s="39"/>
      <c r="I754" s="39"/>
      <c r="K754" s="39"/>
    </row>
    <row r="755" spans="3:11" x14ac:dyDescent="0.2">
      <c r="C755" s="39"/>
      <c r="D755" s="39"/>
      <c r="E755" s="39"/>
      <c r="F755" s="39"/>
      <c r="G755" s="39"/>
      <c r="H755" s="39"/>
      <c r="I755" s="39"/>
      <c r="K755" s="39"/>
    </row>
    <row r="756" spans="3:11" x14ac:dyDescent="0.2">
      <c r="C756" s="39"/>
      <c r="D756" s="39"/>
      <c r="E756" s="39"/>
      <c r="F756" s="39"/>
      <c r="G756" s="39"/>
      <c r="H756" s="39"/>
      <c r="I756" s="39"/>
      <c r="K756" s="39"/>
    </row>
    <row r="757" spans="3:11" x14ac:dyDescent="0.2">
      <c r="C757" s="39"/>
      <c r="D757" s="39"/>
      <c r="E757" s="39"/>
      <c r="F757" s="39"/>
      <c r="G757" s="39"/>
      <c r="H757" s="39"/>
      <c r="I757" s="39"/>
      <c r="K757" s="39"/>
    </row>
    <row r="758" spans="3:11" x14ac:dyDescent="0.2">
      <c r="C758" s="39"/>
      <c r="D758" s="39"/>
      <c r="E758" s="39"/>
      <c r="F758" s="39"/>
      <c r="G758" s="39"/>
      <c r="H758" s="39"/>
      <c r="I758" s="39"/>
      <c r="K758" s="39"/>
    </row>
    <row r="759" spans="3:11" x14ac:dyDescent="0.2">
      <c r="C759" s="39"/>
      <c r="D759" s="39"/>
      <c r="E759" s="39"/>
      <c r="F759" s="39"/>
      <c r="G759" s="39"/>
      <c r="H759" s="39"/>
      <c r="I759" s="39"/>
      <c r="K759" s="39"/>
    </row>
    <row r="760" spans="3:11" x14ac:dyDescent="0.2">
      <c r="C760" s="39"/>
      <c r="D760" s="39"/>
      <c r="E760" s="39"/>
      <c r="F760" s="39"/>
      <c r="G760" s="39"/>
      <c r="H760" s="39"/>
      <c r="I760" s="39"/>
      <c r="K760" s="39"/>
    </row>
    <row r="761" spans="3:11" x14ac:dyDescent="0.2">
      <c r="C761" s="39"/>
      <c r="D761" s="39"/>
      <c r="E761" s="39"/>
      <c r="F761" s="39"/>
      <c r="G761" s="39"/>
      <c r="H761" s="39"/>
      <c r="I761" s="39"/>
      <c r="K761" s="39"/>
    </row>
    <row r="762" spans="3:11" x14ac:dyDescent="0.2">
      <c r="C762" s="39"/>
      <c r="D762" s="39"/>
      <c r="E762" s="39"/>
      <c r="F762" s="39"/>
      <c r="G762" s="39"/>
      <c r="H762" s="39"/>
      <c r="I762" s="39"/>
      <c r="K762" s="39"/>
    </row>
    <row r="763" spans="3:11" x14ac:dyDescent="0.2">
      <c r="C763" s="39"/>
      <c r="D763" s="39"/>
      <c r="E763" s="39"/>
      <c r="F763" s="39"/>
      <c r="G763" s="39"/>
      <c r="H763" s="39"/>
      <c r="I763" s="39"/>
      <c r="K763" s="39"/>
    </row>
    <row r="764" spans="3:11" x14ac:dyDescent="0.2">
      <c r="C764" s="39"/>
      <c r="D764" s="39"/>
      <c r="E764" s="39"/>
      <c r="F764" s="39"/>
      <c r="G764" s="39"/>
      <c r="H764" s="39"/>
      <c r="I764" s="39"/>
      <c r="K764" s="39"/>
    </row>
    <row r="765" spans="3:11" x14ac:dyDescent="0.2">
      <c r="C765" s="39"/>
      <c r="D765" s="39"/>
      <c r="E765" s="39"/>
      <c r="F765" s="39"/>
      <c r="G765" s="39"/>
      <c r="H765" s="39"/>
      <c r="I765" s="39"/>
      <c r="K765" s="39"/>
    </row>
  </sheetData>
  <autoFilter ref="C5:I733" xr:uid="{5BC2A407-9B7D-4E4C-875C-79E8A678EAAC}"/>
  <sortState xmlns:xlrd2="http://schemas.microsoft.com/office/spreadsheetml/2017/richdata2" ref="M310:M317">
    <sortCondition ref="M310:M31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Areas</vt:lpstr>
      <vt:lpstr>Pasted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Ross</dc:creator>
  <cp:lastModifiedBy>Thompson, Ross</cp:lastModifiedBy>
  <cp:lastPrinted>2025-10-15T08:58:08Z</cp:lastPrinted>
  <dcterms:created xsi:type="dcterms:W3CDTF">2023-09-24T15:48:57Z</dcterms:created>
  <dcterms:modified xsi:type="dcterms:W3CDTF">2025-11-18T20:23:41Z</dcterms:modified>
</cp:coreProperties>
</file>