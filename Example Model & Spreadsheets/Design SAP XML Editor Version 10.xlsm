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ilding Design\CAD &amp; Software\SketchUp\SAP Tools (2024 -)\Excel Tools\XML Tools\"/>
    </mc:Choice>
  </mc:AlternateContent>
  <xr:revisionPtr revIDLastSave="0" documentId="13_ncr:1_{BF7AE64B-2D57-4D96-8D5F-AA17811C4662}" xr6:coauthVersionLast="47" xr6:coauthVersionMax="47" xr10:uidLastSave="{00000000-0000-0000-0000-000000000000}"/>
  <bookViews>
    <workbookView xWindow="-120" yWindow="-16320" windowWidth="29040" windowHeight="15720" tabRatio="914" xr2:uid="{0794EE5B-54FA-43F3-8472-ACE30F80AE2E}"/>
  </bookViews>
  <sheets>
    <sheet name="Control" sheetId="1" r:id="rId1"/>
    <sheet name="Delete Elements" sheetId="21" r:id="rId2"/>
    <sheet name="General Helper" sheetId="11" r:id="rId3"/>
    <sheet name="Imported General" sheetId="8" r:id="rId4"/>
    <sheet name="Fabric Helper" sheetId="19" r:id="rId5"/>
    <sheet name="Imported Fabric" sheetId="18" r:id="rId6"/>
    <sheet name="Openings Helper" sheetId="6" r:id="rId7"/>
    <sheet name="Imported Openings" sheetId="9" r:id="rId8"/>
    <sheet name="Lighting Helper" sheetId="13" r:id="rId9"/>
    <sheet name="Imported Lighting" sheetId="12" r:id="rId10"/>
    <sheet name="Vent Helper" sheetId="14" r:id="rId11"/>
    <sheet name="Imported Vent" sheetId="15" r:id="rId12"/>
    <sheet name="Water Helper" sheetId="16" r:id="rId13"/>
    <sheet name="Imported Water" sheetId="17" r:id="rId14"/>
  </sheets>
  <functionGroups builtInGroupCount="19"/>
  <definedNames>
    <definedName name="_xlnm._FilterDatabase" localSheetId="3" hidden="1">'Imported General'!$A$1:$Y$96</definedName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7" i="6" l="1" a="1"/>
  <c r="X27" i="6" s="1"/>
  <c r="Y27" i="6" a="1"/>
  <c r="Y27" i="6" s="1"/>
  <c r="Z27" i="6" a="1"/>
  <c r="Z27" i="6" s="1"/>
  <c r="AA27" i="6" a="1"/>
  <c r="AA27" i="6" s="1"/>
  <c r="AB27" i="6" a="1"/>
  <c r="AB27" i="6" s="1"/>
  <c r="X28" i="6" a="1"/>
  <c r="X28" i="6" s="1"/>
  <c r="Y28" i="6" a="1"/>
  <c r="Y28" i="6" s="1"/>
  <c r="Z28" i="6" a="1"/>
  <c r="Z28" i="6" s="1"/>
  <c r="AA28" i="6" a="1"/>
  <c r="AA28" i="6" s="1"/>
  <c r="AB28" i="6" a="1"/>
  <c r="AB28" i="6" s="1"/>
  <c r="X29" i="6" a="1"/>
  <c r="X29" i="6" s="1"/>
  <c r="Y29" i="6" a="1"/>
  <c r="Y29" i="6" s="1"/>
  <c r="Z29" i="6" a="1"/>
  <c r="Z29" i="6" s="1"/>
  <c r="AA29" i="6" a="1"/>
  <c r="AA29" i="6" s="1"/>
  <c r="AB29" i="6" a="1"/>
  <c r="AB29" i="6" s="1"/>
  <c r="X30" i="6" a="1"/>
  <c r="X30" i="6" s="1"/>
  <c r="Y30" i="6" a="1"/>
  <c r="Y30" i="6" s="1"/>
  <c r="Z30" i="6" a="1"/>
  <c r="Z30" i="6" s="1"/>
  <c r="AA30" i="6" a="1"/>
  <c r="AA30" i="6" s="1"/>
  <c r="AB30" i="6" a="1"/>
  <c r="AB30" i="6" s="1"/>
  <c r="X31" i="6" a="1"/>
  <c r="X31" i="6" s="1"/>
  <c r="Y31" i="6" a="1"/>
  <c r="Y31" i="6" s="1"/>
  <c r="Z31" i="6" a="1"/>
  <c r="Z31" i="6" s="1"/>
  <c r="AA31" i="6" a="1"/>
  <c r="AA31" i="6"/>
  <c r="AB31" i="6" a="1"/>
  <c r="AB31" i="6" s="1"/>
  <c r="X32" i="6" a="1"/>
  <c r="X32" i="6" s="1"/>
  <c r="Y32" i="6" a="1"/>
  <c r="Y32" i="6" s="1"/>
  <c r="Z32" i="6" a="1"/>
  <c r="Z32" i="6" s="1"/>
  <c r="AA32" i="6" a="1"/>
  <c r="AA32" i="6" s="1"/>
  <c r="AB32" i="6" a="1"/>
  <c r="AB32" i="6" s="1"/>
  <c r="X33" i="6" a="1"/>
  <c r="X33" i="6" s="1"/>
  <c r="Y33" i="6" a="1"/>
  <c r="Y33" i="6" s="1"/>
  <c r="Z33" i="6" a="1"/>
  <c r="Z33" i="6" s="1"/>
  <c r="AA33" i="6" a="1"/>
  <c r="AA33" i="6" s="1"/>
  <c r="AB33" i="6" a="1"/>
  <c r="AB33" i="6" s="1"/>
  <c r="X34" i="6" a="1"/>
  <c r="X34" i="6" s="1"/>
  <c r="Y34" i="6" a="1"/>
  <c r="Y34" i="6" s="1"/>
  <c r="Z34" i="6" a="1"/>
  <c r="Z34" i="6" s="1"/>
  <c r="AA34" i="6" a="1"/>
  <c r="AA34" i="6"/>
  <c r="AB34" i="6" a="1"/>
  <c r="AB34" i="6" s="1"/>
  <c r="X35" i="6" a="1"/>
  <c r="X35" i="6" s="1"/>
  <c r="Y35" i="6" a="1"/>
  <c r="Y35" i="6" s="1"/>
  <c r="Z35" i="6" a="1"/>
  <c r="Z35" i="6" s="1"/>
  <c r="AA35" i="6" a="1"/>
  <c r="AA35" i="6" s="1"/>
  <c r="AB35" i="6" a="1"/>
  <c r="AB35" i="6" s="1"/>
  <c r="X36" i="6" a="1"/>
  <c r="X36" i="6" s="1"/>
  <c r="Y36" i="6" a="1"/>
  <c r="Y36" i="6" s="1"/>
  <c r="Z36" i="6" a="1"/>
  <c r="Z36" i="6" s="1"/>
  <c r="AA36" i="6" a="1"/>
  <c r="AA36" i="6" s="1"/>
  <c r="AB36" i="6" a="1"/>
  <c r="AB36" i="6" s="1"/>
  <c r="X37" i="6" a="1"/>
  <c r="X37" i="6" s="1"/>
  <c r="Y37" i="6" a="1"/>
  <c r="Y37" i="6" s="1"/>
  <c r="Z37" i="6" a="1"/>
  <c r="Z37" i="6" s="1"/>
  <c r="AA37" i="6" a="1"/>
  <c r="AA37" i="6" s="1"/>
  <c r="AB37" i="6" a="1"/>
  <c r="AB37" i="6" s="1"/>
  <c r="X38" i="6" a="1"/>
  <c r="X38" i="6" s="1"/>
  <c r="Y38" i="6" a="1"/>
  <c r="Y38" i="6" s="1"/>
  <c r="Z38" i="6" a="1"/>
  <c r="Z38" i="6" s="1"/>
  <c r="AA38" i="6" a="1"/>
  <c r="AA38" i="6" s="1"/>
  <c r="AB38" i="6" a="1"/>
  <c r="AB38" i="6" s="1"/>
  <c r="X39" i="6" a="1"/>
  <c r="X39" i="6" s="1"/>
  <c r="Y39" i="6" a="1"/>
  <c r="Y39" i="6" s="1"/>
  <c r="Z39" i="6" a="1"/>
  <c r="Z39" i="6" s="1"/>
  <c r="AA39" i="6" a="1"/>
  <c r="AA39" i="6" s="1"/>
  <c r="AB39" i="6" a="1"/>
  <c r="AB39" i="6" s="1"/>
  <c r="X40" i="6" a="1"/>
  <c r="X40" i="6" s="1"/>
  <c r="Y40" i="6" a="1"/>
  <c r="Y40" i="6" s="1"/>
  <c r="Z40" i="6" a="1"/>
  <c r="Z40" i="6" s="1"/>
  <c r="AA40" i="6" a="1"/>
  <c r="AA40" i="6" s="1"/>
  <c r="AB40" i="6" a="1"/>
  <c r="AB40" i="6" s="1"/>
  <c r="X41" i="6" a="1"/>
  <c r="X41" i="6" s="1"/>
  <c r="Y41" i="6" a="1"/>
  <c r="Y41" i="6" s="1"/>
  <c r="Z41" i="6" a="1"/>
  <c r="Z41" i="6" s="1"/>
  <c r="AA41" i="6" a="1"/>
  <c r="AA41" i="6" s="1"/>
  <c r="AB41" i="6" a="1"/>
  <c r="AB41" i="6" s="1"/>
  <c r="X42" i="6" a="1"/>
  <c r="X42" i="6" s="1"/>
  <c r="Y42" i="6" a="1"/>
  <c r="Y42" i="6" s="1"/>
  <c r="Z42" i="6" a="1"/>
  <c r="Z42" i="6" s="1"/>
  <c r="AA42" i="6" a="1"/>
  <c r="AA42" i="6" s="1"/>
  <c r="AB42" i="6" a="1"/>
  <c r="AB42" i="6" s="1"/>
  <c r="X43" i="6" a="1"/>
  <c r="X43" i="6" s="1"/>
  <c r="Y43" i="6" a="1"/>
  <c r="Y43" i="6" s="1"/>
  <c r="Z43" i="6" a="1"/>
  <c r="Z43" i="6" s="1"/>
  <c r="AA43" i="6" a="1"/>
  <c r="AA43" i="6" s="1"/>
  <c r="AB43" i="6" a="1"/>
  <c r="AB43" i="6" s="1"/>
  <c r="X44" i="6" a="1"/>
  <c r="X44" i="6" s="1"/>
  <c r="Y44" i="6" a="1"/>
  <c r="Y44" i="6" s="1"/>
  <c r="Z44" i="6" a="1"/>
  <c r="Z44" i="6" s="1"/>
  <c r="AA44" i="6" a="1"/>
  <c r="AA44" i="6" s="1"/>
  <c r="AB44" i="6" a="1"/>
  <c r="AB44" i="6" s="1"/>
  <c r="X45" i="6" a="1"/>
  <c r="X45" i="6" s="1"/>
  <c r="Y45" i="6" a="1"/>
  <c r="Y45" i="6" s="1"/>
  <c r="Z45" i="6" a="1"/>
  <c r="Z45" i="6" s="1"/>
  <c r="AA45" i="6" a="1"/>
  <c r="AA45" i="6" s="1"/>
  <c r="AB45" i="6" a="1"/>
  <c r="AB45" i="6" s="1"/>
  <c r="X46" i="6" a="1"/>
  <c r="X46" i="6" s="1"/>
  <c r="Y46" i="6" a="1"/>
  <c r="Y46" i="6" s="1"/>
  <c r="Z46" i="6" a="1"/>
  <c r="Z46" i="6" s="1"/>
  <c r="AA46" i="6" a="1"/>
  <c r="AA46" i="6" s="1"/>
  <c r="AB46" i="6" a="1"/>
  <c r="AB46" i="6" s="1"/>
  <c r="X47" i="6" a="1"/>
  <c r="X47" i="6" s="1"/>
  <c r="Y47" i="6" a="1"/>
  <c r="Y47" i="6" s="1"/>
  <c r="Z47" i="6" a="1"/>
  <c r="Z47" i="6" s="1"/>
  <c r="AA47" i="6" a="1"/>
  <c r="AA47" i="6" s="1"/>
  <c r="AB47" i="6" a="1"/>
  <c r="AB47" i="6" s="1"/>
  <c r="X48" i="6" a="1"/>
  <c r="X48" i="6" s="1"/>
  <c r="Y48" i="6" a="1"/>
  <c r="Y48" i="6" s="1"/>
  <c r="Z48" i="6" a="1"/>
  <c r="Z48" i="6" s="1"/>
  <c r="AA48" i="6" a="1"/>
  <c r="AA48" i="6" s="1"/>
  <c r="AB48" i="6" a="1"/>
  <c r="AB48" i="6" s="1"/>
  <c r="X49" i="6" a="1"/>
  <c r="X49" i="6" s="1"/>
  <c r="Y49" i="6" a="1"/>
  <c r="Y49" i="6"/>
  <c r="Z49" i="6" a="1"/>
  <c r="Z49" i="6" s="1"/>
  <c r="AA49" i="6" a="1"/>
  <c r="AA49" i="6" s="1"/>
  <c r="AB49" i="6" a="1"/>
  <c r="AB49" i="6" s="1"/>
  <c r="X50" i="6" a="1"/>
  <c r="X50" i="6" s="1"/>
  <c r="Y50" i="6" a="1"/>
  <c r="Y50" i="6" s="1"/>
  <c r="Z50" i="6" a="1"/>
  <c r="Z50" i="6" s="1"/>
  <c r="AA50" i="6" a="1"/>
  <c r="AA50" i="6" s="1"/>
  <c r="AB50" i="6" a="1"/>
  <c r="AB50" i="6" s="1"/>
  <c r="X51" i="6" a="1"/>
  <c r="X51" i="6" s="1"/>
  <c r="Y51" i="6" a="1"/>
  <c r="Y51" i="6" s="1"/>
  <c r="Z51" i="6" a="1"/>
  <c r="Z51" i="6" s="1"/>
  <c r="AA51" i="6" a="1"/>
  <c r="AA51" i="6" s="1"/>
  <c r="AB51" i="6" a="1"/>
  <c r="AB51" i="6" s="1"/>
  <c r="X52" i="6" a="1"/>
  <c r="X52" i="6" s="1"/>
  <c r="Y52" i="6" a="1"/>
  <c r="Y52" i="6" s="1"/>
  <c r="Z52" i="6" a="1"/>
  <c r="Z52" i="6"/>
  <c r="AA52" i="6" a="1"/>
  <c r="AA52" i="6" s="1"/>
  <c r="AB52" i="6" a="1"/>
  <c r="AB52" i="6" s="1"/>
  <c r="X53" i="6" a="1"/>
  <c r="X53" i="6" s="1"/>
  <c r="Y53" i="6" a="1"/>
  <c r="Y53" i="6" s="1"/>
  <c r="Z53" i="6" a="1"/>
  <c r="Z53" i="6" s="1"/>
  <c r="AA53" i="6" a="1"/>
  <c r="AA53" i="6" s="1"/>
  <c r="AB53" i="6" a="1"/>
  <c r="AB53" i="6" s="1"/>
  <c r="X54" i="6" a="1"/>
  <c r="X54" i="6"/>
  <c r="Y54" i="6" a="1"/>
  <c r="Y54" i="6" s="1"/>
  <c r="Z54" i="6" a="1"/>
  <c r="Z54" i="6" s="1"/>
  <c r="AA54" i="6" a="1"/>
  <c r="AA54" i="6" s="1"/>
  <c r="AB54" i="6" a="1"/>
  <c r="AB54" i="6" s="1"/>
  <c r="X55" i="6" a="1"/>
  <c r="X55" i="6" s="1"/>
  <c r="Y55" i="6" a="1"/>
  <c r="Y55" i="6" s="1"/>
  <c r="Z55" i="6" a="1"/>
  <c r="Z55" i="6" s="1"/>
  <c r="AA55" i="6" a="1"/>
  <c r="AA55" i="6"/>
  <c r="AB55" i="6" a="1"/>
  <c r="AB55" i="6" s="1"/>
  <c r="X56" i="6" a="1"/>
  <c r="X56" i="6" s="1"/>
  <c r="Y56" i="6" a="1"/>
  <c r="Y56" i="6" s="1"/>
  <c r="Z56" i="6" a="1"/>
  <c r="Z56" i="6" s="1"/>
  <c r="AA56" i="6" a="1"/>
  <c r="AA56" i="6" s="1"/>
  <c r="AB56" i="6" a="1"/>
  <c r="AB56" i="6" s="1"/>
  <c r="X57" i="6" a="1"/>
  <c r="X57" i="6" s="1"/>
  <c r="Y57" i="6" a="1"/>
  <c r="Y57" i="6"/>
  <c r="Z57" i="6" a="1"/>
  <c r="Z57" i="6" s="1"/>
  <c r="AA57" i="6" a="1"/>
  <c r="AA57" i="6" s="1"/>
  <c r="AB57" i="6" a="1"/>
  <c r="AB57" i="6" s="1"/>
  <c r="X58" i="6" a="1"/>
  <c r="X58" i="6" s="1"/>
  <c r="Y58" i="6" a="1"/>
  <c r="Y58" i="6" s="1"/>
  <c r="Z58" i="6" a="1"/>
  <c r="Z58" i="6" s="1"/>
  <c r="AA58" i="6" a="1"/>
  <c r="AA58" i="6" s="1"/>
  <c r="AB58" i="6" a="1"/>
  <c r="AB58" i="6"/>
  <c r="X59" i="6" a="1"/>
  <c r="X59" i="6" s="1"/>
  <c r="Y59" i="6" a="1"/>
  <c r="Y59" i="6" s="1"/>
  <c r="Z59" i="6" a="1"/>
  <c r="Z59" i="6" s="1"/>
  <c r="AA59" i="6" a="1"/>
  <c r="AA59" i="6" s="1"/>
  <c r="AB59" i="6" a="1"/>
  <c r="AB59" i="6" s="1"/>
  <c r="X60" i="6" a="1"/>
  <c r="X60" i="6" s="1"/>
  <c r="Y60" i="6" a="1"/>
  <c r="Y60" i="6" s="1"/>
  <c r="Z60" i="6" a="1"/>
  <c r="Z60" i="6" s="1"/>
  <c r="AA60" i="6" a="1"/>
  <c r="AA60" i="6" s="1"/>
  <c r="AB60" i="6" a="1"/>
  <c r="AB60" i="6" s="1"/>
  <c r="X61" i="6" a="1"/>
  <c r="X61" i="6" s="1"/>
  <c r="Y61" i="6" a="1"/>
  <c r="Y61" i="6" s="1"/>
  <c r="Z61" i="6" a="1"/>
  <c r="Z61" i="6" s="1"/>
  <c r="AA61" i="6" a="1"/>
  <c r="AA61" i="6" s="1"/>
  <c r="AB61" i="6" a="1"/>
  <c r="AB61" i="6" s="1"/>
  <c r="X62" i="6" a="1"/>
  <c r="X62" i="6"/>
  <c r="Y62" i="6" a="1"/>
  <c r="Y62" i="6" s="1"/>
  <c r="Z62" i="6" a="1"/>
  <c r="Z62" i="6" s="1"/>
  <c r="AA62" i="6" a="1"/>
  <c r="AA62" i="6" s="1"/>
  <c r="AB62" i="6" a="1"/>
  <c r="AB62" i="6" s="1"/>
  <c r="X63" i="6" a="1"/>
  <c r="X63" i="6" s="1"/>
  <c r="Y63" i="6" a="1"/>
  <c r="Y63" i="6" s="1"/>
  <c r="Z63" i="6" a="1"/>
  <c r="Z63" i="6" s="1"/>
  <c r="AA63" i="6" a="1"/>
  <c r="AA63" i="6" s="1"/>
  <c r="AB63" i="6" a="1"/>
  <c r="AB63" i="6" s="1"/>
  <c r="X64" i="6" a="1"/>
  <c r="X64" i="6" s="1"/>
  <c r="Y64" i="6" a="1"/>
  <c r="Y64" i="6" s="1"/>
  <c r="Z64" i="6" a="1"/>
  <c r="Z64" i="6" s="1"/>
  <c r="AA64" i="6" a="1"/>
  <c r="AA64" i="6" s="1"/>
  <c r="AB64" i="6" a="1"/>
  <c r="AB64" i="6" s="1"/>
  <c r="X65" i="6" a="1"/>
  <c r="X65" i="6" s="1"/>
  <c r="Y65" i="6" a="1"/>
  <c r="Y65" i="6" s="1"/>
  <c r="Z65" i="6" a="1"/>
  <c r="Z65" i="6" s="1"/>
  <c r="AA65" i="6" a="1"/>
  <c r="AA65" i="6" s="1"/>
  <c r="AB65" i="6" a="1"/>
  <c r="AB65" i="6" s="1"/>
  <c r="X66" i="6" a="1"/>
  <c r="X66" i="6" s="1"/>
  <c r="Y66" i="6" a="1"/>
  <c r="Y66" i="6" s="1"/>
  <c r="Z66" i="6" a="1"/>
  <c r="Z66" i="6" s="1"/>
  <c r="AA66" i="6" a="1"/>
  <c r="AA66" i="6" s="1"/>
  <c r="AB66" i="6" a="1"/>
  <c r="AB66" i="6" s="1"/>
  <c r="X67" i="6" a="1"/>
  <c r="X67" i="6" s="1"/>
  <c r="Y67" i="6" a="1"/>
  <c r="Y67" i="6" s="1"/>
  <c r="Z67" i="6" a="1"/>
  <c r="Z67" i="6" s="1"/>
  <c r="AA67" i="6" a="1"/>
  <c r="AA67" i="6" s="1"/>
  <c r="AB67" i="6" a="1"/>
  <c r="AB67" i="6" s="1"/>
  <c r="X68" i="6" a="1"/>
  <c r="X68" i="6" s="1"/>
  <c r="Y68" i="6" a="1"/>
  <c r="Y68" i="6" s="1"/>
  <c r="Z68" i="6" a="1"/>
  <c r="Z68" i="6" s="1"/>
  <c r="AA68" i="6" a="1"/>
  <c r="AA68" i="6" s="1"/>
  <c r="AB68" i="6" a="1"/>
  <c r="AB68" i="6" s="1"/>
  <c r="X69" i="6" a="1"/>
  <c r="X69" i="6" s="1"/>
  <c r="Y69" i="6" a="1"/>
  <c r="Y69" i="6" s="1"/>
  <c r="Z69" i="6" a="1"/>
  <c r="Z69" i="6" s="1"/>
  <c r="AA69" i="6" a="1"/>
  <c r="AA69" i="6" s="1"/>
  <c r="AB69" i="6" a="1"/>
  <c r="AB69" i="6" s="1"/>
  <c r="X70" i="6" a="1"/>
  <c r="X70" i="6" s="1"/>
  <c r="Y70" i="6" a="1"/>
  <c r="Y70" i="6" s="1"/>
  <c r="Z70" i="6" a="1"/>
  <c r="Z70" i="6" s="1"/>
  <c r="AA70" i="6" a="1"/>
  <c r="AA70" i="6" s="1"/>
  <c r="AB70" i="6" a="1"/>
  <c r="AB70" i="6" s="1"/>
  <c r="X71" i="6" a="1"/>
  <c r="X71" i="6" s="1"/>
  <c r="Y71" i="6" a="1"/>
  <c r="Y71" i="6" s="1"/>
  <c r="Z71" i="6" a="1"/>
  <c r="Z71" i="6" s="1"/>
  <c r="AA71" i="6" a="1"/>
  <c r="AA71" i="6"/>
  <c r="AB71" i="6" a="1"/>
  <c r="AB71" i="6" s="1"/>
  <c r="X72" i="6" a="1"/>
  <c r="X72" i="6" s="1"/>
  <c r="Y72" i="6" a="1"/>
  <c r="Y72" i="6" s="1"/>
  <c r="Z72" i="6" a="1"/>
  <c r="Z72" i="6" s="1"/>
  <c r="AA72" i="6" a="1"/>
  <c r="AA72" i="6" s="1"/>
  <c r="AB72" i="6" a="1"/>
  <c r="AB72" i="6" s="1"/>
  <c r="X73" i="6" a="1"/>
  <c r="X73" i="6" s="1"/>
  <c r="Y73" i="6" a="1"/>
  <c r="Y73" i="6" s="1"/>
  <c r="Z73" i="6" a="1"/>
  <c r="Z73" i="6" s="1"/>
  <c r="AA73" i="6" a="1"/>
  <c r="AA73" i="6" s="1"/>
  <c r="AB73" i="6" a="1"/>
  <c r="AB73" i="6" s="1"/>
  <c r="X74" i="6" a="1"/>
  <c r="X74" i="6" s="1"/>
  <c r="Y74" i="6" a="1"/>
  <c r="Y74" i="6" s="1"/>
  <c r="Z74" i="6" a="1"/>
  <c r="Z74" i="6" s="1"/>
  <c r="AA74" i="6" a="1"/>
  <c r="AA74" i="6" s="1"/>
  <c r="AB74" i="6" a="1"/>
  <c r="AB74" i="6"/>
  <c r="X75" i="6" a="1"/>
  <c r="X75" i="6" s="1"/>
  <c r="Y75" i="6" a="1"/>
  <c r="Y75" i="6" s="1"/>
  <c r="Z75" i="6" a="1"/>
  <c r="Z75" i="6" s="1"/>
  <c r="AA75" i="6" a="1"/>
  <c r="AA75" i="6" s="1"/>
  <c r="AB75" i="6" a="1"/>
  <c r="AB75" i="6" s="1"/>
  <c r="X76" i="6" a="1"/>
  <c r="X76" i="6" s="1"/>
  <c r="Y76" i="6" a="1"/>
  <c r="Y76" i="6" s="1"/>
  <c r="Z76" i="6" a="1"/>
  <c r="Z76" i="6" s="1"/>
  <c r="AA76" i="6" a="1"/>
  <c r="AA76" i="6" s="1"/>
  <c r="AB76" i="6" a="1"/>
  <c r="AB76" i="6" s="1"/>
  <c r="X77" i="6" a="1"/>
  <c r="X77" i="6" s="1"/>
  <c r="Y77" i="6" a="1"/>
  <c r="Y77" i="6" s="1"/>
  <c r="Z77" i="6" a="1"/>
  <c r="Z77" i="6" s="1"/>
  <c r="AA77" i="6" a="1"/>
  <c r="AA77" i="6" s="1"/>
  <c r="AB77" i="6" a="1"/>
  <c r="AB77" i="6" s="1"/>
  <c r="X78" i="6" a="1"/>
  <c r="X78" i="6"/>
  <c r="Y78" i="6" a="1"/>
  <c r="Y78" i="6" s="1"/>
  <c r="Z78" i="6" a="1"/>
  <c r="Z78" i="6" s="1"/>
  <c r="AA78" i="6" a="1"/>
  <c r="AA78" i="6" s="1"/>
  <c r="AB78" i="6" a="1"/>
  <c r="AB78" i="6" s="1"/>
  <c r="X79" i="6" a="1"/>
  <c r="X79" i="6" s="1"/>
  <c r="Y79" i="6" a="1"/>
  <c r="Y79" i="6" s="1"/>
  <c r="Z79" i="6" a="1"/>
  <c r="Z79" i="6" s="1"/>
  <c r="AA79" i="6" a="1"/>
  <c r="AA79" i="6"/>
  <c r="AB79" i="6" a="1"/>
  <c r="AB79" i="6" s="1"/>
  <c r="X80" i="6" a="1"/>
  <c r="X80" i="6" s="1"/>
  <c r="Y80" i="6" a="1"/>
  <c r="Y80" i="6" s="1"/>
  <c r="Z80" i="6" a="1"/>
  <c r="Z80" i="6" s="1"/>
  <c r="AA80" i="6" a="1"/>
  <c r="AA80" i="6" s="1"/>
  <c r="AB80" i="6" a="1"/>
  <c r="AB80" i="6" s="1"/>
  <c r="X81" i="6" a="1"/>
  <c r="X81" i="6" s="1"/>
  <c r="Y81" i="6" a="1"/>
  <c r="Y81" i="6"/>
  <c r="Z81" i="6" a="1"/>
  <c r="Z81" i="6" s="1"/>
  <c r="AA81" i="6" a="1"/>
  <c r="AA81" i="6" s="1"/>
  <c r="AB81" i="6" a="1"/>
  <c r="AB81" i="6" s="1"/>
  <c r="X82" i="6" a="1"/>
  <c r="X82" i="6" s="1"/>
  <c r="Y82" i="6" a="1"/>
  <c r="Y82" i="6" s="1"/>
  <c r="Z82" i="6" a="1"/>
  <c r="Z82" i="6" s="1"/>
  <c r="AA82" i="6" a="1"/>
  <c r="AA82" i="6" s="1"/>
  <c r="AB82" i="6" a="1"/>
  <c r="AB82" i="6"/>
  <c r="X83" i="6" a="1"/>
  <c r="X83" i="6" s="1"/>
  <c r="Y83" i="6" a="1"/>
  <c r="Y83" i="6" s="1"/>
  <c r="Z83" i="6" a="1"/>
  <c r="Z83" i="6" s="1"/>
  <c r="AA83" i="6" a="1"/>
  <c r="AA83" i="6" s="1"/>
  <c r="AB83" i="6" a="1"/>
  <c r="AB83" i="6" s="1"/>
  <c r="X84" i="6" a="1"/>
  <c r="X84" i="6" s="1"/>
  <c r="Y84" i="6" a="1"/>
  <c r="Y84" i="6" s="1"/>
  <c r="Z84" i="6" a="1"/>
  <c r="Z84" i="6"/>
  <c r="AA84" i="6" a="1"/>
  <c r="AA84" i="6" s="1"/>
  <c r="AB84" i="6" a="1"/>
  <c r="AB84" i="6" s="1"/>
  <c r="X85" i="6" a="1"/>
  <c r="X85" i="6" s="1"/>
  <c r="Y85" i="6" a="1"/>
  <c r="Y85" i="6" s="1"/>
  <c r="Z85" i="6" a="1"/>
  <c r="Z85" i="6" s="1"/>
  <c r="AA85" i="6" a="1"/>
  <c r="AA85" i="6" s="1"/>
  <c r="AB85" i="6" a="1"/>
  <c r="AB85" i="6" s="1"/>
  <c r="X86" i="6" a="1"/>
  <c r="X86" i="6" s="1"/>
  <c r="Y86" i="6" a="1"/>
  <c r="Y86" i="6" s="1"/>
  <c r="Z86" i="6" a="1"/>
  <c r="Z86" i="6" s="1"/>
  <c r="AA86" i="6" a="1"/>
  <c r="AA86" i="6" s="1"/>
  <c r="AB86" i="6" a="1"/>
  <c r="AB86" i="6" s="1"/>
  <c r="X87" i="6" a="1"/>
  <c r="X87" i="6" s="1"/>
  <c r="Y87" i="6" a="1"/>
  <c r="Y87" i="6" s="1"/>
  <c r="Z87" i="6" a="1"/>
  <c r="Z87" i="6" s="1"/>
  <c r="AA87" i="6" a="1"/>
  <c r="AA87" i="6"/>
  <c r="AB87" i="6" a="1"/>
  <c r="AB87" i="6" s="1"/>
  <c r="X88" i="6" a="1"/>
  <c r="X88" i="6" s="1"/>
  <c r="Y88" i="6" a="1"/>
  <c r="Y88" i="6" s="1"/>
  <c r="Z88" i="6" a="1"/>
  <c r="Z88" i="6" s="1"/>
  <c r="AA88" i="6" a="1"/>
  <c r="AA88" i="6" s="1"/>
  <c r="AB88" i="6" a="1"/>
  <c r="AB88" i="6" s="1"/>
  <c r="X89" i="6" a="1"/>
  <c r="X89" i="6" s="1"/>
  <c r="Y89" i="6" a="1"/>
  <c r="Y89" i="6" s="1"/>
  <c r="Z89" i="6" a="1"/>
  <c r="Z89" i="6" s="1"/>
  <c r="AA89" i="6" a="1"/>
  <c r="AA89" i="6" s="1"/>
  <c r="AB89" i="6" a="1"/>
  <c r="AB89" i="6" s="1"/>
  <c r="X90" i="6" a="1"/>
  <c r="X90" i="6" s="1"/>
  <c r="Y90" i="6" a="1"/>
  <c r="Y90" i="6" s="1"/>
  <c r="Z90" i="6" a="1"/>
  <c r="Z90" i="6" s="1"/>
  <c r="AA90" i="6" a="1"/>
  <c r="AA90" i="6" s="1"/>
  <c r="AB90" i="6" a="1"/>
  <c r="AB90" i="6" s="1"/>
  <c r="X91" i="6" a="1"/>
  <c r="X91" i="6" s="1"/>
  <c r="Y91" i="6" a="1"/>
  <c r="Y91" i="6" s="1"/>
  <c r="Z91" i="6" a="1"/>
  <c r="Z91" i="6" s="1"/>
  <c r="AA91" i="6" a="1"/>
  <c r="AA91" i="6" s="1"/>
  <c r="AB91" i="6" a="1"/>
  <c r="AB91" i="6" s="1"/>
  <c r="X92" i="6" a="1"/>
  <c r="X92" i="6" s="1"/>
  <c r="Y92" i="6" a="1"/>
  <c r="Y92" i="6" s="1"/>
  <c r="Z92" i="6" a="1"/>
  <c r="Z92" i="6" s="1"/>
  <c r="AA92" i="6" a="1"/>
  <c r="AA92" i="6" s="1"/>
  <c r="AB92" i="6" a="1"/>
  <c r="AB92" i="6" s="1"/>
  <c r="X93" i="6" a="1"/>
  <c r="X93" i="6" s="1"/>
  <c r="Y93" i="6" a="1"/>
  <c r="Y93" i="6" s="1"/>
  <c r="Z93" i="6" a="1"/>
  <c r="Z93" i="6" s="1"/>
  <c r="AA93" i="6" a="1"/>
  <c r="AA93" i="6" s="1"/>
  <c r="AB93" i="6" a="1"/>
  <c r="AB93" i="6" s="1"/>
  <c r="X94" i="6" a="1"/>
  <c r="X94" i="6" s="1"/>
  <c r="Y94" i="6" a="1"/>
  <c r="Y94" i="6" s="1"/>
  <c r="Z94" i="6" a="1"/>
  <c r="Z94" i="6" s="1"/>
  <c r="AA94" i="6" a="1"/>
  <c r="AA94" i="6" s="1"/>
  <c r="AB94" i="6" a="1"/>
  <c r="AB94" i="6" s="1"/>
  <c r="X95" i="6" a="1"/>
  <c r="X95" i="6" s="1"/>
  <c r="Y95" i="6" a="1"/>
  <c r="Y95" i="6" s="1"/>
  <c r="Z95" i="6" a="1"/>
  <c r="Z95" i="6" s="1"/>
  <c r="AA95" i="6" a="1"/>
  <c r="AA95" i="6" s="1"/>
  <c r="AB95" i="6" a="1"/>
  <c r="AB95" i="6" s="1"/>
  <c r="X96" i="6" a="1"/>
  <c r="X96" i="6" s="1"/>
  <c r="Y96" i="6" a="1"/>
  <c r="Y96" i="6" s="1"/>
  <c r="Z96" i="6" a="1"/>
  <c r="Z96" i="6" s="1"/>
  <c r="AA96" i="6" a="1"/>
  <c r="AA96" i="6" s="1"/>
  <c r="AB96" i="6" a="1"/>
  <c r="AB96" i="6" s="1"/>
  <c r="X97" i="6" a="1"/>
  <c r="X97" i="6" s="1"/>
  <c r="Y97" i="6" a="1"/>
  <c r="Y97" i="6"/>
  <c r="Z97" i="6" a="1"/>
  <c r="Z97" i="6" s="1"/>
  <c r="AA97" i="6" a="1"/>
  <c r="AA97" i="6" s="1"/>
  <c r="AB97" i="6" a="1"/>
  <c r="AB97" i="6" s="1"/>
  <c r="X98" i="6" a="1"/>
  <c r="X98" i="6" s="1"/>
  <c r="Y98" i="6" a="1"/>
  <c r="Y98" i="6" s="1"/>
  <c r="Z98" i="6" a="1"/>
  <c r="Z98" i="6" s="1"/>
  <c r="AA98" i="6" a="1"/>
  <c r="AA98" i="6" s="1"/>
  <c r="AB98" i="6" a="1"/>
  <c r="AB98" i="6" s="1"/>
  <c r="X99" i="6" a="1"/>
  <c r="X99" i="6" s="1"/>
  <c r="Y99" i="6" a="1"/>
  <c r="Y99" i="6" s="1"/>
  <c r="Z99" i="6" a="1"/>
  <c r="Z99" i="6" s="1"/>
  <c r="AA99" i="6" a="1"/>
  <c r="AA99" i="6" s="1"/>
  <c r="AB99" i="6" a="1"/>
  <c r="AB99" i="6" s="1"/>
  <c r="X100" i="6" a="1"/>
  <c r="X100" i="6" s="1"/>
  <c r="Y100" i="6" a="1"/>
  <c r="Y100" i="6" s="1"/>
  <c r="Z100" i="6" a="1"/>
  <c r="Z100" i="6"/>
  <c r="AA100" i="6" a="1"/>
  <c r="AA100" i="6" s="1"/>
  <c r="AB100" i="6" a="1"/>
  <c r="AB100" i="6" s="1"/>
  <c r="T27" i="6" a="1"/>
  <c r="T27" i="6" s="1"/>
  <c r="U27" i="6" a="1"/>
  <c r="U27" i="6" s="1"/>
  <c r="V27" i="6" a="1"/>
  <c r="V27" i="6" s="1"/>
  <c r="T28" i="6" a="1"/>
  <c r="T28" i="6" s="1"/>
  <c r="U28" i="6" a="1"/>
  <c r="U28" i="6" s="1"/>
  <c r="V28" i="6" a="1"/>
  <c r="V28" i="6" s="1"/>
  <c r="T29" i="6" a="1"/>
  <c r="T29" i="6" s="1"/>
  <c r="U29" i="6" a="1"/>
  <c r="U29" i="6" s="1"/>
  <c r="V29" i="6" a="1"/>
  <c r="V29" i="6" s="1"/>
  <c r="T30" i="6" a="1"/>
  <c r="T30" i="6" s="1"/>
  <c r="U30" i="6" a="1"/>
  <c r="U30" i="6" s="1"/>
  <c r="V30" i="6" a="1"/>
  <c r="V30" i="6" s="1"/>
  <c r="T31" i="6" a="1"/>
  <c r="T31" i="6" s="1"/>
  <c r="U31" i="6" a="1"/>
  <c r="U31" i="6" s="1"/>
  <c r="V31" i="6" a="1"/>
  <c r="V31" i="6"/>
  <c r="T32" i="6" a="1"/>
  <c r="T32" i="6"/>
  <c r="U32" i="6" a="1"/>
  <c r="U32" i="6" s="1"/>
  <c r="V32" i="6" a="1"/>
  <c r="V32" i="6" s="1"/>
  <c r="T33" i="6" a="1"/>
  <c r="T33" i="6" s="1"/>
  <c r="U33" i="6" a="1"/>
  <c r="U33" i="6" s="1"/>
  <c r="V33" i="6" a="1"/>
  <c r="V33" i="6" s="1"/>
  <c r="T34" i="6" a="1"/>
  <c r="T34" i="6" s="1"/>
  <c r="U34" i="6" a="1"/>
  <c r="U34" i="6"/>
  <c r="V34" i="6" a="1"/>
  <c r="V34" i="6"/>
  <c r="T35" i="6" a="1"/>
  <c r="T35" i="6" s="1"/>
  <c r="U35" i="6" a="1"/>
  <c r="U35" i="6" s="1"/>
  <c r="V35" i="6" a="1"/>
  <c r="V35" i="6" s="1"/>
  <c r="T36" i="6" a="1"/>
  <c r="T36" i="6" s="1"/>
  <c r="U36" i="6" a="1"/>
  <c r="U36" i="6" s="1"/>
  <c r="V36" i="6" a="1"/>
  <c r="V36" i="6" s="1"/>
  <c r="T37" i="6" a="1"/>
  <c r="T37" i="6"/>
  <c r="U37" i="6" a="1"/>
  <c r="U37" i="6" s="1"/>
  <c r="V37" i="6" a="1"/>
  <c r="V37" i="6" s="1"/>
  <c r="T38" i="6" a="1"/>
  <c r="T38" i="6" s="1"/>
  <c r="U38" i="6" a="1"/>
  <c r="U38" i="6" s="1"/>
  <c r="V38" i="6" a="1"/>
  <c r="V38" i="6" s="1"/>
  <c r="T39" i="6" a="1"/>
  <c r="T39" i="6" s="1"/>
  <c r="U39" i="6" a="1"/>
  <c r="U39" i="6" s="1"/>
  <c r="V39" i="6" a="1"/>
  <c r="V39" i="6" s="1"/>
  <c r="T40" i="6" a="1"/>
  <c r="T40" i="6"/>
  <c r="U40" i="6" a="1"/>
  <c r="U40" i="6" s="1"/>
  <c r="V40" i="6" a="1"/>
  <c r="V40" i="6" s="1"/>
  <c r="T41" i="6" a="1"/>
  <c r="T41" i="6" s="1"/>
  <c r="U41" i="6" a="1"/>
  <c r="U41" i="6" s="1"/>
  <c r="V41" i="6" a="1"/>
  <c r="V41" i="6" s="1"/>
  <c r="T42" i="6" a="1"/>
  <c r="T42" i="6" s="1"/>
  <c r="U42" i="6" a="1"/>
  <c r="U42" i="6" s="1"/>
  <c r="V42" i="6" a="1"/>
  <c r="V42" i="6"/>
  <c r="T43" i="6" a="1"/>
  <c r="T43" i="6" s="1"/>
  <c r="U43" i="6" a="1"/>
  <c r="U43" i="6" s="1"/>
  <c r="V43" i="6" a="1"/>
  <c r="V43" i="6" s="1"/>
  <c r="T44" i="6" a="1"/>
  <c r="T44" i="6" s="1"/>
  <c r="U44" i="6" a="1"/>
  <c r="U44" i="6" s="1"/>
  <c r="V44" i="6" a="1"/>
  <c r="V44" i="6" s="1"/>
  <c r="T45" i="6" a="1"/>
  <c r="T45" i="6"/>
  <c r="U45" i="6" a="1"/>
  <c r="U45" i="6"/>
  <c r="V45" i="6" a="1"/>
  <c r="V45" i="6" s="1"/>
  <c r="T46" i="6" a="1"/>
  <c r="T46" i="6" s="1"/>
  <c r="U46" i="6" a="1"/>
  <c r="U46" i="6" s="1"/>
  <c r="V46" i="6" a="1"/>
  <c r="V46" i="6" s="1"/>
  <c r="T47" i="6" a="1"/>
  <c r="T47" i="6" s="1"/>
  <c r="U47" i="6" a="1"/>
  <c r="U47" i="6" s="1"/>
  <c r="V47" i="6" a="1"/>
  <c r="V47" i="6"/>
  <c r="T48" i="6" a="1"/>
  <c r="T48" i="6" s="1"/>
  <c r="U48" i="6" a="1"/>
  <c r="U48" i="6" s="1"/>
  <c r="V48" i="6" a="1"/>
  <c r="V48" i="6" s="1"/>
  <c r="T49" i="6" a="1"/>
  <c r="T49" i="6" s="1"/>
  <c r="U49" i="6" a="1"/>
  <c r="U49" i="6" s="1"/>
  <c r="V49" i="6" a="1"/>
  <c r="V49" i="6" s="1"/>
  <c r="T50" i="6" a="1"/>
  <c r="T50" i="6" s="1"/>
  <c r="U50" i="6" a="1"/>
  <c r="U50" i="6" s="1"/>
  <c r="V50" i="6" a="1"/>
  <c r="V50" i="6" s="1"/>
  <c r="T51" i="6" a="1"/>
  <c r="T51" i="6" s="1"/>
  <c r="U51" i="6" a="1"/>
  <c r="U51" i="6" s="1"/>
  <c r="V51" i="6" a="1"/>
  <c r="V51" i="6" s="1"/>
  <c r="T52" i="6" a="1"/>
  <c r="T52" i="6" s="1"/>
  <c r="U52" i="6" a="1"/>
  <c r="U52" i="6" s="1"/>
  <c r="V52" i="6" a="1"/>
  <c r="V52" i="6" s="1"/>
  <c r="T53" i="6" a="1"/>
  <c r="T53" i="6"/>
  <c r="U53" i="6" a="1"/>
  <c r="U53" i="6"/>
  <c r="V53" i="6" a="1"/>
  <c r="V53" i="6" s="1"/>
  <c r="T54" i="6" a="1"/>
  <c r="T54" i="6" s="1"/>
  <c r="U54" i="6" a="1"/>
  <c r="U54" i="6" s="1"/>
  <c r="V54" i="6" a="1"/>
  <c r="V54" i="6" s="1"/>
  <c r="T55" i="6" a="1"/>
  <c r="T55" i="6" s="1"/>
  <c r="U55" i="6" a="1"/>
  <c r="U55" i="6" s="1"/>
  <c r="V55" i="6" a="1"/>
  <c r="V55" i="6"/>
  <c r="T56" i="6" a="1"/>
  <c r="T56" i="6"/>
  <c r="U56" i="6" a="1"/>
  <c r="U56" i="6" s="1"/>
  <c r="V56" i="6" a="1"/>
  <c r="V56" i="6" s="1"/>
  <c r="T57" i="6" a="1"/>
  <c r="T57" i="6" s="1"/>
  <c r="U57" i="6" a="1"/>
  <c r="U57" i="6" s="1"/>
  <c r="V57" i="6" a="1"/>
  <c r="V57" i="6" s="1"/>
  <c r="T58" i="6" a="1"/>
  <c r="T58" i="6" s="1"/>
  <c r="U58" i="6" a="1"/>
  <c r="U58" i="6"/>
  <c r="V58" i="6" a="1"/>
  <c r="V58" i="6" s="1"/>
  <c r="T59" i="6" a="1"/>
  <c r="T59" i="6" s="1"/>
  <c r="U59" i="6" a="1"/>
  <c r="U59" i="6" s="1"/>
  <c r="V59" i="6" a="1"/>
  <c r="V59" i="6" s="1"/>
  <c r="T60" i="6" a="1"/>
  <c r="T60" i="6" s="1"/>
  <c r="U60" i="6" a="1"/>
  <c r="U60" i="6" s="1"/>
  <c r="V60" i="6" a="1"/>
  <c r="V60" i="6" s="1"/>
  <c r="T61" i="6" a="1"/>
  <c r="T61" i="6" s="1"/>
  <c r="U61" i="6" a="1"/>
  <c r="U61" i="6"/>
  <c r="V61" i="6" a="1"/>
  <c r="V61" i="6" s="1"/>
  <c r="T62" i="6" a="1"/>
  <c r="T62" i="6" s="1"/>
  <c r="U62" i="6" a="1"/>
  <c r="U62" i="6" s="1"/>
  <c r="V62" i="6" a="1"/>
  <c r="V62" i="6" s="1"/>
  <c r="T63" i="6" a="1"/>
  <c r="T63" i="6" s="1"/>
  <c r="U63" i="6" a="1"/>
  <c r="U63" i="6" s="1"/>
  <c r="V63" i="6" a="1"/>
  <c r="V63" i="6" s="1"/>
  <c r="T64" i="6" a="1"/>
  <c r="T64" i="6" s="1"/>
  <c r="U64" i="6" a="1"/>
  <c r="U64" i="6" s="1"/>
  <c r="V64" i="6" a="1"/>
  <c r="V64" i="6" s="1"/>
  <c r="T65" i="6" a="1"/>
  <c r="T65" i="6" s="1"/>
  <c r="U65" i="6" a="1"/>
  <c r="U65" i="6" s="1"/>
  <c r="V65" i="6" a="1"/>
  <c r="V65" i="6" s="1"/>
  <c r="T66" i="6" a="1"/>
  <c r="T66" i="6" s="1"/>
  <c r="U66" i="6" a="1"/>
  <c r="U66" i="6"/>
  <c r="V66" i="6" a="1"/>
  <c r="V66" i="6"/>
  <c r="T67" i="6" a="1"/>
  <c r="T67" i="6" s="1"/>
  <c r="U67" i="6" a="1"/>
  <c r="U67" i="6" s="1"/>
  <c r="V67" i="6" a="1"/>
  <c r="V67" i="6" s="1"/>
  <c r="T68" i="6" a="1"/>
  <c r="T68" i="6" s="1"/>
  <c r="U68" i="6" a="1"/>
  <c r="U68" i="6" s="1"/>
  <c r="V68" i="6" a="1"/>
  <c r="V68" i="6" s="1"/>
  <c r="T69" i="6" a="1"/>
  <c r="T69" i="6"/>
  <c r="U69" i="6" a="1"/>
  <c r="U69" i="6" s="1"/>
  <c r="V69" i="6" a="1"/>
  <c r="V69" i="6" s="1"/>
  <c r="T70" i="6" a="1"/>
  <c r="T70" i="6" s="1"/>
  <c r="U70" i="6" a="1"/>
  <c r="U70" i="6" s="1"/>
  <c r="V70" i="6" a="1"/>
  <c r="V70" i="6" s="1"/>
  <c r="T71" i="6" a="1"/>
  <c r="T71" i="6" s="1"/>
  <c r="U71" i="6" a="1"/>
  <c r="U71" i="6" s="1"/>
  <c r="V71" i="6" a="1"/>
  <c r="V71" i="6" s="1"/>
  <c r="T72" i="6" a="1"/>
  <c r="T72" i="6" s="1"/>
  <c r="U72" i="6" a="1"/>
  <c r="U72" i="6" s="1"/>
  <c r="V72" i="6" a="1"/>
  <c r="V72" i="6" s="1"/>
  <c r="T73" i="6" a="1"/>
  <c r="T73" i="6" s="1"/>
  <c r="U73" i="6" a="1"/>
  <c r="U73" i="6" s="1"/>
  <c r="V73" i="6" a="1"/>
  <c r="V73" i="6" s="1"/>
  <c r="T74" i="6" a="1"/>
  <c r="T74" i="6" s="1"/>
  <c r="U74" i="6" a="1"/>
  <c r="U74" i="6"/>
  <c r="V74" i="6" a="1"/>
  <c r="V74" i="6"/>
  <c r="T75" i="6" a="1"/>
  <c r="T75" i="6" s="1"/>
  <c r="U75" i="6" a="1"/>
  <c r="U75" i="6" s="1"/>
  <c r="V75" i="6" a="1"/>
  <c r="V75" i="6" s="1"/>
  <c r="T76" i="6" a="1"/>
  <c r="T76" i="6" s="1"/>
  <c r="U76" i="6" a="1"/>
  <c r="U76" i="6" s="1"/>
  <c r="V76" i="6" a="1"/>
  <c r="V76" i="6" s="1"/>
  <c r="T77" i="6" a="1"/>
  <c r="T77" i="6" s="1"/>
  <c r="U77" i="6" a="1"/>
  <c r="U77" i="6"/>
  <c r="V77" i="6" a="1"/>
  <c r="V77" i="6" s="1"/>
  <c r="T78" i="6" a="1"/>
  <c r="T78" i="6" s="1"/>
  <c r="U78" i="6" a="1"/>
  <c r="U78" i="6" s="1"/>
  <c r="V78" i="6" a="1"/>
  <c r="V78" i="6" s="1"/>
  <c r="T79" i="6" a="1"/>
  <c r="T79" i="6" s="1"/>
  <c r="U79" i="6" a="1"/>
  <c r="U79" i="6" s="1"/>
  <c r="V79" i="6" a="1"/>
  <c r="V79" i="6"/>
  <c r="T80" i="6" a="1"/>
  <c r="T80" i="6" s="1"/>
  <c r="U80" i="6" a="1"/>
  <c r="U80" i="6" s="1"/>
  <c r="V80" i="6" a="1"/>
  <c r="V80" i="6" s="1"/>
  <c r="T81" i="6" a="1"/>
  <c r="T81" i="6" s="1"/>
  <c r="U81" i="6" a="1"/>
  <c r="U81" i="6" s="1"/>
  <c r="V81" i="6" a="1"/>
  <c r="V81" i="6" s="1"/>
  <c r="T82" i="6" a="1"/>
  <c r="T82" i="6" s="1"/>
  <c r="U82" i="6" a="1"/>
  <c r="U82" i="6" s="1"/>
  <c r="V82" i="6" a="1"/>
  <c r="V82" i="6" s="1"/>
  <c r="T83" i="6" a="1"/>
  <c r="T83" i="6" s="1"/>
  <c r="U83" i="6" a="1"/>
  <c r="U83" i="6" s="1"/>
  <c r="V83" i="6" a="1"/>
  <c r="V83" i="6" s="1"/>
  <c r="T84" i="6" a="1"/>
  <c r="T84" i="6" s="1"/>
  <c r="U84" i="6" a="1"/>
  <c r="U84" i="6" s="1"/>
  <c r="V84" i="6" a="1"/>
  <c r="V84" i="6" s="1"/>
  <c r="T85" i="6" a="1"/>
  <c r="T85" i="6"/>
  <c r="U85" i="6" a="1"/>
  <c r="U85" i="6" s="1"/>
  <c r="V85" i="6" a="1"/>
  <c r="V85" i="6" s="1"/>
  <c r="T86" i="6" a="1"/>
  <c r="T86" i="6" s="1"/>
  <c r="U86" i="6" a="1"/>
  <c r="U86" i="6" s="1"/>
  <c r="V86" i="6" a="1"/>
  <c r="V86" i="6" s="1"/>
  <c r="T87" i="6" a="1"/>
  <c r="T87" i="6" s="1"/>
  <c r="U87" i="6" a="1"/>
  <c r="U87" i="6" s="1"/>
  <c r="V87" i="6" a="1"/>
  <c r="V87" i="6"/>
  <c r="T88" i="6" a="1"/>
  <c r="T88" i="6"/>
  <c r="U88" i="6" a="1"/>
  <c r="U88" i="6" s="1"/>
  <c r="V88" i="6" a="1"/>
  <c r="V88" i="6" s="1"/>
  <c r="T89" i="6" a="1"/>
  <c r="T89" i="6" s="1"/>
  <c r="U89" i="6" a="1"/>
  <c r="U89" i="6" s="1"/>
  <c r="V89" i="6" a="1"/>
  <c r="V89" i="6" s="1"/>
  <c r="T90" i="6" a="1"/>
  <c r="T90" i="6" s="1"/>
  <c r="U90" i="6" a="1"/>
  <c r="U90" i="6" s="1"/>
  <c r="V90" i="6" a="1"/>
  <c r="V90" i="6"/>
  <c r="T91" i="6" a="1"/>
  <c r="T91" i="6" s="1"/>
  <c r="U91" i="6" a="1"/>
  <c r="U91" i="6" s="1"/>
  <c r="V91" i="6" a="1"/>
  <c r="V91" i="6" s="1"/>
  <c r="T92" i="6" a="1"/>
  <c r="T92" i="6" s="1"/>
  <c r="U92" i="6" a="1"/>
  <c r="U92" i="6" s="1"/>
  <c r="V92" i="6" a="1"/>
  <c r="V92" i="6" s="1"/>
  <c r="T93" i="6" a="1"/>
  <c r="T93" i="6"/>
  <c r="U93" i="6" a="1"/>
  <c r="U93" i="6" s="1"/>
  <c r="V93" i="6" a="1"/>
  <c r="V93" i="6" s="1"/>
  <c r="T94" i="6" a="1"/>
  <c r="T94" i="6" s="1"/>
  <c r="U94" i="6" a="1"/>
  <c r="U94" i="6" s="1"/>
  <c r="V94" i="6" a="1"/>
  <c r="V94" i="6" s="1"/>
  <c r="T95" i="6" a="1"/>
  <c r="T95" i="6" s="1"/>
  <c r="U95" i="6" a="1"/>
  <c r="U95" i="6" s="1"/>
  <c r="V95" i="6" a="1"/>
  <c r="V95" i="6" s="1"/>
  <c r="T96" i="6" a="1"/>
  <c r="T96" i="6"/>
  <c r="U96" i="6" a="1"/>
  <c r="U96" i="6" s="1"/>
  <c r="V96" i="6" a="1"/>
  <c r="V96" i="6" s="1"/>
  <c r="T97" i="6" a="1"/>
  <c r="T97" i="6" s="1"/>
  <c r="U97" i="6" a="1"/>
  <c r="U97" i="6" s="1"/>
  <c r="V97" i="6" a="1"/>
  <c r="V97" i="6" s="1"/>
  <c r="T98" i="6" a="1"/>
  <c r="T98" i="6" s="1"/>
  <c r="U98" i="6" a="1"/>
  <c r="U98" i="6" s="1"/>
  <c r="V98" i="6" a="1"/>
  <c r="V98" i="6" s="1"/>
  <c r="T99" i="6" a="1"/>
  <c r="T99" i="6" s="1"/>
  <c r="U99" i="6" a="1"/>
  <c r="U99" i="6" s="1"/>
  <c r="V99" i="6" a="1"/>
  <c r="V99" i="6" s="1"/>
  <c r="T100" i="6" a="1"/>
  <c r="T100" i="6" s="1"/>
  <c r="U100" i="6" a="1"/>
  <c r="U100" i="6" s="1"/>
  <c r="V100" i="6" a="1"/>
  <c r="V100" i="6" s="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R27" i="6" a="1"/>
  <c r="R27" i="6" s="1"/>
  <c r="S27" i="6" a="1"/>
  <c r="S27" i="6" s="1"/>
  <c r="R28" i="6" a="1"/>
  <c r="R28" i="6" s="1"/>
  <c r="S28" i="6" a="1"/>
  <c r="S28" i="6" s="1"/>
  <c r="R29" i="6" a="1"/>
  <c r="R29" i="6" s="1"/>
  <c r="S29" i="6" a="1"/>
  <c r="S29" i="6" s="1"/>
  <c r="R30" i="6" a="1"/>
  <c r="R30" i="6" s="1"/>
  <c r="S30" i="6" a="1"/>
  <c r="S30" i="6" s="1"/>
  <c r="R31" i="6" a="1"/>
  <c r="R31" i="6" s="1"/>
  <c r="S31" i="6" a="1"/>
  <c r="S31" i="6" s="1"/>
  <c r="R32" i="6" a="1"/>
  <c r="R32" i="6" s="1"/>
  <c r="S32" i="6" a="1"/>
  <c r="S32" i="6" s="1"/>
  <c r="R33" i="6" a="1"/>
  <c r="R33" i="6"/>
  <c r="S33" i="6" a="1"/>
  <c r="S33" i="6" s="1"/>
  <c r="R34" i="6" a="1"/>
  <c r="R34" i="6" s="1"/>
  <c r="S34" i="6" a="1"/>
  <c r="S34" i="6"/>
  <c r="R35" i="6" a="1"/>
  <c r="R35" i="6"/>
  <c r="S35" i="6" a="1"/>
  <c r="S35" i="6" s="1"/>
  <c r="R36" i="6" a="1"/>
  <c r="R36" i="6" s="1"/>
  <c r="S36" i="6" a="1"/>
  <c r="S36" i="6" s="1"/>
  <c r="R37" i="6" a="1"/>
  <c r="R37" i="6" s="1"/>
  <c r="S37" i="6" a="1"/>
  <c r="S37" i="6" s="1"/>
  <c r="R38" i="6" a="1"/>
  <c r="R38" i="6" s="1"/>
  <c r="S38" i="6" a="1"/>
  <c r="S38" i="6"/>
  <c r="R39" i="6" a="1"/>
  <c r="R39" i="6" s="1"/>
  <c r="S39" i="6" a="1"/>
  <c r="S39" i="6" s="1"/>
  <c r="R40" i="6" a="1"/>
  <c r="R40" i="6" s="1"/>
  <c r="S40" i="6" a="1"/>
  <c r="S40" i="6"/>
  <c r="R41" i="6" a="1"/>
  <c r="R41" i="6" s="1"/>
  <c r="S41" i="6" a="1"/>
  <c r="S41" i="6" s="1"/>
  <c r="R42" i="6" a="1"/>
  <c r="R42" i="6" s="1"/>
  <c r="S42" i="6" a="1"/>
  <c r="S42" i="6" s="1"/>
  <c r="R43" i="6" a="1"/>
  <c r="R43" i="6" s="1"/>
  <c r="S43" i="6" a="1"/>
  <c r="S43" i="6" s="1"/>
  <c r="R44" i="6" a="1"/>
  <c r="R44" i="6" s="1"/>
  <c r="S44" i="6" a="1"/>
  <c r="S44" i="6" s="1"/>
  <c r="R45" i="6" a="1"/>
  <c r="R45" i="6"/>
  <c r="S45" i="6" a="1"/>
  <c r="S45" i="6" s="1"/>
  <c r="R46" i="6" a="1"/>
  <c r="R46" i="6" s="1"/>
  <c r="S46" i="6" a="1"/>
  <c r="S46" i="6" s="1"/>
  <c r="R47" i="6" a="1"/>
  <c r="R47" i="6" s="1"/>
  <c r="S47" i="6" a="1"/>
  <c r="S47" i="6" s="1"/>
  <c r="R48" i="6" a="1"/>
  <c r="R48" i="6" s="1"/>
  <c r="S48" i="6" a="1"/>
  <c r="S48" i="6" s="1"/>
  <c r="R49" i="6" a="1"/>
  <c r="R49" i="6"/>
  <c r="S49" i="6" a="1"/>
  <c r="S49" i="6" s="1"/>
  <c r="R50" i="6" a="1"/>
  <c r="R50" i="6" s="1"/>
  <c r="S50" i="6" a="1"/>
  <c r="S50" i="6"/>
  <c r="R51" i="6" a="1"/>
  <c r="R51" i="6"/>
  <c r="S51" i="6" a="1"/>
  <c r="S51" i="6" s="1"/>
  <c r="R52" i="6" a="1"/>
  <c r="R52" i="6" s="1"/>
  <c r="S52" i="6" a="1"/>
  <c r="S52" i="6" s="1"/>
  <c r="R53" i="6" a="1"/>
  <c r="R53" i="6" s="1"/>
  <c r="S53" i="6" a="1"/>
  <c r="S53" i="6" s="1"/>
  <c r="R54" i="6" a="1"/>
  <c r="R54" i="6" s="1"/>
  <c r="S54" i="6" a="1"/>
  <c r="S54" i="6"/>
  <c r="R55" i="6" a="1"/>
  <c r="R55" i="6" s="1"/>
  <c r="S55" i="6" a="1"/>
  <c r="S55" i="6" s="1"/>
  <c r="R56" i="6" a="1"/>
  <c r="R56" i="6" s="1"/>
  <c r="S56" i="6" a="1"/>
  <c r="S56" i="6"/>
  <c r="R57" i="6" a="1"/>
  <c r="R57" i="6" s="1"/>
  <c r="S57" i="6" a="1"/>
  <c r="S57" i="6" s="1"/>
  <c r="R58" i="6" a="1"/>
  <c r="R58" i="6" s="1"/>
  <c r="S58" i="6" a="1"/>
  <c r="S58" i="6" s="1"/>
  <c r="R59" i="6" a="1"/>
  <c r="R59" i="6" s="1"/>
  <c r="S59" i="6" a="1"/>
  <c r="S59" i="6" s="1"/>
  <c r="R60" i="6" a="1"/>
  <c r="R60" i="6" s="1"/>
  <c r="S60" i="6" a="1"/>
  <c r="S60" i="6" s="1"/>
  <c r="R61" i="6" a="1"/>
  <c r="R61" i="6"/>
  <c r="S61" i="6" a="1"/>
  <c r="S61" i="6" s="1"/>
  <c r="R62" i="6" a="1"/>
  <c r="R62" i="6" s="1"/>
  <c r="S62" i="6" a="1"/>
  <c r="S62" i="6" s="1"/>
  <c r="R63" i="6" a="1"/>
  <c r="R63" i="6" s="1"/>
  <c r="S63" i="6" a="1"/>
  <c r="S63" i="6" s="1"/>
  <c r="R64" i="6" a="1"/>
  <c r="R64" i="6" s="1"/>
  <c r="S64" i="6" a="1"/>
  <c r="S64" i="6" s="1"/>
  <c r="R65" i="6" a="1"/>
  <c r="R65" i="6"/>
  <c r="S65" i="6" a="1"/>
  <c r="S65" i="6" s="1"/>
  <c r="R66" i="6" a="1"/>
  <c r="R66" i="6" s="1"/>
  <c r="S66" i="6" a="1"/>
  <c r="S66" i="6"/>
  <c r="R67" i="6" a="1"/>
  <c r="R67" i="6" s="1"/>
  <c r="S67" i="6" a="1"/>
  <c r="S67" i="6" s="1"/>
  <c r="R68" i="6" a="1"/>
  <c r="R68" i="6" s="1"/>
  <c r="S68" i="6" a="1"/>
  <c r="S68" i="6"/>
  <c r="R69" i="6" a="1"/>
  <c r="R69" i="6"/>
  <c r="S69" i="6" a="1"/>
  <c r="S69" i="6" s="1"/>
  <c r="R70" i="6" a="1"/>
  <c r="R70" i="6" s="1"/>
  <c r="S70" i="6" a="1"/>
  <c r="S70" i="6"/>
  <c r="R71" i="6" a="1"/>
  <c r="R71" i="6" s="1"/>
  <c r="S71" i="6" a="1"/>
  <c r="S71" i="6" s="1"/>
  <c r="R72" i="6" a="1"/>
  <c r="R72" i="6" s="1"/>
  <c r="S72" i="6" a="1"/>
  <c r="S72" i="6"/>
  <c r="R73" i="6" a="1"/>
  <c r="R73" i="6"/>
  <c r="S73" i="6" a="1"/>
  <c r="S73" i="6" s="1"/>
  <c r="R74" i="6" a="1"/>
  <c r="R74" i="6" s="1"/>
  <c r="S74" i="6" a="1"/>
  <c r="S74" i="6" s="1"/>
  <c r="R75" i="6" a="1"/>
  <c r="R75" i="6" s="1"/>
  <c r="S75" i="6" a="1"/>
  <c r="S75" i="6" s="1"/>
  <c r="R76" i="6" a="1"/>
  <c r="R76" i="6" s="1"/>
  <c r="S76" i="6" a="1"/>
  <c r="S76" i="6"/>
  <c r="R77" i="6" a="1"/>
  <c r="R77" i="6" s="1"/>
  <c r="S77" i="6" a="1"/>
  <c r="S77" i="6" s="1"/>
  <c r="R78" i="6" a="1"/>
  <c r="R78" i="6" s="1"/>
  <c r="S78" i="6" a="1"/>
  <c r="S78" i="6" s="1"/>
  <c r="R79" i="6" a="1"/>
  <c r="R79" i="6" s="1"/>
  <c r="S79" i="6" a="1"/>
  <c r="S79" i="6" s="1"/>
  <c r="R80" i="6" a="1"/>
  <c r="R80" i="6" s="1"/>
  <c r="S80" i="6" a="1"/>
  <c r="S80" i="6" s="1"/>
  <c r="R81" i="6" a="1"/>
  <c r="R81" i="6" s="1"/>
  <c r="S81" i="6" a="1"/>
  <c r="S81" i="6" s="1"/>
  <c r="R82" i="6" a="1"/>
  <c r="R82" i="6" s="1"/>
  <c r="S82" i="6" a="1"/>
  <c r="S82" i="6"/>
  <c r="R83" i="6" a="1"/>
  <c r="R83" i="6" s="1"/>
  <c r="S83" i="6" a="1"/>
  <c r="S83" i="6" s="1"/>
  <c r="R84" i="6" a="1"/>
  <c r="R84" i="6" s="1"/>
  <c r="S84" i="6" a="1"/>
  <c r="S84" i="6" s="1"/>
  <c r="R85" i="6" a="1"/>
  <c r="R85" i="6" s="1"/>
  <c r="S85" i="6" a="1"/>
  <c r="S85" i="6" s="1"/>
  <c r="R86" i="6" a="1"/>
  <c r="R86" i="6" s="1"/>
  <c r="S86" i="6" a="1"/>
  <c r="S86" i="6"/>
  <c r="R87" i="6" a="1"/>
  <c r="R87" i="6" s="1"/>
  <c r="S87" i="6" a="1"/>
  <c r="S87" i="6" s="1"/>
  <c r="R88" i="6" a="1"/>
  <c r="R88" i="6" s="1"/>
  <c r="S88" i="6" a="1"/>
  <c r="S88" i="6"/>
  <c r="R89" i="6" a="1"/>
  <c r="R89" i="6" s="1"/>
  <c r="S89" i="6" a="1"/>
  <c r="S89" i="6" s="1"/>
  <c r="R90" i="6" a="1"/>
  <c r="R90" i="6" s="1"/>
  <c r="S90" i="6" a="1"/>
  <c r="S90" i="6" s="1"/>
  <c r="R91" i="6" a="1"/>
  <c r="R91" i="6" s="1"/>
  <c r="S91" i="6" a="1"/>
  <c r="S91" i="6" s="1"/>
  <c r="R92" i="6" a="1"/>
  <c r="R92" i="6" s="1"/>
  <c r="S92" i="6" a="1"/>
  <c r="S92" i="6" s="1"/>
  <c r="R93" i="6" a="1"/>
  <c r="R93" i="6" s="1"/>
  <c r="S93" i="6" a="1"/>
  <c r="S93" i="6" s="1"/>
  <c r="R94" i="6" a="1"/>
  <c r="R94" i="6" s="1"/>
  <c r="S94" i="6" a="1"/>
  <c r="S94" i="6"/>
  <c r="R95" i="6" a="1"/>
  <c r="R95" i="6" s="1"/>
  <c r="S95" i="6" a="1"/>
  <c r="S95" i="6" s="1"/>
  <c r="R96" i="6" a="1"/>
  <c r="R96" i="6" s="1"/>
  <c r="S96" i="6" a="1"/>
  <c r="S96" i="6"/>
  <c r="R97" i="6" a="1"/>
  <c r="R97" i="6" s="1"/>
  <c r="S97" i="6" a="1"/>
  <c r="S97" i="6" s="1"/>
  <c r="R98" i="6" a="1"/>
  <c r="R98" i="6" s="1"/>
  <c r="S98" i="6" a="1"/>
  <c r="S98" i="6"/>
  <c r="R99" i="6" a="1"/>
  <c r="R99" i="6" s="1"/>
  <c r="S99" i="6" a="1"/>
  <c r="S99" i="6" s="1"/>
  <c r="R100" i="6" a="1"/>
  <c r="R100" i="6" s="1"/>
  <c r="S100" i="6" a="1"/>
  <c r="S100" i="6" s="1"/>
  <c r="H3" i="6"/>
  <c r="C16" i="6"/>
  <c r="C25" i="6" s="1"/>
  <c r="C34" i="6" s="1"/>
  <c r="C17" i="6"/>
  <c r="C26" i="6" s="1"/>
  <c r="C35" i="6" s="1"/>
  <c r="C18" i="6"/>
  <c r="C27" i="6" s="1"/>
  <c r="C36" i="6" s="1"/>
  <c r="C19" i="6"/>
  <c r="C28" i="6" s="1"/>
  <c r="C37" i="6" s="1"/>
  <c r="C20" i="6"/>
  <c r="C29" i="6" s="1"/>
  <c r="C38" i="6" s="1"/>
  <c r="C21" i="6"/>
  <c r="C30" i="6" s="1"/>
  <c r="C39" i="6" s="1"/>
  <c r="C22" i="6"/>
  <c r="C31" i="6" s="1"/>
  <c r="C40" i="6" s="1"/>
  <c r="C23" i="6"/>
  <c r="C32" i="6" s="1"/>
  <c r="C41" i="6" s="1"/>
  <c r="C15" i="6"/>
  <c r="C24" i="6" s="1"/>
  <c r="C33" i="6" s="1"/>
  <c r="N5" i="11"/>
  <c r="R5" i="11"/>
  <c r="V5" i="11"/>
  <c r="N6" i="11"/>
  <c r="R6" i="11"/>
  <c r="V6" i="11"/>
  <c r="N7" i="11"/>
  <c r="R7" i="11"/>
  <c r="V7" i="11"/>
  <c r="N8" i="11"/>
  <c r="R8" i="11"/>
  <c r="V8" i="11"/>
  <c r="N9" i="11"/>
  <c r="R9" i="11"/>
  <c r="V9" i="11"/>
  <c r="N10" i="11"/>
  <c r="R10" i="11"/>
  <c r="V10" i="11"/>
  <c r="N11" i="11"/>
  <c r="R11" i="11"/>
  <c r="V11" i="11"/>
  <c r="N12" i="11"/>
  <c r="R12" i="11"/>
  <c r="V12" i="11"/>
  <c r="N13" i="11"/>
  <c r="R13" i="11"/>
  <c r="V13" i="11"/>
  <c r="N14" i="11"/>
  <c r="R14" i="11"/>
  <c r="V14" i="11"/>
  <c r="N15" i="11"/>
  <c r="R15" i="11"/>
  <c r="V15" i="11"/>
  <c r="N16" i="11"/>
  <c r="R16" i="11"/>
  <c r="V16" i="11"/>
  <c r="N17" i="11"/>
  <c r="R17" i="11"/>
  <c r="V17" i="11"/>
  <c r="N18" i="11"/>
  <c r="R18" i="11"/>
  <c r="V18" i="11"/>
  <c r="N19" i="11"/>
  <c r="R19" i="11"/>
  <c r="V19" i="11"/>
  <c r="N20" i="11"/>
  <c r="R20" i="11"/>
  <c r="V20" i="11"/>
  <c r="N21" i="11"/>
  <c r="R21" i="11"/>
  <c r="V21" i="11"/>
  <c r="N22" i="11"/>
  <c r="R22" i="11"/>
  <c r="V22" i="11"/>
  <c r="N23" i="11"/>
  <c r="R23" i="11"/>
  <c r="V23" i="11"/>
  <c r="N24" i="11"/>
  <c r="R24" i="11"/>
  <c r="V24" i="11"/>
  <c r="N25" i="11"/>
  <c r="R25" i="11"/>
  <c r="V25" i="11"/>
  <c r="M7" i="13" l="1"/>
  <c r="O7" i="13" s="1"/>
  <c r="P7" i="13" s="1"/>
  <c r="M8" i="13"/>
  <c r="O8" i="13" s="1"/>
  <c r="P8" i="13" s="1"/>
  <c r="M9" i="13"/>
  <c r="O9" i="13" s="1"/>
  <c r="P9" i="13" s="1"/>
  <c r="M10" i="13"/>
  <c r="O10" i="13" s="1"/>
  <c r="P10" i="13" s="1"/>
  <c r="M11" i="13"/>
  <c r="O11" i="13" s="1"/>
  <c r="P11" i="13" s="1"/>
  <c r="M12" i="13"/>
  <c r="O12" i="13" s="1"/>
  <c r="P12" i="13" s="1"/>
  <c r="M13" i="13"/>
  <c r="O13" i="13" s="1"/>
  <c r="P13" i="13" s="1"/>
  <c r="M14" i="13"/>
  <c r="O14" i="13" s="1"/>
  <c r="P14" i="13" s="1"/>
  <c r="M15" i="13"/>
  <c r="O15" i="13" s="1"/>
  <c r="P15" i="13" s="1"/>
  <c r="M16" i="13"/>
  <c r="O16" i="13" s="1"/>
  <c r="P16" i="13" s="1"/>
  <c r="M17" i="13"/>
  <c r="O17" i="13" s="1"/>
  <c r="P17" i="13" s="1"/>
  <c r="M18" i="13"/>
  <c r="O18" i="13" s="1"/>
  <c r="P18" i="13" s="1"/>
  <c r="M19" i="13"/>
  <c r="O19" i="13" s="1"/>
  <c r="P19" i="13" s="1"/>
  <c r="M20" i="13"/>
  <c r="O20" i="13" s="1"/>
  <c r="P20" i="13" s="1"/>
  <c r="M21" i="13"/>
  <c r="O21" i="13" s="1"/>
  <c r="P21" i="13" s="1"/>
  <c r="M22" i="13"/>
  <c r="O22" i="13" s="1"/>
  <c r="P22" i="13" s="1"/>
  <c r="M23" i="13"/>
  <c r="O23" i="13" s="1"/>
  <c r="P23" i="13" s="1"/>
  <c r="M24" i="13"/>
  <c r="O24" i="13" s="1"/>
  <c r="P24" i="13" s="1"/>
  <c r="M25" i="13"/>
  <c r="O25" i="13" s="1"/>
  <c r="P25" i="13" s="1"/>
  <c r="M26" i="13"/>
  <c r="O26" i="13" s="1"/>
  <c r="P26" i="13" s="1"/>
  <c r="M27" i="13"/>
  <c r="O27" i="13" s="1"/>
  <c r="P27" i="13" s="1"/>
  <c r="M28" i="13"/>
  <c r="O28" i="13" s="1"/>
  <c r="P28" i="13" s="1"/>
  <c r="M29" i="13"/>
  <c r="O29" i="13" s="1"/>
  <c r="P29" i="13" s="1"/>
  <c r="M30" i="13"/>
  <c r="O30" i="13" s="1"/>
  <c r="P30" i="13" s="1"/>
  <c r="M31" i="13"/>
  <c r="O31" i="13" s="1"/>
  <c r="P31" i="13" s="1"/>
  <c r="M32" i="13"/>
  <c r="O32" i="13" s="1"/>
  <c r="P32" i="13" s="1"/>
  <c r="M33" i="13"/>
  <c r="O33" i="13" s="1"/>
  <c r="P33" i="13" s="1"/>
  <c r="M34" i="13"/>
  <c r="O34" i="13" s="1"/>
  <c r="P34" i="13" s="1"/>
  <c r="M35" i="13"/>
  <c r="O35" i="13" s="1"/>
  <c r="P35" i="13" s="1"/>
  <c r="M36" i="13"/>
  <c r="O36" i="13" s="1"/>
  <c r="P36" i="13" s="1"/>
  <c r="M37" i="13"/>
  <c r="O37" i="13" s="1"/>
  <c r="P37" i="13" s="1"/>
  <c r="M38" i="13"/>
  <c r="O38" i="13" s="1"/>
  <c r="P38" i="13" s="1"/>
  <c r="M39" i="13"/>
  <c r="O39" i="13" s="1"/>
  <c r="P39" i="13" s="1"/>
  <c r="M40" i="13"/>
  <c r="O40" i="13" s="1"/>
  <c r="P40" i="13" s="1"/>
  <c r="M41" i="13"/>
  <c r="O41" i="13" s="1"/>
  <c r="P41" i="13" s="1"/>
  <c r="M42" i="13"/>
  <c r="O42" i="13" s="1"/>
  <c r="P42" i="13" s="1"/>
  <c r="M43" i="13"/>
  <c r="O43" i="13" s="1"/>
  <c r="P43" i="13" s="1"/>
  <c r="M44" i="13"/>
  <c r="O44" i="13" s="1"/>
  <c r="P44" i="13" s="1"/>
  <c r="M45" i="13"/>
  <c r="O45" i="13" s="1"/>
  <c r="P45" i="13" s="1"/>
  <c r="M46" i="13"/>
  <c r="O46" i="13" s="1"/>
  <c r="P46" i="13" s="1"/>
  <c r="M47" i="13"/>
  <c r="O47" i="13" s="1"/>
  <c r="P47" i="13" s="1"/>
  <c r="M48" i="13"/>
  <c r="O48" i="13" s="1"/>
  <c r="P48" i="13" s="1"/>
  <c r="M49" i="13"/>
  <c r="O49" i="13" s="1"/>
  <c r="P49" i="13" s="1"/>
  <c r="M50" i="13"/>
  <c r="O50" i="13" s="1"/>
  <c r="P50" i="13" s="1"/>
  <c r="M51" i="13"/>
  <c r="O51" i="13" s="1"/>
  <c r="P51" i="13" s="1"/>
  <c r="M52" i="13"/>
  <c r="O52" i="13" s="1"/>
  <c r="P52" i="13" s="1"/>
  <c r="M53" i="13"/>
  <c r="O53" i="13" s="1"/>
  <c r="P53" i="13" s="1"/>
  <c r="M54" i="13"/>
  <c r="O54" i="13" s="1"/>
  <c r="P54" i="13" s="1"/>
  <c r="M55" i="13"/>
  <c r="O55" i="13" s="1"/>
  <c r="P55" i="13" s="1"/>
  <c r="M56" i="13"/>
  <c r="O56" i="13" s="1"/>
  <c r="P56" i="13" s="1"/>
  <c r="M57" i="13"/>
  <c r="O57" i="13" s="1"/>
  <c r="P57" i="13" s="1"/>
  <c r="M58" i="13"/>
  <c r="O58" i="13" s="1"/>
  <c r="P58" i="13" s="1"/>
  <c r="M59" i="13"/>
  <c r="O59" i="13" s="1"/>
  <c r="P59" i="13" s="1"/>
  <c r="M60" i="13"/>
  <c r="O60" i="13" s="1"/>
  <c r="P60" i="13" s="1"/>
  <c r="M61" i="13"/>
  <c r="O61" i="13" s="1"/>
  <c r="P61" i="13" s="1"/>
  <c r="M62" i="13"/>
  <c r="O62" i="13" s="1"/>
  <c r="P62" i="13" s="1"/>
  <c r="M63" i="13"/>
  <c r="O63" i="13" s="1"/>
  <c r="P63" i="13" s="1"/>
  <c r="M64" i="13"/>
  <c r="O64" i="13" s="1"/>
  <c r="P64" i="13" s="1"/>
  <c r="M65" i="13"/>
  <c r="O65" i="13" s="1"/>
  <c r="P65" i="13" s="1"/>
  <c r="M66" i="13"/>
  <c r="O66" i="13" s="1"/>
  <c r="P66" i="13" s="1"/>
  <c r="M67" i="13"/>
  <c r="O67" i="13" s="1"/>
  <c r="P67" i="13" s="1"/>
  <c r="M68" i="13"/>
  <c r="O68" i="13" s="1"/>
  <c r="P68" i="13" s="1"/>
  <c r="M69" i="13"/>
  <c r="O69" i="13" s="1"/>
  <c r="P69" i="13" s="1"/>
  <c r="M70" i="13"/>
  <c r="O70" i="13" s="1"/>
  <c r="P70" i="13" s="1"/>
  <c r="M71" i="13"/>
  <c r="O71" i="13" s="1"/>
  <c r="P71" i="13" s="1"/>
  <c r="M72" i="13"/>
  <c r="O72" i="13" s="1"/>
  <c r="P72" i="13" s="1"/>
  <c r="M73" i="13"/>
  <c r="O73" i="13" s="1"/>
  <c r="P73" i="13" s="1"/>
  <c r="M74" i="13"/>
  <c r="O74" i="13" s="1"/>
  <c r="P74" i="13" s="1"/>
  <c r="M75" i="13"/>
  <c r="O75" i="13" s="1"/>
  <c r="P75" i="13" s="1"/>
  <c r="M76" i="13"/>
  <c r="O76" i="13" s="1"/>
  <c r="P76" i="13" s="1"/>
  <c r="M77" i="13"/>
  <c r="O77" i="13" s="1"/>
  <c r="P77" i="13" s="1"/>
  <c r="M78" i="13"/>
  <c r="O78" i="13" s="1"/>
  <c r="P78" i="13" s="1"/>
  <c r="M79" i="13"/>
  <c r="O79" i="13" s="1"/>
  <c r="P79" i="13" s="1"/>
  <c r="M80" i="13"/>
  <c r="O80" i="13" s="1"/>
  <c r="P80" i="13" s="1"/>
  <c r="M81" i="13"/>
  <c r="O81" i="13" s="1"/>
  <c r="P81" i="13" s="1"/>
  <c r="M82" i="13"/>
  <c r="O82" i="13" s="1"/>
  <c r="P82" i="13" s="1"/>
  <c r="M83" i="13"/>
  <c r="O83" i="13" s="1"/>
  <c r="P83" i="13" s="1"/>
  <c r="M84" i="13"/>
  <c r="O84" i="13" s="1"/>
  <c r="P84" i="13" s="1"/>
  <c r="M85" i="13"/>
  <c r="O85" i="13" s="1"/>
  <c r="P85" i="13" s="1"/>
  <c r="M86" i="13"/>
  <c r="O86" i="13" s="1"/>
  <c r="P86" i="13" s="1"/>
  <c r="M87" i="13"/>
  <c r="O87" i="13" s="1"/>
  <c r="P87" i="13" s="1"/>
  <c r="M88" i="13"/>
  <c r="O88" i="13" s="1"/>
  <c r="P88" i="13" s="1"/>
  <c r="M89" i="13"/>
  <c r="O89" i="13" s="1"/>
  <c r="P89" i="13" s="1"/>
  <c r="M90" i="13"/>
  <c r="O90" i="13" s="1"/>
  <c r="P90" i="13" s="1"/>
  <c r="M91" i="13"/>
  <c r="O91" i="13" s="1"/>
  <c r="P91" i="13" s="1"/>
  <c r="M92" i="13"/>
  <c r="O92" i="13" s="1"/>
  <c r="P92" i="13" s="1"/>
  <c r="M93" i="13"/>
  <c r="O93" i="13" s="1"/>
  <c r="P93" i="13" s="1"/>
  <c r="M94" i="13"/>
  <c r="O94" i="13" s="1"/>
  <c r="P94" i="13" s="1"/>
  <c r="M95" i="13"/>
  <c r="O95" i="13" s="1"/>
  <c r="P95" i="13" s="1"/>
  <c r="M96" i="13"/>
  <c r="O96" i="13" s="1"/>
  <c r="P96" i="13" s="1"/>
  <c r="M97" i="13"/>
  <c r="O97" i="13" s="1"/>
  <c r="P97" i="13" s="1"/>
  <c r="M98" i="13"/>
  <c r="O98" i="13" s="1"/>
  <c r="P98" i="13" s="1"/>
  <c r="M99" i="13"/>
  <c r="O99" i="13" s="1"/>
  <c r="P99" i="13" s="1"/>
  <c r="M100" i="13"/>
  <c r="O100" i="13" s="1"/>
  <c r="P100" i="13" s="1"/>
  <c r="M6" i="13"/>
  <c r="O6" i="13" s="1"/>
  <c r="P6" i="13" s="1"/>
  <c r="X7" i="6" l="1" a="1"/>
  <c r="X7" i="6" s="1"/>
  <c r="Y7" i="6" a="1"/>
  <c r="Y7" i="6" s="1"/>
  <c r="Z7" i="6" a="1"/>
  <c r="Z7" i="6" s="1"/>
  <c r="AA7" i="6" a="1"/>
  <c r="AA7" i="6" s="1"/>
  <c r="AB7" i="6" a="1"/>
  <c r="AB7" i="6" s="1"/>
  <c r="X8" i="6" a="1"/>
  <c r="X8" i="6" s="1"/>
  <c r="Y8" i="6" a="1"/>
  <c r="Y8" i="6" s="1"/>
  <c r="Z8" i="6" a="1"/>
  <c r="Z8" i="6" s="1"/>
  <c r="AA8" i="6" a="1"/>
  <c r="AA8" i="6" s="1"/>
  <c r="AB8" i="6" a="1"/>
  <c r="AB8" i="6" s="1"/>
  <c r="X9" i="6" a="1"/>
  <c r="X9" i="6" s="1"/>
  <c r="Y9" i="6" a="1"/>
  <c r="Y9" i="6" s="1"/>
  <c r="Z9" i="6" a="1"/>
  <c r="Z9" i="6" s="1"/>
  <c r="AA9" i="6" a="1"/>
  <c r="AA9" i="6" s="1"/>
  <c r="AB9" i="6" a="1"/>
  <c r="AB9" i="6" s="1"/>
  <c r="X10" i="6" a="1"/>
  <c r="X10" i="6" s="1"/>
  <c r="Y10" i="6" a="1"/>
  <c r="Y10" i="6" s="1"/>
  <c r="Z10" i="6" a="1"/>
  <c r="Z10" i="6" s="1"/>
  <c r="AA10" i="6" a="1"/>
  <c r="AA10" i="6" s="1"/>
  <c r="AB10" i="6" a="1"/>
  <c r="AB10" i="6" s="1"/>
  <c r="X11" i="6" a="1"/>
  <c r="X11" i="6" s="1"/>
  <c r="Y11" i="6" a="1"/>
  <c r="Y11" i="6" s="1"/>
  <c r="Z11" i="6" a="1"/>
  <c r="Z11" i="6" s="1"/>
  <c r="AA11" i="6" a="1"/>
  <c r="AA11" i="6" s="1"/>
  <c r="AB11" i="6" a="1"/>
  <c r="AB11" i="6" s="1"/>
  <c r="X12" i="6" a="1"/>
  <c r="X12" i="6" s="1"/>
  <c r="Y12" i="6" a="1"/>
  <c r="Y12" i="6" s="1"/>
  <c r="Z12" i="6" a="1"/>
  <c r="Z12" i="6" s="1"/>
  <c r="AA12" i="6" a="1"/>
  <c r="AA12" i="6" s="1"/>
  <c r="AB12" i="6" a="1"/>
  <c r="AB12" i="6" s="1"/>
  <c r="X13" i="6" a="1"/>
  <c r="X13" i="6" s="1"/>
  <c r="Y13" i="6" a="1"/>
  <c r="Y13" i="6" s="1"/>
  <c r="Z13" i="6" a="1"/>
  <c r="Z13" i="6" s="1"/>
  <c r="AA13" i="6" a="1"/>
  <c r="AA13" i="6" s="1"/>
  <c r="AB13" i="6" a="1"/>
  <c r="AB13" i="6" s="1"/>
  <c r="X14" i="6" a="1"/>
  <c r="X14" i="6" s="1"/>
  <c r="Y14" i="6" a="1"/>
  <c r="Y14" i="6" s="1"/>
  <c r="Z14" i="6" a="1"/>
  <c r="Z14" i="6" s="1"/>
  <c r="AA14" i="6" a="1"/>
  <c r="AA14" i="6" s="1"/>
  <c r="AB14" i="6" a="1"/>
  <c r="AB14" i="6" s="1"/>
  <c r="X15" i="6" a="1"/>
  <c r="X15" i="6" s="1"/>
  <c r="Y15" i="6" a="1"/>
  <c r="Y15" i="6" s="1"/>
  <c r="Z15" i="6" a="1"/>
  <c r="Z15" i="6" s="1"/>
  <c r="AA15" i="6" a="1"/>
  <c r="AA15" i="6" s="1"/>
  <c r="AB15" i="6" a="1"/>
  <c r="AB15" i="6" s="1"/>
  <c r="X16" i="6" a="1"/>
  <c r="X16" i="6" s="1"/>
  <c r="Y16" i="6" a="1"/>
  <c r="Y16" i="6" s="1"/>
  <c r="Z16" i="6" a="1"/>
  <c r="Z16" i="6" s="1"/>
  <c r="AA16" i="6" a="1"/>
  <c r="AA16" i="6" s="1"/>
  <c r="AB16" i="6" a="1"/>
  <c r="AB16" i="6" s="1"/>
  <c r="X17" i="6" a="1"/>
  <c r="X17" i="6" s="1"/>
  <c r="Y17" i="6" a="1"/>
  <c r="Y17" i="6" s="1"/>
  <c r="Z17" i="6" a="1"/>
  <c r="Z17" i="6" s="1"/>
  <c r="AA17" i="6" a="1"/>
  <c r="AA17" i="6" s="1"/>
  <c r="AB17" i="6" a="1"/>
  <c r="AB17" i="6" s="1"/>
  <c r="X18" i="6" a="1"/>
  <c r="X18" i="6" s="1"/>
  <c r="Y18" i="6" a="1"/>
  <c r="Y18" i="6" s="1"/>
  <c r="Z18" i="6" a="1"/>
  <c r="Z18" i="6" s="1"/>
  <c r="AA18" i="6" a="1"/>
  <c r="AA18" i="6" s="1"/>
  <c r="AB18" i="6" a="1"/>
  <c r="AB18" i="6" s="1"/>
  <c r="X19" i="6" a="1"/>
  <c r="X19" i="6" s="1"/>
  <c r="Y19" i="6" a="1"/>
  <c r="Y19" i="6" s="1"/>
  <c r="Z19" i="6" a="1"/>
  <c r="Z19" i="6" s="1"/>
  <c r="AA19" i="6" a="1"/>
  <c r="AA19" i="6" s="1"/>
  <c r="AB19" i="6" a="1"/>
  <c r="AB19" i="6" s="1"/>
  <c r="X20" i="6" a="1"/>
  <c r="X20" i="6" s="1"/>
  <c r="Y20" i="6" a="1"/>
  <c r="Y20" i="6" s="1"/>
  <c r="Z20" i="6" a="1"/>
  <c r="Z20" i="6" s="1"/>
  <c r="AA20" i="6" a="1"/>
  <c r="AA20" i="6" s="1"/>
  <c r="AB20" i="6" a="1"/>
  <c r="AB20" i="6" s="1"/>
  <c r="X21" i="6" a="1"/>
  <c r="X21" i="6" s="1"/>
  <c r="Y21" i="6" a="1"/>
  <c r="Y21" i="6" s="1"/>
  <c r="Z21" i="6" a="1"/>
  <c r="Z21" i="6" s="1"/>
  <c r="AA21" i="6" a="1"/>
  <c r="AA21" i="6" s="1"/>
  <c r="AB21" i="6" a="1"/>
  <c r="AB21" i="6" s="1"/>
  <c r="X22" i="6" a="1"/>
  <c r="X22" i="6" s="1"/>
  <c r="Y22" i="6" a="1"/>
  <c r="Y22" i="6" s="1"/>
  <c r="Z22" i="6" a="1"/>
  <c r="Z22" i="6" s="1"/>
  <c r="AA22" i="6" a="1"/>
  <c r="AA22" i="6" s="1"/>
  <c r="AB22" i="6" a="1"/>
  <c r="AB22" i="6" s="1"/>
  <c r="X23" i="6" a="1"/>
  <c r="X23" i="6" s="1"/>
  <c r="Y23" i="6" a="1"/>
  <c r="Y23" i="6" s="1"/>
  <c r="Z23" i="6" a="1"/>
  <c r="Z23" i="6" s="1"/>
  <c r="AA23" i="6" a="1"/>
  <c r="AA23" i="6" s="1"/>
  <c r="AB23" i="6" a="1"/>
  <c r="AB23" i="6" s="1"/>
  <c r="X24" i="6" a="1"/>
  <c r="X24" i="6" s="1"/>
  <c r="Y24" i="6" a="1"/>
  <c r="Y24" i="6" s="1"/>
  <c r="Z24" i="6" a="1"/>
  <c r="Z24" i="6" s="1"/>
  <c r="AA24" i="6" a="1"/>
  <c r="AA24" i="6" s="1"/>
  <c r="AB24" i="6" a="1"/>
  <c r="AB24" i="6" s="1"/>
  <c r="X25" i="6" a="1"/>
  <c r="X25" i="6" s="1"/>
  <c r="Y25" i="6" a="1"/>
  <c r="Y25" i="6" s="1"/>
  <c r="Z25" i="6" a="1"/>
  <c r="Z25" i="6" s="1"/>
  <c r="AA25" i="6" a="1"/>
  <c r="AA25" i="6" s="1"/>
  <c r="AB25" i="6" a="1"/>
  <c r="AB25" i="6" s="1"/>
  <c r="X26" i="6" a="1"/>
  <c r="X26" i="6" s="1"/>
  <c r="Y26" i="6" a="1"/>
  <c r="Y26" i="6" s="1"/>
  <c r="Z26" i="6" a="1"/>
  <c r="Z26" i="6" s="1"/>
  <c r="AA26" i="6" a="1"/>
  <c r="AA26" i="6" s="1"/>
  <c r="AB26" i="6" a="1"/>
  <c r="AB26" i="6" s="1"/>
  <c r="Y6" i="6" a="1"/>
  <c r="Y6" i="6" s="1"/>
  <c r="Z6" i="6" a="1"/>
  <c r="Z6" i="6" s="1"/>
  <c r="AA6" i="6" a="1"/>
  <c r="AA6" i="6" s="1"/>
  <c r="AB6" i="6" a="1"/>
  <c r="AB6" i="6" s="1"/>
  <c r="X6" i="6" a="1"/>
  <c r="X6" i="6" s="1"/>
  <c r="R7" i="6" a="1"/>
  <c r="R7" i="6" s="1"/>
  <c r="S7" i="6" a="1"/>
  <c r="S7" i="6" s="1"/>
  <c r="T7" i="6" a="1"/>
  <c r="T7" i="6" s="1"/>
  <c r="U7" i="6" a="1"/>
  <c r="U7" i="6" s="1"/>
  <c r="V7" i="6" a="1"/>
  <c r="V7" i="6" s="1"/>
  <c r="R8" i="6" a="1"/>
  <c r="R8" i="6" s="1"/>
  <c r="S8" i="6" a="1"/>
  <c r="S8" i="6" s="1"/>
  <c r="T8" i="6" a="1"/>
  <c r="T8" i="6" s="1"/>
  <c r="U8" i="6" a="1"/>
  <c r="U8" i="6" s="1"/>
  <c r="V8" i="6" a="1"/>
  <c r="V8" i="6" s="1"/>
  <c r="R9" i="6" a="1"/>
  <c r="R9" i="6" s="1"/>
  <c r="S9" i="6" a="1"/>
  <c r="S9" i="6" s="1"/>
  <c r="T9" i="6" a="1"/>
  <c r="T9" i="6" s="1"/>
  <c r="U9" i="6" a="1"/>
  <c r="U9" i="6" s="1"/>
  <c r="V9" i="6" a="1"/>
  <c r="V9" i="6" s="1"/>
  <c r="R10" i="6" a="1"/>
  <c r="R10" i="6" s="1"/>
  <c r="S10" i="6" a="1"/>
  <c r="S10" i="6" s="1"/>
  <c r="T10" i="6" a="1"/>
  <c r="T10" i="6" s="1"/>
  <c r="U10" i="6" a="1"/>
  <c r="U10" i="6" s="1"/>
  <c r="V10" i="6" a="1"/>
  <c r="V10" i="6" s="1"/>
  <c r="R11" i="6" a="1"/>
  <c r="R11" i="6" s="1"/>
  <c r="S11" i="6" a="1"/>
  <c r="S11" i="6" s="1"/>
  <c r="T11" i="6" a="1"/>
  <c r="T11" i="6" s="1"/>
  <c r="U11" i="6" a="1"/>
  <c r="U11" i="6" s="1"/>
  <c r="V11" i="6" a="1"/>
  <c r="V11" i="6" s="1"/>
  <c r="R12" i="6" a="1"/>
  <c r="R12" i="6" s="1"/>
  <c r="S12" i="6" a="1"/>
  <c r="S12" i="6" s="1"/>
  <c r="T12" i="6" a="1"/>
  <c r="T12" i="6" s="1"/>
  <c r="U12" i="6" a="1"/>
  <c r="U12" i="6" s="1"/>
  <c r="V12" i="6" a="1"/>
  <c r="V12" i="6" s="1"/>
  <c r="R13" i="6" a="1"/>
  <c r="R13" i="6" s="1"/>
  <c r="S13" i="6" a="1"/>
  <c r="S13" i="6" s="1"/>
  <c r="T13" i="6" a="1"/>
  <c r="T13" i="6" s="1"/>
  <c r="U13" i="6" a="1"/>
  <c r="U13" i="6" s="1"/>
  <c r="V13" i="6" a="1"/>
  <c r="V13" i="6" s="1"/>
  <c r="R14" i="6" a="1"/>
  <c r="R14" i="6" s="1"/>
  <c r="S14" i="6" a="1"/>
  <c r="S14" i="6" s="1"/>
  <c r="T14" i="6" a="1"/>
  <c r="T14" i="6" s="1"/>
  <c r="U14" i="6" a="1"/>
  <c r="U14" i="6" s="1"/>
  <c r="V14" i="6" a="1"/>
  <c r="V14" i="6" s="1"/>
  <c r="R15" i="6" a="1"/>
  <c r="R15" i="6" s="1"/>
  <c r="S15" i="6" a="1"/>
  <c r="S15" i="6" s="1"/>
  <c r="T15" i="6" a="1"/>
  <c r="T15" i="6" s="1"/>
  <c r="U15" i="6" a="1"/>
  <c r="U15" i="6" s="1"/>
  <c r="V15" i="6" a="1"/>
  <c r="V15" i="6" s="1"/>
  <c r="R16" i="6" a="1"/>
  <c r="R16" i="6" s="1"/>
  <c r="S16" i="6" a="1"/>
  <c r="S16" i="6" s="1"/>
  <c r="T16" i="6" a="1"/>
  <c r="T16" i="6" s="1"/>
  <c r="U16" i="6" a="1"/>
  <c r="U16" i="6" s="1"/>
  <c r="V16" i="6" a="1"/>
  <c r="V16" i="6" s="1"/>
  <c r="R17" i="6" a="1"/>
  <c r="R17" i="6" s="1"/>
  <c r="S17" i="6" a="1"/>
  <c r="S17" i="6" s="1"/>
  <c r="T17" i="6" a="1"/>
  <c r="T17" i="6" s="1"/>
  <c r="U17" i="6" a="1"/>
  <c r="U17" i="6" s="1"/>
  <c r="V17" i="6" a="1"/>
  <c r="V17" i="6" s="1"/>
  <c r="R18" i="6" a="1"/>
  <c r="R18" i="6" s="1"/>
  <c r="S18" i="6" a="1"/>
  <c r="S18" i="6" s="1"/>
  <c r="T18" i="6" a="1"/>
  <c r="T18" i="6" s="1"/>
  <c r="U18" i="6" a="1"/>
  <c r="U18" i="6" s="1"/>
  <c r="V18" i="6" a="1"/>
  <c r="V18" i="6" s="1"/>
  <c r="R19" i="6" a="1"/>
  <c r="R19" i="6" s="1"/>
  <c r="S19" i="6" a="1"/>
  <c r="S19" i="6" s="1"/>
  <c r="T19" i="6" a="1"/>
  <c r="T19" i="6" s="1"/>
  <c r="U19" i="6" a="1"/>
  <c r="U19" i="6" s="1"/>
  <c r="V19" i="6" a="1"/>
  <c r="V19" i="6" s="1"/>
  <c r="R20" i="6" a="1"/>
  <c r="R20" i="6" s="1"/>
  <c r="S20" i="6" a="1"/>
  <c r="S20" i="6" s="1"/>
  <c r="T20" i="6" a="1"/>
  <c r="T20" i="6" s="1"/>
  <c r="U20" i="6" a="1"/>
  <c r="U20" i="6" s="1"/>
  <c r="V20" i="6" a="1"/>
  <c r="V20" i="6" s="1"/>
  <c r="R21" i="6" a="1"/>
  <c r="R21" i="6" s="1"/>
  <c r="S21" i="6" a="1"/>
  <c r="S21" i="6" s="1"/>
  <c r="T21" i="6" a="1"/>
  <c r="T21" i="6" s="1"/>
  <c r="U21" i="6" a="1"/>
  <c r="U21" i="6" s="1"/>
  <c r="V21" i="6" a="1"/>
  <c r="V21" i="6" s="1"/>
  <c r="R22" i="6" a="1"/>
  <c r="R22" i="6" s="1"/>
  <c r="S22" i="6" a="1"/>
  <c r="S22" i="6" s="1"/>
  <c r="T22" i="6" a="1"/>
  <c r="T22" i="6" s="1"/>
  <c r="U22" i="6" a="1"/>
  <c r="U22" i="6" s="1"/>
  <c r="V22" i="6" a="1"/>
  <c r="V22" i="6" s="1"/>
  <c r="R23" i="6" a="1"/>
  <c r="R23" i="6" s="1"/>
  <c r="S23" i="6" a="1"/>
  <c r="S23" i="6" s="1"/>
  <c r="T23" i="6" a="1"/>
  <c r="T23" i="6" s="1"/>
  <c r="U23" i="6" a="1"/>
  <c r="U23" i="6" s="1"/>
  <c r="V23" i="6" a="1"/>
  <c r="V23" i="6" s="1"/>
  <c r="R24" i="6" a="1"/>
  <c r="R24" i="6" s="1"/>
  <c r="S24" i="6" a="1"/>
  <c r="S24" i="6" s="1"/>
  <c r="T24" i="6" a="1"/>
  <c r="T24" i="6" s="1"/>
  <c r="U24" i="6" a="1"/>
  <c r="U24" i="6" s="1"/>
  <c r="V24" i="6" a="1"/>
  <c r="V24" i="6" s="1"/>
  <c r="R25" i="6" a="1"/>
  <c r="R25" i="6" s="1"/>
  <c r="S25" i="6" a="1"/>
  <c r="S25" i="6" s="1"/>
  <c r="T25" i="6" a="1"/>
  <c r="T25" i="6" s="1"/>
  <c r="U25" i="6" a="1"/>
  <c r="U25" i="6" s="1"/>
  <c r="V25" i="6" a="1"/>
  <c r="V25" i="6" s="1"/>
  <c r="R26" i="6" a="1"/>
  <c r="R26" i="6" s="1"/>
  <c r="S26" i="6" a="1"/>
  <c r="S26" i="6" s="1"/>
  <c r="T26" i="6" a="1"/>
  <c r="T26" i="6" s="1"/>
  <c r="U26" i="6" a="1"/>
  <c r="U26" i="6" s="1"/>
  <c r="V26" i="6" a="1"/>
  <c r="V26" i="6" s="1"/>
  <c r="S6" i="6" a="1"/>
  <c r="S6" i="6" s="1"/>
  <c r="T6" i="6" a="1"/>
  <c r="T6" i="6" s="1"/>
  <c r="U6" i="6" a="1"/>
  <c r="U6" i="6" s="1"/>
  <c r="V6" i="6" a="1"/>
  <c r="V6" i="6" s="1"/>
  <c r="R6" i="6" a="1"/>
  <c r="R6" i="6" s="1"/>
  <c r="T3" i="6" l="1"/>
  <c r="S3" i="6"/>
  <c r="R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I4" authorId="0" shapeId="0" xr:uid="{DE98E1D8-651E-4EA4-AAEE-76957432A090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EndTerrace
MidTerrace</t>
        </r>
      </text>
    </comment>
    <comment ref="J4" authorId="0" shapeId="0" xr:uid="{12CC3BA7-ADAE-48A3-AF7F-D3850B4DCB1A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GroundFloorFlat
MidFloorFlat
TopFloorFlat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H4" authorId="0" shapeId="0" xr:uid="{0EE0DAF1-CA6E-4D6E-88AA-AEC0C11FD421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Used for vent SFPs etc. see info tab for full definition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<sst xmlns="http://schemas.openxmlformats.org/spreadsheetml/2006/main" count="26768" uniqueCount="633">
  <si>
    <t>Reference</t>
  </si>
  <si>
    <t>LivingArea</t>
  </si>
  <si>
    <t>Storey1_InternalPerimeter</t>
  </si>
  <si>
    <t>Storey1_InternalFloorArea</t>
  </si>
  <si>
    <t>Storey1_StoreyHeight</t>
  </si>
  <si>
    <t>PartyWall_GrossArea</t>
  </si>
  <si>
    <t>InternalWall1_GrossArea</t>
  </si>
  <si>
    <t>HeatLossFloor1_Area</t>
  </si>
  <si>
    <t>SourceFile</t>
  </si>
  <si>
    <t>PartyFloor_Area</t>
  </si>
  <si>
    <t>ExternalRoof_NettArea</t>
  </si>
  <si>
    <t>ExternalRoof_AreaType</t>
  </si>
  <si>
    <t>Nett</t>
  </si>
  <si>
    <t>PartyRoof_GrossArea</t>
  </si>
  <si>
    <t>Opening1_Id</t>
  </si>
  <si>
    <t>Opening1_OpeningTypeIndex</t>
  </si>
  <si>
    <t>Opening1_Description</t>
  </si>
  <si>
    <t>Opening1_LocationBuildingPartIndex</t>
  </si>
  <si>
    <t>Opening1_LocationWallIndex</t>
  </si>
  <si>
    <t>Opening1_Orientation</t>
  </si>
  <si>
    <t>Opening1_AreaType</t>
  </si>
  <si>
    <t>Opening1_AreaScaleType</t>
  </si>
  <si>
    <t>Opening1_Area</t>
  </si>
  <si>
    <t>Opening2_Id</t>
  </si>
  <si>
    <t>Opening2_OpeningTypeIndex</t>
  </si>
  <si>
    <t>Opening2_Description</t>
  </si>
  <si>
    <t>Opening2_LocationBuildingPartIndex</t>
  </si>
  <si>
    <t>Opening2_LocationWallIndex</t>
  </si>
  <si>
    <t>Opening2_Orientation</t>
  </si>
  <si>
    <t>Opening2_AreaType</t>
  </si>
  <si>
    <t>Opening2_AreaScaleType</t>
  </si>
  <si>
    <t>Opening2_Area</t>
  </si>
  <si>
    <t>Opening3_Id</t>
  </si>
  <si>
    <t>Opening3_OpeningTypeIndex</t>
  </si>
  <si>
    <t>Opening3_Description</t>
  </si>
  <si>
    <t>Opening3_LocationBuildingPartIndex</t>
  </si>
  <si>
    <t>Opening3_LocationWallIndex</t>
  </si>
  <si>
    <t>Opening3_Orientation</t>
  </si>
  <si>
    <t>Opening3_AreaType</t>
  </si>
  <si>
    <t>Opening3_AreaScaleType</t>
  </si>
  <si>
    <t>Opening3_Area</t>
  </si>
  <si>
    <t>Opening4_Id</t>
  </si>
  <si>
    <t>Opening4_OpeningTypeIndex</t>
  </si>
  <si>
    <t>Opening4_Description</t>
  </si>
  <si>
    <t>Opening4_LocationBuildingPartIndex</t>
  </si>
  <si>
    <t>Opening4_LocationWallIndex</t>
  </si>
  <si>
    <t>Opening4_Orientation</t>
  </si>
  <si>
    <t>Opening4_AreaType</t>
  </si>
  <si>
    <t>Opening4_AreaScaleType</t>
  </si>
  <si>
    <t>Opening4_Area</t>
  </si>
  <si>
    <t>Opening5_Id</t>
  </si>
  <si>
    <t>Opening5_OpeningTypeIndex</t>
  </si>
  <si>
    <t>Opening5_Description</t>
  </si>
  <si>
    <t>Opening5_LocationBuildingPartIndex</t>
  </si>
  <si>
    <t>Opening5_LocationWallIndex</t>
  </si>
  <si>
    <t>Opening5_Orientation</t>
  </si>
  <si>
    <t>Opening5_AreaType</t>
  </si>
  <si>
    <t>Opening5_AreaScaleType</t>
  </si>
  <si>
    <t>Opening5_Area</t>
  </si>
  <si>
    <t>West</t>
  </si>
  <si>
    <t>Total</t>
  </si>
  <si>
    <t>Meters</t>
  </si>
  <si>
    <t>North</t>
  </si>
  <si>
    <t>East</t>
  </si>
  <si>
    <t>N/A</t>
  </si>
  <si>
    <t>FlatWhichFloor</t>
  </si>
  <si>
    <t>StoreysInBlock</t>
  </si>
  <si>
    <t>Storeys</t>
  </si>
  <si>
    <t>ShelteredSides</t>
  </si>
  <si>
    <t>DwellingOrientation</t>
  </si>
  <si>
    <t>PropertyType1</t>
  </si>
  <si>
    <t>PropertyType2</t>
  </si>
  <si>
    <t>PositionOfFlat</t>
  </si>
  <si>
    <t>Flat</t>
  </si>
  <si>
    <t>EndTerrace</t>
  </si>
  <si>
    <t>MidFloorFlat</t>
  </si>
  <si>
    <t>GroundFloorFlat</t>
  </si>
  <si>
    <t>TopFloorFlat</t>
  </si>
  <si>
    <t>South</t>
  </si>
  <si>
    <t>Plot Number</t>
  </si>
  <si>
    <t>Windows N</t>
  </si>
  <si>
    <t>Windows NE</t>
  </si>
  <si>
    <t>Windows E</t>
  </si>
  <si>
    <t>Windows SE</t>
  </si>
  <si>
    <t>Windows S</t>
  </si>
  <si>
    <t>Windows SW</t>
  </si>
  <si>
    <t>Windows W</t>
  </si>
  <si>
    <t>Windows NW</t>
  </si>
  <si>
    <t>Northeast</t>
  </si>
  <si>
    <t>Southwest</t>
  </si>
  <si>
    <t>Northwest</t>
  </si>
  <si>
    <t>Southeast</t>
  </si>
  <si>
    <t>TypeReference</t>
  </si>
  <si>
    <t>PlotReference</t>
  </si>
  <si>
    <t>S</t>
  </si>
  <si>
    <t>E</t>
  </si>
  <si>
    <t>W</t>
  </si>
  <si>
    <t>N</t>
  </si>
  <si>
    <t>End</t>
  </si>
  <si>
    <t>Mid</t>
  </si>
  <si>
    <t>MidTerrace</t>
  </si>
  <si>
    <t>Top</t>
  </si>
  <si>
    <t>Opening6_Id</t>
  </si>
  <si>
    <t>Opening6_OpeningTypeIndex</t>
  </si>
  <si>
    <t>Opening6_Description</t>
  </si>
  <si>
    <t>Opening6_LocationBuildingPartIndex</t>
  </si>
  <si>
    <t>Opening6_LocationWallIndex</t>
  </si>
  <si>
    <t>Opening6_Orientation</t>
  </si>
  <si>
    <t>Opening6_AreaType</t>
  </si>
  <si>
    <t>Opening6_AreaScaleType</t>
  </si>
  <si>
    <t>Opening6_Area</t>
  </si>
  <si>
    <t>Opening7_Id</t>
  </si>
  <si>
    <t>Opening7_OpeningTypeIndex</t>
  </si>
  <si>
    <t>Opening7_Description</t>
  </si>
  <si>
    <t>Opening7_LocationBuildingPartIndex</t>
  </si>
  <si>
    <t>Opening7_LocationWallIndex</t>
  </si>
  <si>
    <t>Opening7_Orientation</t>
  </si>
  <si>
    <t>Opening7_AreaType</t>
  </si>
  <si>
    <t>Opening7_AreaScaleType</t>
  </si>
  <si>
    <t>Opening7_Area</t>
  </si>
  <si>
    <t>Opening8_Id</t>
  </si>
  <si>
    <t>Opening8_OpeningTypeIndex</t>
  </si>
  <si>
    <t>Opening8_Description</t>
  </si>
  <si>
    <t>Opening8_LocationBuildingPartIndex</t>
  </si>
  <si>
    <t>Opening8_LocationWallIndex</t>
  </si>
  <si>
    <t>Opening8_Orientation</t>
  </si>
  <si>
    <t>Opening8_AreaType</t>
  </si>
  <si>
    <t>Opening8_AreaScaleType</t>
  </si>
  <si>
    <t>Opening8_Area</t>
  </si>
  <si>
    <t>Opening9_Id</t>
  </si>
  <si>
    <t>Opening9_OpeningTypeIndex</t>
  </si>
  <si>
    <t>Opening9_Description</t>
  </si>
  <si>
    <t>Opening9_LocationBuildingPartIndex</t>
  </si>
  <si>
    <t>Opening9_LocationWallIndex</t>
  </si>
  <si>
    <t>Opening9_Orientation</t>
  </si>
  <si>
    <t>Opening9_AreaType</t>
  </si>
  <si>
    <t>Opening9_AreaScaleType</t>
  </si>
  <si>
    <t>Opening9_Area</t>
  </si>
  <si>
    <t>Opening10_Id</t>
  </si>
  <si>
    <t>Opening10_OpeningTypeIndex</t>
  </si>
  <si>
    <t>Opening10_Description</t>
  </si>
  <si>
    <t>Opening10_LocationBuildingPartIndex</t>
  </si>
  <si>
    <t>Opening10_LocationWallIndex</t>
  </si>
  <si>
    <t>Opening10_Orientation</t>
  </si>
  <si>
    <t>Opening10_AreaType</t>
  </si>
  <si>
    <t>Opening10_AreaScaleType</t>
  </si>
  <si>
    <t>Opening10_Area</t>
  </si>
  <si>
    <t>FROM MAIN SPREADSHEET</t>
  </si>
  <si>
    <t>AREAS FROM MAIN SPREADSHEET</t>
  </si>
  <si>
    <t>XML FORMAT</t>
  </si>
  <si>
    <t>Dwelling Ref</t>
  </si>
  <si>
    <t>Front Door Orientation</t>
  </si>
  <si>
    <t>Type</t>
  </si>
  <si>
    <t>Position</t>
  </si>
  <si>
    <t>NE</t>
  </si>
  <si>
    <t>SE</t>
  </si>
  <si>
    <t>SW</t>
  </si>
  <si>
    <t>NW</t>
  </si>
  <si>
    <t>Shorthand</t>
  </si>
  <si>
    <t>XML</t>
  </si>
  <si>
    <t>GF</t>
  </si>
  <si>
    <t>XML CONVERSIONS</t>
  </si>
  <si>
    <t>Lighting1_Name</t>
  </si>
  <si>
    <t>Lighting1_Efficacy</t>
  </si>
  <si>
    <t>Lighting1_Power</t>
  </si>
  <si>
    <t>Lighting1_Capacity</t>
  </si>
  <si>
    <t>Lighting1_Count</t>
  </si>
  <si>
    <t>Lighting2_Name</t>
  </si>
  <si>
    <t>Lighting2_Efficacy</t>
  </si>
  <si>
    <t>Lighting2_Power</t>
  </si>
  <si>
    <t>Lighting2_Capacity</t>
  </si>
  <si>
    <t>Lighting2_Count</t>
  </si>
  <si>
    <t>Lighting3_Name</t>
  </si>
  <si>
    <t>Lighting3_Efficacy</t>
  </si>
  <si>
    <t>Lighting3_Power</t>
  </si>
  <si>
    <t>Lighting3_Capacity</t>
  </si>
  <si>
    <t>Lighting3_Count</t>
  </si>
  <si>
    <t>Lighting4_Name</t>
  </si>
  <si>
    <t>Lighting4_Efficacy</t>
  </si>
  <si>
    <t>Lighting4_Power</t>
  </si>
  <si>
    <t>Lighting4_Capacity</t>
  </si>
  <si>
    <t>Lighting4_Count</t>
  </si>
  <si>
    <t>Lighting5_Name</t>
  </si>
  <si>
    <t>Lighting5_Efficacy</t>
  </si>
  <si>
    <t>Lighting5_Power</t>
  </si>
  <si>
    <t>Lighting5_Capacity</t>
  </si>
  <si>
    <t>Lighting5_Count</t>
  </si>
  <si>
    <t>Lighting6_Name</t>
  </si>
  <si>
    <t>Lighting6_Efficacy</t>
  </si>
  <si>
    <t>Lighting6_Power</t>
  </si>
  <si>
    <t>Lighting6_Capacity</t>
  </si>
  <si>
    <t>Lighting6_Count</t>
  </si>
  <si>
    <t>Lighting7_Name</t>
  </si>
  <si>
    <t>Lighting7_Efficacy</t>
  </si>
  <si>
    <t>Lighting7_Power</t>
  </si>
  <si>
    <t>Lighting7_Capacity</t>
  </si>
  <si>
    <t>Lighting7_Count</t>
  </si>
  <si>
    <t>Lighting8_Name</t>
  </si>
  <si>
    <t>Lighting8_Efficacy</t>
  </si>
  <si>
    <t>Lighting8_Power</t>
  </si>
  <si>
    <t>Lighting8_Capacity</t>
  </si>
  <si>
    <t>Lighting8_Count</t>
  </si>
  <si>
    <t>Lighting9_Name</t>
  </si>
  <si>
    <t>Lighting9_Efficacy</t>
  </si>
  <si>
    <t>Lighting9_Power</t>
  </si>
  <si>
    <t>Lighting9_Capacity</t>
  </si>
  <si>
    <t>Lighting9_Count</t>
  </si>
  <si>
    <t>Lighting10_Name</t>
  </si>
  <si>
    <t>Lighting10_Efficacy</t>
  </si>
  <si>
    <t>Lighting10_Power</t>
  </si>
  <si>
    <t>Lighting10_Capacity</t>
  </si>
  <si>
    <t>Lighting10_Count</t>
  </si>
  <si>
    <t>Lighting 1</t>
  </si>
  <si>
    <r>
      <t>Floor Area (m</t>
    </r>
    <r>
      <rPr>
        <vertAlign val="superscript"/>
        <sz val="9"/>
        <color theme="1"/>
        <rFont val="Arial"/>
        <family val="2"/>
      </rPr>
      <t>2</t>
    </r>
    <r>
      <rPr>
        <sz val="9"/>
        <color theme="1"/>
        <rFont val="Arial"/>
        <family val="2"/>
      </rPr>
      <t>)</t>
    </r>
  </si>
  <si>
    <t>Name</t>
  </si>
  <si>
    <t>Power (W)</t>
  </si>
  <si>
    <t>Efficacy (lm/W)</t>
  </si>
  <si>
    <t>Example Spec</t>
  </si>
  <si>
    <t>Notional Capacity (lm)</t>
  </si>
  <si>
    <t>No Fittings Required</t>
  </si>
  <si>
    <t>Rounded Number</t>
  </si>
  <si>
    <t>ExternalWall1_Description</t>
  </si>
  <si>
    <t>ExternalWall1_NettArea</t>
  </si>
  <si>
    <t>ExternalWall1_AreaType</t>
  </si>
  <si>
    <t>ExternalWall2_Description</t>
  </si>
  <si>
    <t>ExternalWall2_NettArea</t>
  </si>
  <si>
    <t>ExternalWall2_AreaType</t>
  </si>
  <si>
    <t>Wet Rooms Ex Kitchen</t>
  </si>
  <si>
    <t>DataType</t>
  </si>
  <si>
    <t>PcdfIndex</t>
  </si>
  <si>
    <t>PcdfItem</t>
  </si>
  <si>
    <t>ManufacturerSFP</t>
  </si>
  <si>
    <t>DuctType</t>
  </si>
  <si>
    <t>WetRooms</t>
  </si>
  <si>
    <t>MVHRDuctInsulated</t>
  </si>
  <si>
    <t>MVHREfficiency</t>
  </si>
  <si>
    <t>ApprovedInstallation</t>
  </si>
  <si>
    <t>SFPFromInstallerCertificate</t>
  </si>
  <si>
    <t>MVHRSystemLocation</t>
  </si>
  <si>
    <t>DuctInsulationLevel</t>
  </si>
  <si>
    <t>Rigid</t>
  </si>
  <si>
    <t>ColdWaterSource</t>
  </si>
  <si>
    <t>BathCount</t>
  </si>
  <si>
    <t>Shower_Description</t>
  </si>
  <si>
    <t>Shower_ShowerType</t>
  </si>
  <si>
    <t>Shower_FlowRate</t>
  </si>
  <si>
    <t>Shower_RatedPower</t>
  </si>
  <si>
    <t>Shower_Connected</t>
  </si>
  <si>
    <t>Shower_ConnectedTo</t>
  </si>
  <si>
    <t>Shower</t>
  </si>
  <si>
    <t>Bath Count</t>
  </si>
  <si>
    <t>Shower Count</t>
  </si>
  <si>
    <t>Variable</t>
  </si>
  <si>
    <t>Exported Tested</t>
  </si>
  <si>
    <t>Notes</t>
  </si>
  <si>
    <t>No</t>
  </si>
  <si>
    <t>Yes</t>
  </si>
  <si>
    <t>No Issues. Doesn't try to rotate windows etc</t>
  </si>
  <si>
    <t>NOTES</t>
  </si>
  <si>
    <t>No option for Nett Areas</t>
  </si>
  <si>
    <t>Not tried beyond 4, should work</t>
  </si>
  <si>
    <t>Exported Tested ?</t>
  </si>
  <si>
    <t>Exported Tested?</t>
  </si>
  <si>
    <t>Capacity (lm)</t>
  </si>
  <si>
    <t>Worked fine</t>
  </si>
  <si>
    <t>Paste wetrooms into PcdfItem</t>
  </si>
  <si>
    <t>Only tried MVHR from database</t>
  </si>
  <si>
    <t>Should be read only. Calculated value</t>
  </si>
  <si>
    <t>Must use Find ^0$ to match entire cell contents or manually clear</t>
  </si>
  <si>
    <t>Be very careful about find and replace 0 values. As it can convert 80.84 to 8.84</t>
  </si>
  <si>
    <t>ExternalWall1_Area</t>
  </si>
  <si>
    <t>ExternalWall2_Area</t>
  </si>
  <si>
    <t>ExternalWall3_Description</t>
  </si>
  <si>
    <t>ExternalWall3_Area</t>
  </si>
  <si>
    <t>ExternalWall3_AreaType</t>
  </si>
  <si>
    <t>ExternalWall4_Description</t>
  </si>
  <si>
    <t>ExternalWall4_Area</t>
  </si>
  <si>
    <t>ExternalWall4_AreaType</t>
  </si>
  <si>
    <t>ExternalWall5_Description</t>
  </si>
  <si>
    <t>ExternalWall5_Area</t>
  </si>
  <si>
    <t>ExternalWall5_AreaType</t>
  </si>
  <si>
    <t>PartyWall1_Description</t>
  </si>
  <si>
    <t>PartyWall1_Area</t>
  </si>
  <si>
    <t>PartyWall2_Description</t>
  </si>
  <si>
    <t>PartyWall2_Area</t>
  </si>
  <si>
    <t>PartyWall3_Description</t>
  </si>
  <si>
    <t>PartyWall3_Area</t>
  </si>
  <si>
    <t>PartyWall4_Description</t>
  </si>
  <si>
    <t>PartyWall4_Area</t>
  </si>
  <si>
    <t>PartyWall5_Description</t>
  </si>
  <si>
    <t>PartyWall5_Area</t>
  </si>
  <si>
    <t>InternalPartition1_Description</t>
  </si>
  <si>
    <t>InternalPartition1_Area</t>
  </si>
  <si>
    <t>InternalPartition2_Description</t>
  </si>
  <si>
    <t>InternalPartition2_Area</t>
  </si>
  <si>
    <t>InternalPartition3_Description</t>
  </si>
  <si>
    <t>InternalPartition3_Area</t>
  </si>
  <si>
    <t>ExternalRoof1_Description</t>
  </si>
  <si>
    <t>ExternalRoof1_Area</t>
  </si>
  <si>
    <t>ExternalRoof1_AreaType</t>
  </si>
  <si>
    <t>ExternalRoof2_Description</t>
  </si>
  <si>
    <t>ExternalRoof2_Area</t>
  </si>
  <si>
    <t>ExternalRoof2_AreaType</t>
  </si>
  <si>
    <t>ExternalRoof3_Description</t>
  </si>
  <si>
    <t>ExternalRoof3_Area</t>
  </si>
  <si>
    <t>ExternalRoof3_AreaType</t>
  </si>
  <si>
    <t>ExternalRoof4_Description</t>
  </si>
  <si>
    <t>ExternalRoof4_Area</t>
  </si>
  <si>
    <t>ExternalRoof4_AreaType</t>
  </si>
  <si>
    <t>ExternalRoof5_Description</t>
  </si>
  <si>
    <t>ExternalRoof5_Area</t>
  </si>
  <si>
    <t>ExternalRoof5_AreaType</t>
  </si>
  <si>
    <t>PartyRoof_Area</t>
  </si>
  <si>
    <t>HeatLossFloor1_Storey</t>
  </si>
  <si>
    <t>HeatLossFloor2_Storey</t>
  </si>
  <si>
    <t>HeatLossFloor2_Area</t>
  </si>
  <si>
    <t>HeatLossFloor3_Storey</t>
  </si>
  <si>
    <t>HeatLossFloor3_Area</t>
  </si>
  <si>
    <t>HeatLossFloor4_Storey</t>
  </si>
  <si>
    <t>HeatLossFloor4_Area</t>
  </si>
  <si>
    <t>HeatLossFloor5_Storey</t>
  </si>
  <si>
    <t>HeatLossFloor5_Area</t>
  </si>
  <si>
    <t>A.02.01</t>
  </si>
  <si>
    <t>A.02.02</t>
  </si>
  <si>
    <t>Ground</t>
  </si>
  <si>
    <t>A.02.03</t>
  </si>
  <si>
    <t>A.02.04</t>
  </si>
  <si>
    <t>A.02.05</t>
  </si>
  <si>
    <t>A.02.06</t>
  </si>
  <si>
    <t>A.02.07</t>
  </si>
  <si>
    <t>A.05.01</t>
  </si>
  <si>
    <t>A.05.02</t>
  </si>
  <si>
    <t>A.05.03</t>
  </si>
  <si>
    <t>A.05.04</t>
  </si>
  <si>
    <t>A.05.05</t>
  </si>
  <si>
    <t>A.05.06</t>
  </si>
  <si>
    <t>A.05.07</t>
  </si>
  <si>
    <t>A.25.01</t>
  </si>
  <si>
    <t>External Roof 1</t>
  </si>
  <si>
    <t>A.25.02</t>
  </si>
  <si>
    <t>A.25.03</t>
  </si>
  <si>
    <t>A.25.04</t>
  </si>
  <si>
    <t>A.25.05</t>
  </si>
  <si>
    <t>A.25.06</t>
  </si>
  <si>
    <t>A.25.07</t>
  </si>
  <si>
    <t>This works</t>
  </si>
  <si>
    <t>External Wall 1</t>
  </si>
  <si>
    <t>false</t>
  </si>
  <si>
    <t>Needs to be formatted as text otherwise excel changes "true" to a number value</t>
  </si>
  <si>
    <t>Windows 1</t>
  </si>
  <si>
    <t>Windows 2</t>
  </si>
  <si>
    <t>Used this with a "Datasheet" system to update the number for ref only.</t>
  </si>
  <si>
    <t>This changes the Wet Room Number, when using "Database" option. For a "Datasheet" system this isn’t used and "Wet Rooms" is</t>
  </si>
  <si>
    <t>Database</t>
  </si>
  <si>
    <t>FromMains</t>
  </si>
  <si>
    <t>ExtWall1</t>
  </si>
  <si>
    <t>EW1_Del</t>
  </si>
  <si>
    <t>ExtWall2</t>
  </si>
  <si>
    <t>EW2_Del</t>
  </si>
  <si>
    <t>ExtWall3</t>
  </si>
  <si>
    <t>EW3_Del</t>
  </si>
  <si>
    <t>ExtWall4</t>
  </si>
  <si>
    <t>EW4_Del</t>
  </si>
  <si>
    <t>ExtWall5</t>
  </si>
  <si>
    <t>EW5_Del</t>
  </si>
  <si>
    <t>PartyWall1</t>
  </si>
  <si>
    <t>PW1_Del</t>
  </si>
  <si>
    <t>PartyWall2</t>
  </si>
  <si>
    <t>PW2_Del</t>
  </si>
  <si>
    <t>PartyWall3</t>
  </si>
  <si>
    <t>PW3_Del</t>
  </si>
  <si>
    <t>PartyWall4</t>
  </si>
  <si>
    <t>PW4_Del</t>
  </si>
  <si>
    <t>PartyWall5</t>
  </si>
  <si>
    <t>PW5_Del</t>
  </si>
  <si>
    <t>IntPartition1</t>
  </si>
  <si>
    <t>IP1_Del</t>
  </si>
  <si>
    <t>IntPartition2</t>
  </si>
  <si>
    <t>IP2_Del</t>
  </si>
  <si>
    <t>IntPartition3</t>
  </si>
  <si>
    <t>IP3_Del</t>
  </si>
  <si>
    <t>ExtRoof1</t>
  </si>
  <si>
    <t>ER1_Del</t>
  </si>
  <si>
    <t>ExtRoof2</t>
  </si>
  <si>
    <t>ER2_Del</t>
  </si>
  <si>
    <t>ExtRoof3</t>
  </si>
  <si>
    <t>ER3_Del</t>
  </si>
  <si>
    <t>ExtRoof4</t>
  </si>
  <si>
    <t>ER4_Del</t>
  </si>
  <si>
    <t>ExtRoof5</t>
  </si>
  <si>
    <t>ER5_Del</t>
  </si>
  <si>
    <t>PartyRoof1</t>
  </si>
  <si>
    <t>PR1_Del</t>
  </si>
  <si>
    <t>HeatLossFloor1</t>
  </si>
  <si>
    <t>HLF1_Del</t>
  </si>
  <si>
    <t>HeatLossFloor2</t>
  </si>
  <si>
    <t>HLF2_Del</t>
  </si>
  <si>
    <t>HeatLossFloor3</t>
  </si>
  <si>
    <t>HLF3_Del</t>
  </si>
  <si>
    <t>HeatLossFloor4</t>
  </si>
  <si>
    <t>HLF4_Del</t>
  </si>
  <si>
    <t>HeatLossFloor5</t>
  </si>
  <si>
    <t>HLF5_Del</t>
  </si>
  <si>
    <t>PartyFloor1</t>
  </si>
  <si>
    <t>PF1_Del</t>
  </si>
  <si>
    <t>PartyFloor2</t>
  </si>
  <si>
    <t>PF2_Del</t>
  </si>
  <si>
    <t>PartyFloor3</t>
  </si>
  <si>
    <t>PF3_Del</t>
  </si>
  <si>
    <t>Opening1</t>
  </si>
  <si>
    <t>O1_Del</t>
  </si>
  <si>
    <t>Opening2</t>
  </si>
  <si>
    <t>O2_Del</t>
  </si>
  <si>
    <t>Opening3</t>
  </si>
  <si>
    <t>O3_Del</t>
  </si>
  <si>
    <t>Opening4</t>
  </si>
  <si>
    <t>O4_Del</t>
  </si>
  <si>
    <t>Opening5</t>
  </si>
  <si>
    <t>O5_Del</t>
  </si>
  <si>
    <t>Opening6</t>
  </si>
  <si>
    <t>O6_Del</t>
  </si>
  <si>
    <t>Opening7</t>
  </si>
  <si>
    <t>O7_Del</t>
  </si>
  <si>
    <t>Opening8</t>
  </si>
  <si>
    <t>O8_Del</t>
  </si>
  <si>
    <t>Opening9</t>
  </si>
  <si>
    <t>O9_Del</t>
  </si>
  <si>
    <t>Opening10</t>
  </si>
  <si>
    <t>O10_Del</t>
  </si>
  <si>
    <t>Party Ceiling 1</t>
  </si>
  <si>
    <t>Heatloss Floor 1</t>
  </si>
  <si>
    <t>Party Floor 1</t>
  </si>
  <si>
    <t xml:space="preserve"> </t>
  </si>
  <si>
    <t>BalancedWithHeatRecovery</t>
  </si>
  <si>
    <t>500321</t>
  </si>
  <si>
    <t>Inside</t>
  </si>
  <si>
    <t>Level2</t>
  </si>
  <si>
    <t>Unknown</t>
  </si>
  <si>
    <t>Party Wall 1 to Dwelling</t>
  </si>
  <si>
    <t>Party Wall 2 to Circulation</t>
  </si>
  <si>
    <t>Internal Partition 1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</si>
  <si>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</si>
  <si>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</si>
  <si>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</si>
  <si>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</si>
  <si>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</si>
  <si>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</si>
  <si>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</si>
  <si>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</si>
  <si>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</si>
  <si>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</si>
  <si>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</si>
  <si>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</si>
  <si>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</si>
  <si>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</si>
  <si>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</si>
  <si>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</si>
  <si>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</si>
  <si>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</si>
  <si>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</si>
  <si>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</si>
  <si>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</si>
  <si>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</si>
  <si>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</si>
  <si>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</si>
  <si>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</si>
  <si>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</si>
  <si>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</si>
  <si>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</si>
  <si>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</si>
  <si>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</si>
  <si>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</si>
  <si>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</si>
  <si>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</si>
  <si>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</si>
  <si>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</si>
  <si>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</si>
  <si>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</si>
  <si>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</si>
  <si>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</si>
  <si>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</si>
  <si>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</si>
  <si>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</si>
  <si>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</si>
  <si>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</si>
  <si>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</si>
  <si>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</si>
  <si>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</si>
  <si>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</si>
  <si>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</si>
  <si>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</si>
  <si>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</si>
  <si>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</si>
  <si>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</si>
  <si>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</si>
  <si>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</si>
  <si>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</si>
  <si>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</si>
  <si>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</si>
  <si>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</si>
  <si>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</si>
  <si>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</si>
  <si>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</si>
  <si>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</si>
  <si>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</si>
  <si>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</si>
  <si>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</si>
  <si>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</si>
  <si>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</si>
  <si>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</si>
  <si>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</si>
  <si>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</si>
  <si>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</si>
  <si>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</si>
  <si>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</si>
  <si>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</si>
  <si>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</si>
  <si>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</si>
  <si>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</si>
  <si>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</si>
  <si>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</si>
  <si>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</si>
  <si>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</si>
  <si>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</si>
  <si>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</si>
  <si>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</si>
  <si>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</si>
  <si>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</si>
  <si>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</si>
  <si>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</si>
  <si>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</si>
  <si>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</si>
  <si>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</si>
  <si>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</si>
  <si>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</si>
  <si>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</si>
  <si>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Ref</t>
  </si>
  <si>
    <t>C:\Users\rosst\Desktop\Bath\0314 Metropolitan House (2)\Version 1\Version 1\001_2026-04-13_12-21-02-6963.xml</t>
  </si>
  <si>
    <t>284549777</t>
  </si>
  <si>
    <t>C:\Users\rosst\Desktop\Bath\0314 Metropolitan House (2)\Version 1\Version 1\002_2026-04-13_12-21-02-7693.xml</t>
  </si>
  <si>
    <t>C:\Users\rosst\Desktop\Bath\0314 Metropolitan House (2)\Version 1\Version 1\003_2026-04-13_12-21-02-8006.xml</t>
  </si>
  <si>
    <t>C:\Users\rosst\Desktop\Bath\0314 Metropolitan House (2)\Version 1\Version 1\004_2026-04-13_12-21-02-8475.xml</t>
  </si>
  <si>
    <t>C:\Users\rosst\Desktop\Bath\0314 Metropolitan House (2)\Version 1\Version 1\005_2026-04-13_12-21-02-8787.xml</t>
  </si>
  <si>
    <t>C:\Users\rosst\Desktop\Bath\0314 Metropolitan House (2)\Version 1\Version 1\006_2026-04-13_12-21-02-8986.xml</t>
  </si>
  <si>
    <t>C:\Users\rosst\Desktop\Bath\0314 Metropolitan House (2)\Version 1\Version 1\007_2026-04-13_12-21-02-9612.xml</t>
  </si>
  <si>
    <t>C:\Users\rosst\Desktop\Bath\0314 Metropolitan House (2)\Version 1\Version 1\008_2026-04-13_12-21-03-0189.xml</t>
  </si>
  <si>
    <t>C:\Users\rosst\Desktop\Bath\0314 Metropolitan House (2)\Version 1\Version 1\009_2026-04-13_12-21-03-0657.xml</t>
  </si>
  <si>
    <t>C:\Users\rosst\Desktop\Bath\0314 Metropolitan House (2)\Version 1\Version 1\010_2026-04-13_12-21-03-1015.xml</t>
  </si>
  <si>
    <t>C:\Users\rosst\Desktop\Bath\0314 Metropolitan House (2)\Version 1\Version 1\011_2026-04-13_12-21-03-1339.xml</t>
  </si>
  <si>
    <t>C:\Users\rosst\Desktop\Bath\0314 Metropolitan House (2)\Version 1\Version 1\012_2026-04-13_12-21-03-1808.xml</t>
  </si>
  <si>
    <t>C:\Users\rosst\Desktop\Bath\0314 Metropolitan House (2)\Version 1\Version 1\013_2026-04-13_12-21-03-2584.xml</t>
  </si>
  <si>
    <t>C:\Users\rosst\Desktop\Bath\0314 Metropolitan House (2)\Version 1\Version 1\014_2026-04-13_12-21-03-3470.xml</t>
  </si>
  <si>
    <t>C:\Users\rosst\Desktop\Bath\0314 Metropolitan House (2)\Version 1\Version 1\015_2026-04-13_12-21-03-3938.xml</t>
  </si>
  <si>
    <t>C:\Users\rosst\Desktop\Bath\0314 Metropolitan House (2)\Version 1\Version 1\016_2026-04-13_12-21-03-4563.xml</t>
  </si>
  <si>
    <t>C:\Users\rosst\Desktop\Bath\0314 Metropolitan House (2)\Version 1\Version 1\017_2026-04-13_12-21-03-5188.xml</t>
  </si>
  <si>
    <t>C:\Users\rosst\Desktop\Bath\0314 Metropolitan House (2)\Version 1\Version 1\018_2026-04-13_12-21-03-6283.xml</t>
  </si>
  <si>
    <t>C:\Users\rosst\Desktop\Bath\0314 Metropolitan House (2)\Version 1\Version 1\019_2026-04-13_12-21-03-6813.xml</t>
  </si>
  <si>
    <t>C:\Users\rosst\Desktop\Bath\0314 Metropolitan House (2)\Version 1\Version 1\020_2026-04-13_12-21-03-7438.xml</t>
  </si>
  <si>
    <t>C:\Users\rosst\Desktop\Bath\0314 Metropolitan House (2)\Version 1\Version 1\021_2026-04-13_12-21-03-7751.xml</t>
  </si>
  <si>
    <t>C:\Users\rosst\Desktop\Bath\0314 Metropolitan House (2)\Version 1\Version 1\022_2026-04-13_12-21-03-8063.xml</t>
  </si>
  <si>
    <t>C:\Users\rosst\Desktop\Bath\0314 Metropolitan House (2)\Version 1\Version 1\023_2026-04-13_12-21-03-8376.xml</t>
  </si>
  <si>
    <t>C:\Users\rosst\Desktop\Bath\0314 Metropolitan House (2)\Version 1\Version 1\024_2026-04-13_12-21-03-8725.xml</t>
  </si>
  <si>
    <t>C:\Users\rosst\Desktop\Bath\0314 Metropolitan House (2)\Version 1\Version 1\025_2026-04-13_12-21-03-9037.xml</t>
  </si>
  <si>
    <t>C:\Users\rosst\Desktop\Bath\0314 Metropolitan House (2)\Version 1\Version 1\026_2026-04-13_12-21-03-9350.xml</t>
  </si>
  <si>
    <t>C:\Users\rosst\Desktop\Bath\0314 Metropolitan House (2)\Version 1\Version 1\027_2026-04-13_12-21-03-9819.xml</t>
  </si>
  <si>
    <t>C:\Users\rosst\Desktop\Bath\0314 Metropolitan House (2)\Version 1\Version 1\028_2026-04-13_12-21-04-0131.xml</t>
  </si>
  <si>
    <t>C:\Users\rosst\Desktop\Bath\0314 Metropolitan House (2)\Version 1\Version 1\029_2026-04-13_12-21-04-0444.xml</t>
  </si>
  <si>
    <t>C:\Users\rosst\Desktop\Bath\0314 Metropolitan House (2)\Version 1\Version 1\030_2026-04-13_12-21-04-0894.xml</t>
  </si>
  <si>
    <t>C:\Users\rosst\Desktop\Bath\0314 Metropolitan House (2)\Version 1\Version 1\031_2026-04-13_12-21-04-1397.xml</t>
  </si>
  <si>
    <t>C:\Users\rosst\Desktop\Bath\0314 Metropolitan House (2)\Version 1\Version 1\032_2026-04-13_12-21-04-1716.xml</t>
  </si>
  <si>
    <t>C:\Users\rosst\Desktop\Bath\0314 Metropolitan House (2)\Version 1\Version 1\033_2026-04-13_12-21-04-2028.xml</t>
  </si>
  <si>
    <t>C:\Users\rosst\Desktop\Bath\0314 Metropolitan House (2)\Version 1\Version 1\034_2026-04-13_12-21-04-2406.xml</t>
  </si>
  <si>
    <t>C:\Users\rosst\Desktop\Bath\0314 Metropolitan House (2)\Version 1\Version 1\035_2026-04-13_12-21-04-2724.xml</t>
  </si>
  <si>
    <t>C:\Users\rosst\Desktop\Bath\0314 Metropolitan House (2)\Version 1\Version 1\036_2026-04-13_12-21-04-3199.xml</t>
  </si>
  <si>
    <t>C:\Users\rosst\Desktop\Bath\0314 Metropolitan House (2)\Version 1\Version 1\037_2026-04-13_12-21-04-3668.xml</t>
  </si>
  <si>
    <t>C:\Users\rosst\Desktop\Bath\0314 Metropolitan House (2)\Version 1\Version 1\038_2026-04-13_12-21-04-4206.xml</t>
  </si>
  <si>
    <t>C:\Users\rosst\Desktop\Bath\0314 Metropolitan House (2)\Version 1\Version 1\039_2026-04-13_12-21-04-5144.xml</t>
  </si>
  <si>
    <t>C:\Users\rosst\Desktop\Bath\0314 Metropolitan House (2)\Version 1\Version 1\040_2026-04-13_12-21-04-5612.xml</t>
  </si>
  <si>
    <t>C:\Users\rosst\Desktop\Bath\0314 Metropolitan House (2)\Version 1\Version 1\041_2026-04-13_12-21-04-5977.xml</t>
  </si>
  <si>
    <t>C:\Users\rosst\Desktop\Bath\0314 Metropolitan House (2)\Version 1\Version 1\042_2026-04-13_12-21-04-6290.xml</t>
  </si>
  <si>
    <t>C:\Users\rosst\Desktop\Bath\0314 Metropolitan House (2)\Version 1\Version 1\043_2026-04-13_12-21-04-6758.xml</t>
  </si>
  <si>
    <t>C:\Users\rosst\Desktop\Bath\0314 Metropolitan House (2)\Version 1\Version 1\044_2026-04-13_12-21-04-7133.xml</t>
  </si>
  <si>
    <t>C:\Users\rosst\Desktop\Bath\0314 Metropolitan House (2)\Version 1\Version 1\045_2026-04-13_12-21-04-7602.xml</t>
  </si>
  <si>
    <t>C:\Users\rosst\Desktop\Bath\0314 Metropolitan House (2)\Version 1\Version 1\046_2026-04-13_12-21-04-8070.xml</t>
  </si>
  <si>
    <t>C:\Users\rosst\Desktop\Bath\0314 Metropolitan House (2)\Version 1\Version 1\047_2026-04-13_12-21-04-8491.xml</t>
  </si>
  <si>
    <t>C:\Users\rosst\Desktop\Bath\0314 Metropolitan House (2)\Version 1\Version 1\048_2026-04-13_12-21-04-8885.xml</t>
  </si>
  <si>
    <t>C:\Users\rosst\Desktop\Bath\0314 Metropolitan House (2)\Version 1\Version 1\049_2026-04-13_12-21-04-9435.xml</t>
  </si>
  <si>
    <t>C:\Users\rosst\Desktop\Bath\0314 Metropolitan House (2)\Version 1\Version 1\050_2026-04-13_12-21-04-9748.xml</t>
  </si>
  <si>
    <t>C:\Users\rosst\Desktop\Bath\0314 Metropolitan House (2)\Version 1\Version 1\051_2026-04-13_12-21-05-0217.xml</t>
  </si>
  <si>
    <t>C:\Users\rosst\Desktop\Bath\0314 Metropolitan House (2)\Version 1\Version 1\052_2026-04-13_12-21-05-0530.xml</t>
  </si>
  <si>
    <t>C:\Users\rosst\Desktop\Bath\0314 Metropolitan House (2)\Version 1\Version 1\053_2026-04-13_12-21-05-0998.xml</t>
  </si>
  <si>
    <t>C:\Users\rosst\Desktop\Bath\0314 Metropolitan House (2)\Version 1\Version 1\054_2026-04-13_12-21-05-1467.xml</t>
  </si>
  <si>
    <t>C:\Users\rosst\Desktop\Bath\0314 Metropolitan House (2)\Version 1\Version 1\055_2026-04-13_12-21-05-1936.xml</t>
  </si>
  <si>
    <t>C:\Users\rosst\Desktop\Bath\0314 Metropolitan House (2)\Version 1\Version 1\056_2026-04-13_12-21-05-2248.xml</t>
  </si>
  <si>
    <t>C:\Users\rosst\Desktop\Bath\0314 Metropolitan House (2)\Version 1\Version 1\057_2026-04-13_12-21-05-2507.xml</t>
  </si>
  <si>
    <t>C:\Users\rosst\Desktop\Bath\0314 Metropolitan House (2)\Version 1\Version 1\058_2026-04-13_12-21-05-2819.xml</t>
  </si>
  <si>
    <t>C:\Users\rosst\Desktop\Bath\0314 Metropolitan House (2)\Version 1\Version 1\059_2026-04-13_12-21-05-3132.xml</t>
  </si>
  <si>
    <t>C:\Users\rosst\Desktop\Bath\0314 Metropolitan House (2)\Version 1\Version 1\060_2026-04-13_12-21-05-3444.xml</t>
  </si>
  <si>
    <t>C:\Users\rosst\Desktop\Bath\0314 Metropolitan House (2)\Version 1\Version 1\061_2026-04-13_12-21-05-3757.xml</t>
  </si>
  <si>
    <t>C:\Users\rosst\Desktop\Bath\0314 Metropolitan House (2)\Version 1\Version 1\062_2026-04-13_12-21-05-4069.xml</t>
  </si>
  <si>
    <t>C:\Users\rosst\Desktop\Bath\0314 Metropolitan House (2)\Version 1\Version 1\063_2026-04-13_12-21-05-4382.xml</t>
  </si>
  <si>
    <t>C:\Users\rosst\Desktop\Bath\0314 Metropolitan House (2)\Version 1\Version 1\064_2026-04-13_12-21-05-4694.xml</t>
  </si>
  <si>
    <t>C:\Users\rosst\Desktop\Bath\0314 Metropolitan House (2)\Version 1\Version 1\065_2026-04-13_12-21-05-5007.xml</t>
  </si>
  <si>
    <t>C:\Users\rosst\Desktop\Bath\0314 Metropolitan House (2)\Version 1\Version 1\066_2026-04-13_12-21-05-5319.xml</t>
  </si>
  <si>
    <t>C:\Users\rosst\Desktop\Bath\0314 Metropolitan House (2)\Version 1\Version 1\067_2026-04-13_12-21-05-5944.xml</t>
  </si>
  <si>
    <t>C:\Users\rosst\Desktop\Bath\0314 Metropolitan House (2)\Version 1\Version 1\068_2026-04-13_12-21-05-6294.xml</t>
  </si>
  <si>
    <t>C:\Users\rosst\Desktop\Bath\0314 Metropolitan House (2)\Version 1\Version 1\069_2026-04-13_12-21-05-6824.xml</t>
  </si>
  <si>
    <t>C:\Users\rosst\Desktop\Bath\0314 Metropolitan House (2)\Version 1\Version 1\070_2026-04-13_12-21-05-7449.xml</t>
  </si>
  <si>
    <t>C:\Users\rosst\Desktop\Bath\0314 Metropolitan House (2)\Version 1\Version 1\071_2026-04-13_12-21-05-7918.xml</t>
  </si>
  <si>
    <t>C:\Users\rosst\Desktop\Bath\0314 Metropolitan House (2)\Version 1\Version 1\072_2026-04-13_12-21-05-8387.xml</t>
  </si>
  <si>
    <t>C:\Users\rosst\Desktop\Bath\0314 Metropolitan House (2)\Version 1\Version 1\073_2026-04-13_12-21-05-8856.xml</t>
  </si>
  <si>
    <t>C:\Users\rosst\Desktop\Bath\0314 Metropolitan House (2)\Version 1\Version 1\074_2026-04-13_12-21-05-9258.xml</t>
  </si>
  <si>
    <t>C:\Users\rosst\Desktop\Bath\0314 Metropolitan House (2)\Version 1\Version 1\075_2026-04-13_12-21-05-9734.xml</t>
  </si>
  <si>
    <t>C:\Users\rosst\Desktop\Bath\0314 Metropolitan House (2)\Version 1\Version 1\076_2026-04-13_12-21-06-0127.xml</t>
  </si>
  <si>
    <t>C:\Users\rosst\Desktop\Bath\0314 Metropolitan House (2)\Version 1\Version 1\077_2026-04-13_12-21-06-0753.xml</t>
  </si>
  <si>
    <t>C:\Users\rosst\Desktop\Bath\0314 Metropolitan House (2)\Version 1\Version 1\078_2026-04-13_12-21-06-1065.xml</t>
  </si>
  <si>
    <t>C:\Users\rosst\Desktop\Bath\0314 Metropolitan House (2)\Version 1\Version 1\079_2026-04-13_12-21-06-1412.xml</t>
  </si>
  <si>
    <t>C:\Users\rosst\Desktop\Bath\0314 Metropolitan House (2)\Version 1\Version 1\080_2026-04-13_12-21-06-2193.xml</t>
  </si>
  <si>
    <t>C:\Users\rosst\Desktop\Bath\0314 Metropolitan House (2)\Version 1\Version 1\081_2026-04-13_12-21-06-2662.xml</t>
  </si>
  <si>
    <t>C:\Users\rosst\Desktop\Bath\0314 Metropolitan House (2)\Version 1\Version 1\082_2026-04-13_12-21-06-3131.xml</t>
  </si>
  <si>
    <t>C:\Users\rosst\Desktop\Bath\0314 Metropolitan House (2)\Version 1\Version 1\083_2026-04-13_12-21-06-4381.xml</t>
  </si>
  <si>
    <t>C:\Users\rosst\Desktop\Bath\0314 Metropolitan House (2)\Version 1\Version 1\084_2026-04-13_12-21-06-4866.xml</t>
  </si>
  <si>
    <t>C:\Users\rosst\Desktop\Bath\0314 Metropolitan House (2)\Version 1\Version 1\085_2026-04-13_12-21-06-5336.xml</t>
  </si>
  <si>
    <t>C:\Users\rosst\Desktop\Bath\0314 Metropolitan House (2)\Version 1\Version 1\086_2026-04-13_12-21-06-8841.xml</t>
  </si>
  <si>
    <t>C:\Users\rosst\Desktop\Bath\0314 Metropolitan House (2)\Version 1\Version 1\087_2026-04-13_12-21-06-9310.xml</t>
  </si>
  <si>
    <t>C:\Users\rosst\Desktop\Bath\0314 Metropolitan House (2)\Version 1\Version 1\088_2026-04-13_12-21-06-9935.xml</t>
  </si>
  <si>
    <t>C:\Users\rosst\Desktop\Bath\0314 Metropolitan House (2)\Version 1\Version 1\089_2026-04-13_12-21-07-0716.xml</t>
  </si>
  <si>
    <t>C:\Users\rosst\Desktop\Bath\0314 Metropolitan House (2)\Version 1\Version 1\090_2026-04-13_12-21-07-1413.xml</t>
  </si>
  <si>
    <t>C:\Users\rosst\Desktop\Bath\0314 Metropolitan House (2)\Version 1\Version 1\091_2026-04-13_12-21-07-1784.xml</t>
  </si>
  <si>
    <t>C:\Users\rosst\Desktop\Bath\0314 Metropolitan House (2)\Version 1\Version 1\092_2026-04-13_12-21-07-2829.xml</t>
  </si>
  <si>
    <t>C:\Users\rosst\Desktop\Bath\0314 Metropolitan House (2)\Version 1\Version 1\093_2026-04-13_12-21-07-3360.xml</t>
  </si>
  <si>
    <t>C:\Users\rosst\Desktop\Bath\0314 Metropolitan House (2)\Version 1\Version 1\094_2026-04-13_12-21-07-4141.xml</t>
  </si>
  <si>
    <t>C:\Users\rosst\Desktop\Bath\0314 Metropolitan House (2)\Version 1\Version 1\095_2026-04-13_12-21-07-4680.xml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</si>
</sst>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.0"/>
  </numFmts>
  <fonts count="25" x14ac:knownFonts="1">
    <font>
      <sz val="11"/>
      <color theme="1"/>
      <name val="Arial"/>
      <family val="2"/>
      <scheme val="minor"/>
    </font>
    <font>
      <sz val="11"/>
      <color rgb="FF000000"/>
      <name val="Aptos Narrow"/>
      <family val="2"/>
    </font>
    <font>
      <sz val="9"/>
      <color rgb="FF424054"/>
      <name val="Arial"/>
      <family val="2"/>
    </font>
    <font>
      <sz val="9"/>
      <color rgb="FF8A1A1A"/>
      <name val="Arial"/>
      <family val="2"/>
    </font>
    <font>
      <sz val="9"/>
      <color rgb="FF6A662D"/>
      <name val="Arial"/>
      <family val="2"/>
    </font>
    <font>
      <sz val="9"/>
      <color rgb="FF2E6486"/>
      <name val="Arial"/>
      <family val="2"/>
    </font>
    <font>
      <sz val="9"/>
      <color theme="1"/>
      <name val="Arial"/>
      <family val="2"/>
    </font>
    <font>
      <sz val="8"/>
      <color theme="1" tint="0.499984740745262"/>
      <name val="Arial"/>
      <family val="2"/>
    </font>
    <font>
      <sz val="9"/>
      <color rgb="FF426D2B"/>
      <name val="Arial"/>
      <family val="2"/>
    </font>
    <font>
      <sz val="9"/>
      <color rgb="FF7A4E64"/>
      <name val="Arial"/>
      <family val="2"/>
    </font>
    <font>
      <sz val="9"/>
      <color rgb="FF632B1F"/>
      <name val="Arial"/>
      <family val="2"/>
    </font>
    <font>
      <sz val="9"/>
      <color rgb="FF2A4C2F"/>
      <name val="Arial"/>
      <family val="2"/>
    </font>
    <font>
      <sz val="9"/>
      <color rgb="FF586169"/>
      <name val="Arial"/>
      <family val="2"/>
    </font>
    <font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rgb="FF9C4E08"/>
      <name val="Arial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vertAlign val="superscript"/>
      <sz val="9"/>
      <color theme="1"/>
      <name val="Arial"/>
      <family val="2"/>
    </font>
    <font>
      <sz val="9"/>
      <name val="Arial"/>
      <family val="2"/>
    </font>
    <font>
      <b/>
      <sz val="9"/>
      <color rgb="FF7A4E64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BDAEF"/>
        <bgColor indexed="64"/>
      </patternFill>
    </fill>
    <fill>
      <patternFill patternType="solid">
        <fgColor rgb="FFFBC9CE"/>
        <bgColor indexed="64"/>
      </patternFill>
    </fill>
    <fill>
      <patternFill patternType="solid">
        <fgColor rgb="FFFBECA2"/>
        <bgColor indexed="64"/>
      </patternFill>
    </fill>
    <fill>
      <patternFill patternType="solid">
        <fgColor rgb="FFD8F4FC"/>
        <bgColor indexed="64"/>
      </patternFill>
    </fill>
    <fill>
      <patternFill patternType="solid">
        <fgColor rgb="FFE1FFBF"/>
        <bgColor indexed="64"/>
      </patternFill>
    </fill>
    <fill>
      <patternFill patternType="solid">
        <fgColor rgb="FFFCEAF5"/>
        <bgColor indexed="64"/>
      </patternFill>
    </fill>
    <fill>
      <patternFill patternType="solid">
        <fgColor rgb="FFFBC7BD"/>
        <bgColor indexed="64"/>
      </patternFill>
    </fill>
    <fill>
      <patternFill patternType="solid">
        <fgColor rgb="FFBEE7C1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CD3A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</borders>
  <cellStyleXfs count="11">
    <xf numFmtId="0" fontId="0" fillId="0" borderId="0"/>
    <xf numFmtId="0" fontId="2" fillId="3" borderId="1">
      <alignment horizontal="left" vertical="center"/>
    </xf>
    <xf numFmtId="0" fontId="3" fillId="4" borderId="1">
      <alignment horizontal="left" vertical="center"/>
    </xf>
    <xf numFmtId="0" fontId="4" fillId="5" borderId="1">
      <alignment horizontal="left" vertical="center"/>
    </xf>
    <xf numFmtId="0" fontId="5" fillId="6" borderId="1">
      <alignment horizontal="left" vertical="center"/>
    </xf>
    <xf numFmtId="0" fontId="8" fillId="7" borderId="1">
      <alignment horizontal="left" vertical="center"/>
    </xf>
    <xf numFmtId="0" fontId="9" fillId="8" borderId="1">
      <alignment horizontal="left" vertical="center"/>
    </xf>
    <xf numFmtId="0" fontId="10" fillId="9" borderId="1">
      <alignment horizontal="left" vertical="center"/>
    </xf>
    <xf numFmtId="0" fontId="11" fillId="10" borderId="1">
      <alignment horizontal="left" vertical="center"/>
    </xf>
    <xf numFmtId="0" fontId="12" fillId="11" borderId="1">
      <alignment horizontal="left" vertical="center"/>
    </xf>
    <xf numFmtId="0" fontId="15" fillId="15" borderId="1">
      <alignment horizontal="left" vertical="center"/>
    </xf>
  </cellStyleXfs>
  <cellXfs count="80">
    <xf numFmtId="0" fontId="0" fillId="0" borderId="0" xfId="0"/>
    <xf numFmtId="0" fontId="7" fillId="0" borderId="0" xfId="0" applyFont="1" applyAlignment="1">
      <alignment horizontal="center" wrapText="1"/>
    </xf>
    <xf numFmtId="0" fontId="6" fillId="2" borderId="1" xfId="0" applyFont="1" applyFill="1" applyBorder="1" applyAlignment="1">
      <alignment horizontal="center" textRotation="90"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13" fillId="0" borderId="0" xfId="0" applyFont="1"/>
    <xf numFmtId="0" fontId="14" fillId="0" borderId="0" xfId="0" applyFont="1"/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9" fillId="8" borderId="1" xfId="6" applyAlignment="1">
      <alignment horizontal="center" vertical="center"/>
    </xf>
    <xf numFmtId="0" fontId="6" fillId="2" borderId="1" xfId="0" applyFont="1" applyFill="1" applyBorder="1"/>
    <xf numFmtId="0" fontId="6" fillId="0" borderId="1" xfId="0" applyFont="1" applyBorder="1"/>
    <xf numFmtId="164" fontId="6" fillId="2" borderId="1" xfId="0" applyNumberFormat="1" applyFont="1" applyFill="1" applyBorder="1" applyAlignment="1">
      <alignment horizontal="left" vertical="center"/>
    </xf>
    <xf numFmtId="3" fontId="6" fillId="2" borderId="1" xfId="0" applyNumberFormat="1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19" fillId="0" borderId="1" xfId="6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textRotation="90" wrapText="1"/>
    </xf>
    <xf numFmtId="0" fontId="20" fillId="8" borderId="1" xfId="6" applyFont="1" applyAlignment="1">
      <alignment horizontal="center" vertical="center"/>
    </xf>
    <xf numFmtId="164" fontId="6" fillId="0" borderId="1" xfId="0" applyNumberFormat="1" applyFont="1" applyBorder="1" applyAlignment="1">
      <alignment horizontal="left" vertical="center"/>
    </xf>
    <xf numFmtId="0" fontId="13" fillId="0" borderId="1" xfId="0" applyFont="1" applyBorder="1"/>
    <xf numFmtId="0" fontId="21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/>
    </xf>
    <xf numFmtId="0" fontId="22" fillId="0" borderId="0" xfId="0" applyFont="1"/>
    <xf numFmtId="0" fontId="23" fillId="13" borderId="1" xfId="0" applyFont="1" applyFill="1" applyBorder="1" applyAlignment="1">
      <alignment horizontal="left" wrapText="1"/>
    </xf>
    <xf numFmtId="0" fontId="23" fillId="0" borderId="1" xfId="0" applyFont="1" applyBorder="1" applyAlignment="1">
      <alignment horizontal="left" wrapText="1"/>
    </xf>
    <xf numFmtId="0" fontId="23" fillId="16" borderId="1" xfId="0" applyFont="1" applyFill="1" applyBorder="1" applyAlignment="1">
      <alignment horizontal="left" wrapText="1"/>
    </xf>
    <xf numFmtId="0" fontId="23" fillId="17" borderId="1" xfId="0" applyFont="1" applyFill="1" applyBorder="1" applyAlignment="1">
      <alignment horizontal="left" wrapText="1"/>
    </xf>
    <xf numFmtId="0" fontId="23" fillId="12" borderId="1" xfId="0" applyFont="1" applyFill="1" applyBorder="1" applyAlignment="1">
      <alignment horizontal="left" wrapText="1"/>
    </xf>
    <xf numFmtId="0" fontId="23" fillId="14" borderId="1" xfId="0" applyFont="1" applyFill="1" applyBorder="1" applyAlignment="1">
      <alignment horizontal="left" wrapText="1"/>
    </xf>
    <xf numFmtId="0" fontId="23" fillId="12" borderId="1" xfId="0" applyFont="1" applyFill="1" applyBorder="1" applyAlignment="1">
      <alignment horizontal="center" textRotation="90" wrapText="1"/>
    </xf>
    <xf numFmtId="0" fontId="23" fillId="13" borderId="1" xfId="0" applyFont="1" applyFill="1" applyBorder="1" applyAlignment="1">
      <alignment horizontal="center" textRotation="90" wrapText="1"/>
    </xf>
    <xf numFmtId="0" fontId="23" fillId="14" borderId="1" xfId="0" applyFont="1" applyFill="1" applyBorder="1" applyAlignment="1">
      <alignment horizontal="center" textRotation="90" wrapText="1"/>
    </xf>
    <xf numFmtId="0" fontId="23" fillId="0" borderId="0" xfId="0" applyFont="1"/>
    <xf numFmtId="0" fontId="23" fillId="0" borderId="1" xfId="0" quotePrefix="1" applyFont="1" applyBorder="1"/>
    <xf numFmtId="0" fontId="23" fillId="0" borderId="1" xfId="0" applyFont="1" applyBorder="1"/>
    <xf numFmtId="49" fontId="23" fillId="0" borderId="1" xfId="0" applyNumberFormat="1" applyFont="1" applyBorder="1" applyAlignment="1">
      <alignment horizontal="left" vertical="center"/>
    </xf>
    <xf numFmtId="0" fontId="24" fillId="0" borderId="1" xfId="0" applyFont="1" applyBorder="1"/>
    <xf numFmtId="0" fontId="23" fillId="0" borderId="1" xfId="0" applyFont="1" applyBorder="1" applyAlignment="1">
      <alignment horizontal="left" vertical="center"/>
    </xf>
    <xf numFmtId="0" fontId="23" fillId="0" borderId="0" xfId="0" quotePrefix="1" applyFont="1"/>
    <xf numFmtId="0" fontId="23" fillId="0" borderId="1" xfId="0" applyFont="1" applyBorder="1" applyAlignment="1">
      <alignment horizontal="center" textRotation="90" wrapText="1"/>
    </xf>
    <xf numFmtId="0" fontId="23" fillId="0" borderId="1" xfId="0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0" fontId="23" fillId="16" borderId="1" xfId="0" applyFont="1" applyFill="1" applyBorder="1" applyAlignment="1">
      <alignment horizontal="center" textRotation="90" wrapText="1"/>
    </xf>
    <xf numFmtId="0" fontId="23" fillId="17" borderId="1" xfId="0" applyFont="1" applyFill="1" applyBorder="1" applyAlignment="1">
      <alignment horizontal="center" textRotation="90" wrapText="1"/>
    </xf>
    <xf numFmtId="1" fontId="23" fillId="0" borderId="0" xfId="0" applyNumberFormat="1" applyFont="1" applyAlignment="1">
      <alignment horizontal="center" vertical="center"/>
    </xf>
    <xf numFmtId="0" fontId="14" fillId="0" borderId="3" xfId="0" applyFont="1" applyBorder="1"/>
    <xf numFmtId="0" fontId="14" fillId="0" borderId="4" xfId="0" applyFont="1" applyBorder="1"/>
    <xf numFmtId="0" fontId="14" fillId="0" borderId="5" xfId="0" applyFont="1" applyBorder="1"/>
    <xf numFmtId="0" fontId="14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23" fillId="18" borderId="1" xfId="0" applyFont="1" applyFill="1" applyBorder="1" applyAlignment="1">
      <alignment horizontal="center" textRotation="90" wrapText="1"/>
    </xf>
    <xf numFmtId="0" fontId="23" fillId="16" borderId="1" xfId="0" applyFont="1" applyFill="1" applyBorder="1" applyAlignment="1">
      <alignment horizontal="center" vertical="center" textRotation="90" wrapText="1"/>
    </xf>
    <xf numFmtId="0" fontId="23" fillId="12" borderId="1" xfId="0" applyFont="1" applyFill="1" applyBorder="1" applyAlignment="1">
      <alignment horizontal="center" vertical="center" textRotation="90" wrapText="1"/>
    </xf>
    <xf numFmtId="0" fontId="23" fillId="17" borderId="1" xfId="0" applyFont="1" applyFill="1" applyBorder="1" applyAlignment="1">
      <alignment horizontal="center" vertical="center" textRotation="90" wrapText="1"/>
    </xf>
    <xf numFmtId="0" fontId="23" fillId="18" borderId="1" xfId="0" applyFont="1" applyFill="1" applyBorder="1" applyAlignment="1">
      <alignment horizontal="center" vertical="center" textRotation="90" wrapText="1"/>
    </xf>
    <xf numFmtId="0" fontId="23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9" fillId="0" borderId="1" xfId="6" applyFill="1" applyAlignment="1">
      <alignment horizontal="center" vertical="center"/>
    </xf>
    <xf numFmtId="0" fontId="23" fillId="18" borderId="1" xfId="0" applyFont="1" applyFill="1" applyBorder="1" applyAlignment="1">
      <alignment horizontal="left" wrapText="1"/>
    </xf>
    <xf numFmtId="0" fontId="23" fillId="16" borderId="1" xfId="0" applyFont="1" applyFill="1" applyBorder="1" applyAlignment="1">
      <alignment horizontal="left" vertical="center" wrapText="1"/>
    </xf>
    <xf numFmtId="0" fontId="23" fillId="12" borderId="1" xfId="0" applyFont="1" applyFill="1" applyBorder="1" applyAlignment="1">
      <alignment horizontal="left" vertical="center" wrapText="1"/>
    </xf>
    <xf numFmtId="0" fontId="23" fillId="17" borderId="1" xfId="0" applyFont="1" applyFill="1" applyBorder="1" applyAlignment="1">
      <alignment horizontal="left" vertical="center" wrapText="1"/>
    </xf>
    <xf numFmtId="0" fontId="23" fillId="18" borderId="1" xfId="0" applyFont="1" applyFill="1" applyBorder="1" applyAlignment="1">
      <alignment horizontal="left" vertical="center" wrapText="1"/>
    </xf>
    <xf numFmtId="49" fontId="23" fillId="0" borderId="1" xfId="0" applyNumberFormat="1" applyFont="1" applyBorder="1" applyAlignment="1">
      <alignment horizontal="center" textRotation="90" wrapText="1"/>
    </xf>
    <xf numFmtId="49" fontId="23" fillId="0" borderId="1" xfId="0" applyNumberFormat="1" applyFont="1" applyBorder="1"/>
    <xf numFmtId="49" fontId="23" fillId="0" borderId="0" xfId="0" applyNumberFormat="1" applyFont="1"/>
    <xf numFmtId="49" fontId="2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wrapText="1"/>
    </xf>
    <xf numFmtId="0" fontId="23" fillId="0" borderId="1" xfId="0" applyFont="1" applyBorder="1" applyAlignment="1">
      <alignment horizontal="left" vertical="center" wrapText="1"/>
    </xf>
    <xf numFmtId="0" fontId="23" fillId="2" borderId="1" xfId="0" applyFont="1" applyFill="1" applyBorder="1"/>
    <xf numFmtId="0" fontId="19" fillId="0" borderId="1" xfId="6" applyFont="1" applyFill="1">
      <alignment horizontal="left" vertical="center"/>
    </xf>
    <xf numFmtId="0" fontId="19" fillId="0" borderId="1" xfId="8" applyFont="1" applyFill="1">
      <alignment horizontal="left" vertical="center"/>
    </xf>
    <xf numFmtId="0" fontId="19" fillId="0" borderId="1" xfId="3" applyFont="1" applyFill="1">
      <alignment horizontal="left" vertical="center"/>
    </xf>
  </cellXfs>
  <cellStyles count="11">
    <cellStyle name="Normal" xfId="0" builtinId="0"/>
    <cellStyle name="OXBD Blue" xfId="4" xr:uid="{E2483CE6-1DE4-4AF1-B466-BBB273C85633}"/>
    <cellStyle name="OXBD Brown" xfId="7" xr:uid="{4615720F-8A9A-4526-87B2-A9372C994618}"/>
    <cellStyle name="OXBD Green" xfId="8" xr:uid="{D02D85B5-5291-4679-9745-6EE6D9CA7592}"/>
    <cellStyle name="OXBD Light Blue" xfId="9" xr:uid="{843515AE-1361-47CC-B436-72332155DA4A}"/>
    <cellStyle name="OXBD Light Green" xfId="5" xr:uid="{E06521A9-3128-4758-8357-710148CB8D13}"/>
    <cellStyle name="OXBD Orange" xfId="10" xr:uid="{E16CC988-97B7-42DC-8DEB-32E8893F4AA7}"/>
    <cellStyle name="OXBD Pink" xfId="6" xr:uid="{44591DAA-2A78-4817-AD5D-1B2FE6C33506}"/>
    <cellStyle name="OXBD Purple" xfId="1" xr:uid="{393019D3-1EF7-45C1-9AD6-45E01D4F597B}"/>
    <cellStyle name="OXBD Red" xfId="2" xr:uid="{FF1B5229-B48E-4E11-B46C-AE30621CAA20}"/>
    <cellStyle name="OXBD Yellow" xfId="3" xr:uid="{7D9931ED-3ED0-4F74-A262-3D292945A439}"/>
  </cellStyles>
  <dxfs count="2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586169"/>
      </font>
      <fill>
        <patternFill>
          <bgColor rgb="FFF2F9FD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632B1F"/>
      </font>
      <fill>
        <patternFill>
          <bgColor rgb="FFFBC7BD"/>
        </patternFill>
      </fill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</xdr:row>
          <xdr:rowOff>144780</xdr:rowOff>
        </xdr:from>
        <xdr:to>
          <xdr:col>3</xdr:col>
          <xdr:colOff>182880</xdr:colOff>
          <xdr:row>7</xdr:row>
          <xdr:rowOff>106680</xdr:rowOff>
        </xdr:to>
        <xdr:sp macro="" textlink="">
          <xdr:nvSpPr>
            <xdr:cNvPr id="1025" name="Button 1" descr="Import XML FIl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9</xdr:row>
          <xdr:rowOff>99060</xdr:rowOff>
        </xdr:from>
        <xdr:to>
          <xdr:col>3</xdr:col>
          <xdr:colOff>213360</xdr:colOff>
          <xdr:row>13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495300</xdr:colOff>
      <xdr:row>1</xdr:row>
      <xdr:rowOff>175260</xdr:rowOff>
    </xdr:from>
    <xdr:to>
      <xdr:col>9</xdr:col>
      <xdr:colOff>45720</xdr:colOff>
      <xdr:row>17</xdr:row>
      <xdr:rowOff>121920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46A166A-AD59-B001-9CBD-4EBA9F9B30BF}"/>
            </a:ext>
          </a:extLst>
        </xdr:cNvPr>
        <xdr:cNvSpPr txBox="1"/>
      </xdr:nvSpPr>
      <xdr:spPr>
        <a:xfrm>
          <a:off x="2933700" y="358140"/>
          <a:ext cx="3208020" cy="2872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Possible Improvements:</a:t>
          </a:r>
          <a:br>
            <a:rPr lang="en-GB" sz="1100"/>
          </a:br>
          <a:endParaRPr lang="en-GB" sz="1100"/>
        </a:p>
        <a:p>
          <a:r>
            <a:rPr lang="en-GB" sz="1100"/>
            <a:t>Warn about export over write</a:t>
          </a:r>
        </a:p>
        <a:p>
          <a:endParaRPr lang="en-GB" sz="1100"/>
        </a:p>
        <a:p>
          <a:r>
            <a:rPr lang="en-GB" sz="1100"/>
            <a:t>Need to be careful</a:t>
          </a:r>
          <a:r>
            <a:rPr lang="en-GB" sz="1100" baseline="0"/>
            <a:t> about gross and net walls</a:t>
          </a:r>
        </a:p>
        <a:p>
          <a:endParaRPr lang="en-GB" sz="1100" baseline="0"/>
        </a:p>
        <a:p>
          <a:r>
            <a:rPr lang="en-GB" sz="1100" baseline="0"/>
            <a:t>Need to be careful orientation is one word! ie. Northwest</a:t>
          </a:r>
          <a:endParaRPr lang="en-GB" sz="1100"/>
        </a:p>
      </xdr:txBody>
    </xdr:sp>
    <xdr:clientData/>
  </xdr:twoCellAnchor>
  <xdr:twoCellAnchor editAs="oneCell">
    <xdr:from>
      <xdr:col>4</xdr:col>
      <xdr:colOff>91441</xdr:colOff>
      <xdr:row>18</xdr:row>
      <xdr:rowOff>161925</xdr:rowOff>
    </xdr:from>
    <xdr:to>
      <xdr:col>13</xdr:col>
      <xdr:colOff>38101</xdr:colOff>
      <xdr:row>26</xdr:row>
      <xdr:rowOff>21062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F9E264-2FEB-8CCD-6920-F1964F06B4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7256"/>
        <a:stretch>
          <a:fillRect/>
        </a:stretch>
      </xdr:blipFill>
      <xdr:spPr>
        <a:xfrm>
          <a:off x="3139441" y="3453765"/>
          <a:ext cx="5943600" cy="1242167"/>
        </a:xfrm>
        <a:prstGeom prst="rect">
          <a:avLst/>
        </a:prstGeom>
      </xdr:spPr>
    </xdr:pic>
    <xdr:clientData/>
  </xdr:twoCellAnchor>
  <xdr:twoCellAnchor>
    <xdr:from>
      <xdr:col>9</xdr:col>
      <xdr:colOff>180975</xdr:colOff>
      <xdr:row>1</xdr:row>
      <xdr:rowOff>171450</xdr:rowOff>
    </xdr:from>
    <xdr:to>
      <xdr:col>14</xdr:col>
      <xdr:colOff>342900</xdr:colOff>
      <xdr:row>17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326A44B-51CD-419E-8611-1A02321D4A36}"/>
            </a:ext>
          </a:extLst>
        </xdr:cNvPr>
        <xdr:cNvSpPr txBox="1"/>
      </xdr:nvSpPr>
      <xdr:spPr>
        <a:xfrm>
          <a:off x="6276975" y="352425"/>
          <a:ext cx="3209925" cy="2838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</a:p>
        <a:p>
          <a:endParaRPr lang="en-GB" sz="1100"/>
        </a:p>
        <a:p>
          <a:r>
            <a:rPr lang="en-GB" sz="1100"/>
            <a:t>Editing</a:t>
          </a:r>
          <a:r>
            <a:rPr lang="en-GB" sz="1100" baseline="0"/>
            <a:t> dwelling orientation via xml seems fine</a:t>
          </a:r>
          <a:endParaRPr lang="en-GB" sz="1100"/>
        </a:p>
        <a:p>
          <a:endParaRPr lang="en-GB" sz="1100"/>
        </a:p>
        <a:p>
          <a:r>
            <a:rPr lang="en-GB" sz="1100"/>
            <a:t>Tool takes the source file and makes a new version</a:t>
          </a:r>
          <a:r>
            <a:rPr lang="en-GB" sz="1100" baseline="0"/>
            <a:t> with the elements that have been changed in this tool</a:t>
          </a:r>
          <a:endParaRPr lang="en-GB" sz="1100"/>
        </a:p>
        <a:p>
          <a:br>
            <a:rPr lang="en-GB" sz="1100"/>
          </a:br>
          <a:r>
            <a:rPr lang="en-GB" sz="1100"/>
            <a:t>FSAP</a:t>
          </a:r>
          <a:r>
            <a:rPr lang="en-GB" sz="1100" baseline="0"/>
            <a:t> Gives a helpful error it says the row number (open in note pad +) that it doesnt' like</a:t>
          </a:r>
        </a:p>
        <a:p>
          <a:endParaRPr lang="en-GB" sz="1100" baseline="0"/>
        </a:p>
        <a:p>
          <a:r>
            <a:rPr lang="en-GB" sz="1100" baseline="0"/>
            <a:t>Now has a tool for removing elements so a template XML can be copied and bits removed..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14</xdr:row>
          <xdr:rowOff>160020</xdr:rowOff>
        </xdr:from>
        <xdr:to>
          <xdr:col>3</xdr:col>
          <xdr:colOff>205740</xdr:colOff>
          <xdr:row>18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20</xdr:row>
          <xdr:rowOff>68580</xdr:rowOff>
        </xdr:from>
        <xdr:to>
          <xdr:col>3</xdr:col>
          <xdr:colOff>198120</xdr:colOff>
          <xdr:row>24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Elements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131445</xdr:colOff>
      <xdr:row>19</xdr:row>
      <xdr:rowOff>55243</xdr:rowOff>
    </xdr:from>
    <xdr:to>
      <xdr:col>11</xdr:col>
      <xdr:colOff>140970</xdr:colOff>
      <xdr:row>41</xdr:row>
      <xdr:rowOff>66674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CEEE4A7-4569-E685-B7A5-0D7ECFD55F31}"/>
            </a:ext>
          </a:extLst>
        </xdr:cNvPr>
        <xdr:cNvSpPr txBox="1"/>
      </xdr:nvSpPr>
      <xdr:spPr>
        <a:xfrm>
          <a:off x="2131695" y="4217668"/>
          <a:ext cx="4200525" cy="37833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INSTRUCTIONS</a:t>
          </a:r>
        </a:p>
        <a:p>
          <a:endParaRPr lang="en-GB" sz="1100"/>
        </a:p>
        <a:p>
          <a:r>
            <a:rPr lang="en-GB" sz="1100"/>
            <a:t>How to use this sheet:</a:t>
          </a:r>
        </a:p>
        <a:p>
          <a:endParaRPr lang="en-GB" sz="1100"/>
        </a:p>
        <a:p>
          <a:r>
            <a:rPr lang="en-GB" sz="1100"/>
            <a:t>Run Import XML on the Control tab to populate element descriptions</a:t>
          </a:r>
        </a:p>
        <a:p>
          <a:endParaRPr lang="en-GB" sz="1100"/>
        </a:p>
        <a:p>
          <a:r>
            <a:rPr lang="en-GB" sz="1100"/>
            <a:t>Paste values into the _Del helper columns.</a:t>
          </a:r>
          <a:r>
            <a:rPr lang="en-GB" sz="1100" baseline="0"/>
            <a:t> A </a:t>
          </a:r>
          <a:r>
            <a:rPr lang="en-GB" sz="1100" b="1" baseline="0"/>
            <a:t>0</a:t>
          </a:r>
          <a:r>
            <a:rPr lang="en-GB" sz="1100" baseline="0"/>
            <a:t> will strike out the description to the left with conditional formating.</a:t>
          </a:r>
        </a:p>
        <a:p>
          <a:r>
            <a:rPr lang="en-GB" sz="1100" baseline="0"/>
            <a:t>VBA can't read conditinal formatting so looks for 0s in the helper columns.</a:t>
          </a:r>
        </a:p>
        <a:p>
          <a:endParaRPr lang="en-GB" sz="1100" baseline="0"/>
        </a:p>
        <a:p>
          <a:endParaRPr lang="en-GB" sz="1100"/>
        </a:p>
        <a:p>
          <a:r>
            <a:rPr lang="en-GB" sz="1100"/>
            <a:t>Review the strikethrough cells to confirm what will be removed</a:t>
          </a:r>
        </a:p>
        <a:p>
          <a:endParaRPr lang="en-GB" sz="1100"/>
        </a:p>
        <a:p>
          <a:r>
            <a:rPr lang="en-GB" sz="1100"/>
            <a:t>Click </a:t>
          </a:r>
          <a:r>
            <a:rPr lang="en-GB" sz="1100" b="1"/>
            <a:t>"Delete Elements" </a:t>
          </a:r>
          <a:r>
            <a:rPr lang="en-GB" sz="1100"/>
            <a:t>on the Control tab to action the deletions Modified XML files will be saved to a new folder</a:t>
          </a:r>
        </a:p>
        <a:p>
          <a:endParaRPr lang="en-GB" sz="1100"/>
        </a:p>
        <a:p>
          <a:pPr marL="0" indent="0"/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TESTED ON</a:t>
          </a:r>
        </a:p>
        <a:p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19050</xdr:rowOff>
    </xdr:from>
    <xdr:to>
      <xdr:col>10</xdr:col>
      <xdr:colOff>158115</xdr:colOff>
      <xdr:row>14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CFEFF2E-4E5F-C484-6656-266434E02F27}"/>
            </a:ext>
          </a:extLst>
        </xdr:cNvPr>
        <xdr:cNvSpPr txBox="1"/>
      </xdr:nvSpPr>
      <xdr:spPr>
        <a:xfrm>
          <a:off x="6419850" y="2343150"/>
          <a:ext cx="243459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 b="1">
              <a:latin typeface="Arial" panose="020B0604020202020204" pitchFamily="34" charset="0"/>
              <a:cs typeface="Arial" panose="020B0604020202020204" pitchFamily="34" charset="0"/>
            </a:rPr>
            <a:t>Notional Building Appendix</a:t>
          </a:r>
          <a:r>
            <a:rPr lang="en-GB" sz="900" b="1" baseline="0">
              <a:latin typeface="Arial" panose="020B0604020202020204" pitchFamily="34" charset="0"/>
              <a:cs typeface="Arial" panose="020B0604020202020204" pitchFamily="34" charset="0"/>
            </a:rPr>
            <a:t> R </a:t>
          </a:r>
          <a:r>
            <a:rPr lang="en-GB" sz="900" b="1">
              <a:latin typeface="Arial" panose="020B0604020202020204" pitchFamily="34" charset="0"/>
              <a:cs typeface="Arial" panose="020B0604020202020204" pitchFamily="34" charset="0"/>
            </a:rPr>
            <a:t>Lighting:</a:t>
          </a:r>
        </a:p>
        <a:p>
          <a:r>
            <a:rPr lang="en-GB" sz="900">
              <a:latin typeface="Arial" panose="020B0604020202020204" pitchFamily="34" charset="0"/>
              <a:cs typeface="Arial" panose="020B0604020202020204" pitchFamily="34" charset="0"/>
            </a:rPr>
            <a:t>Fixed</a:t>
          </a:r>
          <a:r>
            <a:rPr lang="en-GB" sz="900" baseline="0">
              <a:latin typeface="Arial" panose="020B0604020202020204" pitchFamily="34" charset="0"/>
              <a:cs typeface="Arial" panose="020B0604020202020204" pitchFamily="34" charset="0"/>
            </a:rPr>
            <a:t> Lighting Capacity (lm) = 185 x TFA</a:t>
          </a:r>
        </a:p>
        <a:p>
          <a:r>
            <a:rPr lang="en-GB" sz="900" baseline="0">
              <a:latin typeface="Arial" panose="020B0604020202020204" pitchFamily="34" charset="0"/>
              <a:cs typeface="Arial" panose="020B0604020202020204" pitchFamily="34" charset="0"/>
            </a:rPr>
            <a:t>Efficacy of all fixed lighting = 80 lm/W</a:t>
          </a:r>
          <a:endParaRPr lang="en-GB" sz="9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</xdr:colOff>
      <xdr:row>18</xdr:row>
      <xdr:rowOff>59055</xdr:rowOff>
    </xdr:from>
    <xdr:to>
      <xdr:col>3</xdr:col>
      <xdr:colOff>659130</xdr:colOff>
      <xdr:row>24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6F1924-2D26-4BD4-852E-B584312B1680}"/>
            </a:ext>
          </a:extLst>
        </xdr:cNvPr>
        <xdr:cNvSpPr txBox="1"/>
      </xdr:nvSpPr>
      <xdr:spPr>
        <a:xfrm>
          <a:off x="702945" y="3649980"/>
          <a:ext cx="3023235" cy="11372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Notes:</a:t>
          </a:r>
          <a:br>
            <a:rPr lang="en-GB" sz="1100"/>
          </a:br>
          <a:r>
            <a:rPr lang="en-GB" sz="1100"/>
            <a:t>Wet</a:t>
          </a:r>
          <a:r>
            <a:rPr lang="en-GB" sz="1100" baseline="0"/>
            <a:t> rooms is the key here. Directly changing the number doesn't actually do anything.</a:t>
          </a:r>
          <a:br>
            <a:rPr lang="en-GB" sz="1100" baseline="0"/>
          </a:br>
          <a:br>
            <a:rPr lang="en-GB" sz="1100" baseline="0"/>
          </a:br>
          <a:r>
            <a:rPr lang="en-GB" sz="1100" baseline="0"/>
            <a:t>It is actually led by the PcdfItem number. 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5E2F-A0EA-404E-83A3-416367C1CE1D}">
  <sheetPr codeName="Sheet1">
    <tabColor theme="0" tint="-4.9989318521683403E-2"/>
  </sheetPr>
  <dimension ref="A1"/>
  <sheetViews>
    <sheetView showGridLines="0" tabSelected="1" workbookViewId="0">
      <selection activeCell="P23" sqref="P23"/>
    </sheetView>
  </sheetViews>
  <sheetFormatPr defaultRowHeight="13.8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XML" altText="Import XML FIles">
                <anchor moveWithCells="1" sizeWithCells="1">
                  <from>
                    <xdr:col>1</xdr:col>
                    <xdr:colOff>114300</xdr:colOff>
                    <xdr:row>3</xdr:row>
                    <xdr:rowOff>144780</xdr:rowOff>
                  </from>
                  <to>
                    <xdr:col>3</xdr:col>
                    <xdr:colOff>182880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XML">
                <anchor moveWithCells="1" sizeWithCells="1">
                  <from>
                    <xdr:col>1</xdr:col>
                    <xdr:colOff>121920</xdr:colOff>
                    <xdr:row>9</xdr:row>
                    <xdr:rowOff>99060</xdr:rowOff>
                  </from>
                  <to>
                    <xdr:col>3</xdr:col>
                    <xdr:colOff>213360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XML">
                <anchor moveWithCells="1" sizeWithCells="1">
                  <from>
                    <xdr:col>1</xdr:col>
                    <xdr:colOff>114300</xdr:colOff>
                    <xdr:row>14</xdr:row>
                    <xdr:rowOff>160020</xdr:rowOff>
                  </from>
                  <to>
                    <xdr:col>3</xdr:col>
                    <xdr:colOff>205740</xdr:colOff>
                    <xdr:row>18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ecuteDeleteElements">
                <anchor moveWithCells="1" sizeWithCells="1">
                  <from>
                    <xdr:col>1</xdr:col>
                    <xdr:colOff>106680</xdr:colOff>
                    <xdr:row>20</xdr:row>
                    <xdr:rowOff>68580</xdr:rowOff>
                  </from>
                  <to>
                    <xdr:col>3</xdr:col>
                    <xdr:colOff>198120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A9925-2C49-4F1F-88BB-EA7B533C9194}">
  <sheetPr codeName="Sheet14">
    <tabColor theme="1" tint="0.499984740745262"/>
  </sheetPr>
  <dimension ref="A1:CB100"/>
  <sheetViews>
    <sheetView workbookViewId="0">
      <selection activeCell="G8" sqref="G8"/>
    </sheetView>
  </sheetViews>
  <sheetFormatPr defaultRowHeight="13.8" x14ac:dyDescent="0.25"/>
  <cols>
    <col min="1" max="6" width="8.796875" style="38"/>
    <col min="7" max="12" width="5.69921875" style="38" customWidth="1"/>
    <col min="13" max="13" width="8.796875" style="38"/>
    <col min="14" max="14" width="5.69921875" style="38" customWidth="1"/>
    <col min="15" max="15" width="8.796875" style="38"/>
    <col min="16" max="22" width="5.69921875" style="38" customWidth="1"/>
    <col min="23" max="24" width="8.796875" style="38"/>
    <col min="25" max="28" width="5.69921875" style="38" customWidth="1"/>
    <col min="29" max="29" width="8.796875" style="38"/>
    <col min="30" max="38" width="5.69921875" style="38" customWidth="1"/>
    <col min="39" max="39" width="8.796875" style="38"/>
    <col min="40" max="40" width="5.69921875" style="38" customWidth="1"/>
    <col min="41" max="41" width="8.796875" style="38"/>
    <col min="42" max="42" width="5.69921875" style="38" customWidth="1"/>
    <col min="43" max="43" width="8.796875" style="38"/>
    <col min="44" max="50" width="5.69921875" style="38" customWidth="1"/>
    <col min="51" max="52" width="8.796875" style="38"/>
    <col min="53" max="56" width="5.69921875" style="38" customWidth="1"/>
    <col min="57" max="57" width="8.796875" style="38"/>
    <col min="58" max="58" width="5.69921875" style="38" customWidth="1"/>
    <col min="59" max="59" width="8.796875" style="38"/>
    <col min="60" max="60" width="5.69921875" style="38" customWidth="1"/>
    <col min="61" max="61" width="8.796875" style="38"/>
    <col min="62" max="76" width="5.69921875" style="38" customWidth="1"/>
    <col min="81" max="16384" width="8.796875" style="38"/>
  </cols>
  <sheetData>
    <row r="1" spans="1:76" ht="84.6" customHeight="1" x14ac:dyDescent="0.25">
      <c r="A1" s="35" t="s">
        <v>8</v>
      </c>
      <c r="B1" s="35" t="s">
        <v>0</v>
      </c>
      <c r="C1" s="48" t="s">
        <v>355</v>
      </c>
      <c r="D1" s="48" t="s">
        <v>356</v>
      </c>
      <c r="E1" s="48" t="s">
        <v>357</v>
      </c>
      <c r="F1" s="48" t="s">
        <v>358</v>
      </c>
      <c r="G1" s="48" t="s">
        <v>359</v>
      </c>
      <c r="H1" s="48" t="s">
        <v>360</v>
      </c>
      <c r="I1" s="48" t="s">
        <v>361</v>
      </c>
      <c r="J1" s="48" t="s">
        <v>362</v>
      </c>
      <c r="K1" s="48" t="s">
        <v>363</v>
      </c>
      <c r="L1" s="48" t="s">
        <v>364</v>
      </c>
      <c r="M1" s="49" t="s">
        <v>365</v>
      </c>
      <c r="N1" s="49" t="s">
        <v>366</v>
      </c>
      <c r="O1" s="49" t="s">
        <v>367</v>
      </c>
      <c r="P1" s="49" t="s">
        <v>368</v>
      </c>
      <c r="Q1" s="49" t="s">
        <v>369</v>
      </c>
      <c r="R1" s="49" t="s">
        <v>370</v>
      </c>
      <c r="S1" s="49" t="s">
        <v>371</v>
      </c>
      <c r="T1" s="49" t="s">
        <v>372</v>
      </c>
      <c r="U1" s="49" t="s">
        <v>373</v>
      </c>
      <c r="V1" s="49" t="s">
        <v>374</v>
      </c>
      <c r="W1" s="57" t="s">
        <v>375</v>
      </c>
      <c r="X1" s="57" t="s">
        <v>376</v>
      </c>
      <c r="Y1" s="57" t="s">
        <v>377</v>
      </c>
      <c r="Z1" s="57" t="s">
        <v>378</v>
      </c>
      <c r="AA1" s="57" t="s">
        <v>379</v>
      </c>
      <c r="AB1" s="57" t="s">
        <v>380</v>
      </c>
      <c r="AC1" s="48" t="s">
        <v>381</v>
      </c>
      <c r="AD1" s="48" t="s">
        <v>382</v>
      </c>
      <c r="AE1" s="48" t="s">
        <v>383</v>
      </c>
      <c r="AF1" s="48" t="s">
        <v>384</v>
      </c>
      <c r="AG1" s="48" t="s">
        <v>385</v>
      </c>
      <c r="AH1" s="48" t="s">
        <v>386</v>
      </c>
      <c r="AI1" s="48" t="s">
        <v>387</v>
      </c>
      <c r="AJ1" s="48" t="s">
        <v>388</v>
      </c>
      <c r="AK1" s="48" t="s">
        <v>389</v>
      </c>
      <c r="AL1" s="48" t="s">
        <v>390</v>
      </c>
      <c r="AM1" s="35" t="s">
        <v>391</v>
      </c>
      <c r="AN1" s="35" t="s">
        <v>392</v>
      </c>
      <c r="AO1" s="49" t="s">
        <v>393</v>
      </c>
      <c r="AP1" s="49" t="s">
        <v>394</v>
      </c>
      <c r="AQ1" s="49" t="s">
        <v>395</v>
      </c>
      <c r="AR1" s="49" t="s">
        <v>396</v>
      </c>
      <c r="AS1" s="49" t="s">
        <v>397</v>
      </c>
      <c r="AT1" s="49" t="s">
        <v>398</v>
      </c>
      <c r="AU1" s="49" t="s">
        <v>399</v>
      </c>
      <c r="AV1" s="49" t="s">
        <v>400</v>
      </c>
      <c r="AW1" s="49" t="s">
        <v>401</v>
      </c>
      <c r="AX1" s="49" t="s">
        <v>402</v>
      </c>
      <c r="AY1" s="57" t="s">
        <v>403</v>
      </c>
      <c r="AZ1" s="57" t="s">
        <v>404</v>
      </c>
      <c r="BA1" s="57" t="s">
        <v>405</v>
      </c>
      <c r="BB1" s="57" t="s">
        <v>406</v>
      </c>
      <c r="BC1" s="57" t="s">
        <v>407</v>
      </c>
      <c r="BD1" s="57" t="s">
        <v>408</v>
      </c>
      <c r="BE1" s="36" t="s">
        <v>409</v>
      </c>
      <c r="BF1" s="36" t="s">
        <v>410</v>
      </c>
      <c r="BG1" s="36" t="s">
        <v>411</v>
      </c>
      <c r="BH1" s="36" t="s">
        <v>412</v>
      </c>
      <c r="BI1" s="36" t="s">
        <v>413</v>
      </c>
      <c r="BJ1" s="36" t="s">
        <v>414</v>
      </c>
      <c r="BK1" s="36" t="s">
        <v>415</v>
      </c>
      <c r="BL1" s="36" t="s">
        <v>416</v>
      </c>
      <c r="BM1" s="36" t="s">
        <v>417</v>
      </c>
      <c r="BN1" s="36" t="s">
        <v>418</v>
      </c>
      <c r="BO1" s="36" t="s">
        <v>419</v>
      </c>
      <c r="BP1" s="36" t="s">
        <v>420</v>
      </c>
      <c r="BQ1" s="36" t="s">
        <v>421</v>
      </c>
      <c r="BR1" s="36" t="s">
        <v>422</v>
      </c>
      <c r="BS1" s="36" t="s">
        <v>423</v>
      </c>
      <c r="BT1" s="36" t="s">
        <v>424</v>
      </c>
      <c r="BU1" s="36" t="s">
        <v>425</v>
      </c>
      <c r="BV1" s="36" t="s">
        <v>426</v>
      </c>
      <c r="BW1" s="36" t="s">
        <v>427</v>
      </c>
      <c r="BX1" s="36" t="s">
        <v>428</v>
      </c>
    </row>
    <row r="2" spans="1:76" x14ac:dyDescent="0.25">
      <c r="A2" s="76" t="s">
        <v>537</v>
      </c>
      <c r="B2" s="76">
        <v>1</v>
      </c>
      <c r="C2" s="76" t="s">
        <v>346</v>
      </c>
      <c r="D2" s="40" t="s">
        <v>432</v>
      </c>
      <c r="E2" s="76"/>
      <c r="F2" s="40" t="s">
        <v>432</v>
      </c>
      <c r="G2" s="76"/>
      <c r="H2" s="40" t="s">
        <v>432</v>
      </c>
      <c r="I2" s="76"/>
      <c r="J2" s="40" t="s">
        <v>432</v>
      </c>
      <c r="K2" s="76"/>
      <c r="L2" s="40" t="s">
        <v>432</v>
      </c>
      <c r="M2" s="76" t="s">
        <v>438</v>
      </c>
      <c r="N2" s="40" t="s">
        <v>432</v>
      </c>
      <c r="O2" s="76" t="s">
        <v>439</v>
      </c>
      <c r="P2" s="40" t="s">
        <v>432</v>
      </c>
      <c r="Q2" s="76"/>
      <c r="R2" s="40" t="s">
        <v>432</v>
      </c>
      <c r="S2" s="76"/>
      <c r="T2" s="40" t="s">
        <v>432</v>
      </c>
      <c r="U2" s="76"/>
      <c r="V2" s="40" t="s">
        <v>432</v>
      </c>
      <c r="W2" s="76" t="s">
        <v>440</v>
      </c>
      <c r="X2" s="40" t="s">
        <v>432</v>
      </c>
      <c r="Y2" s="76"/>
      <c r="Z2" s="40" t="s">
        <v>432</v>
      </c>
      <c r="AA2" s="76"/>
      <c r="AB2" s="40" t="s">
        <v>432</v>
      </c>
      <c r="AC2" s="76"/>
      <c r="AD2" s="40" t="s">
        <v>432</v>
      </c>
      <c r="AE2" s="76"/>
      <c r="AF2" s="40" t="s">
        <v>432</v>
      </c>
      <c r="AG2" s="76"/>
      <c r="AH2" s="40" t="s">
        <v>432</v>
      </c>
      <c r="AI2" s="76"/>
      <c r="AJ2" s="40" t="s">
        <v>432</v>
      </c>
      <c r="AK2" s="76"/>
      <c r="AL2" s="40" t="s">
        <v>432</v>
      </c>
      <c r="AM2" s="76" t="s">
        <v>429</v>
      </c>
      <c r="AN2" s="40" t="s">
        <v>432</v>
      </c>
      <c r="AO2" s="76"/>
      <c r="AP2" s="40" t="s">
        <v>432</v>
      </c>
      <c r="AQ2" s="76"/>
      <c r="AR2" s="40" t="s">
        <v>432</v>
      </c>
      <c r="AS2" s="76"/>
      <c r="AT2" s="40" t="s">
        <v>432</v>
      </c>
      <c r="AU2" s="76"/>
      <c r="AV2" s="40" t="s">
        <v>432</v>
      </c>
      <c r="AW2" s="76"/>
      <c r="AX2" s="40" t="s">
        <v>432</v>
      </c>
      <c r="AY2" s="76" t="s">
        <v>431</v>
      </c>
      <c r="AZ2" s="40" t="s">
        <v>432</v>
      </c>
      <c r="BA2" s="76"/>
      <c r="BB2" s="40" t="s">
        <v>432</v>
      </c>
      <c r="BC2" s="76"/>
      <c r="BD2" s="40" t="s">
        <v>432</v>
      </c>
      <c r="BE2" s="76" t="s">
        <v>349</v>
      </c>
      <c r="BF2" s="40" t="s">
        <v>432</v>
      </c>
      <c r="BG2" s="76" t="s">
        <v>350</v>
      </c>
      <c r="BH2" s="40" t="s">
        <v>432</v>
      </c>
      <c r="BI2" s="76"/>
      <c r="BJ2" s="40" t="s">
        <v>432</v>
      </c>
      <c r="BK2" s="76"/>
      <c r="BL2" s="40" t="s">
        <v>432</v>
      </c>
      <c r="BM2" s="76"/>
      <c r="BN2" s="40" t="s">
        <v>432</v>
      </c>
      <c r="BO2" s="76"/>
      <c r="BP2" s="40" t="s">
        <v>432</v>
      </c>
      <c r="BQ2" s="76"/>
      <c r="BR2" s="40" t="s">
        <v>432</v>
      </c>
      <c r="BS2" s="76"/>
      <c r="BT2" s="40" t="s">
        <v>432</v>
      </c>
      <c r="BU2" s="76"/>
      <c r="BV2" s="40" t="s">
        <v>432</v>
      </c>
      <c r="BW2" s="76"/>
      <c r="BX2" s="40" t="s">
        <v>432</v>
      </c>
    </row>
    <row r="3" spans="1:76" x14ac:dyDescent="0.25">
      <c r="A3" s="76" t="s">
        <v>539</v>
      </c>
      <c r="B3" s="76">
        <v>2</v>
      </c>
      <c r="C3" s="76" t="s">
        <v>346</v>
      </c>
      <c r="D3" s="40" t="s">
        <v>432</v>
      </c>
      <c r="E3" s="76"/>
      <c r="F3" s="40" t="s">
        <v>432</v>
      </c>
      <c r="G3" s="76"/>
      <c r="H3" s="40" t="s">
        <v>432</v>
      </c>
      <c r="I3" s="76"/>
      <c r="J3" s="40" t="s">
        <v>432</v>
      </c>
      <c r="K3" s="76"/>
      <c r="L3" s="40" t="s">
        <v>432</v>
      </c>
      <c r="M3" s="76" t="s">
        <v>438</v>
      </c>
      <c r="N3" s="40" t="s">
        <v>432</v>
      </c>
      <c r="O3" s="76" t="s">
        <v>439</v>
      </c>
      <c r="P3" s="40" t="s">
        <v>432</v>
      </c>
      <c r="Q3" s="76"/>
      <c r="R3" s="40" t="s">
        <v>432</v>
      </c>
      <c r="S3" s="76"/>
      <c r="T3" s="40" t="s">
        <v>432</v>
      </c>
      <c r="U3" s="76"/>
      <c r="V3" s="40" t="s">
        <v>432</v>
      </c>
      <c r="W3" s="76" t="s">
        <v>440</v>
      </c>
      <c r="X3" s="40" t="s">
        <v>432</v>
      </c>
      <c r="Y3" s="76"/>
      <c r="Z3" s="40" t="s">
        <v>432</v>
      </c>
      <c r="AA3" s="76"/>
      <c r="AB3" s="40" t="s">
        <v>432</v>
      </c>
      <c r="AC3" s="76"/>
      <c r="AD3" s="40" t="s">
        <v>432</v>
      </c>
      <c r="AE3" s="76"/>
      <c r="AF3" s="40" t="s">
        <v>432</v>
      </c>
      <c r="AG3" s="76"/>
      <c r="AH3" s="40" t="s">
        <v>432</v>
      </c>
      <c r="AI3" s="76"/>
      <c r="AJ3" s="40" t="s">
        <v>432</v>
      </c>
      <c r="AK3" s="76"/>
      <c r="AL3" s="40" t="s">
        <v>432</v>
      </c>
      <c r="AM3" s="76" t="s">
        <v>429</v>
      </c>
      <c r="AN3" s="40" t="s">
        <v>432</v>
      </c>
      <c r="AO3" s="76"/>
      <c r="AP3" s="40" t="s">
        <v>432</v>
      </c>
      <c r="AQ3" s="76"/>
      <c r="AR3" s="40" t="s">
        <v>432</v>
      </c>
      <c r="AS3" s="76"/>
      <c r="AT3" s="40" t="s">
        <v>432</v>
      </c>
      <c r="AU3" s="76"/>
      <c r="AV3" s="40" t="s">
        <v>432</v>
      </c>
      <c r="AW3" s="76"/>
      <c r="AX3" s="40" t="s">
        <v>432</v>
      </c>
      <c r="AY3" s="76" t="s">
        <v>431</v>
      </c>
      <c r="AZ3" s="40" t="s">
        <v>432</v>
      </c>
      <c r="BA3" s="76"/>
      <c r="BB3" s="40" t="s">
        <v>432</v>
      </c>
      <c r="BC3" s="76"/>
      <c r="BD3" s="40" t="s">
        <v>432</v>
      </c>
      <c r="BE3" s="76" t="s">
        <v>349</v>
      </c>
      <c r="BF3" s="40" t="s">
        <v>432</v>
      </c>
      <c r="BG3" s="76" t="s">
        <v>350</v>
      </c>
      <c r="BH3" s="40" t="s">
        <v>432</v>
      </c>
      <c r="BI3" s="76"/>
      <c r="BJ3" s="40" t="s">
        <v>432</v>
      </c>
      <c r="BK3" s="76"/>
      <c r="BL3" s="40" t="s">
        <v>432</v>
      </c>
      <c r="BM3" s="76"/>
      <c r="BN3" s="40" t="s">
        <v>432</v>
      </c>
      <c r="BO3" s="76"/>
      <c r="BP3" s="40" t="s">
        <v>432</v>
      </c>
      <c r="BQ3" s="76"/>
      <c r="BR3" s="40" t="s">
        <v>432</v>
      </c>
      <c r="BS3" s="76"/>
      <c r="BT3" s="40" t="s">
        <v>432</v>
      </c>
      <c r="BU3" s="76"/>
      <c r="BV3" s="40" t="s">
        <v>432</v>
      </c>
      <c r="BW3" s="76"/>
      <c r="BX3" s="40" t="s">
        <v>432</v>
      </c>
    </row>
    <row r="4" spans="1:76" x14ac:dyDescent="0.25">
      <c r="A4" s="76" t="s">
        <v>540</v>
      </c>
      <c r="B4" s="76">
        <v>3</v>
      </c>
      <c r="C4" s="76" t="s">
        <v>346</v>
      </c>
      <c r="D4" s="40" t="s">
        <v>432</v>
      </c>
      <c r="E4" s="76"/>
      <c r="F4" s="40" t="s">
        <v>432</v>
      </c>
      <c r="G4" s="76"/>
      <c r="H4" s="40" t="s">
        <v>432</v>
      </c>
      <c r="I4" s="76"/>
      <c r="J4" s="40" t="s">
        <v>432</v>
      </c>
      <c r="K4" s="76"/>
      <c r="L4" s="40" t="s">
        <v>432</v>
      </c>
      <c r="M4" s="76" t="s">
        <v>438</v>
      </c>
      <c r="N4" s="40" t="s">
        <v>432</v>
      </c>
      <c r="O4" s="76" t="s">
        <v>439</v>
      </c>
      <c r="P4" s="40" t="s">
        <v>432</v>
      </c>
      <c r="Q4" s="76"/>
      <c r="R4" s="40" t="s">
        <v>432</v>
      </c>
      <c r="S4" s="76"/>
      <c r="T4" s="40" t="s">
        <v>432</v>
      </c>
      <c r="U4" s="76"/>
      <c r="V4" s="40" t="s">
        <v>432</v>
      </c>
      <c r="W4" s="76" t="s">
        <v>440</v>
      </c>
      <c r="X4" s="40" t="s">
        <v>432</v>
      </c>
      <c r="Y4" s="76"/>
      <c r="Z4" s="40" t="s">
        <v>432</v>
      </c>
      <c r="AA4" s="76"/>
      <c r="AB4" s="40" t="s">
        <v>432</v>
      </c>
      <c r="AC4" s="76"/>
      <c r="AD4" s="40" t="s">
        <v>432</v>
      </c>
      <c r="AE4" s="76"/>
      <c r="AF4" s="40" t="s">
        <v>432</v>
      </c>
      <c r="AG4" s="76"/>
      <c r="AH4" s="40" t="s">
        <v>432</v>
      </c>
      <c r="AI4" s="76"/>
      <c r="AJ4" s="40" t="s">
        <v>432</v>
      </c>
      <c r="AK4" s="76"/>
      <c r="AL4" s="40" t="s">
        <v>432</v>
      </c>
      <c r="AM4" s="76" t="s">
        <v>429</v>
      </c>
      <c r="AN4" s="40" t="s">
        <v>432</v>
      </c>
      <c r="AO4" s="76"/>
      <c r="AP4" s="40" t="s">
        <v>432</v>
      </c>
      <c r="AQ4" s="76"/>
      <c r="AR4" s="40" t="s">
        <v>432</v>
      </c>
      <c r="AS4" s="76"/>
      <c r="AT4" s="40" t="s">
        <v>432</v>
      </c>
      <c r="AU4" s="76"/>
      <c r="AV4" s="40" t="s">
        <v>432</v>
      </c>
      <c r="AW4" s="76"/>
      <c r="AX4" s="40" t="s">
        <v>432</v>
      </c>
      <c r="AY4" s="76" t="s">
        <v>431</v>
      </c>
      <c r="AZ4" s="40" t="s">
        <v>432</v>
      </c>
      <c r="BA4" s="76"/>
      <c r="BB4" s="40" t="s">
        <v>432</v>
      </c>
      <c r="BC4" s="76"/>
      <c r="BD4" s="40" t="s">
        <v>432</v>
      </c>
      <c r="BE4" s="76" t="s">
        <v>349</v>
      </c>
      <c r="BF4" s="40" t="s">
        <v>432</v>
      </c>
      <c r="BG4" s="76"/>
      <c r="BH4" s="40" t="s">
        <v>432</v>
      </c>
      <c r="BI4" s="76"/>
      <c r="BJ4" s="40" t="s">
        <v>432</v>
      </c>
      <c r="BK4" s="76"/>
      <c r="BL4" s="40" t="s">
        <v>432</v>
      </c>
      <c r="BM4" s="76"/>
      <c r="BN4" s="40" t="s">
        <v>432</v>
      </c>
      <c r="BO4" s="76"/>
      <c r="BP4" s="40" t="s">
        <v>432</v>
      </c>
      <c r="BQ4" s="76"/>
      <c r="BR4" s="40" t="s">
        <v>432</v>
      </c>
      <c r="BS4" s="76"/>
      <c r="BT4" s="40" t="s">
        <v>432</v>
      </c>
      <c r="BU4" s="76"/>
      <c r="BV4" s="40" t="s">
        <v>432</v>
      </c>
      <c r="BW4" s="76"/>
      <c r="BX4" s="40" t="s">
        <v>432</v>
      </c>
    </row>
    <row r="5" spans="1:76" x14ac:dyDescent="0.25">
      <c r="A5" s="76" t="s">
        <v>541</v>
      </c>
      <c r="B5" s="76">
        <v>4</v>
      </c>
      <c r="C5" s="76" t="s">
        <v>346</v>
      </c>
      <c r="D5" s="40" t="s">
        <v>432</v>
      </c>
      <c r="E5" s="76"/>
      <c r="F5" s="40" t="s">
        <v>432</v>
      </c>
      <c r="G5" s="76"/>
      <c r="H5" s="40" t="s">
        <v>432</v>
      </c>
      <c r="I5" s="76"/>
      <c r="J5" s="40" t="s">
        <v>432</v>
      </c>
      <c r="K5" s="76"/>
      <c r="L5" s="40" t="s">
        <v>432</v>
      </c>
      <c r="M5" s="76" t="s">
        <v>438</v>
      </c>
      <c r="N5" s="40" t="s">
        <v>432</v>
      </c>
      <c r="O5" s="76" t="s">
        <v>439</v>
      </c>
      <c r="P5" s="40" t="s">
        <v>432</v>
      </c>
      <c r="Q5" s="76"/>
      <c r="R5" s="40" t="s">
        <v>432</v>
      </c>
      <c r="S5" s="76"/>
      <c r="T5" s="40" t="s">
        <v>432</v>
      </c>
      <c r="U5" s="76"/>
      <c r="V5" s="40" t="s">
        <v>432</v>
      </c>
      <c r="W5" s="76" t="s">
        <v>440</v>
      </c>
      <c r="X5" s="40" t="s">
        <v>432</v>
      </c>
      <c r="Y5" s="76"/>
      <c r="Z5" s="40" t="s">
        <v>432</v>
      </c>
      <c r="AA5" s="76"/>
      <c r="AB5" s="40" t="s">
        <v>432</v>
      </c>
      <c r="AC5" s="76"/>
      <c r="AD5" s="40" t="s">
        <v>432</v>
      </c>
      <c r="AE5" s="76"/>
      <c r="AF5" s="40" t="s">
        <v>432</v>
      </c>
      <c r="AG5" s="76"/>
      <c r="AH5" s="40" t="s">
        <v>432</v>
      </c>
      <c r="AI5" s="76"/>
      <c r="AJ5" s="40" t="s">
        <v>432</v>
      </c>
      <c r="AK5" s="76"/>
      <c r="AL5" s="40" t="s">
        <v>432</v>
      </c>
      <c r="AM5" s="76" t="s">
        <v>429</v>
      </c>
      <c r="AN5" s="40" t="s">
        <v>432</v>
      </c>
      <c r="AO5" s="76"/>
      <c r="AP5" s="40" t="s">
        <v>432</v>
      </c>
      <c r="AQ5" s="76"/>
      <c r="AR5" s="40" t="s">
        <v>432</v>
      </c>
      <c r="AS5" s="76"/>
      <c r="AT5" s="40" t="s">
        <v>432</v>
      </c>
      <c r="AU5" s="76"/>
      <c r="AV5" s="40" t="s">
        <v>432</v>
      </c>
      <c r="AW5" s="76"/>
      <c r="AX5" s="40" t="s">
        <v>432</v>
      </c>
      <c r="AY5" s="76" t="s">
        <v>431</v>
      </c>
      <c r="AZ5" s="40" t="s">
        <v>432</v>
      </c>
      <c r="BA5" s="76"/>
      <c r="BB5" s="40" t="s">
        <v>432</v>
      </c>
      <c r="BC5" s="76"/>
      <c r="BD5" s="40" t="s">
        <v>432</v>
      </c>
      <c r="BE5" s="76" t="s">
        <v>349</v>
      </c>
      <c r="BF5" s="40" t="s">
        <v>432</v>
      </c>
      <c r="BG5" s="76"/>
      <c r="BH5" s="40" t="s">
        <v>432</v>
      </c>
      <c r="BI5" s="76"/>
      <c r="BJ5" s="40" t="s">
        <v>432</v>
      </c>
      <c r="BK5" s="76"/>
      <c r="BL5" s="40" t="s">
        <v>432</v>
      </c>
      <c r="BM5" s="76"/>
      <c r="BN5" s="40" t="s">
        <v>432</v>
      </c>
      <c r="BO5" s="76"/>
      <c r="BP5" s="40" t="s">
        <v>432</v>
      </c>
      <c r="BQ5" s="76"/>
      <c r="BR5" s="40" t="s">
        <v>432</v>
      </c>
      <c r="BS5" s="76"/>
      <c r="BT5" s="40" t="s">
        <v>432</v>
      </c>
      <c r="BU5" s="76"/>
      <c r="BV5" s="40" t="s">
        <v>432</v>
      </c>
      <c r="BW5" s="76"/>
      <c r="BX5" s="40" t="s">
        <v>432</v>
      </c>
    </row>
    <row r="6" spans="1:76" x14ac:dyDescent="0.25">
      <c r="A6" s="76" t="s">
        <v>542</v>
      </c>
      <c r="B6" s="76">
        <v>5</v>
      </c>
      <c r="C6" s="76" t="s">
        <v>346</v>
      </c>
      <c r="D6" s="40" t="s">
        <v>432</v>
      </c>
      <c r="E6" s="76"/>
      <c r="F6" s="40" t="s">
        <v>432</v>
      </c>
      <c r="G6" s="76"/>
      <c r="H6" s="40" t="s">
        <v>432</v>
      </c>
      <c r="I6" s="76"/>
      <c r="J6" s="40" t="s">
        <v>432</v>
      </c>
      <c r="K6" s="76"/>
      <c r="L6" s="40" t="s">
        <v>432</v>
      </c>
      <c r="M6" s="76" t="s">
        <v>438</v>
      </c>
      <c r="N6" s="40" t="s">
        <v>432</v>
      </c>
      <c r="O6" s="76" t="s">
        <v>439</v>
      </c>
      <c r="P6" s="40" t="s">
        <v>432</v>
      </c>
      <c r="Q6" s="76"/>
      <c r="R6" s="40" t="s">
        <v>432</v>
      </c>
      <c r="S6" s="76"/>
      <c r="T6" s="40" t="s">
        <v>432</v>
      </c>
      <c r="U6" s="76"/>
      <c r="V6" s="40" t="s">
        <v>432</v>
      </c>
      <c r="W6" s="76" t="s">
        <v>440</v>
      </c>
      <c r="X6" s="40" t="s">
        <v>432</v>
      </c>
      <c r="Y6" s="76"/>
      <c r="Z6" s="40" t="s">
        <v>432</v>
      </c>
      <c r="AA6" s="76"/>
      <c r="AB6" s="40" t="s">
        <v>432</v>
      </c>
      <c r="AC6" s="76"/>
      <c r="AD6" s="40" t="s">
        <v>432</v>
      </c>
      <c r="AE6" s="76"/>
      <c r="AF6" s="40" t="s">
        <v>432</v>
      </c>
      <c r="AG6" s="76"/>
      <c r="AH6" s="40" t="s">
        <v>432</v>
      </c>
      <c r="AI6" s="76"/>
      <c r="AJ6" s="40" t="s">
        <v>432</v>
      </c>
      <c r="AK6" s="76"/>
      <c r="AL6" s="40" t="s">
        <v>432</v>
      </c>
      <c r="AM6" s="76" t="s">
        <v>429</v>
      </c>
      <c r="AN6" s="40" t="s">
        <v>432</v>
      </c>
      <c r="AO6" s="76"/>
      <c r="AP6" s="40" t="s">
        <v>432</v>
      </c>
      <c r="AQ6" s="76"/>
      <c r="AR6" s="40" t="s">
        <v>432</v>
      </c>
      <c r="AS6" s="76"/>
      <c r="AT6" s="40" t="s">
        <v>432</v>
      </c>
      <c r="AU6" s="76"/>
      <c r="AV6" s="40" t="s">
        <v>432</v>
      </c>
      <c r="AW6" s="76"/>
      <c r="AX6" s="40" t="s">
        <v>432</v>
      </c>
      <c r="AY6" s="76" t="s">
        <v>431</v>
      </c>
      <c r="AZ6" s="40" t="s">
        <v>432</v>
      </c>
      <c r="BA6" s="76"/>
      <c r="BB6" s="40" t="s">
        <v>432</v>
      </c>
      <c r="BC6" s="76"/>
      <c r="BD6" s="40" t="s">
        <v>432</v>
      </c>
      <c r="BE6" s="76" t="s">
        <v>349</v>
      </c>
      <c r="BF6" s="40" t="s">
        <v>432</v>
      </c>
      <c r="BG6" s="76"/>
      <c r="BH6" s="40" t="s">
        <v>432</v>
      </c>
      <c r="BI6" s="76"/>
      <c r="BJ6" s="40" t="s">
        <v>432</v>
      </c>
      <c r="BK6" s="76"/>
      <c r="BL6" s="40" t="s">
        <v>432</v>
      </c>
      <c r="BM6" s="76"/>
      <c r="BN6" s="40" t="s">
        <v>432</v>
      </c>
      <c r="BO6" s="76"/>
      <c r="BP6" s="40" t="s">
        <v>432</v>
      </c>
      <c r="BQ6" s="76"/>
      <c r="BR6" s="40" t="s">
        <v>432</v>
      </c>
      <c r="BS6" s="76"/>
      <c r="BT6" s="40" t="s">
        <v>432</v>
      </c>
      <c r="BU6" s="76"/>
      <c r="BV6" s="40" t="s">
        <v>432</v>
      </c>
      <c r="BW6" s="76"/>
      <c r="BX6" s="40" t="s">
        <v>432</v>
      </c>
    </row>
    <row r="7" spans="1:76" x14ac:dyDescent="0.25">
      <c r="A7" s="76" t="s">
        <v>543</v>
      </c>
      <c r="B7" s="76">
        <v>6</v>
      </c>
      <c r="C7" s="76" t="s">
        <v>346</v>
      </c>
      <c r="D7" s="40" t="s">
        <v>432</v>
      </c>
      <c r="E7" s="76"/>
      <c r="F7" s="40" t="s">
        <v>432</v>
      </c>
      <c r="G7" s="76"/>
      <c r="H7" s="40" t="s">
        <v>432</v>
      </c>
      <c r="I7" s="76"/>
      <c r="J7" s="40" t="s">
        <v>432</v>
      </c>
      <c r="K7" s="76"/>
      <c r="L7" s="40" t="s">
        <v>432</v>
      </c>
      <c r="M7" s="76" t="s">
        <v>438</v>
      </c>
      <c r="N7" s="40" t="s">
        <v>432</v>
      </c>
      <c r="O7" s="76" t="s">
        <v>439</v>
      </c>
      <c r="P7" s="40" t="s">
        <v>432</v>
      </c>
      <c r="Q7" s="76"/>
      <c r="R7" s="40" t="s">
        <v>432</v>
      </c>
      <c r="S7" s="76"/>
      <c r="T7" s="40" t="s">
        <v>432</v>
      </c>
      <c r="U7" s="76"/>
      <c r="V7" s="40" t="s">
        <v>432</v>
      </c>
      <c r="W7" s="76" t="s">
        <v>440</v>
      </c>
      <c r="X7" s="40" t="s">
        <v>432</v>
      </c>
      <c r="Y7" s="76"/>
      <c r="Z7" s="40" t="s">
        <v>432</v>
      </c>
      <c r="AA7" s="76"/>
      <c r="AB7" s="40" t="s">
        <v>432</v>
      </c>
      <c r="AC7" s="76"/>
      <c r="AD7" s="40" t="s">
        <v>432</v>
      </c>
      <c r="AE7" s="76"/>
      <c r="AF7" s="40" t="s">
        <v>432</v>
      </c>
      <c r="AG7" s="76"/>
      <c r="AH7" s="40" t="s">
        <v>432</v>
      </c>
      <c r="AI7" s="76"/>
      <c r="AJ7" s="40" t="s">
        <v>432</v>
      </c>
      <c r="AK7" s="76"/>
      <c r="AL7" s="40" t="s">
        <v>432</v>
      </c>
      <c r="AM7" s="76" t="s">
        <v>429</v>
      </c>
      <c r="AN7" s="40" t="s">
        <v>432</v>
      </c>
      <c r="AO7" s="76" t="s">
        <v>430</v>
      </c>
      <c r="AP7" s="40" t="s">
        <v>432</v>
      </c>
      <c r="AQ7" s="76"/>
      <c r="AR7" s="40" t="s">
        <v>432</v>
      </c>
      <c r="AS7" s="76"/>
      <c r="AT7" s="40" t="s">
        <v>432</v>
      </c>
      <c r="AU7" s="76"/>
      <c r="AV7" s="40" t="s">
        <v>432</v>
      </c>
      <c r="AW7" s="76"/>
      <c r="AX7" s="40" t="s">
        <v>432</v>
      </c>
      <c r="AY7" s="76" t="s">
        <v>431</v>
      </c>
      <c r="AZ7" s="40" t="s">
        <v>432</v>
      </c>
      <c r="BA7" s="76"/>
      <c r="BB7" s="40" t="s">
        <v>432</v>
      </c>
      <c r="BC7" s="76"/>
      <c r="BD7" s="40" t="s">
        <v>432</v>
      </c>
      <c r="BE7" s="76" t="s">
        <v>349</v>
      </c>
      <c r="BF7" s="40" t="s">
        <v>432</v>
      </c>
      <c r="BG7" s="76"/>
      <c r="BH7" s="40" t="s">
        <v>432</v>
      </c>
      <c r="BI7" s="76"/>
      <c r="BJ7" s="40" t="s">
        <v>432</v>
      </c>
      <c r="BK7" s="76"/>
      <c r="BL7" s="40" t="s">
        <v>432</v>
      </c>
      <c r="BM7" s="76"/>
      <c r="BN7" s="40" t="s">
        <v>432</v>
      </c>
      <c r="BO7" s="76"/>
      <c r="BP7" s="40" t="s">
        <v>432</v>
      </c>
      <c r="BQ7" s="76"/>
      <c r="BR7" s="40" t="s">
        <v>432</v>
      </c>
      <c r="BS7" s="76"/>
      <c r="BT7" s="40" t="s">
        <v>432</v>
      </c>
      <c r="BU7" s="76"/>
      <c r="BV7" s="40" t="s">
        <v>432</v>
      </c>
      <c r="BW7" s="76"/>
      <c r="BX7" s="40" t="s">
        <v>432</v>
      </c>
    </row>
    <row r="8" spans="1:76" x14ac:dyDescent="0.25">
      <c r="A8" s="76" t="s">
        <v>544</v>
      </c>
      <c r="B8" s="76">
        <v>7</v>
      </c>
      <c r="C8" s="76" t="s">
        <v>346</v>
      </c>
      <c r="D8" s="40" t="s">
        <v>432</v>
      </c>
      <c r="E8" s="76"/>
      <c r="F8" s="40" t="s">
        <v>432</v>
      </c>
      <c r="G8" s="76"/>
      <c r="H8" s="40" t="s">
        <v>432</v>
      </c>
      <c r="I8" s="76"/>
      <c r="J8" s="40" t="s">
        <v>432</v>
      </c>
      <c r="K8" s="76"/>
      <c r="L8" s="40" t="s">
        <v>432</v>
      </c>
      <c r="M8" s="76" t="s">
        <v>438</v>
      </c>
      <c r="N8" s="40" t="s">
        <v>432</v>
      </c>
      <c r="O8" s="76" t="s">
        <v>439</v>
      </c>
      <c r="P8" s="40" t="s">
        <v>432</v>
      </c>
      <c r="Q8" s="76"/>
      <c r="R8" s="40" t="s">
        <v>432</v>
      </c>
      <c r="S8" s="76"/>
      <c r="T8" s="40" t="s">
        <v>432</v>
      </c>
      <c r="U8" s="76"/>
      <c r="V8" s="40" t="s">
        <v>432</v>
      </c>
      <c r="W8" s="76" t="s">
        <v>440</v>
      </c>
      <c r="X8" s="40" t="s">
        <v>432</v>
      </c>
      <c r="Y8" s="76"/>
      <c r="Z8" s="40" t="s">
        <v>432</v>
      </c>
      <c r="AA8" s="76"/>
      <c r="AB8" s="40" t="s">
        <v>432</v>
      </c>
      <c r="AC8" s="76"/>
      <c r="AD8" s="40" t="s">
        <v>432</v>
      </c>
      <c r="AE8" s="76"/>
      <c r="AF8" s="40" t="s">
        <v>432</v>
      </c>
      <c r="AG8" s="76"/>
      <c r="AH8" s="40" t="s">
        <v>432</v>
      </c>
      <c r="AI8" s="76"/>
      <c r="AJ8" s="40" t="s">
        <v>432</v>
      </c>
      <c r="AK8" s="76"/>
      <c r="AL8" s="40" t="s">
        <v>432</v>
      </c>
      <c r="AM8" s="76" t="s">
        <v>429</v>
      </c>
      <c r="AN8" s="40" t="s">
        <v>432</v>
      </c>
      <c r="AO8" s="76"/>
      <c r="AP8" s="40" t="s">
        <v>432</v>
      </c>
      <c r="AQ8" s="76"/>
      <c r="AR8" s="40" t="s">
        <v>432</v>
      </c>
      <c r="AS8" s="76"/>
      <c r="AT8" s="40" t="s">
        <v>432</v>
      </c>
      <c r="AU8" s="76"/>
      <c r="AV8" s="40" t="s">
        <v>432</v>
      </c>
      <c r="AW8" s="76"/>
      <c r="AX8" s="40" t="s">
        <v>432</v>
      </c>
      <c r="AY8" s="76" t="s">
        <v>431</v>
      </c>
      <c r="AZ8" s="40" t="s">
        <v>432</v>
      </c>
      <c r="BA8" s="76"/>
      <c r="BB8" s="40" t="s">
        <v>432</v>
      </c>
      <c r="BC8" s="76"/>
      <c r="BD8" s="40" t="s">
        <v>432</v>
      </c>
      <c r="BE8" s="76" t="s">
        <v>349</v>
      </c>
      <c r="BF8" s="40" t="s">
        <v>432</v>
      </c>
      <c r="BG8" s="76"/>
      <c r="BH8" s="40" t="s">
        <v>432</v>
      </c>
      <c r="BI8" s="76"/>
      <c r="BJ8" s="40" t="s">
        <v>432</v>
      </c>
      <c r="BK8" s="76"/>
      <c r="BL8" s="40" t="s">
        <v>432</v>
      </c>
      <c r="BM8" s="76"/>
      <c r="BN8" s="40" t="s">
        <v>432</v>
      </c>
      <c r="BO8" s="76"/>
      <c r="BP8" s="40" t="s">
        <v>432</v>
      </c>
      <c r="BQ8" s="76"/>
      <c r="BR8" s="40" t="s">
        <v>432</v>
      </c>
      <c r="BS8" s="76"/>
      <c r="BT8" s="40" t="s">
        <v>432</v>
      </c>
      <c r="BU8" s="76"/>
      <c r="BV8" s="40" t="s">
        <v>432</v>
      </c>
      <c r="BW8" s="76"/>
      <c r="BX8" s="40" t="s">
        <v>432</v>
      </c>
    </row>
    <row r="9" spans="1:76" x14ac:dyDescent="0.25">
      <c r="A9" s="76" t="s">
        <v>545</v>
      </c>
      <c r="B9" s="76">
        <v>8</v>
      </c>
      <c r="C9" s="76" t="s">
        <v>346</v>
      </c>
      <c r="D9" s="40" t="s">
        <v>432</v>
      </c>
      <c r="E9" s="76"/>
      <c r="F9" s="40" t="s">
        <v>432</v>
      </c>
      <c r="G9" s="76"/>
      <c r="H9" s="40" t="s">
        <v>432</v>
      </c>
      <c r="I9" s="76"/>
      <c r="J9" s="40" t="s">
        <v>432</v>
      </c>
      <c r="K9" s="76"/>
      <c r="L9" s="40" t="s">
        <v>432</v>
      </c>
      <c r="M9" s="76" t="s">
        <v>438</v>
      </c>
      <c r="N9" s="40" t="s">
        <v>432</v>
      </c>
      <c r="O9" s="76" t="s">
        <v>439</v>
      </c>
      <c r="P9" s="40" t="s">
        <v>432</v>
      </c>
      <c r="Q9" s="76"/>
      <c r="R9" s="40" t="s">
        <v>432</v>
      </c>
      <c r="S9" s="76"/>
      <c r="T9" s="40" t="s">
        <v>432</v>
      </c>
      <c r="U9" s="76"/>
      <c r="V9" s="40" t="s">
        <v>432</v>
      </c>
      <c r="W9" s="76" t="s">
        <v>440</v>
      </c>
      <c r="X9" s="40" t="s">
        <v>432</v>
      </c>
      <c r="Y9" s="76"/>
      <c r="Z9" s="40" t="s">
        <v>432</v>
      </c>
      <c r="AA9" s="76"/>
      <c r="AB9" s="40" t="s">
        <v>432</v>
      </c>
      <c r="AC9" s="76"/>
      <c r="AD9" s="40" t="s">
        <v>432</v>
      </c>
      <c r="AE9" s="76"/>
      <c r="AF9" s="40" t="s">
        <v>432</v>
      </c>
      <c r="AG9" s="76"/>
      <c r="AH9" s="40" t="s">
        <v>432</v>
      </c>
      <c r="AI9" s="76"/>
      <c r="AJ9" s="40" t="s">
        <v>432</v>
      </c>
      <c r="AK9" s="76"/>
      <c r="AL9" s="40" t="s">
        <v>432</v>
      </c>
      <c r="AM9" s="76" t="s">
        <v>429</v>
      </c>
      <c r="AN9" s="40" t="s">
        <v>432</v>
      </c>
      <c r="AO9" s="76"/>
      <c r="AP9" s="40" t="s">
        <v>432</v>
      </c>
      <c r="AQ9" s="76"/>
      <c r="AR9" s="40" t="s">
        <v>432</v>
      </c>
      <c r="AS9" s="76"/>
      <c r="AT9" s="40" t="s">
        <v>432</v>
      </c>
      <c r="AU9" s="76"/>
      <c r="AV9" s="40" t="s">
        <v>432</v>
      </c>
      <c r="AW9" s="76"/>
      <c r="AX9" s="40" t="s">
        <v>432</v>
      </c>
      <c r="AY9" s="76" t="s">
        <v>431</v>
      </c>
      <c r="AZ9" s="40" t="s">
        <v>432</v>
      </c>
      <c r="BA9" s="76"/>
      <c r="BB9" s="40" t="s">
        <v>432</v>
      </c>
      <c r="BC9" s="76"/>
      <c r="BD9" s="40" t="s">
        <v>432</v>
      </c>
      <c r="BE9" s="76" t="s">
        <v>349</v>
      </c>
      <c r="BF9" s="40" t="s">
        <v>432</v>
      </c>
      <c r="BG9" s="76"/>
      <c r="BH9" s="40" t="s">
        <v>432</v>
      </c>
      <c r="BI9" s="76"/>
      <c r="BJ9" s="40" t="s">
        <v>432</v>
      </c>
      <c r="BK9" s="76"/>
      <c r="BL9" s="40" t="s">
        <v>432</v>
      </c>
      <c r="BM9" s="76"/>
      <c r="BN9" s="40" t="s">
        <v>432</v>
      </c>
      <c r="BO9" s="76"/>
      <c r="BP9" s="40" t="s">
        <v>432</v>
      </c>
      <c r="BQ9" s="76"/>
      <c r="BR9" s="40" t="s">
        <v>432</v>
      </c>
      <c r="BS9" s="76"/>
      <c r="BT9" s="40" t="s">
        <v>432</v>
      </c>
      <c r="BU9" s="76"/>
      <c r="BV9" s="40" t="s">
        <v>432</v>
      </c>
      <c r="BW9" s="76"/>
      <c r="BX9" s="40" t="s">
        <v>432</v>
      </c>
    </row>
    <row r="10" spans="1:76" x14ac:dyDescent="0.25">
      <c r="A10" s="76" t="s">
        <v>546</v>
      </c>
      <c r="B10" s="76">
        <v>9</v>
      </c>
      <c r="C10" s="76" t="s">
        <v>346</v>
      </c>
      <c r="D10" s="40" t="s">
        <v>432</v>
      </c>
      <c r="E10" s="76"/>
      <c r="F10" s="40" t="s">
        <v>432</v>
      </c>
      <c r="G10" s="76"/>
      <c r="H10" s="40" t="s">
        <v>432</v>
      </c>
      <c r="I10" s="76"/>
      <c r="J10" s="40" t="s">
        <v>432</v>
      </c>
      <c r="K10" s="76"/>
      <c r="L10" s="40" t="s">
        <v>432</v>
      </c>
      <c r="M10" s="76" t="s">
        <v>438</v>
      </c>
      <c r="N10" s="40" t="s">
        <v>432</v>
      </c>
      <c r="O10" s="76" t="s">
        <v>439</v>
      </c>
      <c r="P10" s="40" t="s">
        <v>432</v>
      </c>
      <c r="Q10" s="76"/>
      <c r="R10" s="40" t="s">
        <v>432</v>
      </c>
      <c r="S10" s="76"/>
      <c r="T10" s="40" t="s">
        <v>432</v>
      </c>
      <c r="U10" s="76"/>
      <c r="V10" s="40" t="s">
        <v>432</v>
      </c>
      <c r="W10" s="76" t="s">
        <v>440</v>
      </c>
      <c r="X10" s="40" t="s">
        <v>432</v>
      </c>
      <c r="Y10" s="76"/>
      <c r="Z10" s="40" t="s">
        <v>432</v>
      </c>
      <c r="AA10" s="76"/>
      <c r="AB10" s="40" t="s">
        <v>432</v>
      </c>
      <c r="AC10" s="76"/>
      <c r="AD10" s="40" t="s">
        <v>432</v>
      </c>
      <c r="AE10" s="76"/>
      <c r="AF10" s="40" t="s">
        <v>432</v>
      </c>
      <c r="AG10" s="76"/>
      <c r="AH10" s="40" t="s">
        <v>432</v>
      </c>
      <c r="AI10" s="76"/>
      <c r="AJ10" s="40" t="s">
        <v>432</v>
      </c>
      <c r="AK10" s="76"/>
      <c r="AL10" s="40" t="s">
        <v>432</v>
      </c>
      <c r="AM10" s="76" t="s">
        <v>429</v>
      </c>
      <c r="AN10" s="40" t="s">
        <v>432</v>
      </c>
      <c r="AO10" s="76"/>
      <c r="AP10" s="40" t="s">
        <v>432</v>
      </c>
      <c r="AQ10" s="76"/>
      <c r="AR10" s="40" t="s">
        <v>432</v>
      </c>
      <c r="AS10" s="76"/>
      <c r="AT10" s="40" t="s">
        <v>432</v>
      </c>
      <c r="AU10" s="76"/>
      <c r="AV10" s="40" t="s">
        <v>432</v>
      </c>
      <c r="AW10" s="76"/>
      <c r="AX10" s="40" t="s">
        <v>432</v>
      </c>
      <c r="AY10" s="76" t="s">
        <v>431</v>
      </c>
      <c r="AZ10" s="40" t="s">
        <v>432</v>
      </c>
      <c r="BA10" s="76"/>
      <c r="BB10" s="40" t="s">
        <v>432</v>
      </c>
      <c r="BC10" s="76"/>
      <c r="BD10" s="40" t="s">
        <v>432</v>
      </c>
      <c r="BE10" s="76" t="s">
        <v>349</v>
      </c>
      <c r="BF10" s="40" t="s">
        <v>432</v>
      </c>
      <c r="BG10" s="76" t="s">
        <v>350</v>
      </c>
      <c r="BH10" s="40" t="s">
        <v>432</v>
      </c>
      <c r="BI10" s="76"/>
      <c r="BJ10" s="40" t="s">
        <v>432</v>
      </c>
      <c r="BK10" s="76"/>
      <c r="BL10" s="40" t="s">
        <v>432</v>
      </c>
      <c r="BM10" s="76"/>
      <c r="BN10" s="40" t="s">
        <v>432</v>
      </c>
      <c r="BO10" s="76"/>
      <c r="BP10" s="40" t="s">
        <v>432</v>
      </c>
      <c r="BQ10" s="76"/>
      <c r="BR10" s="40" t="s">
        <v>432</v>
      </c>
      <c r="BS10" s="76"/>
      <c r="BT10" s="40" t="s">
        <v>432</v>
      </c>
      <c r="BU10" s="76"/>
      <c r="BV10" s="40" t="s">
        <v>432</v>
      </c>
      <c r="BW10" s="76"/>
      <c r="BX10" s="40" t="s">
        <v>432</v>
      </c>
    </row>
    <row r="11" spans="1:76" x14ac:dyDescent="0.25">
      <c r="A11" s="76" t="s">
        <v>547</v>
      </c>
      <c r="B11" s="76">
        <v>10</v>
      </c>
      <c r="C11" s="76" t="s">
        <v>346</v>
      </c>
      <c r="D11" s="40" t="s">
        <v>432</v>
      </c>
      <c r="E11" s="76"/>
      <c r="F11" s="40" t="s">
        <v>432</v>
      </c>
      <c r="G11" s="76"/>
      <c r="H11" s="40" t="s">
        <v>432</v>
      </c>
      <c r="I11" s="76"/>
      <c r="J11" s="40" t="s">
        <v>432</v>
      </c>
      <c r="K11" s="76"/>
      <c r="L11" s="40" t="s">
        <v>432</v>
      </c>
      <c r="M11" s="76" t="s">
        <v>438</v>
      </c>
      <c r="N11" s="40" t="s">
        <v>432</v>
      </c>
      <c r="O11" s="76" t="s">
        <v>439</v>
      </c>
      <c r="P11" s="40" t="s">
        <v>432</v>
      </c>
      <c r="Q11" s="76"/>
      <c r="R11" s="40" t="s">
        <v>432</v>
      </c>
      <c r="S11" s="76"/>
      <c r="T11" s="40" t="s">
        <v>432</v>
      </c>
      <c r="U11" s="76"/>
      <c r="V11" s="40" t="s">
        <v>432</v>
      </c>
      <c r="W11" s="76" t="s">
        <v>440</v>
      </c>
      <c r="X11" s="40" t="s">
        <v>432</v>
      </c>
      <c r="Y11" s="76"/>
      <c r="Z11" s="40" t="s">
        <v>432</v>
      </c>
      <c r="AA11" s="76"/>
      <c r="AB11" s="40" t="s">
        <v>432</v>
      </c>
      <c r="AC11" s="76"/>
      <c r="AD11" s="40" t="s">
        <v>432</v>
      </c>
      <c r="AE11" s="76"/>
      <c r="AF11" s="40" t="s">
        <v>432</v>
      </c>
      <c r="AG11" s="76"/>
      <c r="AH11" s="40" t="s">
        <v>432</v>
      </c>
      <c r="AI11" s="76"/>
      <c r="AJ11" s="40" t="s">
        <v>432</v>
      </c>
      <c r="AK11" s="76"/>
      <c r="AL11" s="40" t="s">
        <v>432</v>
      </c>
      <c r="AM11" s="76" t="s">
        <v>429</v>
      </c>
      <c r="AN11" s="40" t="s">
        <v>432</v>
      </c>
      <c r="AO11" s="76" t="s">
        <v>430</v>
      </c>
      <c r="AP11" s="40" t="s">
        <v>432</v>
      </c>
      <c r="AQ11" s="76"/>
      <c r="AR11" s="40" t="s">
        <v>432</v>
      </c>
      <c r="AS11" s="76"/>
      <c r="AT11" s="40" t="s">
        <v>432</v>
      </c>
      <c r="AU11" s="76"/>
      <c r="AV11" s="40" t="s">
        <v>432</v>
      </c>
      <c r="AW11" s="76"/>
      <c r="AX11" s="40" t="s">
        <v>432</v>
      </c>
      <c r="AY11" s="76" t="s">
        <v>431</v>
      </c>
      <c r="AZ11" s="40" t="s">
        <v>432</v>
      </c>
      <c r="BA11" s="76"/>
      <c r="BB11" s="40" t="s">
        <v>432</v>
      </c>
      <c r="BC11" s="76"/>
      <c r="BD11" s="40" t="s">
        <v>432</v>
      </c>
      <c r="BE11" s="76" t="s">
        <v>349</v>
      </c>
      <c r="BF11" s="40" t="s">
        <v>432</v>
      </c>
      <c r="BG11" s="76"/>
      <c r="BH11" s="40" t="s">
        <v>432</v>
      </c>
      <c r="BI11" s="76"/>
      <c r="BJ11" s="40" t="s">
        <v>432</v>
      </c>
      <c r="BK11" s="76"/>
      <c r="BL11" s="40" t="s">
        <v>432</v>
      </c>
      <c r="BM11" s="76"/>
      <c r="BN11" s="40" t="s">
        <v>432</v>
      </c>
      <c r="BO11" s="76"/>
      <c r="BP11" s="40" t="s">
        <v>432</v>
      </c>
      <c r="BQ11" s="76"/>
      <c r="BR11" s="40" t="s">
        <v>432</v>
      </c>
      <c r="BS11" s="76"/>
      <c r="BT11" s="40" t="s">
        <v>432</v>
      </c>
      <c r="BU11" s="76"/>
      <c r="BV11" s="40" t="s">
        <v>432</v>
      </c>
      <c r="BW11" s="76"/>
      <c r="BX11" s="40" t="s">
        <v>432</v>
      </c>
    </row>
    <row r="12" spans="1:76" x14ac:dyDescent="0.25">
      <c r="A12" s="76" t="s">
        <v>548</v>
      </c>
      <c r="B12" s="76">
        <v>11</v>
      </c>
      <c r="C12" s="76" t="s">
        <v>346</v>
      </c>
      <c r="D12" s="40" t="s">
        <v>432</v>
      </c>
      <c r="E12" s="76"/>
      <c r="F12" s="40" t="s">
        <v>432</v>
      </c>
      <c r="G12" s="76"/>
      <c r="H12" s="40" t="s">
        <v>432</v>
      </c>
      <c r="I12" s="76"/>
      <c r="J12" s="40" t="s">
        <v>432</v>
      </c>
      <c r="K12" s="76"/>
      <c r="L12" s="40" t="s">
        <v>432</v>
      </c>
      <c r="M12" s="76" t="s">
        <v>438</v>
      </c>
      <c r="N12" s="40" t="s">
        <v>432</v>
      </c>
      <c r="O12" s="76" t="s">
        <v>439</v>
      </c>
      <c r="P12" s="40" t="s">
        <v>432</v>
      </c>
      <c r="Q12" s="76"/>
      <c r="R12" s="40" t="s">
        <v>432</v>
      </c>
      <c r="S12" s="76"/>
      <c r="T12" s="40" t="s">
        <v>432</v>
      </c>
      <c r="U12" s="76"/>
      <c r="V12" s="40" t="s">
        <v>432</v>
      </c>
      <c r="W12" s="76" t="s">
        <v>440</v>
      </c>
      <c r="X12" s="40" t="s">
        <v>432</v>
      </c>
      <c r="Y12" s="76"/>
      <c r="Z12" s="40" t="s">
        <v>432</v>
      </c>
      <c r="AA12" s="76"/>
      <c r="AB12" s="40" t="s">
        <v>432</v>
      </c>
      <c r="AC12" s="76"/>
      <c r="AD12" s="40" t="s">
        <v>432</v>
      </c>
      <c r="AE12" s="76"/>
      <c r="AF12" s="40" t="s">
        <v>432</v>
      </c>
      <c r="AG12" s="76"/>
      <c r="AH12" s="40" t="s">
        <v>432</v>
      </c>
      <c r="AI12" s="76"/>
      <c r="AJ12" s="40" t="s">
        <v>432</v>
      </c>
      <c r="AK12" s="76"/>
      <c r="AL12" s="40" t="s">
        <v>432</v>
      </c>
      <c r="AM12" s="76" t="s">
        <v>429</v>
      </c>
      <c r="AN12" s="40" t="s">
        <v>432</v>
      </c>
      <c r="AO12" s="76" t="s">
        <v>430</v>
      </c>
      <c r="AP12" s="40" t="s">
        <v>432</v>
      </c>
      <c r="AQ12" s="76"/>
      <c r="AR12" s="40" t="s">
        <v>432</v>
      </c>
      <c r="AS12" s="76"/>
      <c r="AT12" s="40" t="s">
        <v>432</v>
      </c>
      <c r="AU12" s="76"/>
      <c r="AV12" s="40" t="s">
        <v>432</v>
      </c>
      <c r="AW12" s="76"/>
      <c r="AX12" s="40" t="s">
        <v>432</v>
      </c>
      <c r="AY12" s="76"/>
      <c r="AZ12" s="40" t="s">
        <v>432</v>
      </c>
      <c r="BA12" s="76"/>
      <c r="BB12" s="40" t="s">
        <v>432</v>
      </c>
      <c r="BC12" s="76"/>
      <c r="BD12" s="40" t="s">
        <v>432</v>
      </c>
      <c r="BE12" s="76" t="s">
        <v>349</v>
      </c>
      <c r="BF12" s="40" t="s">
        <v>432</v>
      </c>
      <c r="BG12" s="76"/>
      <c r="BH12" s="40" t="s">
        <v>432</v>
      </c>
      <c r="BI12" s="76"/>
      <c r="BJ12" s="40" t="s">
        <v>432</v>
      </c>
      <c r="BK12" s="76"/>
      <c r="BL12" s="40" t="s">
        <v>432</v>
      </c>
      <c r="BM12" s="76"/>
      <c r="BN12" s="40" t="s">
        <v>432</v>
      </c>
      <c r="BO12" s="76"/>
      <c r="BP12" s="40" t="s">
        <v>432</v>
      </c>
      <c r="BQ12" s="76"/>
      <c r="BR12" s="40" t="s">
        <v>432</v>
      </c>
      <c r="BS12" s="76"/>
      <c r="BT12" s="40" t="s">
        <v>432</v>
      </c>
      <c r="BU12" s="76"/>
      <c r="BV12" s="40" t="s">
        <v>432</v>
      </c>
      <c r="BW12" s="76"/>
      <c r="BX12" s="40" t="s">
        <v>432</v>
      </c>
    </row>
    <row r="13" spans="1:76" x14ac:dyDescent="0.25">
      <c r="A13" s="76" t="s">
        <v>549</v>
      </c>
      <c r="B13" s="76">
        <v>12</v>
      </c>
      <c r="C13" s="76" t="s">
        <v>346</v>
      </c>
      <c r="D13" s="40" t="s">
        <v>432</v>
      </c>
      <c r="E13" s="76"/>
      <c r="F13" s="40" t="s">
        <v>432</v>
      </c>
      <c r="G13" s="76"/>
      <c r="H13" s="40" t="s">
        <v>432</v>
      </c>
      <c r="I13" s="76"/>
      <c r="J13" s="40" t="s">
        <v>432</v>
      </c>
      <c r="K13" s="76"/>
      <c r="L13" s="40" t="s">
        <v>432</v>
      </c>
      <c r="M13" s="76" t="s">
        <v>438</v>
      </c>
      <c r="N13" s="40" t="s">
        <v>432</v>
      </c>
      <c r="O13" s="76" t="s">
        <v>439</v>
      </c>
      <c r="P13" s="40" t="s">
        <v>432</v>
      </c>
      <c r="Q13" s="76"/>
      <c r="R13" s="40" t="s">
        <v>432</v>
      </c>
      <c r="S13" s="76"/>
      <c r="T13" s="40" t="s">
        <v>432</v>
      </c>
      <c r="U13" s="76"/>
      <c r="V13" s="40" t="s">
        <v>432</v>
      </c>
      <c r="W13" s="76" t="s">
        <v>440</v>
      </c>
      <c r="X13" s="40" t="s">
        <v>432</v>
      </c>
      <c r="Y13" s="76"/>
      <c r="Z13" s="40" t="s">
        <v>432</v>
      </c>
      <c r="AA13" s="76"/>
      <c r="AB13" s="40" t="s">
        <v>432</v>
      </c>
      <c r="AC13" s="76"/>
      <c r="AD13" s="40" t="s">
        <v>432</v>
      </c>
      <c r="AE13" s="76"/>
      <c r="AF13" s="40" t="s">
        <v>432</v>
      </c>
      <c r="AG13" s="76"/>
      <c r="AH13" s="40" t="s">
        <v>432</v>
      </c>
      <c r="AI13" s="76"/>
      <c r="AJ13" s="40" t="s">
        <v>432</v>
      </c>
      <c r="AK13" s="76"/>
      <c r="AL13" s="40" t="s">
        <v>432</v>
      </c>
      <c r="AM13" s="76" t="s">
        <v>429</v>
      </c>
      <c r="AN13" s="40" t="s">
        <v>432</v>
      </c>
      <c r="AO13" s="76" t="s">
        <v>430</v>
      </c>
      <c r="AP13" s="40" t="s">
        <v>432</v>
      </c>
      <c r="AQ13" s="76"/>
      <c r="AR13" s="40" t="s">
        <v>432</v>
      </c>
      <c r="AS13" s="76"/>
      <c r="AT13" s="40" t="s">
        <v>432</v>
      </c>
      <c r="AU13" s="76"/>
      <c r="AV13" s="40" t="s">
        <v>432</v>
      </c>
      <c r="AW13" s="76"/>
      <c r="AX13" s="40" t="s">
        <v>432</v>
      </c>
      <c r="AY13" s="76"/>
      <c r="AZ13" s="40" t="s">
        <v>432</v>
      </c>
      <c r="BA13" s="76"/>
      <c r="BB13" s="40" t="s">
        <v>432</v>
      </c>
      <c r="BC13" s="76"/>
      <c r="BD13" s="40" t="s">
        <v>432</v>
      </c>
      <c r="BE13" s="76" t="s">
        <v>349</v>
      </c>
      <c r="BF13" s="40" t="s">
        <v>432</v>
      </c>
      <c r="BG13" s="76"/>
      <c r="BH13" s="40" t="s">
        <v>432</v>
      </c>
      <c r="BI13" s="76"/>
      <c r="BJ13" s="40" t="s">
        <v>432</v>
      </c>
      <c r="BK13" s="76"/>
      <c r="BL13" s="40" t="s">
        <v>432</v>
      </c>
      <c r="BM13" s="76"/>
      <c r="BN13" s="40" t="s">
        <v>432</v>
      </c>
      <c r="BO13" s="76"/>
      <c r="BP13" s="40" t="s">
        <v>432</v>
      </c>
      <c r="BQ13" s="76"/>
      <c r="BR13" s="40" t="s">
        <v>432</v>
      </c>
      <c r="BS13" s="76"/>
      <c r="BT13" s="40" t="s">
        <v>432</v>
      </c>
      <c r="BU13" s="76"/>
      <c r="BV13" s="40" t="s">
        <v>432</v>
      </c>
      <c r="BW13" s="76"/>
      <c r="BX13" s="40" t="s">
        <v>432</v>
      </c>
    </row>
    <row r="14" spans="1:76" x14ac:dyDescent="0.25">
      <c r="A14" s="76" t="s">
        <v>550</v>
      </c>
      <c r="B14" s="76">
        <v>13</v>
      </c>
      <c r="C14" s="76" t="s">
        <v>346</v>
      </c>
      <c r="D14" s="40" t="s">
        <v>432</v>
      </c>
      <c r="E14" s="76"/>
      <c r="F14" s="40" t="s">
        <v>432</v>
      </c>
      <c r="G14" s="76"/>
      <c r="H14" s="40" t="s">
        <v>432</v>
      </c>
      <c r="I14" s="76"/>
      <c r="J14" s="40" t="s">
        <v>432</v>
      </c>
      <c r="K14" s="76"/>
      <c r="L14" s="40" t="s">
        <v>432</v>
      </c>
      <c r="M14" s="76" t="s">
        <v>438</v>
      </c>
      <c r="N14" s="40" t="s">
        <v>432</v>
      </c>
      <c r="O14" s="76" t="s">
        <v>439</v>
      </c>
      <c r="P14" s="40" t="s">
        <v>432</v>
      </c>
      <c r="Q14" s="76"/>
      <c r="R14" s="40" t="s">
        <v>432</v>
      </c>
      <c r="S14" s="76"/>
      <c r="T14" s="40" t="s">
        <v>432</v>
      </c>
      <c r="U14" s="76"/>
      <c r="V14" s="40" t="s">
        <v>432</v>
      </c>
      <c r="W14" s="76" t="s">
        <v>440</v>
      </c>
      <c r="X14" s="40" t="s">
        <v>432</v>
      </c>
      <c r="Y14" s="76"/>
      <c r="Z14" s="40" t="s">
        <v>432</v>
      </c>
      <c r="AA14" s="76"/>
      <c r="AB14" s="40" t="s">
        <v>432</v>
      </c>
      <c r="AC14" s="76"/>
      <c r="AD14" s="40" t="s">
        <v>432</v>
      </c>
      <c r="AE14" s="76"/>
      <c r="AF14" s="40" t="s">
        <v>432</v>
      </c>
      <c r="AG14" s="76"/>
      <c r="AH14" s="40" t="s">
        <v>432</v>
      </c>
      <c r="AI14" s="76"/>
      <c r="AJ14" s="40" t="s">
        <v>432</v>
      </c>
      <c r="AK14" s="76"/>
      <c r="AL14" s="40" t="s">
        <v>432</v>
      </c>
      <c r="AM14" s="76" t="s">
        <v>429</v>
      </c>
      <c r="AN14" s="40" t="s">
        <v>432</v>
      </c>
      <c r="AO14" s="76" t="s">
        <v>430</v>
      </c>
      <c r="AP14" s="40" t="s">
        <v>432</v>
      </c>
      <c r="AQ14" s="76"/>
      <c r="AR14" s="40" t="s">
        <v>432</v>
      </c>
      <c r="AS14" s="76"/>
      <c r="AT14" s="40" t="s">
        <v>432</v>
      </c>
      <c r="AU14" s="76"/>
      <c r="AV14" s="40" t="s">
        <v>432</v>
      </c>
      <c r="AW14" s="76"/>
      <c r="AX14" s="40" t="s">
        <v>432</v>
      </c>
      <c r="AY14" s="76"/>
      <c r="AZ14" s="40" t="s">
        <v>432</v>
      </c>
      <c r="BA14" s="76"/>
      <c r="BB14" s="40" t="s">
        <v>432</v>
      </c>
      <c r="BC14" s="76"/>
      <c r="BD14" s="40" t="s">
        <v>432</v>
      </c>
      <c r="BE14" s="76" t="s">
        <v>349</v>
      </c>
      <c r="BF14" s="40" t="s">
        <v>432</v>
      </c>
      <c r="BG14" s="76" t="s">
        <v>350</v>
      </c>
      <c r="BH14" s="40" t="s">
        <v>432</v>
      </c>
      <c r="BI14" s="76"/>
      <c r="BJ14" s="40" t="s">
        <v>432</v>
      </c>
      <c r="BK14" s="76"/>
      <c r="BL14" s="40" t="s">
        <v>432</v>
      </c>
      <c r="BM14" s="76"/>
      <c r="BN14" s="40" t="s">
        <v>432</v>
      </c>
      <c r="BO14" s="76"/>
      <c r="BP14" s="40" t="s">
        <v>432</v>
      </c>
      <c r="BQ14" s="76"/>
      <c r="BR14" s="40" t="s">
        <v>432</v>
      </c>
      <c r="BS14" s="76"/>
      <c r="BT14" s="40" t="s">
        <v>432</v>
      </c>
      <c r="BU14" s="76"/>
      <c r="BV14" s="40" t="s">
        <v>432</v>
      </c>
      <c r="BW14" s="76"/>
      <c r="BX14" s="40" t="s">
        <v>432</v>
      </c>
    </row>
    <row r="15" spans="1:76" x14ac:dyDescent="0.25">
      <c r="A15" s="76" t="s">
        <v>551</v>
      </c>
      <c r="B15" s="76">
        <v>14</v>
      </c>
      <c r="C15" s="76" t="s">
        <v>346</v>
      </c>
      <c r="D15" s="40" t="s">
        <v>432</v>
      </c>
      <c r="E15" s="76"/>
      <c r="F15" s="40" t="s">
        <v>432</v>
      </c>
      <c r="G15" s="76"/>
      <c r="H15" s="40" t="s">
        <v>432</v>
      </c>
      <c r="I15" s="76"/>
      <c r="J15" s="40" t="s">
        <v>432</v>
      </c>
      <c r="K15" s="76"/>
      <c r="L15" s="40" t="s">
        <v>432</v>
      </c>
      <c r="M15" s="76" t="s">
        <v>438</v>
      </c>
      <c r="N15" s="40" t="s">
        <v>432</v>
      </c>
      <c r="O15" s="76" t="s">
        <v>439</v>
      </c>
      <c r="P15" s="40" t="s">
        <v>432</v>
      </c>
      <c r="Q15" s="76"/>
      <c r="R15" s="40" t="s">
        <v>432</v>
      </c>
      <c r="S15" s="76"/>
      <c r="T15" s="40" t="s">
        <v>432</v>
      </c>
      <c r="U15" s="76"/>
      <c r="V15" s="40" t="s">
        <v>432</v>
      </c>
      <c r="W15" s="76" t="s">
        <v>440</v>
      </c>
      <c r="X15" s="40" t="s">
        <v>432</v>
      </c>
      <c r="Y15" s="76"/>
      <c r="Z15" s="40" t="s">
        <v>432</v>
      </c>
      <c r="AA15" s="76"/>
      <c r="AB15" s="40" t="s">
        <v>432</v>
      </c>
      <c r="AC15" s="76"/>
      <c r="AD15" s="40" t="s">
        <v>432</v>
      </c>
      <c r="AE15" s="76"/>
      <c r="AF15" s="40" t="s">
        <v>432</v>
      </c>
      <c r="AG15" s="76"/>
      <c r="AH15" s="40" t="s">
        <v>432</v>
      </c>
      <c r="AI15" s="76"/>
      <c r="AJ15" s="40" t="s">
        <v>432</v>
      </c>
      <c r="AK15" s="76"/>
      <c r="AL15" s="40" t="s">
        <v>432</v>
      </c>
      <c r="AM15" s="76" t="s">
        <v>429</v>
      </c>
      <c r="AN15" s="40" t="s">
        <v>432</v>
      </c>
      <c r="AO15" s="76" t="s">
        <v>430</v>
      </c>
      <c r="AP15" s="40" t="s">
        <v>432</v>
      </c>
      <c r="AQ15" s="76"/>
      <c r="AR15" s="40" t="s">
        <v>432</v>
      </c>
      <c r="AS15" s="76"/>
      <c r="AT15" s="40" t="s">
        <v>432</v>
      </c>
      <c r="AU15" s="76"/>
      <c r="AV15" s="40" t="s">
        <v>432</v>
      </c>
      <c r="AW15" s="76"/>
      <c r="AX15" s="40" t="s">
        <v>432</v>
      </c>
      <c r="AY15" s="76"/>
      <c r="AZ15" s="40" t="s">
        <v>432</v>
      </c>
      <c r="BA15" s="76"/>
      <c r="BB15" s="40" t="s">
        <v>432</v>
      </c>
      <c r="BC15" s="76"/>
      <c r="BD15" s="40" t="s">
        <v>432</v>
      </c>
      <c r="BE15" s="76" t="s">
        <v>349</v>
      </c>
      <c r="BF15" s="40" t="s">
        <v>432</v>
      </c>
      <c r="BG15" s="76"/>
      <c r="BH15" s="40" t="s">
        <v>432</v>
      </c>
      <c r="BI15" s="76"/>
      <c r="BJ15" s="40" t="s">
        <v>432</v>
      </c>
      <c r="BK15" s="76"/>
      <c r="BL15" s="40" t="s">
        <v>432</v>
      </c>
      <c r="BM15" s="76"/>
      <c r="BN15" s="40" t="s">
        <v>432</v>
      </c>
      <c r="BO15" s="76"/>
      <c r="BP15" s="40" t="s">
        <v>432</v>
      </c>
      <c r="BQ15" s="76"/>
      <c r="BR15" s="40" t="s">
        <v>432</v>
      </c>
      <c r="BS15" s="76"/>
      <c r="BT15" s="40" t="s">
        <v>432</v>
      </c>
      <c r="BU15" s="76"/>
      <c r="BV15" s="40" t="s">
        <v>432</v>
      </c>
      <c r="BW15" s="76"/>
      <c r="BX15" s="40" t="s">
        <v>432</v>
      </c>
    </row>
    <row r="16" spans="1:76" x14ac:dyDescent="0.25">
      <c r="A16" s="76" t="s">
        <v>552</v>
      </c>
      <c r="B16" s="76">
        <v>15</v>
      </c>
      <c r="C16" s="76" t="s">
        <v>346</v>
      </c>
      <c r="D16" s="40" t="s">
        <v>432</v>
      </c>
      <c r="E16" s="76"/>
      <c r="F16" s="40" t="s">
        <v>432</v>
      </c>
      <c r="G16" s="76"/>
      <c r="H16" s="40" t="s">
        <v>432</v>
      </c>
      <c r="I16" s="76"/>
      <c r="J16" s="40" t="s">
        <v>432</v>
      </c>
      <c r="K16" s="76"/>
      <c r="L16" s="40" t="s">
        <v>432</v>
      </c>
      <c r="M16" s="76" t="s">
        <v>438</v>
      </c>
      <c r="N16" s="40" t="s">
        <v>432</v>
      </c>
      <c r="O16" s="76" t="s">
        <v>439</v>
      </c>
      <c r="P16" s="40" t="s">
        <v>432</v>
      </c>
      <c r="Q16" s="76"/>
      <c r="R16" s="40" t="s">
        <v>432</v>
      </c>
      <c r="S16" s="76"/>
      <c r="T16" s="40" t="s">
        <v>432</v>
      </c>
      <c r="U16" s="76"/>
      <c r="V16" s="40" t="s">
        <v>432</v>
      </c>
      <c r="W16" s="76" t="s">
        <v>440</v>
      </c>
      <c r="X16" s="40" t="s">
        <v>432</v>
      </c>
      <c r="Y16" s="76"/>
      <c r="Z16" s="40" t="s">
        <v>432</v>
      </c>
      <c r="AA16" s="76"/>
      <c r="AB16" s="40" t="s">
        <v>432</v>
      </c>
      <c r="AC16" s="76"/>
      <c r="AD16" s="40" t="s">
        <v>432</v>
      </c>
      <c r="AE16" s="76"/>
      <c r="AF16" s="40" t="s">
        <v>432</v>
      </c>
      <c r="AG16" s="76"/>
      <c r="AH16" s="40" t="s">
        <v>432</v>
      </c>
      <c r="AI16" s="76"/>
      <c r="AJ16" s="40" t="s">
        <v>432</v>
      </c>
      <c r="AK16" s="76"/>
      <c r="AL16" s="40" t="s">
        <v>432</v>
      </c>
      <c r="AM16" s="76" t="s">
        <v>429</v>
      </c>
      <c r="AN16" s="40" t="s">
        <v>432</v>
      </c>
      <c r="AO16" s="76" t="s">
        <v>430</v>
      </c>
      <c r="AP16" s="40" t="s">
        <v>432</v>
      </c>
      <c r="AQ16" s="76"/>
      <c r="AR16" s="40" t="s">
        <v>432</v>
      </c>
      <c r="AS16" s="76"/>
      <c r="AT16" s="40" t="s">
        <v>432</v>
      </c>
      <c r="AU16" s="76"/>
      <c r="AV16" s="40" t="s">
        <v>432</v>
      </c>
      <c r="AW16" s="76"/>
      <c r="AX16" s="40" t="s">
        <v>432</v>
      </c>
      <c r="AY16" s="76"/>
      <c r="AZ16" s="40" t="s">
        <v>432</v>
      </c>
      <c r="BA16" s="76"/>
      <c r="BB16" s="40" t="s">
        <v>432</v>
      </c>
      <c r="BC16" s="76"/>
      <c r="BD16" s="40" t="s">
        <v>432</v>
      </c>
      <c r="BE16" s="76" t="s">
        <v>349</v>
      </c>
      <c r="BF16" s="40" t="s">
        <v>432</v>
      </c>
      <c r="BG16" s="76" t="s">
        <v>350</v>
      </c>
      <c r="BH16" s="40" t="s">
        <v>432</v>
      </c>
      <c r="BI16" s="76"/>
      <c r="BJ16" s="40" t="s">
        <v>432</v>
      </c>
      <c r="BK16" s="76"/>
      <c r="BL16" s="40" t="s">
        <v>432</v>
      </c>
      <c r="BM16" s="76"/>
      <c r="BN16" s="40" t="s">
        <v>432</v>
      </c>
      <c r="BO16" s="76"/>
      <c r="BP16" s="40" t="s">
        <v>432</v>
      </c>
      <c r="BQ16" s="76"/>
      <c r="BR16" s="40" t="s">
        <v>432</v>
      </c>
      <c r="BS16" s="76"/>
      <c r="BT16" s="40" t="s">
        <v>432</v>
      </c>
      <c r="BU16" s="76"/>
      <c r="BV16" s="40" t="s">
        <v>432</v>
      </c>
      <c r="BW16" s="76"/>
      <c r="BX16" s="40" t="s">
        <v>432</v>
      </c>
    </row>
    <row r="17" spans="1:76" x14ac:dyDescent="0.25">
      <c r="A17" s="76" t="s">
        <v>553</v>
      </c>
      <c r="B17" s="76">
        <v>16</v>
      </c>
      <c r="C17" s="76" t="s">
        <v>346</v>
      </c>
      <c r="D17" s="40" t="s">
        <v>432</v>
      </c>
      <c r="E17" s="76"/>
      <c r="F17" s="40" t="s">
        <v>432</v>
      </c>
      <c r="G17" s="76"/>
      <c r="H17" s="40" t="s">
        <v>432</v>
      </c>
      <c r="I17" s="76"/>
      <c r="J17" s="40" t="s">
        <v>432</v>
      </c>
      <c r="K17" s="76"/>
      <c r="L17" s="40" t="s">
        <v>432</v>
      </c>
      <c r="M17" s="76" t="s">
        <v>439</v>
      </c>
      <c r="N17" s="40" t="s">
        <v>432</v>
      </c>
      <c r="O17" s="76"/>
      <c r="P17" s="40" t="s">
        <v>432</v>
      </c>
      <c r="Q17" s="76"/>
      <c r="R17" s="40" t="s">
        <v>432</v>
      </c>
      <c r="S17" s="76"/>
      <c r="T17" s="40" t="s">
        <v>432</v>
      </c>
      <c r="U17" s="76"/>
      <c r="V17" s="40" t="s">
        <v>432</v>
      </c>
      <c r="W17" s="76" t="s">
        <v>440</v>
      </c>
      <c r="X17" s="40" t="s">
        <v>432</v>
      </c>
      <c r="Y17" s="76"/>
      <c r="Z17" s="40" t="s">
        <v>432</v>
      </c>
      <c r="AA17" s="76"/>
      <c r="AB17" s="40" t="s">
        <v>432</v>
      </c>
      <c r="AC17" s="76"/>
      <c r="AD17" s="40" t="s">
        <v>432</v>
      </c>
      <c r="AE17" s="76"/>
      <c r="AF17" s="40" t="s">
        <v>432</v>
      </c>
      <c r="AG17" s="76"/>
      <c r="AH17" s="40" t="s">
        <v>432</v>
      </c>
      <c r="AI17" s="76"/>
      <c r="AJ17" s="40" t="s">
        <v>432</v>
      </c>
      <c r="AK17" s="76"/>
      <c r="AL17" s="40" t="s">
        <v>432</v>
      </c>
      <c r="AM17" s="76" t="s">
        <v>429</v>
      </c>
      <c r="AN17" s="40" t="s">
        <v>432</v>
      </c>
      <c r="AO17" s="76" t="s">
        <v>430</v>
      </c>
      <c r="AP17" s="40" t="s">
        <v>432</v>
      </c>
      <c r="AQ17" s="76"/>
      <c r="AR17" s="40" t="s">
        <v>432</v>
      </c>
      <c r="AS17" s="76"/>
      <c r="AT17" s="40" t="s">
        <v>432</v>
      </c>
      <c r="AU17" s="76"/>
      <c r="AV17" s="40" t="s">
        <v>432</v>
      </c>
      <c r="AW17" s="76"/>
      <c r="AX17" s="40" t="s">
        <v>432</v>
      </c>
      <c r="AY17" s="76" t="s">
        <v>431</v>
      </c>
      <c r="AZ17" s="40" t="s">
        <v>432</v>
      </c>
      <c r="BA17" s="76"/>
      <c r="BB17" s="40" t="s">
        <v>432</v>
      </c>
      <c r="BC17" s="76"/>
      <c r="BD17" s="40" t="s">
        <v>432</v>
      </c>
      <c r="BE17" s="76" t="s">
        <v>349</v>
      </c>
      <c r="BF17" s="40" t="s">
        <v>432</v>
      </c>
      <c r="BG17" s="76" t="s">
        <v>350</v>
      </c>
      <c r="BH17" s="40" t="s">
        <v>432</v>
      </c>
      <c r="BI17" s="76"/>
      <c r="BJ17" s="40" t="s">
        <v>432</v>
      </c>
      <c r="BK17" s="76"/>
      <c r="BL17" s="40" t="s">
        <v>432</v>
      </c>
      <c r="BM17" s="76"/>
      <c r="BN17" s="40" t="s">
        <v>432</v>
      </c>
      <c r="BO17" s="76"/>
      <c r="BP17" s="40" t="s">
        <v>432</v>
      </c>
      <c r="BQ17" s="76"/>
      <c r="BR17" s="40" t="s">
        <v>432</v>
      </c>
      <c r="BS17" s="76"/>
      <c r="BT17" s="40" t="s">
        <v>432</v>
      </c>
      <c r="BU17" s="76"/>
      <c r="BV17" s="40" t="s">
        <v>432</v>
      </c>
      <c r="BW17" s="76"/>
      <c r="BX17" s="40" t="s">
        <v>432</v>
      </c>
    </row>
    <row r="18" spans="1:76" x14ac:dyDescent="0.25">
      <c r="A18" s="76" t="s">
        <v>554</v>
      </c>
      <c r="B18" s="76">
        <v>17</v>
      </c>
      <c r="C18" s="76" t="s">
        <v>346</v>
      </c>
      <c r="D18" s="40" t="s">
        <v>432</v>
      </c>
      <c r="E18" s="76"/>
      <c r="F18" s="40" t="s">
        <v>432</v>
      </c>
      <c r="G18" s="76"/>
      <c r="H18" s="40" t="s">
        <v>432</v>
      </c>
      <c r="I18" s="76"/>
      <c r="J18" s="40" t="s">
        <v>432</v>
      </c>
      <c r="K18" s="76"/>
      <c r="L18" s="40" t="s">
        <v>432</v>
      </c>
      <c r="M18" s="76" t="s">
        <v>438</v>
      </c>
      <c r="N18" s="40" t="s">
        <v>432</v>
      </c>
      <c r="O18" s="76" t="s">
        <v>439</v>
      </c>
      <c r="P18" s="40" t="s">
        <v>432</v>
      </c>
      <c r="Q18" s="76"/>
      <c r="R18" s="40" t="s">
        <v>432</v>
      </c>
      <c r="S18" s="76"/>
      <c r="T18" s="40" t="s">
        <v>432</v>
      </c>
      <c r="U18" s="76"/>
      <c r="V18" s="40" t="s">
        <v>432</v>
      </c>
      <c r="W18" s="76" t="s">
        <v>440</v>
      </c>
      <c r="X18" s="40" t="s">
        <v>432</v>
      </c>
      <c r="Y18" s="76"/>
      <c r="Z18" s="40" t="s">
        <v>432</v>
      </c>
      <c r="AA18" s="76"/>
      <c r="AB18" s="40" t="s">
        <v>432</v>
      </c>
      <c r="AC18" s="76" t="s">
        <v>338</v>
      </c>
      <c r="AD18" s="40" t="s">
        <v>432</v>
      </c>
      <c r="AE18" s="76"/>
      <c r="AF18" s="40" t="s">
        <v>432</v>
      </c>
      <c r="AG18" s="76"/>
      <c r="AH18" s="40" t="s">
        <v>432</v>
      </c>
      <c r="AI18" s="76"/>
      <c r="AJ18" s="40" t="s">
        <v>432</v>
      </c>
      <c r="AK18" s="76"/>
      <c r="AL18" s="40" t="s">
        <v>432</v>
      </c>
      <c r="AM18" s="76"/>
      <c r="AN18" s="40" t="s">
        <v>432</v>
      </c>
      <c r="AO18" s="76"/>
      <c r="AP18" s="40" t="s">
        <v>432</v>
      </c>
      <c r="AQ18" s="76"/>
      <c r="AR18" s="40" t="s">
        <v>432</v>
      </c>
      <c r="AS18" s="76"/>
      <c r="AT18" s="40" t="s">
        <v>432</v>
      </c>
      <c r="AU18" s="76"/>
      <c r="AV18" s="40" t="s">
        <v>432</v>
      </c>
      <c r="AW18" s="76"/>
      <c r="AX18" s="40" t="s">
        <v>432</v>
      </c>
      <c r="AY18" s="76" t="s">
        <v>431</v>
      </c>
      <c r="AZ18" s="40" t="s">
        <v>432</v>
      </c>
      <c r="BA18" s="76"/>
      <c r="BB18" s="40" t="s">
        <v>432</v>
      </c>
      <c r="BC18" s="76"/>
      <c r="BD18" s="40" t="s">
        <v>432</v>
      </c>
      <c r="BE18" s="76" t="s">
        <v>349</v>
      </c>
      <c r="BF18" s="40" t="s">
        <v>432</v>
      </c>
      <c r="BG18" s="76" t="s">
        <v>350</v>
      </c>
      <c r="BH18" s="40" t="s">
        <v>432</v>
      </c>
      <c r="BI18" s="76"/>
      <c r="BJ18" s="40" t="s">
        <v>432</v>
      </c>
      <c r="BK18" s="76"/>
      <c r="BL18" s="40" t="s">
        <v>432</v>
      </c>
      <c r="BM18" s="76"/>
      <c r="BN18" s="40" t="s">
        <v>432</v>
      </c>
      <c r="BO18" s="76"/>
      <c r="BP18" s="40" t="s">
        <v>432</v>
      </c>
      <c r="BQ18" s="76"/>
      <c r="BR18" s="40" t="s">
        <v>432</v>
      </c>
      <c r="BS18" s="76"/>
      <c r="BT18" s="40" t="s">
        <v>432</v>
      </c>
      <c r="BU18" s="76"/>
      <c r="BV18" s="40" t="s">
        <v>432</v>
      </c>
      <c r="BW18" s="76"/>
      <c r="BX18" s="40" t="s">
        <v>432</v>
      </c>
    </row>
    <row r="19" spans="1:76" x14ac:dyDescent="0.25">
      <c r="A19" s="76" t="s">
        <v>555</v>
      </c>
      <c r="B19" s="76">
        <v>18</v>
      </c>
      <c r="C19" s="76" t="s">
        <v>346</v>
      </c>
      <c r="D19" s="40" t="s">
        <v>432</v>
      </c>
      <c r="E19" s="76"/>
      <c r="F19" s="40" t="s">
        <v>432</v>
      </c>
      <c r="G19" s="76"/>
      <c r="H19" s="40" t="s">
        <v>432</v>
      </c>
      <c r="I19" s="76"/>
      <c r="J19" s="40" t="s">
        <v>432</v>
      </c>
      <c r="K19" s="76"/>
      <c r="L19" s="40" t="s">
        <v>432</v>
      </c>
      <c r="M19" s="76" t="s">
        <v>438</v>
      </c>
      <c r="N19" s="40" t="s">
        <v>432</v>
      </c>
      <c r="O19" s="76" t="s">
        <v>439</v>
      </c>
      <c r="P19" s="40" t="s">
        <v>432</v>
      </c>
      <c r="Q19" s="76"/>
      <c r="R19" s="40" t="s">
        <v>432</v>
      </c>
      <c r="S19" s="76"/>
      <c r="T19" s="40" t="s">
        <v>432</v>
      </c>
      <c r="U19" s="76"/>
      <c r="V19" s="40" t="s">
        <v>432</v>
      </c>
      <c r="W19" s="76" t="s">
        <v>440</v>
      </c>
      <c r="X19" s="40" t="s">
        <v>432</v>
      </c>
      <c r="Y19" s="76"/>
      <c r="Z19" s="40" t="s">
        <v>432</v>
      </c>
      <c r="AA19" s="76"/>
      <c r="AB19" s="40" t="s">
        <v>432</v>
      </c>
      <c r="AC19" s="76" t="s">
        <v>338</v>
      </c>
      <c r="AD19" s="40" t="s">
        <v>432</v>
      </c>
      <c r="AE19" s="76"/>
      <c r="AF19" s="40" t="s">
        <v>432</v>
      </c>
      <c r="AG19" s="76"/>
      <c r="AH19" s="40" t="s">
        <v>432</v>
      </c>
      <c r="AI19" s="76"/>
      <c r="AJ19" s="40" t="s">
        <v>432</v>
      </c>
      <c r="AK19" s="76"/>
      <c r="AL19" s="40" t="s">
        <v>432</v>
      </c>
      <c r="AM19" s="76"/>
      <c r="AN19" s="40" t="s">
        <v>432</v>
      </c>
      <c r="AO19" s="76"/>
      <c r="AP19" s="40" t="s">
        <v>432</v>
      </c>
      <c r="AQ19" s="76"/>
      <c r="AR19" s="40" t="s">
        <v>432</v>
      </c>
      <c r="AS19" s="76"/>
      <c r="AT19" s="40" t="s">
        <v>432</v>
      </c>
      <c r="AU19" s="76"/>
      <c r="AV19" s="40" t="s">
        <v>432</v>
      </c>
      <c r="AW19" s="76"/>
      <c r="AX19" s="40" t="s">
        <v>432</v>
      </c>
      <c r="AY19" s="76" t="s">
        <v>431</v>
      </c>
      <c r="AZ19" s="40" t="s">
        <v>432</v>
      </c>
      <c r="BA19" s="76"/>
      <c r="BB19" s="40" t="s">
        <v>432</v>
      </c>
      <c r="BC19" s="76"/>
      <c r="BD19" s="40" t="s">
        <v>432</v>
      </c>
      <c r="BE19" s="76" t="s">
        <v>349</v>
      </c>
      <c r="BF19" s="40" t="s">
        <v>432</v>
      </c>
      <c r="BG19" s="76" t="s">
        <v>350</v>
      </c>
      <c r="BH19" s="40" t="s">
        <v>432</v>
      </c>
      <c r="BI19" s="76"/>
      <c r="BJ19" s="40" t="s">
        <v>432</v>
      </c>
      <c r="BK19" s="76"/>
      <c r="BL19" s="40" t="s">
        <v>432</v>
      </c>
      <c r="BM19" s="76"/>
      <c r="BN19" s="40" t="s">
        <v>432</v>
      </c>
      <c r="BO19" s="76"/>
      <c r="BP19" s="40" t="s">
        <v>432</v>
      </c>
      <c r="BQ19" s="76"/>
      <c r="BR19" s="40" t="s">
        <v>432</v>
      </c>
      <c r="BS19" s="76"/>
      <c r="BT19" s="40" t="s">
        <v>432</v>
      </c>
      <c r="BU19" s="76"/>
      <c r="BV19" s="40" t="s">
        <v>432</v>
      </c>
      <c r="BW19" s="76"/>
      <c r="BX19" s="40" t="s">
        <v>432</v>
      </c>
    </row>
    <row r="20" spans="1:76" x14ac:dyDescent="0.25">
      <c r="A20" s="76" t="s">
        <v>556</v>
      </c>
      <c r="B20" s="76">
        <v>19</v>
      </c>
      <c r="C20" s="76" t="s">
        <v>346</v>
      </c>
      <c r="D20" s="40" t="s">
        <v>432</v>
      </c>
      <c r="E20" s="76"/>
      <c r="F20" s="40" t="s">
        <v>432</v>
      </c>
      <c r="G20" s="76"/>
      <c r="H20" s="40" t="s">
        <v>432</v>
      </c>
      <c r="I20" s="76"/>
      <c r="J20" s="40" t="s">
        <v>432</v>
      </c>
      <c r="K20" s="76"/>
      <c r="L20" s="40" t="s">
        <v>432</v>
      </c>
      <c r="M20" s="76" t="s">
        <v>438</v>
      </c>
      <c r="N20" s="40" t="s">
        <v>432</v>
      </c>
      <c r="O20" s="76" t="s">
        <v>439</v>
      </c>
      <c r="P20" s="40" t="s">
        <v>432</v>
      </c>
      <c r="Q20" s="76"/>
      <c r="R20" s="40" t="s">
        <v>432</v>
      </c>
      <c r="S20" s="76"/>
      <c r="T20" s="40" t="s">
        <v>432</v>
      </c>
      <c r="U20" s="76"/>
      <c r="V20" s="40" t="s">
        <v>432</v>
      </c>
      <c r="W20" s="76" t="s">
        <v>440</v>
      </c>
      <c r="X20" s="40" t="s">
        <v>432</v>
      </c>
      <c r="Y20" s="76"/>
      <c r="Z20" s="40" t="s">
        <v>432</v>
      </c>
      <c r="AA20" s="76"/>
      <c r="AB20" s="40" t="s">
        <v>432</v>
      </c>
      <c r="AC20" s="76" t="s">
        <v>338</v>
      </c>
      <c r="AD20" s="40" t="s">
        <v>432</v>
      </c>
      <c r="AE20" s="76"/>
      <c r="AF20" s="40" t="s">
        <v>432</v>
      </c>
      <c r="AG20" s="76"/>
      <c r="AH20" s="40" t="s">
        <v>432</v>
      </c>
      <c r="AI20" s="76"/>
      <c r="AJ20" s="40" t="s">
        <v>432</v>
      </c>
      <c r="AK20" s="76"/>
      <c r="AL20" s="40" t="s">
        <v>432</v>
      </c>
      <c r="AM20" s="76"/>
      <c r="AN20" s="40" t="s">
        <v>432</v>
      </c>
      <c r="AO20" s="76"/>
      <c r="AP20" s="40" t="s">
        <v>432</v>
      </c>
      <c r="AQ20" s="76"/>
      <c r="AR20" s="40" t="s">
        <v>432</v>
      </c>
      <c r="AS20" s="76"/>
      <c r="AT20" s="40" t="s">
        <v>432</v>
      </c>
      <c r="AU20" s="76"/>
      <c r="AV20" s="40" t="s">
        <v>432</v>
      </c>
      <c r="AW20" s="76"/>
      <c r="AX20" s="40" t="s">
        <v>432</v>
      </c>
      <c r="AY20" s="76" t="s">
        <v>431</v>
      </c>
      <c r="AZ20" s="40" t="s">
        <v>432</v>
      </c>
      <c r="BA20" s="76"/>
      <c r="BB20" s="40" t="s">
        <v>432</v>
      </c>
      <c r="BC20" s="76"/>
      <c r="BD20" s="40" t="s">
        <v>432</v>
      </c>
      <c r="BE20" s="76" t="s">
        <v>349</v>
      </c>
      <c r="BF20" s="40" t="s">
        <v>432</v>
      </c>
      <c r="BG20" s="76"/>
      <c r="BH20" s="40" t="s">
        <v>432</v>
      </c>
      <c r="BI20" s="76"/>
      <c r="BJ20" s="40" t="s">
        <v>432</v>
      </c>
      <c r="BK20" s="76"/>
      <c r="BL20" s="40" t="s">
        <v>432</v>
      </c>
      <c r="BM20" s="76"/>
      <c r="BN20" s="40" t="s">
        <v>432</v>
      </c>
      <c r="BO20" s="76"/>
      <c r="BP20" s="40" t="s">
        <v>432</v>
      </c>
      <c r="BQ20" s="76"/>
      <c r="BR20" s="40" t="s">
        <v>432</v>
      </c>
      <c r="BS20" s="76"/>
      <c r="BT20" s="40" t="s">
        <v>432</v>
      </c>
      <c r="BU20" s="76"/>
      <c r="BV20" s="40" t="s">
        <v>432</v>
      </c>
      <c r="BW20" s="76"/>
      <c r="BX20" s="40" t="s">
        <v>432</v>
      </c>
    </row>
    <row r="21" spans="1:76" x14ac:dyDescent="0.25">
      <c r="A21" s="76" t="s">
        <v>557</v>
      </c>
      <c r="B21" s="76">
        <v>20</v>
      </c>
      <c r="C21" s="76" t="s">
        <v>346</v>
      </c>
      <c r="D21" s="40" t="s">
        <v>432</v>
      </c>
      <c r="E21" s="76"/>
      <c r="F21" s="40" t="s">
        <v>432</v>
      </c>
      <c r="G21" s="76"/>
      <c r="H21" s="40" t="s">
        <v>432</v>
      </c>
      <c r="I21" s="76"/>
      <c r="J21" s="40" t="s">
        <v>432</v>
      </c>
      <c r="K21" s="76"/>
      <c r="L21" s="40" t="s">
        <v>432</v>
      </c>
      <c r="M21" s="76" t="s">
        <v>438</v>
      </c>
      <c r="N21" s="40" t="s">
        <v>432</v>
      </c>
      <c r="O21" s="76" t="s">
        <v>439</v>
      </c>
      <c r="P21" s="40" t="s">
        <v>432</v>
      </c>
      <c r="Q21" s="76"/>
      <c r="R21" s="40" t="s">
        <v>432</v>
      </c>
      <c r="S21" s="76"/>
      <c r="T21" s="40" t="s">
        <v>432</v>
      </c>
      <c r="U21" s="76"/>
      <c r="V21" s="40" t="s">
        <v>432</v>
      </c>
      <c r="W21" s="76" t="s">
        <v>440</v>
      </c>
      <c r="X21" s="40" t="s">
        <v>432</v>
      </c>
      <c r="Y21" s="76"/>
      <c r="Z21" s="40" t="s">
        <v>432</v>
      </c>
      <c r="AA21" s="76"/>
      <c r="AB21" s="40" t="s">
        <v>432</v>
      </c>
      <c r="AC21" s="76" t="s">
        <v>338</v>
      </c>
      <c r="AD21" s="40" t="s">
        <v>432</v>
      </c>
      <c r="AE21" s="76"/>
      <c r="AF21" s="40" t="s">
        <v>432</v>
      </c>
      <c r="AG21" s="76"/>
      <c r="AH21" s="40" t="s">
        <v>432</v>
      </c>
      <c r="AI21" s="76"/>
      <c r="AJ21" s="40" t="s">
        <v>432</v>
      </c>
      <c r="AK21" s="76"/>
      <c r="AL21" s="40" t="s">
        <v>432</v>
      </c>
      <c r="AM21" s="76"/>
      <c r="AN21" s="40" t="s">
        <v>432</v>
      </c>
      <c r="AO21" s="76"/>
      <c r="AP21" s="40" t="s">
        <v>432</v>
      </c>
      <c r="AQ21" s="76"/>
      <c r="AR21" s="40" t="s">
        <v>432</v>
      </c>
      <c r="AS21" s="76"/>
      <c r="AT21" s="40" t="s">
        <v>432</v>
      </c>
      <c r="AU21" s="76"/>
      <c r="AV21" s="40" t="s">
        <v>432</v>
      </c>
      <c r="AW21" s="76"/>
      <c r="AX21" s="40" t="s">
        <v>432</v>
      </c>
      <c r="AY21" s="76" t="s">
        <v>431</v>
      </c>
      <c r="AZ21" s="40" t="s">
        <v>432</v>
      </c>
      <c r="BA21" s="76"/>
      <c r="BB21" s="40" t="s">
        <v>432</v>
      </c>
      <c r="BC21" s="76"/>
      <c r="BD21" s="40" t="s">
        <v>432</v>
      </c>
      <c r="BE21" s="76" t="s">
        <v>349</v>
      </c>
      <c r="BF21" s="40" t="s">
        <v>432</v>
      </c>
      <c r="BG21" s="76"/>
      <c r="BH21" s="40" t="s">
        <v>432</v>
      </c>
      <c r="BI21" s="76"/>
      <c r="BJ21" s="40" t="s">
        <v>432</v>
      </c>
      <c r="BK21" s="76"/>
      <c r="BL21" s="40" t="s">
        <v>432</v>
      </c>
      <c r="BM21" s="76"/>
      <c r="BN21" s="40" t="s">
        <v>432</v>
      </c>
      <c r="BO21" s="76"/>
      <c r="BP21" s="40" t="s">
        <v>432</v>
      </c>
      <c r="BQ21" s="76"/>
      <c r="BR21" s="40" t="s">
        <v>432</v>
      </c>
      <c r="BS21" s="76"/>
      <c r="BT21" s="40" t="s">
        <v>432</v>
      </c>
      <c r="BU21" s="76"/>
      <c r="BV21" s="40" t="s">
        <v>432</v>
      </c>
      <c r="BW21" s="76"/>
      <c r="BX21" s="40" t="s">
        <v>432</v>
      </c>
    </row>
    <row r="22" spans="1:76" x14ac:dyDescent="0.25">
      <c r="A22" s="76" t="s">
        <v>558</v>
      </c>
      <c r="B22" s="76">
        <v>21</v>
      </c>
      <c r="C22" s="76" t="s">
        <v>346</v>
      </c>
      <c r="D22" s="40" t="s">
        <v>432</v>
      </c>
      <c r="E22" s="76"/>
      <c r="F22" s="40" t="s">
        <v>432</v>
      </c>
      <c r="G22" s="76"/>
      <c r="H22" s="40" t="s">
        <v>432</v>
      </c>
      <c r="I22" s="76"/>
      <c r="J22" s="40" t="s">
        <v>432</v>
      </c>
      <c r="K22" s="76"/>
      <c r="L22" s="40" t="s">
        <v>432</v>
      </c>
      <c r="M22" s="76" t="s">
        <v>438</v>
      </c>
      <c r="N22" s="40" t="s">
        <v>432</v>
      </c>
      <c r="O22" s="76" t="s">
        <v>439</v>
      </c>
      <c r="P22" s="40" t="s">
        <v>432</v>
      </c>
      <c r="Q22" s="76"/>
      <c r="R22" s="40" t="s">
        <v>432</v>
      </c>
      <c r="S22" s="76"/>
      <c r="T22" s="40" t="s">
        <v>432</v>
      </c>
      <c r="U22" s="76"/>
      <c r="V22" s="40" t="s">
        <v>432</v>
      </c>
      <c r="W22" s="76" t="s">
        <v>440</v>
      </c>
      <c r="X22" s="40" t="s">
        <v>432</v>
      </c>
      <c r="Y22" s="76"/>
      <c r="Z22" s="40" t="s">
        <v>432</v>
      </c>
      <c r="AA22" s="76"/>
      <c r="AB22" s="40" t="s">
        <v>432</v>
      </c>
      <c r="AC22" s="76" t="s">
        <v>338</v>
      </c>
      <c r="AD22" s="40" t="s">
        <v>432</v>
      </c>
      <c r="AE22" s="76"/>
      <c r="AF22" s="40" t="s">
        <v>432</v>
      </c>
      <c r="AG22" s="76"/>
      <c r="AH22" s="40" t="s">
        <v>432</v>
      </c>
      <c r="AI22" s="76"/>
      <c r="AJ22" s="40" t="s">
        <v>432</v>
      </c>
      <c r="AK22" s="76"/>
      <c r="AL22" s="40" t="s">
        <v>432</v>
      </c>
      <c r="AM22" s="76"/>
      <c r="AN22" s="40" t="s">
        <v>432</v>
      </c>
      <c r="AO22" s="76"/>
      <c r="AP22" s="40" t="s">
        <v>432</v>
      </c>
      <c r="AQ22" s="76"/>
      <c r="AR22" s="40" t="s">
        <v>432</v>
      </c>
      <c r="AS22" s="76"/>
      <c r="AT22" s="40" t="s">
        <v>432</v>
      </c>
      <c r="AU22" s="76"/>
      <c r="AV22" s="40" t="s">
        <v>432</v>
      </c>
      <c r="AW22" s="76"/>
      <c r="AX22" s="40" t="s">
        <v>432</v>
      </c>
      <c r="AY22" s="76" t="s">
        <v>431</v>
      </c>
      <c r="AZ22" s="40" t="s">
        <v>432</v>
      </c>
      <c r="BA22" s="76"/>
      <c r="BB22" s="40" t="s">
        <v>432</v>
      </c>
      <c r="BC22" s="76"/>
      <c r="BD22" s="40" t="s">
        <v>432</v>
      </c>
      <c r="BE22" s="76" t="s">
        <v>349</v>
      </c>
      <c r="BF22" s="40" t="s">
        <v>432</v>
      </c>
      <c r="BG22" s="76"/>
      <c r="BH22" s="40" t="s">
        <v>432</v>
      </c>
      <c r="BI22" s="76"/>
      <c r="BJ22" s="40" t="s">
        <v>432</v>
      </c>
      <c r="BK22" s="76"/>
      <c r="BL22" s="40" t="s">
        <v>432</v>
      </c>
      <c r="BM22" s="76"/>
      <c r="BN22" s="40" t="s">
        <v>432</v>
      </c>
      <c r="BO22" s="76"/>
      <c r="BP22" s="40" t="s">
        <v>432</v>
      </c>
      <c r="BQ22" s="76"/>
      <c r="BR22" s="40" t="s">
        <v>432</v>
      </c>
      <c r="BS22" s="76"/>
      <c r="BT22" s="40" t="s">
        <v>432</v>
      </c>
      <c r="BU22" s="76"/>
      <c r="BV22" s="40" t="s">
        <v>432</v>
      </c>
      <c r="BW22" s="76"/>
      <c r="BX22" s="40" t="s">
        <v>432</v>
      </c>
    </row>
    <row r="23" spans="1:76" x14ac:dyDescent="0.25">
      <c r="A23" s="76" t="s">
        <v>559</v>
      </c>
      <c r="B23" s="76">
        <v>22</v>
      </c>
      <c r="C23" s="76" t="s">
        <v>346</v>
      </c>
      <c r="D23" s="40" t="s">
        <v>432</v>
      </c>
      <c r="E23" s="76"/>
      <c r="F23" s="40" t="s">
        <v>432</v>
      </c>
      <c r="G23" s="76"/>
      <c r="H23" s="40" t="s">
        <v>432</v>
      </c>
      <c r="I23" s="76"/>
      <c r="J23" s="40" t="s">
        <v>432</v>
      </c>
      <c r="K23" s="76"/>
      <c r="L23" s="40" t="s">
        <v>432</v>
      </c>
      <c r="M23" s="76" t="s">
        <v>438</v>
      </c>
      <c r="N23" s="40" t="s">
        <v>432</v>
      </c>
      <c r="O23" s="76" t="s">
        <v>439</v>
      </c>
      <c r="P23" s="40" t="s">
        <v>432</v>
      </c>
      <c r="Q23" s="76"/>
      <c r="R23" s="40" t="s">
        <v>432</v>
      </c>
      <c r="S23" s="76"/>
      <c r="T23" s="40" t="s">
        <v>432</v>
      </c>
      <c r="U23" s="76"/>
      <c r="V23" s="40" t="s">
        <v>432</v>
      </c>
      <c r="W23" s="76" t="s">
        <v>440</v>
      </c>
      <c r="X23" s="40" t="s">
        <v>432</v>
      </c>
      <c r="Y23" s="76"/>
      <c r="Z23" s="40" t="s">
        <v>432</v>
      </c>
      <c r="AA23" s="76"/>
      <c r="AB23" s="40" t="s">
        <v>432</v>
      </c>
      <c r="AC23" s="76" t="s">
        <v>338</v>
      </c>
      <c r="AD23" s="40" t="s">
        <v>432</v>
      </c>
      <c r="AE23" s="76"/>
      <c r="AF23" s="40" t="s">
        <v>432</v>
      </c>
      <c r="AG23" s="76"/>
      <c r="AH23" s="40" t="s">
        <v>432</v>
      </c>
      <c r="AI23" s="76"/>
      <c r="AJ23" s="40" t="s">
        <v>432</v>
      </c>
      <c r="AK23" s="76"/>
      <c r="AL23" s="40" t="s">
        <v>432</v>
      </c>
      <c r="AM23" s="76"/>
      <c r="AN23" s="40" t="s">
        <v>432</v>
      </c>
      <c r="AO23" s="76"/>
      <c r="AP23" s="40" t="s">
        <v>432</v>
      </c>
      <c r="AQ23" s="76"/>
      <c r="AR23" s="40" t="s">
        <v>432</v>
      </c>
      <c r="AS23" s="76"/>
      <c r="AT23" s="40" t="s">
        <v>432</v>
      </c>
      <c r="AU23" s="76"/>
      <c r="AV23" s="40" t="s">
        <v>432</v>
      </c>
      <c r="AW23" s="76"/>
      <c r="AX23" s="40" t="s">
        <v>432</v>
      </c>
      <c r="AY23" s="76" t="s">
        <v>431</v>
      </c>
      <c r="AZ23" s="40" t="s">
        <v>432</v>
      </c>
      <c r="BA23" s="76"/>
      <c r="BB23" s="40" t="s">
        <v>432</v>
      </c>
      <c r="BC23" s="76"/>
      <c r="BD23" s="40" t="s">
        <v>432</v>
      </c>
      <c r="BE23" s="76" t="s">
        <v>349</v>
      </c>
      <c r="BF23" s="40" t="s">
        <v>432</v>
      </c>
      <c r="BG23" s="76"/>
      <c r="BH23" s="40" t="s">
        <v>432</v>
      </c>
      <c r="BI23" s="76"/>
      <c r="BJ23" s="40" t="s">
        <v>432</v>
      </c>
      <c r="BK23" s="76"/>
      <c r="BL23" s="40" t="s">
        <v>432</v>
      </c>
      <c r="BM23" s="76"/>
      <c r="BN23" s="40" t="s">
        <v>432</v>
      </c>
      <c r="BO23" s="76"/>
      <c r="BP23" s="40" t="s">
        <v>432</v>
      </c>
      <c r="BQ23" s="76"/>
      <c r="BR23" s="40" t="s">
        <v>432</v>
      </c>
      <c r="BS23" s="76"/>
      <c r="BT23" s="40" t="s">
        <v>432</v>
      </c>
      <c r="BU23" s="76"/>
      <c r="BV23" s="40" t="s">
        <v>432</v>
      </c>
      <c r="BW23" s="76"/>
      <c r="BX23" s="40" t="s">
        <v>432</v>
      </c>
    </row>
    <row r="24" spans="1:76" x14ac:dyDescent="0.25">
      <c r="A24" s="76" t="s">
        <v>560</v>
      </c>
      <c r="B24" s="76">
        <v>23</v>
      </c>
      <c r="C24" s="76" t="s">
        <v>346</v>
      </c>
      <c r="D24" s="40" t="s">
        <v>432</v>
      </c>
      <c r="E24" s="76"/>
      <c r="F24" s="40" t="s">
        <v>432</v>
      </c>
      <c r="G24" s="76"/>
      <c r="H24" s="40" t="s">
        <v>432</v>
      </c>
      <c r="I24" s="76"/>
      <c r="J24" s="40" t="s">
        <v>432</v>
      </c>
      <c r="K24" s="76"/>
      <c r="L24" s="40" t="s">
        <v>432</v>
      </c>
      <c r="M24" s="76" t="s">
        <v>438</v>
      </c>
      <c r="N24" s="40" t="s">
        <v>432</v>
      </c>
      <c r="O24" s="76" t="s">
        <v>439</v>
      </c>
      <c r="P24" s="40" t="s">
        <v>432</v>
      </c>
      <c r="Q24" s="76"/>
      <c r="R24" s="40" t="s">
        <v>432</v>
      </c>
      <c r="S24" s="76"/>
      <c r="T24" s="40" t="s">
        <v>432</v>
      </c>
      <c r="U24" s="76"/>
      <c r="V24" s="40" t="s">
        <v>432</v>
      </c>
      <c r="W24" s="76" t="s">
        <v>440</v>
      </c>
      <c r="X24" s="40" t="s">
        <v>432</v>
      </c>
      <c r="Y24" s="76"/>
      <c r="Z24" s="40" t="s">
        <v>432</v>
      </c>
      <c r="AA24" s="76"/>
      <c r="AB24" s="40" t="s">
        <v>432</v>
      </c>
      <c r="AC24" s="76"/>
      <c r="AD24" s="40" t="s">
        <v>432</v>
      </c>
      <c r="AE24" s="76"/>
      <c r="AF24" s="40" t="s">
        <v>432</v>
      </c>
      <c r="AG24" s="76"/>
      <c r="AH24" s="40" t="s">
        <v>432</v>
      </c>
      <c r="AI24" s="76"/>
      <c r="AJ24" s="40" t="s">
        <v>432</v>
      </c>
      <c r="AK24" s="76"/>
      <c r="AL24" s="40" t="s">
        <v>432</v>
      </c>
      <c r="AM24" s="76" t="s">
        <v>429</v>
      </c>
      <c r="AN24" s="40" t="s">
        <v>432</v>
      </c>
      <c r="AO24" s="76"/>
      <c r="AP24" s="40" t="s">
        <v>432</v>
      </c>
      <c r="AQ24" s="76"/>
      <c r="AR24" s="40" t="s">
        <v>432</v>
      </c>
      <c r="AS24" s="76"/>
      <c r="AT24" s="40" t="s">
        <v>432</v>
      </c>
      <c r="AU24" s="76"/>
      <c r="AV24" s="40" t="s">
        <v>432</v>
      </c>
      <c r="AW24" s="76"/>
      <c r="AX24" s="40" t="s">
        <v>432</v>
      </c>
      <c r="AY24" s="76" t="s">
        <v>431</v>
      </c>
      <c r="AZ24" s="40" t="s">
        <v>432</v>
      </c>
      <c r="BA24" s="76"/>
      <c r="BB24" s="40" t="s">
        <v>432</v>
      </c>
      <c r="BC24" s="76"/>
      <c r="BD24" s="40" t="s">
        <v>432</v>
      </c>
      <c r="BE24" s="76" t="s">
        <v>349</v>
      </c>
      <c r="BF24" s="40" t="s">
        <v>432</v>
      </c>
      <c r="BG24" s="76"/>
      <c r="BH24" s="40" t="s">
        <v>432</v>
      </c>
      <c r="BI24" s="76"/>
      <c r="BJ24" s="40" t="s">
        <v>432</v>
      </c>
      <c r="BK24" s="76"/>
      <c r="BL24" s="40" t="s">
        <v>432</v>
      </c>
      <c r="BM24" s="76"/>
      <c r="BN24" s="40" t="s">
        <v>432</v>
      </c>
      <c r="BO24" s="76"/>
      <c r="BP24" s="40" t="s">
        <v>432</v>
      </c>
      <c r="BQ24" s="76"/>
      <c r="BR24" s="40" t="s">
        <v>432</v>
      </c>
      <c r="BS24" s="76"/>
      <c r="BT24" s="40" t="s">
        <v>432</v>
      </c>
      <c r="BU24" s="76"/>
      <c r="BV24" s="40" t="s">
        <v>432</v>
      </c>
      <c r="BW24" s="76"/>
      <c r="BX24" s="40" t="s">
        <v>432</v>
      </c>
    </row>
    <row r="25" spans="1:76" x14ac:dyDescent="0.25">
      <c r="A25" s="76" t="s">
        <v>561</v>
      </c>
      <c r="B25" s="76">
        <v>24</v>
      </c>
      <c r="C25" s="76" t="s">
        <v>346</v>
      </c>
      <c r="D25" s="40" t="s">
        <v>432</v>
      </c>
      <c r="E25" s="76"/>
      <c r="F25" s="40" t="s">
        <v>432</v>
      </c>
      <c r="G25" s="76"/>
      <c r="H25" s="40" t="s">
        <v>432</v>
      </c>
      <c r="I25" s="76"/>
      <c r="J25" s="40" t="s">
        <v>432</v>
      </c>
      <c r="K25" s="76"/>
      <c r="L25" s="40" t="s">
        <v>432</v>
      </c>
      <c r="M25" s="76" t="s">
        <v>438</v>
      </c>
      <c r="N25" s="40" t="s">
        <v>432</v>
      </c>
      <c r="O25" s="76" t="s">
        <v>439</v>
      </c>
      <c r="P25" s="40" t="s">
        <v>432</v>
      </c>
      <c r="Q25" s="76"/>
      <c r="R25" s="40" t="s">
        <v>432</v>
      </c>
      <c r="S25" s="76"/>
      <c r="T25" s="40" t="s">
        <v>432</v>
      </c>
      <c r="U25" s="76"/>
      <c r="V25" s="40" t="s">
        <v>432</v>
      </c>
      <c r="W25" s="76" t="s">
        <v>440</v>
      </c>
      <c r="X25" s="40" t="s">
        <v>432</v>
      </c>
      <c r="Y25" s="76"/>
      <c r="Z25" s="40" t="s">
        <v>432</v>
      </c>
      <c r="AA25" s="76"/>
      <c r="AB25" s="40" t="s">
        <v>432</v>
      </c>
      <c r="AC25" s="76"/>
      <c r="AD25" s="40" t="s">
        <v>432</v>
      </c>
      <c r="AE25" s="76"/>
      <c r="AF25" s="40" t="s">
        <v>432</v>
      </c>
      <c r="AG25" s="76"/>
      <c r="AH25" s="40" t="s">
        <v>432</v>
      </c>
      <c r="AI25" s="76"/>
      <c r="AJ25" s="40" t="s">
        <v>432</v>
      </c>
      <c r="AK25" s="76"/>
      <c r="AL25" s="40" t="s">
        <v>432</v>
      </c>
      <c r="AM25" s="76" t="s">
        <v>429</v>
      </c>
      <c r="AN25" s="40" t="s">
        <v>432</v>
      </c>
      <c r="AO25" s="76"/>
      <c r="AP25" s="40" t="s">
        <v>432</v>
      </c>
      <c r="AQ25" s="76"/>
      <c r="AR25" s="40" t="s">
        <v>432</v>
      </c>
      <c r="AS25" s="76"/>
      <c r="AT25" s="40" t="s">
        <v>432</v>
      </c>
      <c r="AU25" s="76"/>
      <c r="AV25" s="40" t="s">
        <v>432</v>
      </c>
      <c r="AW25" s="76"/>
      <c r="AX25" s="40" t="s">
        <v>432</v>
      </c>
      <c r="AY25" s="76" t="s">
        <v>431</v>
      </c>
      <c r="AZ25" s="40" t="s">
        <v>432</v>
      </c>
      <c r="BA25" s="76"/>
      <c r="BB25" s="40" t="s">
        <v>432</v>
      </c>
      <c r="BC25" s="76"/>
      <c r="BD25" s="40" t="s">
        <v>432</v>
      </c>
      <c r="BE25" s="76" t="s">
        <v>349</v>
      </c>
      <c r="BF25" s="40" t="s">
        <v>432</v>
      </c>
      <c r="BG25" s="76"/>
      <c r="BH25" s="40" t="s">
        <v>432</v>
      </c>
      <c r="BI25" s="76"/>
      <c r="BJ25" s="40" t="s">
        <v>432</v>
      </c>
      <c r="BK25" s="76"/>
      <c r="BL25" s="40" t="s">
        <v>432</v>
      </c>
      <c r="BM25" s="76"/>
      <c r="BN25" s="40" t="s">
        <v>432</v>
      </c>
      <c r="BO25" s="76"/>
      <c r="BP25" s="40" t="s">
        <v>432</v>
      </c>
      <c r="BQ25" s="76"/>
      <c r="BR25" s="40" t="s">
        <v>432</v>
      </c>
      <c r="BS25" s="76"/>
      <c r="BT25" s="40" t="s">
        <v>432</v>
      </c>
      <c r="BU25" s="76"/>
      <c r="BV25" s="40" t="s">
        <v>432</v>
      </c>
      <c r="BW25" s="76"/>
      <c r="BX25" s="40" t="s">
        <v>432</v>
      </c>
    </row>
    <row r="26" spans="1:76" x14ac:dyDescent="0.25">
      <c r="A26" s="76" t="s">
        <v>562</v>
      </c>
      <c r="B26" s="76">
        <v>25</v>
      </c>
      <c r="C26" s="76" t="s">
        <v>346</v>
      </c>
      <c r="D26" s="40" t="s">
        <v>432</v>
      </c>
      <c r="E26" s="76"/>
      <c r="F26" s="40" t="s">
        <v>432</v>
      </c>
      <c r="G26" s="76"/>
      <c r="H26" s="40" t="s">
        <v>432</v>
      </c>
      <c r="I26" s="76"/>
      <c r="J26" s="40" t="s">
        <v>432</v>
      </c>
      <c r="K26" s="76"/>
      <c r="L26" s="40" t="s">
        <v>432</v>
      </c>
      <c r="M26" s="76" t="s">
        <v>438</v>
      </c>
      <c r="N26" s="40" t="s">
        <v>432</v>
      </c>
      <c r="O26" s="76" t="s">
        <v>439</v>
      </c>
      <c r="P26" s="40" t="s">
        <v>432</v>
      </c>
      <c r="Q26" s="76"/>
      <c r="R26" s="40" t="s">
        <v>432</v>
      </c>
      <c r="S26" s="76"/>
      <c r="T26" s="40" t="s">
        <v>432</v>
      </c>
      <c r="U26" s="76"/>
      <c r="V26" s="40" t="s">
        <v>432</v>
      </c>
      <c r="W26" s="76" t="s">
        <v>440</v>
      </c>
      <c r="X26" s="40" t="s">
        <v>432</v>
      </c>
      <c r="Y26" s="76"/>
      <c r="Z26" s="40" t="s">
        <v>432</v>
      </c>
      <c r="AA26" s="76"/>
      <c r="AB26" s="40" t="s">
        <v>432</v>
      </c>
      <c r="AC26" s="76" t="s">
        <v>338</v>
      </c>
      <c r="AD26" s="40" t="s">
        <v>432</v>
      </c>
      <c r="AE26" s="76"/>
      <c r="AF26" s="40" t="s">
        <v>432</v>
      </c>
      <c r="AG26" s="76"/>
      <c r="AH26" s="40" t="s">
        <v>432</v>
      </c>
      <c r="AI26" s="76"/>
      <c r="AJ26" s="40" t="s">
        <v>432</v>
      </c>
      <c r="AK26" s="76"/>
      <c r="AL26" s="40" t="s">
        <v>432</v>
      </c>
      <c r="AM26" s="76"/>
      <c r="AN26" s="40" t="s">
        <v>432</v>
      </c>
      <c r="AO26" s="76"/>
      <c r="AP26" s="40" t="s">
        <v>432</v>
      </c>
      <c r="AQ26" s="76"/>
      <c r="AR26" s="40" t="s">
        <v>432</v>
      </c>
      <c r="AS26" s="76"/>
      <c r="AT26" s="40" t="s">
        <v>432</v>
      </c>
      <c r="AU26" s="76"/>
      <c r="AV26" s="40" t="s">
        <v>432</v>
      </c>
      <c r="AW26" s="76"/>
      <c r="AX26" s="40" t="s">
        <v>432</v>
      </c>
      <c r="AY26" s="76" t="s">
        <v>431</v>
      </c>
      <c r="AZ26" s="40" t="s">
        <v>432</v>
      </c>
      <c r="BA26" s="76"/>
      <c r="BB26" s="40" t="s">
        <v>432</v>
      </c>
      <c r="BC26" s="76"/>
      <c r="BD26" s="40" t="s">
        <v>432</v>
      </c>
      <c r="BE26" s="76" t="s">
        <v>349</v>
      </c>
      <c r="BF26" s="40" t="s">
        <v>432</v>
      </c>
      <c r="BG26" s="76" t="s">
        <v>350</v>
      </c>
      <c r="BH26" s="40" t="s">
        <v>432</v>
      </c>
      <c r="BI26" s="76"/>
      <c r="BJ26" s="40" t="s">
        <v>432</v>
      </c>
      <c r="BK26" s="76"/>
      <c r="BL26" s="40" t="s">
        <v>432</v>
      </c>
      <c r="BM26" s="76"/>
      <c r="BN26" s="40" t="s">
        <v>432</v>
      </c>
      <c r="BO26" s="76"/>
      <c r="BP26" s="40" t="s">
        <v>432</v>
      </c>
      <c r="BQ26" s="76"/>
      <c r="BR26" s="40" t="s">
        <v>432</v>
      </c>
      <c r="BS26" s="76"/>
      <c r="BT26" s="40" t="s">
        <v>432</v>
      </c>
      <c r="BU26" s="76"/>
      <c r="BV26" s="40" t="s">
        <v>432</v>
      </c>
      <c r="BW26" s="76"/>
      <c r="BX26" s="40" t="s">
        <v>432</v>
      </c>
    </row>
    <row r="27" spans="1:76" x14ac:dyDescent="0.25">
      <c r="A27" s="76" t="s">
        <v>563</v>
      </c>
      <c r="B27" s="76">
        <v>26</v>
      </c>
      <c r="C27" s="76" t="s">
        <v>346</v>
      </c>
      <c r="D27" s="40" t="s">
        <v>432</v>
      </c>
      <c r="E27" s="76"/>
      <c r="F27" s="40" t="s">
        <v>432</v>
      </c>
      <c r="G27" s="76"/>
      <c r="H27" s="40" t="s">
        <v>432</v>
      </c>
      <c r="I27" s="76"/>
      <c r="J27" s="40" t="s">
        <v>432</v>
      </c>
      <c r="K27" s="76"/>
      <c r="L27" s="40" t="s">
        <v>432</v>
      </c>
      <c r="M27" s="76" t="s">
        <v>438</v>
      </c>
      <c r="N27" s="40" t="s">
        <v>432</v>
      </c>
      <c r="O27" s="76" t="s">
        <v>439</v>
      </c>
      <c r="P27" s="40" t="s">
        <v>432</v>
      </c>
      <c r="Q27" s="76"/>
      <c r="R27" s="40" t="s">
        <v>432</v>
      </c>
      <c r="S27" s="76"/>
      <c r="T27" s="40" t="s">
        <v>432</v>
      </c>
      <c r="U27" s="76"/>
      <c r="V27" s="40" t="s">
        <v>432</v>
      </c>
      <c r="W27" s="76" t="s">
        <v>440</v>
      </c>
      <c r="X27" s="40" t="s">
        <v>432</v>
      </c>
      <c r="Y27" s="76"/>
      <c r="Z27" s="40" t="s">
        <v>432</v>
      </c>
      <c r="AA27" s="76"/>
      <c r="AB27" s="40" t="s">
        <v>432</v>
      </c>
      <c r="AC27" s="76" t="s">
        <v>338</v>
      </c>
      <c r="AD27" s="40" t="s">
        <v>432</v>
      </c>
      <c r="AE27" s="76"/>
      <c r="AF27" s="40" t="s">
        <v>432</v>
      </c>
      <c r="AG27" s="76"/>
      <c r="AH27" s="40" t="s">
        <v>432</v>
      </c>
      <c r="AI27" s="76"/>
      <c r="AJ27" s="40" t="s">
        <v>432</v>
      </c>
      <c r="AK27" s="76"/>
      <c r="AL27" s="40" t="s">
        <v>432</v>
      </c>
      <c r="AM27" s="76" t="s">
        <v>429</v>
      </c>
      <c r="AN27" s="40" t="s">
        <v>432</v>
      </c>
      <c r="AO27" s="76"/>
      <c r="AP27" s="40" t="s">
        <v>432</v>
      </c>
      <c r="AQ27" s="76"/>
      <c r="AR27" s="40" t="s">
        <v>432</v>
      </c>
      <c r="AS27" s="76"/>
      <c r="AT27" s="40" t="s">
        <v>432</v>
      </c>
      <c r="AU27" s="76"/>
      <c r="AV27" s="40" t="s">
        <v>432</v>
      </c>
      <c r="AW27" s="76"/>
      <c r="AX27" s="40" t="s">
        <v>432</v>
      </c>
      <c r="AY27" s="76" t="s">
        <v>431</v>
      </c>
      <c r="AZ27" s="40" t="s">
        <v>432</v>
      </c>
      <c r="BA27" s="76"/>
      <c r="BB27" s="40" t="s">
        <v>432</v>
      </c>
      <c r="BC27" s="76"/>
      <c r="BD27" s="40" t="s">
        <v>432</v>
      </c>
      <c r="BE27" s="76" t="s">
        <v>349</v>
      </c>
      <c r="BF27" s="40" t="s">
        <v>432</v>
      </c>
      <c r="BG27" s="76" t="s">
        <v>350</v>
      </c>
      <c r="BH27" s="40" t="s">
        <v>432</v>
      </c>
      <c r="BI27" s="76"/>
      <c r="BJ27" s="40" t="s">
        <v>432</v>
      </c>
      <c r="BK27" s="76"/>
      <c r="BL27" s="40" t="s">
        <v>432</v>
      </c>
      <c r="BM27" s="76"/>
      <c r="BN27" s="40" t="s">
        <v>432</v>
      </c>
      <c r="BO27" s="76"/>
      <c r="BP27" s="40" t="s">
        <v>432</v>
      </c>
      <c r="BQ27" s="76"/>
      <c r="BR27" s="40" t="s">
        <v>432</v>
      </c>
      <c r="BS27" s="76"/>
      <c r="BT27" s="40" t="s">
        <v>432</v>
      </c>
      <c r="BU27" s="76"/>
      <c r="BV27" s="40" t="s">
        <v>432</v>
      </c>
      <c r="BW27" s="76"/>
      <c r="BX27" s="40" t="s">
        <v>432</v>
      </c>
    </row>
    <row r="28" spans="1:76" x14ac:dyDescent="0.25">
      <c r="A28" s="76" t="s">
        <v>564</v>
      </c>
      <c r="B28" s="76">
        <v>27</v>
      </c>
      <c r="C28" s="76" t="s">
        <v>346</v>
      </c>
      <c r="D28" s="40" t="s">
        <v>432</v>
      </c>
      <c r="E28" s="76"/>
      <c r="F28" s="40" t="s">
        <v>432</v>
      </c>
      <c r="G28" s="76"/>
      <c r="H28" s="40" t="s">
        <v>432</v>
      </c>
      <c r="I28" s="76"/>
      <c r="J28" s="40" t="s">
        <v>432</v>
      </c>
      <c r="K28" s="76"/>
      <c r="L28" s="40" t="s">
        <v>432</v>
      </c>
      <c r="M28" s="76" t="s">
        <v>438</v>
      </c>
      <c r="N28" s="40" t="s">
        <v>432</v>
      </c>
      <c r="O28" s="76" t="s">
        <v>439</v>
      </c>
      <c r="P28" s="40" t="s">
        <v>432</v>
      </c>
      <c r="Q28" s="76"/>
      <c r="R28" s="40" t="s">
        <v>432</v>
      </c>
      <c r="S28" s="76"/>
      <c r="T28" s="40" t="s">
        <v>432</v>
      </c>
      <c r="U28" s="76"/>
      <c r="V28" s="40" t="s">
        <v>432</v>
      </c>
      <c r="W28" s="76" t="s">
        <v>440</v>
      </c>
      <c r="X28" s="40" t="s">
        <v>432</v>
      </c>
      <c r="Y28" s="76"/>
      <c r="Z28" s="40" t="s">
        <v>432</v>
      </c>
      <c r="AA28" s="76"/>
      <c r="AB28" s="40" t="s">
        <v>432</v>
      </c>
      <c r="AC28" s="76"/>
      <c r="AD28" s="40" t="s">
        <v>432</v>
      </c>
      <c r="AE28" s="76"/>
      <c r="AF28" s="40" t="s">
        <v>432</v>
      </c>
      <c r="AG28" s="76"/>
      <c r="AH28" s="40" t="s">
        <v>432</v>
      </c>
      <c r="AI28" s="76"/>
      <c r="AJ28" s="40" t="s">
        <v>432</v>
      </c>
      <c r="AK28" s="76"/>
      <c r="AL28" s="40" t="s">
        <v>432</v>
      </c>
      <c r="AM28" s="76" t="s">
        <v>429</v>
      </c>
      <c r="AN28" s="40" t="s">
        <v>432</v>
      </c>
      <c r="AO28" s="76"/>
      <c r="AP28" s="40" t="s">
        <v>432</v>
      </c>
      <c r="AQ28" s="76"/>
      <c r="AR28" s="40" t="s">
        <v>432</v>
      </c>
      <c r="AS28" s="76"/>
      <c r="AT28" s="40" t="s">
        <v>432</v>
      </c>
      <c r="AU28" s="76"/>
      <c r="AV28" s="40" t="s">
        <v>432</v>
      </c>
      <c r="AW28" s="76"/>
      <c r="AX28" s="40" t="s">
        <v>432</v>
      </c>
      <c r="AY28" s="76" t="s">
        <v>431</v>
      </c>
      <c r="AZ28" s="40" t="s">
        <v>432</v>
      </c>
      <c r="BA28" s="76"/>
      <c r="BB28" s="40" t="s">
        <v>432</v>
      </c>
      <c r="BC28" s="76"/>
      <c r="BD28" s="40" t="s">
        <v>432</v>
      </c>
      <c r="BE28" s="76" t="s">
        <v>349</v>
      </c>
      <c r="BF28" s="40" t="s">
        <v>432</v>
      </c>
      <c r="BG28" s="76"/>
      <c r="BH28" s="40" t="s">
        <v>432</v>
      </c>
      <c r="BI28" s="76"/>
      <c r="BJ28" s="40" t="s">
        <v>432</v>
      </c>
      <c r="BK28" s="76"/>
      <c r="BL28" s="40" t="s">
        <v>432</v>
      </c>
      <c r="BM28" s="76"/>
      <c r="BN28" s="40" t="s">
        <v>432</v>
      </c>
      <c r="BO28" s="76"/>
      <c r="BP28" s="40" t="s">
        <v>432</v>
      </c>
      <c r="BQ28" s="76"/>
      <c r="BR28" s="40" t="s">
        <v>432</v>
      </c>
      <c r="BS28" s="76"/>
      <c r="BT28" s="40" t="s">
        <v>432</v>
      </c>
      <c r="BU28" s="76"/>
      <c r="BV28" s="40" t="s">
        <v>432</v>
      </c>
      <c r="BW28" s="76"/>
      <c r="BX28" s="40" t="s">
        <v>432</v>
      </c>
    </row>
    <row r="29" spans="1:76" x14ac:dyDescent="0.25">
      <c r="A29" s="76" t="s">
        <v>565</v>
      </c>
      <c r="B29" s="76">
        <v>28</v>
      </c>
      <c r="C29" s="76" t="s">
        <v>346</v>
      </c>
      <c r="D29" s="40" t="s">
        <v>432</v>
      </c>
      <c r="E29" s="76"/>
      <c r="F29" s="40" t="s">
        <v>432</v>
      </c>
      <c r="G29" s="76"/>
      <c r="H29" s="40" t="s">
        <v>432</v>
      </c>
      <c r="I29" s="76"/>
      <c r="J29" s="40" t="s">
        <v>432</v>
      </c>
      <c r="K29" s="76"/>
      <c r="L29" s="40" t="s">
        <v>432</v>
      </c>
      <c r="M29" s="76" t="s">
        <v>438</v>
      </c>
      <c r="N29" s="40" t="s">
        <v>432</v>
      </c>
      <c r="O29" s="76" t="s">
        <v>439</v>
      </c>
      <c r="P29" s="40" t="s">
        <v>432</v>
      </c>
      <c r="Q29" s="76"/>
      <c r="R29" s="40" t="s">
        <v>432</v>
      </c>
      <c r="S29" s="76"/>
      <c r="T29" s="40" t="s">
        <v>432</v>
      </c>
      <c r="U29" s="76"/>
      <c r="V29" s="40" t="s">
        <v>432</v>
      </c>
      <c r="W29" s="76" t="s">
        <v>440</v>
      </c>
      <c r="X29" s="40" t="s">
        <v>432</v>
      </c>
      <c r="Y29" s="76"/>
      <c r="Z29" s="40" t="s">
        <v>432</v>
      </c>
      <c r="AA29" s="76"/>
      <c r="AB29" s="40" t="s">
        <v>432</v>
      </c>
      <c r="AC29" s="76"/>
      <c r="AD29" s="40" t="s">
        <v>432</v>
      </c>
      <c r="AE29" s="76"/>
      <c r="AF29" s="40" t="s">
        <v>432</v>
      </c>
      <c r="AG29" s="76"/>
      <c r="AH29" s="40" t="s">
        <v>432</v>
      </c>
      <c r="AI29" s="76"/>
      <c r="AJ29" s="40" t="s">
        <v>432</v>
      </c>
      <c r="AK29" s="76"/>
      <c r="AL29" s="40" t="s">
        <v>432</v>
      </c>
      <c r="AM29" s="76" t="s">
        <v>429</v>
      </c>
      <c r="AN29" s="40" t="s">
        <v>432</v>
      </c>
      <c r="AO29" s="76"/>
      <c r="AP29" s="40" t="s">
        <v>432</v>
      </c>
      <c r="AQ29" s="76"/>
      <c r="AR29" s="40" t="s">
        <v>432</v>
      </c>
      <c r="AS29" s="76"/>
      <c r="AT29" s="40" t="s">
        <v>432</v>
      </c>
      <c r="AU29" s="76"/>
      <c r="AV29" s="40" t="s">
        <v>432</v>
      </c>
      <c r="AW29" s="76"/>
      <c r="AX29" s="40" t="s">
        <v>432</v>
      </c>
      <c r="AY29" s="76" t="s">
        <v>431</v>
      </c>
      <c r="AZ29" s="40" t="s">
        <v>432</v>
      </c>
      <c r="BA29" s="76"/>
      <c r="BB29" s="40" t="s">
        <v>432</v>
      </c>
      <c r="BC29" s="76"/>
      <c r="BD29" s="40" t="s">
        <v>432</v>
      </c>
      <c r="BE29" s="76" t="s">
        <v>349</v>
      </c>
      <c r="BF29" s="40" t="s">
        <v>432</v>
      </c>
      <c r="BG29" s="76"/>
      <c r="BH29" s="40" t="s">
        <v>432</v>
      </c>
      <c r="BI29" s="76"/>
      <c r="BJ29" s="40" t="s">
        <v>432</v>
      </c>
      <c r="BK29" s="76"/>
      <c r="BL29" s="40" t="s">
        <v>432</v>
      </c>
      <c r="BM29" s="76"/>
      <c r="BN29" s="40" t="s">
        <v>432</v>
      </c>
      <c r="BO29" s="76"/>
      <c r="BP29" s="40" t="s">
        <v>432</v>
      </c>
      <c r="BQ29" s="76"/>
      <c r="BR29" s="40" t="s">
        <v>432</v>
      </c>
      <c r="BS29" s="76"/>
      <c r="BT29" s="40" t="s">
        <v>432</v>
      </c>
      <c r="BU29" s="76"/>
      <c r="BV29" s="40" t="s">
        <v>432</v>
      </c>
      <c r="BW29" s="76"/>
      <c r="BX29" s="40" t="s">
        <v>432</v>
      </c>
    </row>
    <row r="30" spans="1:76" x14ac:dyDescent="0.25">
      <c r="A30" s="76" t="s">
        <v>566</v>
      </c>
      <c r="B30" s="76">
        <v>29</v>
      </c>
      <c r="C30" s="76" t="s">
        <v>346</v>
      </c>
      <c r="D30" s="40" t="s">
        <v>432</v>
      </c>
      <c r="E30" s="76"/>
      <c r="F30" s="40" t="s">
        <v>432</v>
      </c>
      <c r="G30" s="76"/>
      <c r="H30" s="40" t="s">
        <v>432</v>
      </c>
      <c r="I30" s="76"/>
      <c r="J30" s="40" t="s">
        <v>432</v>
      </c>
      <c r="K30" s="76"/>
      <c r="L30" s="40" t="s">
        <v>432</v>
      </c>
      <c r="M30" s="76" t="s">
        <v>438</v>
      </c>
      <c r="N30" s="40" t="s">
        <v>432</v>
      </c>
      <c r="O30" s="76" t="s">
        <v>439</v>
      </c>
      <c r="P30" s="40" t="s">
        <v>432</v>
      </c>
      <c r="Q30" s="76"/>
      <c r="R30" s="40" t="s">
        <v>432</v>
      </c>
      <c r="S30" s="76"/>
      <c r="T30" s="40" t="s">
        <v>432</v>
      </c>
      <c r="U30" s="76"/>
      <c r="V30" s="40" t="s">
        <v>432</v>
      </c>
      <c r="W30" s="76" t="s">
        <v>440</v>
      </c>
      <c r="X30" s="40" t="s">
        <v>432</v>
      </c>
      <c r="Y30" s="76"/>
      <c r="Z30" s="40" t="s">
        <v>432</v>
      </c>
      <c r="AA30" s="76"/>
      <c r="AB30" s="40" t="s">
        <v>432</v>
      </c>
      <c r="AC30" s="76"/>
      <c r="AD30" s="40" t="s">
        <v>432</v>
      </c>
      <c r="AE30" s="76"/>
      <c r="AF30" s="40" t="s">
        <v>432</v>
      </c>
      <c r="AG30" s="76"/>
      <c r="AH30" s="40" t="s">
        <v>432</v>
      </c>
      <c r="AI30" s="76"/>
      <c r="AJ30" s="40" t="s">
        <v>432</v>
      </c>
      <c r="AK30" s="76"/>
      <c r="AL30" s="40" t="s">
        <v>432</v>
      </c>
      <c r="AM30" s="76" t="s">
        <v>429</v>
      </c>
      <c r="AN30" s="40" t="s">
        <v>432</v>
      </c>
      <c r="AO30" s="76"/>
      <c r="AP30" s="40" t="s">
        <v>432</v>
      </c>
      <c r="AQ30" s="76"/>
      <c r="AR30" s="40" t="s">
        <v>432</v>
      </c>
      <c r="AS30" s="76"/>
      <c r="AT30" s="40" t="s">
        <v>432</v>
      </c>
      <c r="AU30" s="76"/>
      <c r="AV30" s="40" t="s">
        <v>432</v>
      </c>
      <c r="AW30" s="76"/>
      <c r="AX30" s="40" t="s">
        <v>432</v>
      </c>
      <c r="AY30" s="76" t="s">
        <v>431</v>
      </c>
      <c r="AZ30" s="40" t="s">
        <v>432</v>
      </c>
      <c r="BA30" s="76"/>
      <c r="BB30" s="40" t="s">
        <v>432</v>
      </c>
      <c r="BC30" s="76"/>
      <c r="BD30" s="40" t="s">
        <v>432</v>
      </c>
      <c r="BE30" s="76" t="s">
        <v>349</v>
      </c>
      <c r="BF30" s="40" t="s">
        <v>432</v>
      </c>
      <c r="BG30" s="76"/>
      <c r="BH30" s="40" t="s">
        <v>432</v>
      </c>
      <c r="BI30" s="76"/>
      <c r="BJ30" s="40" t="s">
        <v>432</v>
      </c>
      <c r="BK30" s="76"/>
      <c r="BL30" s="40" t="s">
        <v>432</v>
      </c>
      <c r="BM30" s="76"/>
      <c r="BN30" s="40" t="s">
        <v>432</v>
      </c>
      <c r="BO30" s="76"/>
      <c r="BP30" s="40" t="s">
        <v>432</v>
      </c>
      <c r="BQ30" s="76"/>
      <c r="BR30" s="40" t="s">
        <v>432</v>
      </c>
      <c r="BS30" s="76"/>
      <c r="BT30" s="40" t="s">
        <v>432</v>
      </c>
      <c r="BU30" s="76"/>
      <c r="BV30" s="40" t="s">
        <v>432</v>
      </c>
      <c r="BW30" s="76"/>
      <c r="BX30" s="40" t="s">
        <v>432</v>
      </c>
    </row>
    <row r="31" spans="1:76" x14ac:dyDescent="0.25">
      <c r="A31" s="76" t="s">
        <v>567</v>
      </c>
      <c r="B31" s="76">
        <v>30</v>
      </c>
      <c r="C31" s="76" t="s">
        <v>346</v>
      </c>
      <c r="D31" s="40" t="s">
        <v>432</v>
      </c>
      <c r="E31" s="76"/>
      <c r="F31" s="40" t="s">
        <v>432</v>
      </c>
      <c r="G31" s="76"/>
      <c r="H31" s="40" t="s">
        <v>432</v>
      </c>
      <c r="I31" s="76"/>
      <c r="J31" s="40" t="s">
        <v>432</v>
      </c>
      <c r="K31" s="76"/>
      <c r="L31" s="40" t="s">
        <v>432</v>
      </c>
      <c r="M31" s="76" t="s">
        <v>438</v>
      </c>
      <c r="N31" s="40" t="s">
        <v>432</v>
      </c>
      <c r="O31" s="76" t="s">
        <v>439</v>
      </c>
      <c r="P31" s="40" t="s">
        <v>432</v>
      </c>
      <c r="Q31" s="76"/>
      <c r="R31" s="40" t="s">
        <v>432</v>
      </c>
      <c r="S31" s="76"/>
      <c r="T31" s="40" t="s">
        <v>432</v>
      </c>
      <c r="U31" s="76"/>
      <c r="V31" s="40" t="s">
        <v>432</v>
      </c>
      <c r="W31" s="76" t="s">
        <v>440</v>
      </c>
      <c r="X31" s="40" t="s">
        <v>432</v>
      </c>
      <c r="Y31" s="76"/>
      <c r="Z31" s="40" t="s">
        <v>432</v>
      </c>
      <c r="AA31" s="76"/>
      <c r="AB31" s="40" t="s">
        <v>432</v>
      </c>
      <c r="AC31" s="76"/>
      <c r="AD31" s="40" t="s">
        <v>432</v>
      </c>
      <c r="AE31" s="76"/>
      <c r="AF31" s="40" t="s">
        <v>432</v>
      </c>
      <c r="AG31" s="76"/>
      <c r="AH31" s="40" t="s">
        <v>432</v>
      </c>
      <c r="AI31" s="76"/>
      <c r="AJ31" s="40" t="s">
        <v>432</v>
      </c>
      <c r="AK31" s="76"/>
      <c r="AL31" s="40" t="s">
        <v>432</v>
      </c>
      <c r="AM31" s="76" t="s">
        <v>429</v>
      </c>
      <c r="AN31" s="40" t="s">
        <v>432</v>
      </c>
      <c r="AO31" s="76"/>
      <c r="AP31" s="40" t="s">
        <v>432</v>
      </c>
      <c r="AQ31" s="76"/>
      <c r="AR31" s="40" t="s">
        <v>432</v>
      </c>
      <c r="AS31" s="76"/>
      <c r="AT31" s="40" t="s">
        <v>432</v>
      </c>
      <c r="AU31" s="76"/>
      <c r="AV31" s="40" t="s">
        <v>432</v>
      </c>
      <c r="AW31" s="76"/>
      <c r="AX31" s="40" t="s">
        <v>432</v>
      </c>
      <c r="AY31" s="76" t="s">
        <v>431</v>
      </c>
      <c r="AZ31" s="40" t="s">
        <v>432</v>
      </c>
      <c r="BA31" s="76"/>
      <c r="BB31" s="40" t="s">
        <v>432</v>
      </c>
      <c r="BC31" s="76"/>
      <c r="BD31" s="40" t="s">
        <v>432</v>
      </c>
      <c r="BE31" s="76" t="s">
        <v>349</v>
      </c>
      <c r="BF31" s="40" t="s">
        <v>432</v>
      </c>
      <c r="BG31" s="76"/>
      <c r="BH31" s="40" t="s">
        <v>432</v>
      </c>
      <c r="BI31" s="76"/>
      <c r="BJ31" s="40" t="s">
        <v>432</v>
      </c>
      <c r="BK31" s="76"/>
      <c r="BL31" s="40" t="s">
        <v>432</v>
      </c>
      <c r="BM31" s="76"/>
      <c r="BN31" s="40" t="s">
        <v>432</v>
      </c>
      <c r="BO31" s="76"/>
      <c r="BP31" s="40" t="s">
        <v>432</v>
      </c>
      <c r="BQ31" s="76"/>
      <c r="BR31" s="40" t="s">
        <v>432</v>
      </c>
      <c r="BS31" s="76"/>
      <c r="BT31" s="40" t="s">
        <v>432</v>
      </c>
      <c r="BU31" s="76"/>
      <c r="BV31" s="40" t="s">
        <v>432</v>
      </c>
      <c r="BW31" s="76"/>
      <c r="BX31" s="40" t="s">
        <v>432</v>
      </c>
    </row>
    <row r="32" spans="1:76" x14ac:dyDescent="0.25">
      <c r="A32" s="76" t="s">
        <v>568</v>
      </c>
      <c r="B32" s="76">
        <v>31</v>
      </c>
      <c r="C32" s="76" t="s">
        <v>346</v>
      </c>
      <c r="D32" s="40" t="s">
        <v>432</v>
      </c>
      <c r="E32" s="76"/>
      <c r="F32" s="40" t="s">
        <v>432</v>
      </c>
      <c r="G32" s="76"/>
      <c r="H32" s="40" t="s">
        <v>432</v>
      </c>
      <c r="I32" s="76"/>
      <c r="J32" s="40" t="s">
        <v>432</v>
      </c>
      <c r="K32" s="76"/>
      <c r="L32" s="40" t="s">
        <v>432</v>
      </c>
      <c r="M32" s="76" t="s">
        <v>438</v>
      </c>
      <c r="N32" s="40" t="s">
        <v>432</v>
      </c>
      <c r="O32" s="76" t="s">
        <v>439</v>
      </c>
      <c r="P32" s="40" t="s">
        <v>432</v>
      </c>
      <c r="Q32" s="76"/>
      <c r="R32" s="40" t="s">
        <v>432</v>
      </c>
      <c r="S32" s="76"/>
      <c r="T32" s="40" t="s">
        <v>432</v>
      </c>
      <c r="U32" s="76"/>
      <c r="V32" s="40" t="s">
        <v>432</v>
      </c>
      <c r="W32" s="76" t="s">
        <v>440</v>
      </c>
      <c r="X32" s="40" t="s">
        <v>432</v>
      </c>
      <c r="Y32" s="76"/>
      <c r="Z32" s="40" t="s">
        <v>432</v>
      </c>
      <c r="AA32" s="76"/>
      <c r="AB32" s="40" t="s">
        <v>432</v>
      </c>
      <c r="AC32" s="76"/>
      <c r="AD32" s="40" t="s">
        <v>432</v>
      </c>
      <c r="AE32" s="76"/>
      <c r="AF32" s="40" t="s">
        <v>432</v>
      </c>
      <c r="AG32" s="76"/>
      <c r="AH32" s="40" t="s">
        <v>432</v>
      </c>
      <c r="AI32" s="76"/>
      <c r="AJ32" s="40" t="s">
        <v>432</v>
      </c>
      <c r="AK32" s="76"/>
      <c r="AL32" s="40" t="s">
        <v>432</v>
      </c>
      <c r="AM32" s="76" t="s">
        <v>429</v>
      </c>
      <c r="AN32" s="40" t="s">
        <v>432</v>
      </c>
      <c r="AO32" s="76"/>
      <c r="AP32" s="40" t="s">
        <v>432</v>
      </c>
      <c r="AQ32" s="76"/>
      <c r="AR32" s="40" t="s">
        <v>432</v>
      </c>
      <c r="AS32" s="76"/>
      <c r="AT32" s="40" t="s">
        <v>432</v>
      </c>
      <c r="AU32" s="76"/>
      <c r="AV32" s="40" t="s">
        <v>432</v>
      </c>
      <c r="AW32" s="76"/>
      <c r="AX32" s="40" t="s">
        <v>432</v>
      </c>
      <c r="AY32" s="76" t="s">
        <v>431</v>
      </c>
      <c r="AZ32" s="40" t="s">
        <v>432</v>
      </c>
      <c r="BA32" s="76"/>
      <c r="BB32" s="40" t="s">
        <v>432</v>
      </c>
      <c r="BC32" s="76"/>
      <c r="BD32" s="40" t="s">
        <v>432</v>
      </c>
      <c r="BE32" s="76" t="s">
        <v>349</v>
      </c>
      <c r="BF32" s="40" t="s">
        <v>432</v>
      </c>
      <c r="BG32" s="76"/>
      <c r="BH32" s="40" t="s">
        <v>432</v>
      </c>
      <c r="BI32" s="76"/>
      <c r="BJ32" s="40" t="s">
        <v>432</v>
      </c>
      <c r="BK32" s="76"/>
      <c r="BL32" s="40" t="s">
        <v>432</v>
      </c>
      <c r="BM32" s="76"/>
      <c r="BN32" s="40" t="s">
        <v>432</v>
      </c>
      <c r="BO32" s="76"/>
      <c r="BP32" s="40" t="s">
        <v>432</v>
      </c>
      <c r="BQ32" s="76"/>
      <c r="BR32" s="40" t="s">
        <v>432</v>
      </c>
      <c r="BS32" s="76"/>
      <c r="BT32" s="40" t="s">
        <v>432</v>
      </c>
      <c r="BU32" s="76"/>
      <c r="BV32" s="40" t="s">
        <v>432</v>
      </c>
      <c r="BW32" s="76"/>
      <c r="BX32" s="40" t="s">
        <v>432</v>
      </c>
    </row>
    <row r="33" spans="1:76" x14ac:dyDescent="0.25">
      <c r="A33" s="76" t="s">
        <v>569</v>
      </c>
      <c r="B33" s="76">
        <v>32</v>
      </c>
      <c r="C33" s="76" t="s">
        <v>346</v>
      </c>
      <c r="D33" s="40" t="s">
        <v>432</v>
      </c>
      <c r="E33" s="76"/>
      <c r="F33" s="40" t="s">
        <v>432</v>
      </c>
      <c r="G33" s="76"/>
      <c r="H33" s="40" t="s">
        <v>432</v>
      </c>
      <c r="I33" s="76"/>
      <c r="J33" s="40" t="s">
        <v>432</v>
      </c>
      <c r="K33" s="76"/>
      <c r="L33" s="40" t="s">
        <v>432</v>
      </c>
      <c r="M33" s="76" t="s">
        <v>438</v>
      </c>
      <c r="N33" s="40" t="s">
        <v>432</v>
      </c>
      <c r="O33" s="76" t="s">
        <v>439</v>
      </c>
      <c r="P33" s="40" t="s">
        <v>432</v>
      </c>
      <c r="Q33" s="76"/>
      <c r="R33" s="40" t="s">
        <v>432</v>
      </c>
      <c r="S33" s="76"/>
      <c r="T33" s="40" t="s">
        <v>432</v>
      </c>
      <c r="U33" s="76"/>
      <c r="V33" s="40" t="s">
        <v>432</v>
      </c>
      <c r="W33" s="76" t="s">
        <v>440</v>
      </c>
      <c r="X33" s="40" t="s">
        <v>432</v>
      </c>
      <c r="Y33" s="76"/>
      <c r="Z33" s="40" t="s">
        <v>432</v>
      </c>
      <c r="AA33" s="76"/>
      <c r="AB33" s="40" t="s">
        <v>432</v>
      </c>
      <c r="AC33" s="76"/>
      <c r="AD33" s="40" t="s">
        <v>432</v>
      </c>
      <c r="AE33" s="76"/>
      <c r="AF33" s="40" t="s">
        <v>432</v>
      </c>
      <c r="AG33" s="76"/>
      <c r="AH33" s="40" t="s">
        <v>432</v>
      </c>
      <c r="AI33" s="76"/>
      <c r="AJ33" s="40" t="s">
        <v>432</v>
      </c>
      <c r="AK33" s="76"/>
      <c r="AL33" s="40" t="s">
        <v>432</v>
      </c>
      <c r="AM33" s="76" t="s">
        <v>429</v>
      </c>
      <c r="AN33" s="40" t="s">
        <v>432</v>
      </c>
      <c r="AO33" s="76"/>
      <c r="AP33" s="40" t="s">
        <v>432</v>
      </c>
      <c r="AQ33" s="76"/>
      <c r="AR33" s="40" t="s">
        <v>432</v>
      </c>
      <c r="AS33" s="76"/>
      <c r="AT33" s="40" t="s">
        <v>432</v>
      </c>
      <c r="AU33" s="76"/>
      <c r="AV33" s="40" t="s">
        <v>432</v>
      </c>
      <c r="AW33" s="76"/>
      <c r="AX33" s="40" t="s">
        <v>432</v>
      </c>
      <c r="AY33" s="76" t="s">
        <v>431</v>
      </c>
      <c r="AZ33" s="40" t="s">
        <v>432</v>
      </c>
      <c r="BA33" s="76"/>
      <c r="BB33" s="40" t="s">
        <v>432</v>
      </c>
      <c r="BC33" s="76"/>
      <c r="BD33" s="40" t="s">
        <v>432</v>
      </c>
      <c r="BE33" s="76" t="s">
        <v>349</v>
      </c>
      <c r="BF33" s="40" t="s">
        <v>432</v>
      </c>
      <c r="BG33" s="76" t="s">
        <v>350</v>
      </c>
      <c r="BH33" s="40" t="s">
        <v>432</v>
      </c>
      <c r="BI33" s="76"/>
      <c r="BJ33" s="40" t="s">
        <v>432</v>
      </c>
      <c r="BK33" s="76"/>
      <c r="BL33" s="40" t="s">
        <v>432</v>
      </c>
      <c r="BM33" s="76"/>
      <c r="BN33" s="40" t="s">
        <v>432</v>
      </c>
      <c r="BO33" s="76"/>
      <c r="BP33" s="40" t="s">
        <v>432</v>
      </c>
      <c r="BQ33" s="76"/>
      <c r="BR33" s="40" t="s">
        <v>432</v>
      </c>
      <c r="BS33" s="76"/>
      <c r="BT33" s="40" t="s">
        <v>432</v>
      </c>
      <c r="BU33" s="76"/>
      <c r="BV33" s="40" t="s">
        <v>432</v>
      </c>
      <c r="BW33" s="76"/>
      <c r="BX33" s="40" t="s">
        <v>432</v>
      </c>
    </row>
    <row r="34" spans="1:76" x14ac:dyDescent="0.25">
      <c r="A34" s="76" t="s">
        <v>570</v>
      </c>
      <c r="B34" s="76">
        <v>33</v>
      </c>
      <c r="C34" s="76" t="s">
        <v>346</v>
      </c>
      <c r="D34" s="40" t="s">
        <v>432</v>
      </c>
      <c r="E34" s="76"/>
      <c r="F34" s="40" t="s">
        <v>432</v>
      </c>
      <c r="G34" s="76"/>
      <c r="H34" s="40" t="s">
        <v>432</v>
      </c>
      <c r="I34" s="76"/>
      <c r="J34" s="40" t="s">
        <v>432</v>
      </c>
      <c r="K34" s="76"/>
      <c r="L34" s="40" t="s">
        <v>432</v>
      </c>
      <c r="M34" s="76" t="s">
        <v>438</v>
      </c>
      <c r="N34" s="40" t="s">
        <v>432</v>
      </c>
      <c r="O34" s="76" t="s">
        <v>439</v>
      </c>
      <c r="P34" s="40" t="s">
        <v>432</v>
      </c>
      <c r="Q34" s="76"/>
      <c r="R34" s="40" t="s">
        <v>432</v>
      </c>
      <c r="S34" s="76"/>
      <c r="T34" s="40" t="s">
        <v>432</v>
      </c>
      <c r="U34" s="76"/>
      <c r="V34" s="40" t="s">
        <v>432</v>
      </c>
      <c r="W34" s="76" t="s">
        <v>440</v>
      </c>
      <c r="X34" s="40" t="s">
        <v>432</v>
      </c>
      <c r="Y34" s="76"/>
      <c r="Z34" s="40" t="s">
        <v>432</v>
      </c>
      <c r="AA34" s="76"/>
      <c r="AB34" s="40" t="s">
        <v>432</v>
      </c>
      <c r="AC34" s="76"/>
      <c r="AD34" s="40" t="s">
        <v>432</v>
      </c>
      <c r="AE34" s="76"/>
      <c r="AF34" s="40" t="s">
        <v>432</v>
      </c>
      <c r="AG34" s="76"/>
      <c r="AH34" s="40" t="s">
        <v>432</v>
      </c>
      <c r="AI34" s="76"/>
      <c r="AJ34" s="40" t="s">
        <v>432</v>
      </c>
      <c r="AK34" s="76"/>
      <c r="AL34" s="40" t="s">
        <v>432</v>
      </c>
      <c r="AM34" s="76" t="s">
        <v>429</v>
      </c>
      <c r="AN34" s="40" t="s">
        <v>432</v>
      </c>
      <c r="AO34" s="76"/>
      <c r="AP34" s="40" t="s">
        <v>432</v>
      </c>
      <c r="AQ34" s="76"/>
      <c r="AR34" s="40" t="s">
        <v>432</v>
      </c>
      <c r="AS34" s="76"/>
      <c r="AT34" s="40" t="s">
        <v>432</v>
      </c>
      <c r="AU34" s="76"/>
      <c r="AV34" s="40" t="s">
        <v>432</v>
      </c>
      <c r="AW34" s="76"/>
      <c r="AX34" s="40" t="s">
        <v>432</v>
      </c>
      <c r="AY34" s="76" t="s">
        <v>431</v>
      </c>
      <c r="AZ34" s="40" t="s">
        <v>432</v>
      </c>
      <c r="BA34" s="76"/>
      <c r="BB34" s="40" t="s">
        <v>432</v>
      </c>
      <c r="BC34" s="76"/>
      <c r="BD34" s="40" t="s">
        <v>432</v>
      </c>
      <c r="BE34" s="76" t="s">
        <v>349</v>
      </c>
      <c r="BF34" s="40" t="s">
        <v>432</v>
      </c>
      <c r="BG34" s="76"/>
      <c r="BH34" s="40" t="s">
        <v>432</v>
      </c>
      <c r="BI34" s="76"/>
      <c r="BJ34" s="40" t="s">
        <v>432</v>
      </c>
      <c r="BK34" s="76"/>
      <c r="BL34" s="40" t="s">
        <v>432</v>
      </c>
      <c r="BM34" s="76"/>
      <c r="BN34" s="40" t="s">
        <v>432</v>
      </c>
      <c r="BO34" s="76"/>
      <c r="BP34" s="40" t="s">
        <v>432</v>
      </c>
      <c r="BQ34" s="76"/>
      <c r="BR34" s="40" t="s">
        <v>432</v>
      </c>
      <c r="BS34" s="76"/>
      <c r="BT34" s="40" t="s">
        <v>432</v>
      </c>
      <c r="BU34" s="76"/>
      <c r="BV34" s="40" t="s">
        <v>432</v>
      </c>
      <c r="BW34" s="76"/>
      <c r="BX34" s="40" t="s">
        <v>432</v>
      </c>
    </row>
    <row r="35" spans="1:76" x14ac:dyDescent="0.25">
      <c r="A35" s="76" t="s">
        <v>571</v>
      </c>
      <c r="B35" s="76">
        <v>34</v>
      </c>
      <c r="C35" s="76" t="s">
        <v>346</v>
      </c>
      <c r="D35" s="40" t="s">
        <v>432</v>
      </c>
      <c r="E35" s="76"/>
      <c r="F35" s="40" t="s">
        <v>432</v>
      </c>
      <c r="G35" s="76"/>
      <c r="H35" s="40" t="s">
        <v>432</v>
      </c>
      <c r="I35" s="76"/>
      <c r="J35" s="40" t="s">
        <v>432</v>
      </c>
      <c r="K35" s="76"/>
      <c r="L35" s="40" t="s">
        <v>432</v>
      </c>
      <c r="M35" s="76" t="s">
        <v>438</v>
      </c>
      <c r="N35" s="40" t="s">
        <v>432</v>
      </c>
      <c r="O35" s="76" t="s">
        <v>439</v>
      </c>
      <c r="P35" s="40" t="s">
        <v>432</v>
      </c>
      <c r="Q35" s="76"/>
      <c r="R35" s="40" t="s">
        <v>432</v>
      </c>
      <c r="S35" s="76"/>
      <c r="T35" s="40" t="s">
        <v>432</v>
      </c>
      <c r="U35" s="76"/>
      <c r="V35" s="40" t="s">
        <v>432</v>
      </c>
      <c r="W35" s="76" t="s">
        <v>440</v>
      </c>
      <c r="X35" s="40" t="s">
        <v>432</v>
      </c>
      <c r="Y35" s="76"/>
      <c r="Z35" s="40" t="s">
        <v>432</v>
      </c>
      <c r="AA35" s="76"/>
      <c r="AB35" s="40" t="s">
        <v>432</v>
      </c>
      <c r="AC35" s="76"/>
      <c r="AD35" s="40" t="s">
        <v>432</v>
      </c>
      <c r="AE35" s="76"/>
      <c r="AF35" s="40" t="s">
        <v>432</v>
      </c>
      <c r="AG35" s="76"/>
      <c r="AH35" s="40" t="s">
        <v>432</v>
      </c>
      <c r="AI35" s="76"/>
      <c r="AJ35" s="40" t="s">
        <v>432</v>
      </c>
      <c r="AK35" s="76"/>
      <c r="AL35" s="40" t="s">
        <v>432</v>
      </c>
      <c r="AM35" s="76" t="s">
        <v>429</v>
      </c>
      <c r="AN35" s="40" t="s">
        <v>432</v>
      </c>
      <c r="AO35" s="76"/>
      <c r="AP35" s="40" t="s">
        <v>432</v>
      </c>
      <c r="AQ35" s="76"/>
      <c r="AR35" s="40" t="s">
        <v>432</v>
      </c>
      <c r="AS35" s="76"/>
      <c r="AT35" s="40" t="s">
        <v>432</v>
      </c>
      <c r="AU35" s="76"/>
      <c r="AV35" s="40" t="s">
        <v>432</v>
      </c>
      <c r="AW35" s="76"/>
      <c r="AX35" s="40" t="s">
        <v>432</v>
      </c>
      <c r="AY35" s="76" t="s">
        <v>431</v>
      </c>
      <c r="AZ35" s="40" t="s">
        <v>432</v>
      </c>
      <c r="BA35" s="76"/>
      <c r="BB35" s="40" t="s">
        <v>432</v>
      </c>
      <c r="BC35" s="76"/>
      <c r="BD35" s="40" t="s">
        <v>432</v>
      </c>
      <c r="BE35" s="76" t="s">
        <v>349</v>
      </c>
      <c r="BF35" s="40" t="s">
        <v>432</v>
      </c>
      <c r="BG35" s="76" t="s">
        <v>350</v>
      </c>
      <c r="BH35" s="40" t="s">
        <v>432</v>
      </c>
      <c r="BI35" s="76"/>
      <c r="BJ35" s="40" t="s">
        <v>432</v>
      </c>
      <c r="BK35" s="76"/>
      <c r="BL35" s="40" t="s">
        <v>432</v>
      </c>
      <c r="BM35" s="76"/>
      <c r="BN35" s="40" t="s">
        <v>432</v>
      </c>
      <c r="BO35" s="76"/>
      <c r="BP35" s="40" t="s">
        <v>432</v>
      </c>
      <c r="BQ35" s="76"/>
      <c r="BR35" s="40" t="s">
        <v>432</v>
      </c>
      <c r="BS35" s="76"/>
      <c r="BT35" s="40" t="s">
        <v>432</v>
      </c>
      <c r="BU35" s="76"/>
      <c r="BV35" s="40" t="s">
        <v>432</v>
      </c>
      <c r="BW35" s="76"/>
      <c r="BX35" s="40" t="s">
        <v>432</v>
      </c>
    </row>
    <row r="36" spans="1:76" x14ac:dyDescent="0.25">
      <c r="A36" s="76" t="s">
        <v>572</v>
      </c>
      <c r="B36" s="76">
        <v>35</v>
      </c>
      <c r="C36" s="76" t="s">
        <v>346</v>
      </c>
      <c r="D36" s="40" t="s">
        <v>432</v>
      </c>
      <c r="E36" s="76"/>
      <c r="F36" s="40" t="s">
        <v>432</v>
      </c>
      <c r="G36" s="76"/>
      <c r="H36" s="40" t="s">
        <v>432</v>
      </c>
      <c r="I36" s="76"/>
      <c r="J36" s="40" t="s">
        <v>432</v>
      </c>
      <c r="K36" s="76"/>
      <c r="L36" s="40" t="s">
        <v>432</v>
      </c>
      <c r="M36" s="76" t="s">
        <v>439</v>
      </c>
      <c r="N36" s="40" t="s">
        <v>432</v>
      </c>
      <c r="O36" s="76"/>
      <c r="P36" s="40" t="s">
        <v>432</v>
      </c>
      <c r="Q36" s="76"/>
      <c r="R36" s="40" t="s">
        <v>432</v>
      </c>
      <c r="S36" s="76"/>
      <c r="T36" s="40" t="s">
        <v>432</v>
      </c>
      <c r="U36" s="76"/>
      <c r="V36" s="40" t="s">
        <v>432</v>
      </c>
      <c r="W36" s="76" t="s">
        <v>440</v>
      </c>
      <c r="X36" s="40" t="s">
        <v>432</v>
      </c>
      <c r="Y36" s="76"/>
      <c r="Z36" s="40" t="s">
        <v>432</v>
      </c>
      <c r="AA36" s="76"/>
      <c r="AB36" s="40" t="s">
        <v>432</v>
      </c>
      <c r="AC36" s="76"/>
      <c r="AD36" s="40" t="s">
        <v>432</v>
      </c>
      <c r="AE36" s="76"/>
      <c r="AF36" s="40" t="s">
        <v>432</v>
      </c>
      <c r="AG36" s="76"/>
      <c r="AH36" s="40" t="s">
        <v>432</v>
      </c>
      <c r="AI36" s="76"/>
      <c r="AJ36" s="40" t="s">
        <v>432</v>
      </c>
      <c r="AK36" s="76"/>
      <c r="AL36" s="40" t="s">
        <v>432</v>
      </c>
      <c r="AM36" s="76" t="s">
        <v>429</v>
      </c>
      <c r="AN36" s="40" t="s">
        <v>432</v>
      </c>
      <c r="AO36" s="76"/>
      <c r="AP36" s="40" t="s">
        <v>432</v>
      </c>
      <c r="AQ36" s="76"/>
      <c r="AR36" s="40" t="s">
        <v>432</v>
      </c>
      <c r="AS36" s="76"/>
      <c r="AT36" s="40" t="s">
        <v>432</v>
      </c>
      <c r="AU36" s="76"/>
      <c r="AV36" s="40" t="s">
        <v>432</v>
      </c>
      <c r="AW36" s="76"/>
      <c r="AX36" s="40" t="s">
        <v>432</v>
      </c>
      <c r="AY36" s="76" t="s">
        <v>431</v>
      </c>
      <c r="AZ36" s="40" t="s">
        <v>432</v>
      </c>
      <c r="BA36" s="76"/>
      <c r="BB36" s="40" t="s">
        <v>432</v>
      </c>
      <c r="BC36" s="76"/>
      <c r="BD36" s="40" t="s">
        <v>432</v>
      </c>
      <c r="BE36" s="76" t="s">
        <v>349</v>
      </c>
      <c r="BF36" s="40" t="s">
        <v>432</v>
      </c>
      <c r="BG36" s="76" t="s">
        <v>350</v>
      </c>
      <c r="BH36" s="40" t="s">
        <v>432</v>
      </c>
      <c r="BI36" s="76"/>
      <c r="BJ36" s="40" t="s">
        <v>432</v>
      </c>
      <c r="BK36" s="76"/>
      <c r="BL36" s="40" t="s">
        <v>432</v>
      </c>
      <c r="BM36" s="76"/>
      <c r="BN36" s="40" t="s">
        <v>432</v>
      </c>
      <c r="BO36" s="76"/>
      <c r="BP36" s="40" t="s">
        <v>432</v>
      </c>
      <c r="BQ36" s="76"/>
      <c r="BR36" s="40" t="s">
        <v>432</v>
      </c>
      <c r="BS36" s="76"/>
      <c r="BT36" s="40" t="s">
        <v>432</v>
      </c>
      <c r="BU36" s="76"/>
      <c r="BV36" s="40" t="s">
        <v>432</v>
      </c>
      <c r="BW36" s="76"/>
      <c r="BX36" s="40" t="s">
        <v>432</v>
      </c>
    </row>
    <row r="37" spans="1:76" x14ac:dyDescent="0.25">
      <c r="A37" s="76" t="s">
        <v>573</v>
      </c>
      <c r="B37" s="76">
        <v>36</v>
      </c>
      <c r="C37" s="76" t="s">
        <v>346</v>
      </c>
      <c r="D37" s="40" t="s">
        <v>432</v>
      </c>
      <c r="E37" s="76"/>
      <c r="F37" s="40" t="s">
        <v>432</v>
      </c>
      <c r="G37" s="76"/>
      <c r="H37" s="40" t="s">
        <v>432</v>
      </c>
      <c r="I37" s="76"/>
      <c r="J37" s="40" t="s">
        <v>432</v>
      </c>
      <c r="K37" s="76"/>
      <c r="L37" s="40" t="s">
        <v>432</v>
      </c>
      <c r="M37" s="76" t="s">
        <v>438</v>
      </c>
      <c r="N37" s="40" t="s">
        <v>432</v>
      </c>
      <c r="O37" s="76" t="s">
        <v>439</v>
      </c>
      <c r="P37" s="40" t="s">
        <v>432</v>
      </c>
      <c r="Q37" s="76"/>
      <c r="R37" s="40" t="s">
        <v>432</v>
      </c>
      <c r="S37" s="76"/>
      <c r="T37" s="40" t="s">
        <v>432</v>
      </c>
      <c r="U37" s="76"/>
      <c r="V37" s="40" t="s">
        <v>432</v>
      </c>
      <c r="W37" s="76" t="s">
        <v>440</v>
      </c>
      <c r="X37" s="40" t="s">
        <v>432</v>
      </c>
      <c r="Y37" s="76"/>
      <c r="Z37" s="40" t="s">
        <v>432</v>
      </c>
      <c r="AA37" s="76"/>
      <c r="AB37" s="40" t="s">
        <v>432</v>
      </c>
      <c r="AC37" s="76"/>
      <c r="AD37" s="40" t="s">
        <v>432</v>
      </c>
      <c r="AE37" s="76"/>
      <c r="AF37" s="40" t="s">
        <v>432</v>
      </c>
      <c r="AG37" s="76"/>
      <c r="AH37" s="40" t="s">
        <v>432</v>
      </c>
      <c r="AI37" s="76"/>
      <c r="AJ37" s="40" t="s">
        <v>432</v>
      </c>
      <c r="AK37" s="76"/>
      <c r="AL37" s="40" t="s">
        <v>432</v>
      </c>
      <c r="AM37" s="76" t="s">
        <v>429</v>
      </c>
      <c r="AN37" s="40" t="s">
        <v>432</v>
      </c>
      <c r="AO37" s="76"/>
      <c r="AP37" s="40" t="s">
        <v>432</v>
      </c>
      <c r="AQ37" s="76"/>
      <c r="AR37" s="40" t="s">
        <v>432</v>
      </c>
      <c r="AS37" s="76"/>
      <c r="AT37" s="40" t="s">
        <v>432</v>
      </c>
      <c r="AU37" s="76"/>
      <c r="AV37" s="40" t="s">
        <v>432</v>
      </c>
      <c r="AW37" s="76"/>
      <c r="AX37" s="40" t="s">
        <v>432</v>
      </c>
      <c r="AY37" s="76" t="s">
        <v>431</v>
      </c>
      <c r="AZ37" s="40" t="s">
        <v>432</v>
      </c>
      <c r="BA37" s="76"/>
      <c r="BB37" s="40" t="s">
        <v>432</v>
      </c>
      <c r="BC37" s="76"/>
      <c r="BD37" s="40" t="s">
        <v>432</v>
      </c>
      <c r="BE37" s="76" t="s">
        <v>349</v>
      </c>
      <c r="BF37" s="40" t="s">
        <v>432</v>
      </c>
      <c r="BG37" s="76"/>
      <c r="BH37" s="40" t="s">
        <v>432</v>
      </c>
      <c r="BI37" s="76"/>
      <c r="BJ37" s="40" t="s">
        <v>432</v>
      </c>
      <c r="BK37" s="76"/>
      <c r="BL37" s="40" t="s">
        <v>432</v>
      </c>
      <c r="BM37" s="76"/>
      <c r="BN37" s="40" t="s">
        <v>432</v>
      </c>
      <c r="BO37" s="76"/>
      <c r="BP37" s="40" t="s">
        <v>432</v>
      </c>
      <c r="BQ37" s="76"/>
      <c r="BR37" s="40" t="s">
        <v>432</v>
      </c>
      <c r="BS37" s="76"/>
      <c r="BT37" s="40" t="s">
        <v>432</v>
      </c>
      <c r="BU37" s="76"/>
      <c r="BV37" s="40" t="s">
        <v>432</v>
      </c>
      <c r="BW37" s="76"/>
      <c r="BX37" s="40" t="s">
        <v>432</v>
      </c>
    </row>
    <row r="38" spans="1:76" x14ac:dyDescent="0.25">
      <c r="A38" s="76" t="s">
        <v>574</v>
      </c>
      <c r="B38" s="76">
        <v>37</v>
      </c>
      <c r="C38" s="76" t="s">
        <v>346</v>
      </c>
      <c r="D38" s="40" t="s">
        <v>432</v>
      </c>
      <c r="E38" s="76"/>
      <c r="F38" s="40" t="s">
        <v>432</v>
      </c>
      <c r="G38" s="76"/>
      <c r="H38" s="40" t="s">
        <v>432</v>
      </c>
      <c r="I38" s="76"/>
      <c r="J38" s="40" t="s">
        <v>432</v>
      </c>
      <c r="K38" s="76"/>
      <c r="L38" s="40" t="s">
        <v>432</v>
      </c>
      <c r="M38" s="76" t="s">
        <v>438</v>
      </c>
      <c r="N38" s="40" t="s">
        <v>432</v>
      </c>
      <c r="O38" s="76" t="s">
        <v>439</v>
      </c>
      <c r="P38" s="40" t="s">
        <v>432</v>
      </c>
      <c r="Q38" s="76"/>
      <c r="R38" s="40" t="s">
        <v>432</v>
      </c>
      <c r="S38" s="76"/>
      <c r="T38" s="40" t="s">
        <v>432</v>
      </c>
      <c r="U38" s="76"/>
      <c r="V38" s="40" t="s">
        <v>432</v>
      </c>
      <c r="W38" s="76" t="s">
        <v>440</v>
      </c>
      <c r="X38" s="40" t="s">
        <v>432</v>
      </c>
      <c r="Y38" s="76"/>
      <c r="Z38" s="40" t="s">
        <v>432</v>
      </c>
      <c r="AA38" s="76"/>
      <c r="AB38" s="40" t="s">
        <v>432</v>
      </c>
      <c r="AC38" s="76"/>
      <c r="AD38" s="40" t="s">
        <v>432</v>
      </c>
      <c r="AE38" s="76"/>
      <c r="AF38" s="40" t="s">
        <v>432</v>
      </c>
      <c r="AG38" s="76"/>
      <c r="AH38" s="40" t="s">
        <v>432</v>
      </c>
      <c r="AI38" s="76"/>
      <c r="AJ38" s="40" t="s">
        <v>432</v>
      </c>
      <c r="AK38" s="76"/>
      <c r="AL38" s="40" t="s">
        <v>432</v>
      </c>
      <c r="AM38" s="76" t="s">
        <v>429</v>
      </c>
      <c r="AN38" s="40" t="s">
        <v>432</v>
      </c>
      <c r="AO38" s="76"/>
      <c r="AP38" s="40" t="s">
        <v>432</v>
      </c>
      <c r="AQ38" s="76"/>
      <c r="AR38" s="40" t="s">
        <v>432</v>
      </c>
      <c r="AS38" s="76"/>
      <c r="AT38" s="40" t="s">
        <v>432</v>
      </c>
      <c r="AU38" s="76"/>
      <c r="AV38" s="40" t="s">
        <v>432</v>
      </c>
      <c r="AW38" s="76"/>
      <c r="AX38" s="40" t="s">
        <v>432</v>
      </c>
      <c r="AY38" s="76" t="s">
        <v>431</v>
      </c>
      <c r="AZ38" s="40" t="s">
        <v>432</v>
      </c>
      <c r="BA38" s="76"/>
      <c r="BB38" s="40" t="s">
        <v>432</v>
      </c>
      <c r="BC38" s="76"/>
      <c r="BD38" s="40" t="s">
        <v>432</v>
      </c>
      <c r="BE38" s="76" t="s">
        <v>349</v>
      </c>
      <c r="BF38" s="40" t="s">
        <v>432</v>
      </c>
      <c r="BG38" s="76" t="s">
        <v>350</v>
      </c>
      <c r="BH38" s="40" t="s">
        <v>432</v>
      </c>
      <c r="BI38" s="76"/>
      <c r="BJ38" s="40" t="s">
        <v>432</v>
      </c>
      <c r="BK38" s="76"/>
      <c r="BL38" s="40" t="s">
        <v>432</v>
      </c>
      <c r="BM38" s="76"/>
      <c r="BN38" s="40" t="s">
        <v>432</v>
      </c>
      <c r="BO38" s="76"/>
      <c r="BP38" s="40" t="s">
        <v>432</v>
      </c>
      <c r="BQ38" s="76"/>
      <c r="BR38" s="40" t="s">
        <v>432</v>
      </c>
      <c r="BS38" s="76"/>
      <c r="BT38" s="40" t="s">
        <v>432</v>
      </c>
      <c r="BU38" s="76"/>
      <c r="BV38" s="40" t="s">
        <v>432</v>
      </c>
      <c r="BW38" s="76"/>
      <c r="BX38" s="40" t="s">
        <v>432</v>
      </c>
    </row>
    <row r="39" spans="1:76" x14ac:dyDescent="0.25">
      <c r="A39" s="76" t="s">
        <v>575</v>
      </c>
      <c r="B39" s="76">
        <v>38</v>
      </c>
      <c r="C39" s="76" t="s">
        <v>346</v>
      </c>
      <c r="D39" s="40" t="s">
        <v>432</v>
      </c>
      <c r="E39" s="76"/>
      <c r="F39" s="40" t="s">
        <v>432</v>
      </c>
      <c r="G39" s="76"/>
      <c r="H39" s="40" t="s">
        <v>432</v>
      </c>
      <c r="I39" s="76"/>
      <c r="J39" s="40" t="s">
        <v>432</v>
      </c>
      <c r="K39" s="76"/>
      <c r="L39" s="40" t="s">
        <v>432</v>
      </c>
      <c r="M39" s="76" t="s">
        <v>438</v>
      </c>
      <c r="N39" s="40" t="s">
        <v>432</v>
      </c>
      <c r="O39" s="76" t="s">
        <v>439</v>
      </c>
      <c r="P39" s="40" t="s">
        <v>432</v>
      </c>
      <c r="Q39" s="76"/>
      <c r="R39" s="40" t="s">
        <v>432</v>
      </c>
      <c r="S39" s="76"/>
      <c r="T39" s="40" t="s">
        <v>432</v>
      </c>
      <c r="U39" s="76"/>
      <c r="V39" s="40" t="s">
        <v>432</v>
      </c>
      <c r="W39" s="76" t="s">
        <v>440</v>
      </c>
      <c r="X39" s="40" t="s">
        <v>432</v>
      </c>
      <c r="Y39" s="76"/>
      <c r="Z39" s="40" t="s">
        <v>432</v>
      </c>
      <c r="AA39" s="76"/>
      <c r="AB39" s="40" t="s">
        <v>432</v>
      </c>
      <c r="AC39" s="76"/>
      <c r="AD39" s="40" t="s">
        <v>432</v>
      </c>
      <c r="AE39" s="76"/>
      <c r="AF39" s="40" t="s">
        <v>432</v>
      </c>
      <c r="AG39" s="76"/>
      <c r="AH39" s="40" t="s">
        <v>432</v>
      </c>
      <c r="AI39" s="76"/>
      <c r="AJ39" s="40" t="s">
        <v>432</v>
      </c>
      <c r="AK39" s="76"/>
      <c r="AL39" s="40" t="s">
        <v>432</v>
      </c>
      <c r="AM39" s="76" t="s">
        <v>429</v>
      </c>
      <c r="AN39" s="40" t="s">
        <v>432</v>
      </c>
      <c r="AO39" s="76"/>
      <c r="AP39" s="40" t="s">
        <v>432</v>
      </c>
      <c r="AQ39" s="76"/>
      <c r="AR39" s="40" t="s">
        <v>432</v>
      </c>
      <c r="AS39" s="76"/>
      <c r="AT39" s="40" t="s">
        <v>432</v>
      </c>
      <c r="AU39" s="76"/>
      <c r="AV39" s="40" t="s">
        <v>432</v>
      </c>
      <c r="AW39" s="76"/>
      <c r="AX39" s="40" t="s">
        <v>432</v>
      </c>
      <c r="AY39" s="76" t="s">
        <v>431</v>
      </c>
      <c r="AZ39" s="40" t="s">
        <v>432</v>
      </c>
      <c r="BA39" s="76"/>
      <c r="BB39" s="40" t="s">
        <v>432</v>
      </c>
      <c r="BC39" s="76"/>
      <c r="BD39" s="40" t="s">
        <v>432</v>
      </c>
      <c r="BE39" s="76" t="s">
        <v>349</v>
      </c>
      <c r="BF39" s="40" t="s">
        <v>432</v>
      </c>
      <c r="BG39" s="76"/>
      <c r="BH39" s="40" t="s">
        <v>432</v>
      </c>
      <c r="BI39" s="76"/>
      <c r="BJ39" s="40" t="s">
        <v>432</v>
      </c>
      <c r="BK39" s="76"/>
      <c r="BL39" s="40" t="s">
        <v>432</v>
      </c>
      <c r="BM39" s="76"/>
      <c r="BN39" s="40" t="s">
        <v>432</v>
      </c>
      <c r="BO39" s="76"/>
      <c r="BP39" s="40" t="s">
        <v>432</v>
      </c>
      <c r="BQ39" s="76"/>
      <c r="BR39" s="40" t="s">
        <v>432</v>
      </c>
      <c r="BS39" s="76"/>
      <c r="BT39" s="40" t="s">
        <v>432</v>
      </c>
      <c r="BU39" s="76"/>
      <c r="BV39" s="40" t="s">
        <v>432</v>
      </c>
      <c r="BW39" s="76"/>
      <c r="BX39" s="40" t="s">
        <v>432</v>
      </c>
    </row>
    <row r="40" spans="1:76" x14ac:dyDescent="0.25">
      <c r="A40" s="76" t="s">
        <v>576</v>
      </c>
      <c r="B40" s="76">
        <v>39</v>
      </c>
      <c r="C40" s="76" t="s">
        <v>346</v>
      </c>
      <c r="D40" s="40" t="s">
        <v>432</v>
      </c>
      <c r="E40" s="76"/>
      <c r="F40" s="40" t="s">
        <v>432</v>
      </c>
      <c r="G40" s="76"/>
      <c r="H40" s="40" t="s">
        <v>432</v>
      </c>
      <c r="I40" s="76"/>
      <c r="J40" s="40" t="s">
        <v>432</v>
      </c>
      <c r="K40" s="76"/>
      <c r="L40" s="40" t="s">
        <v>432</v>
      </c>
      <c r="M40" s="76" t="s">
        <v>438</v>
      </c>
      <c r="N40" s="40" t="s">
        <v>432</v>
      </c>
      <c r="O40" s="76" t="s">
        <v>439</v>
      </c>
      <c r="P40" s="40" t="s">
        <v>432</v>
      </c>
      <c r="Q40" s="76"/>
      <c r="R40" s="40" t="s">
        <v>432</v>
      </c>
      <c r="S40" s="76"/>
      <c r="T40" s="40" t="s">
        <v>432</v>
      </c>
      <c r="U40" s="76"/>
      <c r="V40" s="40" t="s">
        <v>432</v>
      </c>
      <c r="W40" s="76" t="s">
        <v>440</v>
      </c>
      <c r="X40" s="40" t="s">
        <v>432</v>
      </c>
      <c r="Y40" s="76"/>
      <c r="Z40" s="40" t="s">
        <v>432</v>
      </c>
      <c r="AA40" s="76"/>
      <c r="AB40" s="40" t="s">
        <v>432</v>
      </c>
      <c r="AC40" s="76"/>
      <c r="AD40" s="40" t="s">
        <v>432</v>
      </c>
      <c r="AE40" s="76"/>
      <c r="AF40" s="40" t="s">
        <v>432</v>
      </c>
      <c r="AG40" s="76"/>
      <c r="AH40" s="40" t="s">
        <v>432</v>
      </c>
      <c r="AI40" s="76"/>
      <c r="AJ40" s="40" t="s">
        <v>432</v>
      </c>
      <c r="AK40" s="76"/>
      <c r="AL40" s="40" t="s">
        <v>432</v>
      </c>
      <c r="AM40" s="76" t="s">
        <v>429</v>
      </c>
      <c r="AN40" s="40" t="s">
        <v>432</v>
      </c>
      <c r="AO40" s="76"/>
      <c r="AP40" s="40" t="s">
        <v>432</v>
      </c>
      <c r="AQ40" s="76"/>
      <c r="AR40" s="40" t="s">
        <v>432</v>
      </c>
      <c r="AS40" s="76"/>
      <c r="AT40" s="40" t="s">
        <v>432</v>
      </c>
      <c r="AU40" s="76"/>
      <c r="AV40" s="40" t="s">
        <v>432</v>
      </c>
      <c r="AW40" s="76"/>
      <c r="AX40" s="40" t="s">
        <v>432</v>
      </c>
      <c r="AY40" s="76" t="s">
        <v>431</v>
      </c>
      <c r="AZ40" s="40" t="s">
        <v>432</v>
      </c>
      <c r="BA40" s="76"/>
      <c r="BB40" s="40" t="s">
        <v>432</v>
      </c>
      <c r="BC40" s="76"/>
      <c r="BD40" s="40" t="s">
        <v>432</v>
      </c>
      <c r="BE40" s="76" t="s">
        <v>349</v>
      </c>
      <c r="BF40" s="40" t="s">
        <v>432</v>
      </c>
      <c r="BG40" s="76"/>
      <c r="BH40" s="40" t="s">
        <v>432</v>
      </c>
      <c r="BI40" s="76"/>
      <c r="BJ40" s="40" t="s">
        <v>432</v>
      </c>
      <c r="BK40" s="76"/>
      <c r="BL40" s="40" t="s">
        <v>432</v>
      </c>
      <c r="BM40" s="76"/>
      <c r="BN40" s="40" t="s">
        <v>432</v>
      </c>
      <c r="BO40" s="76"/>
      <c r="BP40" s="40" t="s">
        <v>432</v>
      </c>
      <c r="BQ40" s="76"/>
      <c r="BR40" s="40" t="s">
        <v>432</v>
      </c>
      <c r="BS40" s="76"/>
      <c r="BT40" s="40" t="s">
        <v>432</v>
      </c>
      <c r="BU40" s="76"/>
      <c r="BV40" s="40" t="s">
        <v>432</v>
      </c>
      <c r="BW40" s="76"/>
      <c r="BX40" s="40" t="s">
        <v>432</v>
      </c>
    </row>
    <row r="41" spans="1:76" x14ac:dyDescent="0.25">
      <c r="A41" s="76" t="s">
        <v>577</v>
      </c>
      <c r="B41" s="76">
        <v>40</v>
      </c>
      <c r="C41" s="76" t="s">
        <v>346</v>
      </c>
      <c r="D41" s="40" t="s">
        <v>432</v>
      </c>
      <c r="E41" s="76"/>
      <c r="F41" s="40" t="s">
        <v>432</v>
      </c>
      <c r="G41" s="76"/>
      <c r="H41" s="40" t="s">
        <v>432</v>
      </c>
      <c r="I41" s="76"/>
      <c r="J41" s="40" t="s">
        <v>432</v>
      </c>
      <c r="K41" s="76"/>
      <c r="L41" s="40" t="s">
        <v>432</v>
      </c>
      <c r="M41" s="76" t="s">
        <v>438</v>
      </c>
      <c r="N41" s="40" t="s">
        <v>432</v>
      </c>
      <c r="O41" s="76" t="s">
        <v>439</v>
      </c>
      <c r="P41" s="40" t="s">
        <v>432</v>
      </c>
      <c r="Q41" s="76"/>
      <c r="R41" s="40" t="s">
        <v>432</v>
      </c>
      <c r="S41" s="76"/>
      <c r="T41" s="40" t="s">
        <v>432</v>
      </c>
      <c r="U41" s="76"/>
      <c r="V41" s="40" t="s">
        <v>432</v>
      </c>
      <c r="W41" s="76" t="s">
        <v>440</v>
      </c>
      <c r="X41" s="40" t="s">
        <v>432</v>
      </c>
      <c r="Y41" s="76"/>
      <c r="Z41" s="40" t="s">
        <v>432</v>
      </c>
      <c r="AA41" s="76"/>
      <c r="AB41" s="40" t="s">
        <v>432</v>
      </c>
      <c r="AC41" s="76"/>
      <c r="AD41" s="40" t="s">
        <v>432</v>
      </c>
      <c r="AE41" s="76"/>
      <c r="AF41" s="40" t="s">
        <v>432</v>
      </c>
      <c r="AG41" s="76"/>
      <c r="AH41" s="40" t="s">
        <v>432</v>
      </c>
      <c r="AI41" s="76"/>
      <c r="AJ41" s="40" t="s">
        <v>432</v>
      </c>
      <c r="AK41" s="76"/>
      <c r="AL41" s="40" t="s">
        <v>432</v>
      </c>
      <c r="AM41" s="76" t="s">
        <v>429</v>
      </c>
      <c r="AN41" s="40" t="s">
        <v>432</v>
      </c>
      <c r="AO41" s="76"/>
      <c r="AP41" s="40" t="s">
        <v>432</v>
      </c>
      <c r="AQ41" s="76"/>
      <c r="AR41" s="40" t="s">
        <v>432</v>
      </c>
      <c r="AS41" s="76"/>
      <c r="AT41" s="40" t="s">
        <v>432</v>
      </c>
      <c r="AU41" s="76"/>
      <c r="AV41" s="40" t="s">
        <v>432</v>
      </c>
      <c r="AW41" s="76"/>
      <c r="AX41" s="40" t="s">
        <v>432</v>
      </c>
      <c r="AY41" s="76" t="s">
        <v>431</v>
      </c>
      <c r="AZ41" s="40" t="s">
        <v>432</v>
      </c>
      <c r="BA41" s="76"/>
      <c r="BB41" s="40" t="s">
        <v>432</v>
      </c>
      <c r="BC41" s="76"/>
      <c r="BD41" s="40" t="s">
        <v>432</v>
      </c>
      <c r="BE41" s="76" t="s">
        <v>349</v>
      </c>
      <c r="BF41" s="40" t="s">
        <v>432</v>
      </c>
      <c r="BG41" s="76"/>
      <c r="BH41" s="40" t="s">
        <v>432</v>
      </c>
      <c r="BI41" s="76"/>
      <c r="BJ41" s="40" t="s">
        <v>432</v>
      </c>
      <c r="BK41" s="76"/>
      <c r="BL41" s="40" t="s">
        <v>432</v>
      </c>
      <c r="BM41" s="76"/>
      <c r="BN41" s="40" t="s">
        <v>432</v>
      </c>
      <c r="BO41" s="76"/>
      <c r="BP41" s="40" t="s">
        <v>432</v>
      </c>
      <c r="BQ41" s="76"/>
      <c r="BR41" s="40" t="s">
        <v>432</v>
      </c>
      <c r="BS41" s="76"/>
      <c r="BT41" s="40" t="s">
        <v>432</v>
      </c>
      <c r="BU41" s="76"/>
      <c r="BV41" s="40" t="s">
        <v>432</v>
      </c>
      <c r="BW41" s="76"/>
      <c r="BX41" s="40" t="s">
        <v>432</v>
      </c>
    </row>
    <row r="42" spans="1:76" x14ac:dyDescent="0.25">
      <c r="A42" s="76" t="s">
        <v>578</v>
      </c>
      <c r="B42" s="76">
        <v>41</v>
      </c>
      <c r="C42" s="76" t="s">
        <v>346</v>
      </c>
      <c r="D42" s="40" t="s">
        <v>432</v>
      </c>
      <c r="E42" s="76"/>
      <c r="F42" s="40" t="s">
        <v>432</v>
      </c>
      <c r="G42" s="76"/>
      <c r="H42" s="40" t="s">
        <v>432</v>
      </c>
      <c r="I42" s="76"/>
      <c r="J42" s="40" t="s">
        <v>432</v>
      </c>
      <c r="K42" s="76"/>
      <c r="L42" s="40" t="s">
        <v>432</v>
      </c>
      <c r="M42" s="76" t="s">
        <v>438</v>
      </c>
      <c r="N42" s="40" t="s">
        <v>432</v>
      </c>
      <c r="O42" s="76" t="s">
        <v>439</v>
      </c>
      <c r="P42" s="40" t="s">
        <v>432</v>
      </c>
      <c r="Q42" s="76"/>
      <c r="R42" s="40" t="s">
        <v>432</v>
      </c>
      <c r="S42" s="76"/>
      <c r="T42" s="40" t="s">
        <v>432</v>
      </c>
      <c r="U42" s="76"/>
      <c r="V42" s="40" t="s">
        <v>432</v>
      </c>
      <c r="W42" s="76" t="s">
        <v>440</v>
      </c>
      <c r="X42" s="40" t="s">
        <v>432</v>
      </c>
      <c r="Y42" s="76"/>
      <c r="Z42" s="40" t="s">
        <v>432</v>
      </c>
      <c r="AA42" s="76"/>
      <c r="AB42" s="40" t="s">
        <v>432</v>
      </c>
      <c r="AC42" s="76"/>
      <c r="AD42" s="40" t="s">
        <v>432</v>
      </c>
      <c r="AE42" s="76"/>
      <c r="AF42" s="40" t="s">
        <v>432</v>
      </c>
      <c r="AG42" s="76"/>
      <c r="AH42" s="40" t="s">
        <v>432</v>
      </c>
      <c r="AI42" s="76"/>
      <c r="AJ42" s="40" t="s">
        <v>432</v>
      </c>
      <c r="AK42" s="76"/>
      <c r="AL42" s="40" t="s">
        <v>432</v>
      </c>
      <c r="AM42" s="76" t="s">
        <v>429</v>
      </c>
      <c r="AN42" s="40" t="s">
        <v>432</v>
      </c>
      <c r="AO42" s="76"/>
      <c r="AP42" s="40" t="s">
        <v>432</v>
      </c>
      <c r="AQ42" s="76"/>
      <c r="AR42" s="40" t="s">
        <v>432</v>
      </c>
      <c r="AS42" s="76"/>
      <c r="AT42" s="40" t="s">
        <v>432</v>
      </c>
      <c r="AU42" s="76"/>
      <c r="AV42" s="40" t="s">
        <v>432</v>
      </c>
      <c r="AW42" s="76"/>
      <c r="AX42" s="40" t="s">
        <v>432</v>
      </c>
      <c r="AY42" s="76" t="s">
        <v>431</v>
      </c>
      <c r="AZ42" s="40" t="s">
        <v>432</v>
      </c>
      <c r="BA42" s="76"/>
      <c r="BB42" s="40" t="s">
        <v>432</v>
      </c>
      <c r="BC42" s="76"/>
      <c r="BD42" s="40" t="s">
        <v>432</v>
      </c>
      <c r="BE42" s="76" t="s">
        <v>349</v>
      </c>
      <c r="BF42" s="40" t="s">
        <v>432</v>
      </c>
      <c r="BG42" s="76"/>
      <c r="BH42" s="40" t="s">
        <v>432</v>
      </c>
      <c r="BI42" s="76"/>
      <c r="BJ42" s="40" t="s">
        <v>432</v>
      </c>
      <c r="BK42" s="76"/>
      <c r="BL42" s="40" t="s">
        <v>432</v>
      </c>
      <c r="BM42" s="76"/>
      <c r="BN42" s="40" t="s">
        <v>432</v>
      </c>
      <c r="BO42" s="76"/>
      <c r="BP42" s="40" t="s">
        <v>432</v>
      </c>
      <c r="BQ42" s="76"/>
      <c r="BR42" s="40" t="s">
        <v>432</v>
      </c>
      <c r="BS42" s="76"/>
      <c r="BT42" s="40" t="s">
        <v>432</v>
      </c>
      <c r="BU42" s="76"/>
      <c r="BV42" s="40" t="s">
        <v>432</v>
      </c>
      <c r="BW42" s="76"/>
      <c r="BX42" s="40" t="s">
        <v>432</v>
      </c>
    </row>
    <row r="43" spans="1:76" x14ac:dyDescent="0.25">
      <c r="A43" s="76" t="s">
        <v>579</v>
      </c>
      <c r="B43" s="76">
        <v>42</v>
      </c>
      <c r="C43" s="76" t="s">
        <v>346</v>
      </c>
      <c r="D43" s="40" t="s">
        <v>432</v>
      </c>
      <c r="E43" s="76"/>
      <c r="F43" s="40" t="s">
        <v>432</v>
      </c>
      <c r="G43" s="76"/>
      <c r="H43" s="40" t="s">
        <v>432</v>
      </c>
      <c r="I43" s="76"/>
      <c r="J43" s="40" t="s">
        <v>432</v>
      </c>
      <c r="K43" s="76"/>
      <c r="L43" s="40" t="s">
        <v>432</v>
      </c>
      <c r="M43" s="76" t="s">
        <v>438</v>
      </c>
      <c r="N43" s="40" t="s">
        <v>432</v>
      </c>
      <c r="O43" s="76" t="s">
        <v>439</v>
      </c>
      <c r="P43" s="40" t="s">
        <v>432</v>
      </c>
      <c r="Q43" s="76"/>
      <c r="R43" s="40" t="s">
        <v>432</v>
      </c>
      <c r="S43" s="76"/>
      <c r="T43" s="40" t="s">
        <v>432</v>
      </c>
      <c r="U43" s="76"/>
      <c r="V43" s="40" t="s">
        <v>432</v>
      </c>
      <c r="W43" s="76" t="s">
        <v>440</v>
      </c>
      <c r="X43" s="40" t="s">
        <v>432</v>
      </c>
      <c r="Y43" s="76"/>
      <c r="Z43" s="40" t="s">
        <v>432</v>
      </c>
      <c r="AA43" s="76"/>
      <c r="AB43" s="40" t="s">
        <v>432</v>
      </c>
      <c r="AC43" s="76"/>
      <c r="AD43" s="40" t="s">
        <v>432</v>
      </c>
      <c r="AE43" s="76"/>
      <c r="AF43" s="40" t="s">
        <v>432</v>
      </c>
      <c r="AG43" s="76"/>
      <c r="AH43" s="40" t="s">
        <v>432</v>
      </c>
      <c r="AI43" s="76"/>
      <c r="AJ43" s="40" t="s">
        <v>432</v>
      </c>
      <c r="AK43" s="76"/>
      <c r="AL43" s="40" t="s">
        <v>432</v>
      </c>
      <c r="AM43" s="76" t="s">
        <v>429</v>
      </c>
      <c r="AN43" s="40" t="s">
        <v>432</v>
      </c>
      <c r="AO43" s="76"/>
      <c r="AP43" s="40" t="s">
        <v>432</v>
      </c>
      <c r="AQ43" s="76"/>
      <c r="AR43" s="40" t="s">
        <v>432</v>
      </c>
      <c r="AS43" s="76"/>
      <c r="AT43" s="40" t="s">
        <v>432</v>
      </c>
      <c r="AU43" s="76"/>
      <c r="AV43" s="40" t="s">
        <v>432</v>
      </c>
      <c r="AW43" s="76"/>
      <c r="AX43" s="40" t="s">
        <v>432</v>
      </c>
      <c r="AY43" s="76" t="s">
        <v>431</v>
      </c>
      <c r="AZ43" s="40" t="s">
        <v>432</v>
      </c>
      <c r="BA43" s="76"/>
      <c r="BB43" s="40" t="s">
        <v>432</v>
      </c>
      <c r="BC43" s="76"/>
      <c r="BD43" s="40" t="s">
        <v>432</v>
      </c>
      <c r="BE43" s="76" t="s">
        <v>349</v>
      </c>
      <c r="BF43" s="40" t="s">
        <v>432</v>
      </c>
      <c r="BG43" s="76"/>
      <c r="BH43" s="40" t="s">
        <v>432</v>
      </c>
      <c r="BI43" s="76"/>
      <c r="BJ43" s="40" t="s">
        <v>432</v>
      </c>
      <c r="BK43" s="76"/>
      <c r="BL43" s="40" t="s">
        <v>432</v>
      </c>
      <c r="BM43" s="76"/>
      <c r="BN43" s="40" t="s">
        <v>432</v>
      </c>
      <c r="BO43" s="76"/>
      <c r="BP43" s="40" t="s">
        <v>432</v>
      </c>
      <c r="BQ43" s="76"/>
      <c r="BR43" s="40" t="s">
        <v>432</v>
      </c>
      <c r="BS43" s="76"/>
      <c r="BT43" s="40" t="s">
        <v>432</v>
      </c>
      <c r="BU43" s="76"/>
      <c r="BV43" s="40" t="s">
        <v>432</v>
      </c>
      <c r="BW43" s="76"/>
      <c r="BX43" s="40" t="s">
        <v>432</v>
      </c>
    </row>
    <row r="44" spans="1:76" x14ac:dyDescent="0.25">
      <c r="A44" s="76" t="s">
        <v>580</v>
      </c>
      <c r="B44" s="76">
        <v>43</v>
      </c>
      <c r="C44" s="76" t="s">
        <v>346</v>
      </c>
      <c r="D44" s="40" t="s">
        <v>432</v>
      </c>
      <c r="E44" s="76"/>
      <c r="F44" s="40" t="s">
        <v>432</v>
      </c>
      <c r="G44" s="76"/>
      <c r="H44" s="40" t="s">
        <v>432</v>
      </c>
      <c r="I44" s="76"/>
      <c r="J44" s="40" t="s">
        <v>432</v>
      </c>
      <c r="K44" s="76"/>
      <c r="L44" s="40" t="s">
        <v>432</v>
      </c>
      <c r="M44" s="76" t="s">
        <v>438</v>
      </c>
      <c r="N44" s="40" t="s">
        <v>432</v>
      </c>
      <c r="O44" s="76" t="s">
        <v>439</v>
      </c>
      <c r="P44" s="40" t="s">
        <v>432</v>
      </c>
      <c r="Q44" s="76"/>
      <c r="R44" s="40" t="s">
        <v>432</v>
      </c>
      <c r="S44" s="76"/>
      <c r="T44" s="40" t="s">
        <v>432</v>
      </c>
      <c r="U44" s="76"/>
      <c r="V44" s="40" t="s">
        <v>432</v>
      </c>
      <c r="W44" s="76" t="s">
        <v>440</v>
      </c>
      <c r="X44" s="40" t="s">
        <v>432</v>
      </c>
      <c r="Y44" s="76"/>
      <c r="Z44" s="40" t="s">
        <v>432</v>
      </c>
      <c r="AA44" s="76"/>
      <c r="AB44" s="40" t="s">
        <v>432</v>
      </c>
      <c r="AC44" s="76"/>
      <c r="AD44" s="40" t="s">
        <v>432</v>
      </c>
      <c r="AE44" s="76"/>
      <c r="AF44" s="40" t="s">
        <v>432</v>
      </c>
      <c r="AG44" s="76"/>
      <c r="AH44" s="40" t="s">
        <v>432</v>
      </c>
      <c r="AI44" s="76"/>
      <c r="AJ44" s="40" t="s">
        <v>432</v>
      </c>
      <c r="AK44" s="76"/>
      <c r="AL44" s="40" t="s">
        <v>432</v>
      </c>
      <c r="AM44" s="76" t="s">
        <v>429</v>
      </c>
      <c r="AN44" s="40" t="s">
        <v>432</v>
      </c>
      <c r="AO44" s="76"/>
      <c r="AP44" s="40" t="s">
        <v>432</v>
      </c>
      <c r="AQ44" s="76"/>
      <c r="AR44" s="40" t="s">
        <v>432</v>
      </c>
      <c r="AS44" s="76"/>
      <c r="AT44" s="40" t="s">
        <v>432</v>
      </c>
      <c r="AU44" s="76"/>
      <c r="AV44" s="40" t="s">
        <v>432</v>
      </c>
      <c r="AW44" s="76"/>
      <c r="AX44" s="40" t="s">
        <v>432</v>
      </c>
      <c r="AY44" s="76" t="s">
        <v>431</v>
      </c>
      <c r="AZ44" s="40" t="s">
        <v>432</v>
      </c>
      <c r="BA44" s="76"/>
      <c r="BB44" s="40" t="s">
        <v>432</v>
      </c>
      <c r="BC44" s="76"/>
      <c r="BD44" s="40" t="s">
        <v>432</v>
      </c>
      <c r="BE44" s="76" t="s">
        <v>349</v>
      </c>
      <c r="BF44" s="40" t="s">
        <v>432</v>
      </c>
      <c r="BG44" s="76"/>
      <c r="BH44" s="40" t="s">
        <v>432</v>
      </c>
      <c r="BI44" s="76"/>
      <c r="BJ44" s="40" t="s">
        <v>432</v>
      </c>
      <c r="BK44" s="76"/>
      <c r="BL44" s="40" t="s">
        <v>432</v>
      </c>
      <c r="BM44" s="76"/>
      <c r="BN44" s="40" t="s">
        <v>432</v>
      </c>
      <c r="BO44" s="76"/>
      <c r="BP44" s="40" t="s">
        <v>432</v>
      </c>
      <c r="BQ44" s="76"/>
      <c r="BR44" s="40" t="s">
        <v>432</v>
      </c>
      <c r="BS44" s="76"/>
      <c r="BT44" s="40" t="s">
        <v>432</v>
      </c>
      <c r="BU44" s="76"/>
      <c r="BV44" s="40" t="s">
        <v>432</v>
      </c>
      <c r="BW44" s="76"/>
      <c r="BX44" s="40" t="s">
        <v>432</v>
      </c>
    </row>
    <row r="45" spans="1:76" x14ac:dyDescent="0.25">
      <c r="A45" s="76" t="s">
        <v>581</v>
      </c>
      <c r="B45" s="76">
        <v>44</v>
      </c>
      <c r="C45" s="76" t="s">
        <v>346</v>
      </c>
      <c r="D45" s="40" t="s">
        <v>432</v>
      </c>
      <c r="E45" s="76"/>
      <c r="F45" s="40" t="s">
        <v>432</v>
      </c>
      <c r="G45" s="76"/>
      <c r="H45" s="40" t="s">
        <v>432</v>
      </c>
      <c r="I45" s="76"/>
      <c r="J45" s="40" t="s">
        <v>432</v>
      </c>
      <c r="K45" s="76"/>
      <c r="L45" s="40" t="s">
        <v>432</v>
      </c>
      <c r="M45" s="76" t="s">
        <v>438</v>
      </c>
      <c r="N45" s="40" t="s">
        <v>432</v>
      </c>
      <c r="O45" s="76" t="s">
        <v>439</v>
      </c>
      <c r="P45" s="40" t="s">
        <v>432</v>
      </c>
      <c r="Q45" s="76"/>
      <c r="R45" s="40" t="s">
        <v>432</v>
      </c>
      <c r="S45" s="76"/>
      <c r="T45" s="40" t="s">
        <v>432</v>
      </c>
      <c r="U45" s="76"/>
      <c r="V45" s="40" t="s">
        <v>432</v>
      </c>
      <c r="W45" s="76" t="s">
        <v>440</v>
      </c>
      <c r="X45" s="40" t="s">
        <v>432</v>
      </c>
      <c r="Y45" s="76"/>
      <c r="Z45" s="40" t="s">
        <v>432</v>
      </c>
      <c r="AA45" s="76"/>
      <c r="AB45" s="40" t="s">
        <v>432</v>
      </c>
      <c r="AC45" s="76"/>
      <c r="AD45" s="40" t="s">
        <v>432</v>
      </c>
      <c r="AE45" s="76"/>
      <c r="AF45" s="40" t="s">
        <v>432</v>
      </c>
      <c r="AG45" s="76"/>
      <c r="AH45" s="40" t="s">
        <v>432</v>
      </c>
      <c r="AI45" s="76"/>
      <c r="AJ45" s="40" t="s">
        <v>432</v>
      </c>
      <c r="AK45" s="76"/>
      <c r="AL45" s="40" t="s">
        <v>432</v>
      </c>
      <c r="AM45" s="76" t="s">
        <v>429</v>
      </c>
      <c r="AN45" s="40" t="s">
        <v>432</v>
      </c>
      <c r="AO45" s="76"/>
      <c r="AP45" s="40" t="s">
        <v>432</v>
      </c>
      <c r="AQ45" s="76"/>
      <c r="AR45" s="40" t="s">
        <v>432</v>
      </c>
      <c r="AS45" s="76"/>
      <c r="AT45" s="40" t="s">
        <v>432</v>
      </c>
      <c r="AU45" s="76"/>
      <c r="AV45" s="40" t="s">
        <v>432</v>
      </c>
      <c r="AW45" s="76"/>
      <c r="AX45" s="40" t="s">
        <v>432</v>
      </c>
      <c r="AY45" s="76" t="s">
        <v>431</v>
      </c>
      <c r="AZ45" s="40" t="s">
        <v>432</v>
      </c>
      <c r="BA45" s="76"/>
      <c r="BB45" s="40" t="s">
        <v>432</v>
      </c>
      <c r="BC45" s="76"/>
      <c r="BD45" s="40" t="s">
        <v>432</v>
      </c>
      <c r="BE45" s="76" t="s">
        <v>349</v>
      </c>
      <c r="BF45" s="40" t="s">
        <v>432</v>
      </c>
      <c r="BG45" s="76" t="s">
        <v>350</v>
      </c>
      <c r="BH45" s="40" t="s">
        <v>432</v>
      </c>
      <c r="BI45" s="76"/>
      <c r="BJ45" s="40" t="s">
        <v>432</v>
      </c>
      <c r="BK45" s="76"/>
      <c r="BL45" s="40" t="s">
        <v>432</v>
      </c>
      <c r="BM45" s="76"/>
      <c r="BN45" s="40" t="s">
        <v>432</v>
      </c>
      <c r="BO45" s="76"/>
      <c r="BP45" s="40" t="s">
        <v>432</v>
      </c>
      <c r="BQ45" s="76"/>
      <c r="BR45" s="40" t="s">
        <v>432</v>
      </c>
      <c r="BS45" s="76"/>
      <c r="BT45" s="40" t="s">
        <v>432</v>
      </c>
      <c r="BU45" s="76"/>
      <c r="BV45" s="40" t="s">
        <v>432</v>
      </c>
      <c r="BW45" s="76"/>
      <c r="BX45" s="40" t="s">
        <v>432</v>
      </c>
    </row>
    <row r="46" spans="1:76" x14ac:dyDescent="0.25">
      <c r="A46" s="76" t="s">
        <v>582</v>
      </c>
      <c r="B46" s="76">
        <v>45</v>
      </c>
      <c r="C46" s="76" t="s">
        <v>346</v>
      </c>
      <c r="D46" s="40" t="s">
        <v>432</v>
      </c>
      <c r="E46" s="76"/>
      <c r="F46" s="40" t="s">
        <v>432</v>
      </c>
      <c r="G46" s="76"/>
      <c r="H46" s="40" t="s">
        <v>432</v>
      </c>
      <c r="I46" s="76"/>
      <c r="J46" s="40" t="s">
        <v>432</v>
      </c>
      <c r="K46" s="76"/>
      <c r="L46" s="40" t="s">
        <v>432</v>
      </c>
      <c r="M46" s="76" t="s">
        <v>438</v>
      </c>
      <c r="N46" s="40" t="s">
        <v>432</v>
      </c>
      <c r="O46" s="76" t="s">
        <v>439</v>
      </c>
      <c r="P46" s="40" t="s">
        <v>432</v>
      </c>
      <c r="Q46" s="76"/>
      <c r="R46" s="40" t="s">
        <v>432</v>
      </c>
      <c r="S46" s="76"/>
      <c r="T46" s="40" t="s">
        <v>432</v>
      </c>
      <c r="U46" s="76"/>
      <c r="V46" s="40" t="s">
        <v>432</v>
      </c>
      <c r="W46" s="76" t="s">
        <v>440</v>
      </c>
      <c r="X46" s="40" t="s">
        <v>432</v>
      </c>
      <c r="Y46" s="76"/>
      <c r="Z46" s="40" t="s">
        <v>432</v>
      </c>
      <c r="AA46" s="76"/>
      <c r="AB46" s="40" t="s">
        <v>432</v>
      </c>
      <c r="AC46" s="76"/>
      <c r="AD46" s="40" t="s">
        <v>432</v>
      </c>
      <c r="AE46" s="76"/>
      <c r="AF46" s="40" t="s">
        <v>432</v>
      </c>
      <c r="AG46" s="76"/>
      <c r="AH46" s="40" t="s">
        <v>432</v>
      </c>
      <c r="AI46" s="76"/>
      <c r="AJ46" s="40" t="s">
        <v>432</v>
      </c>
      <c r="AK46" s="76"/>
      <c r="AL46" s="40" t="s">
        <v>432</v>
      </c>
      <c r="AM46" s="76" t="s">
        <v>429</v>
      </c>
      <c r="AN46" s="40" t="s">
        <v>432</v>
      </c>
      <c r="AO46" s="76"/>
      <c r="AP46" s="40" t="s">
        <v>432</v>
      </c>
      <c r="AQ46" s="76"/>
      <c r="AR46" s="40" t="s">
        <v>432</v>
      </c>
      <c r="AS46" s="76"/>
      <c r="AT46" s="40" t="s">
        <v>432</v>
      </c>
      <c r="AU46" s="76"/>
      <c r="AV46" s="40" t="s">
        <v>432</v>
      </c>
      <c r="AW46" s="76"/>
      <c r="AX46" s="40" t="s">
        <v>432</v>
      </c>
      <c r="AY46" s="76" t="s">
        <v>431</v>
      </c>
      <c r="AZ46" s="40" t="s">
        <v>432</v>
      </c>
      <c r="BA46" s="76"/>
      <c r="BB46" s="40" t="s">
        <v>432</v>
      </c>
      <c r="BC46" s="76"/>
      <c r="BD46" s="40" t="s">
        <v>432</v>
      </c>
      <c r="BE46" s="76" t="s">
        <v>349</v>
      </c>
      <c r="BF46" s="40" t="s">
        <v>432</v>
      </c>
      <c r="BG46" s="76"/>
      <c r="BH46" s="40" t="s">
        <v>432</v>
      </c>
      <c r="BI46" s="76"/>
      <c r="BJ46" s="40" t="s">
        <v>432</v>
      </c>
      <c r="BK46" s="76"/>
      <c r="BL46" s="40" t="s">
        <v>432</v>
      </c>
      <c r="BM46" s="76"/>
      <c r="BN46" s="40" t="s">
        <v>432</v>
      </c>
      <c r="BO46" s="76"/>
      <c r="BP46" s="40" t="s">
        <v>432</v>
      </c>
      <c r="BQ46" s="76"/>
      <c r="BR46" s="40" t="s">
        <v>432</v>
      </c>
      <c r="BS46" s="76"/>
      <c r="BT46" s="40" t="s">
        <v>432</v>
      </c>
      <c r="BU46" s="76"/>
      <c r="BV46" s="40" t="s">
        <v>432</v>
      </c>
      <c r="BW46" s="76"/>
      <c r="BX46" s="40" t="s">
        <v>432</v>
      </c>
    </row>
    <row r="47" spans="1:76" x14ac:dyDescent="0.25">
      <c r="A47" s="76" t="s">
        <v>583</v>
      </c>
      <c r="B47" s="76">
        <v>46</v>
      </c>
      <c r="C47" s="76" t="s">
        <v>346</v>
      </c>
      <c r="D47" s="40" t="s">
        <v>432</v>
      </c>
      <c r="E47" s="76"/>
      <c r="F47" s="40" t="s">
        <v>432</v>
      </c>
      <c r="G47" s="76"/>
      <c r="H47" s="40" t="s">
        <v>432</v>
      </c>
      <c r="I47" s="76"/>
      <c r="J47" s="40" t="s">
        <v>432</v>
      </c>
      <c r="K47" s="76"/>
      <c r="L47" s="40" t="s">
        <v>432</v>
      </c>
      <c r="M47" s="76" t="s">
        <v>438</v>
      </c>
      <c r="N47" s="40" t="s">
        <v>432</v>
      </c>
      <c r="O47" s="76" t="s">
        <v>439</v>
      </c>
      <c r="P47" s="40" t="s">
        <v>432</v>
      </c>
      <c r="Q47" s="76"/>
      <c r="R47" s="40" t="s">
        <v>432</v>
      </c>
      <c r="S47" s="76"/>
      <c r="T47" s="40" t="s">
        <v>432</v>
      </c>
      <c r="U47" s="76"/>
      <c r="V47" s="40" t="s">
        <v>432</v>
      </c>
      <c r="W47" s="76" t="s">
        <v>440</v>
      </c>
      <c r="X47" s="40" t="s">
        <v>432</v>
      </c>
      <c r="Y47" s="76"/>
      <c r="Z47" s="40" t="s">
        <v>432</v>
      </c>
      <c r="AA47" s="76"/>
      <c r="AB47" s="40" t="s">
        <v>432</v>
      </c>
      <c r="AC47" s="76"/>
      <c r="AD47" s="40" t="s">
        <v>432</v>
      </c>
      <c r="AE47" s="76"/>
      <c r="AF47" s="40" t="s">
        <v>432</v>
      </c>
      <c r="AG47" s="76"/>
      <c r="AH47" s="40" t="s">
        <v>432</v>
      </c>
      <c r="AI47" s="76"/>
      <c r="AJ47" s="40" t="s">
        <v>432</v>
      </c>
      <c r="AK47" s="76"/>
      <c r="AL47" s="40" t="s">
        <v>432</v>
      </c>
      <c r="AM47" s="76" t="s">
        <v>429</v>
      </c>
      <c r="AN47" s="40" t="s">
        <v>432</v>
      </c>
      <c r="AO47" s="76"/>
      <c r="AP47" s="40" t="s">
        <v>432</v>
      </c>
      <c r="AQ47" s="76"/>
      <c r="AR47" s="40" t="s">
        <v>432</v>
      </c>
      <c r="AS47" s="76"/>
      <c r="AT47" s="40" t="s">
        <v>432</v>
      </c>
      <c r="AU47" s="76"/>
      <c r="AV47" s="40" t="s">
        <v>432</v>
      </c>
      <c r="AW47" s="76"/>
      <c r="AX47" s="40" t="s">
        <v>432</v>
      </c>
      <c r="AY47" s="76" t="s">
        <v>431</v>
      </c>
      <c r="AZ47" s="40" t="s">
        <v>432</v>
      </c>
      <c r="BA47" s="76"/>
      <c r="BB47" s="40" t="s">
        <v>432</v>
      </c>
      <c r="BC47" s="76"/>
      <c r="BD47" s="40" t="s">
        <v>432</v>
      </c>
      <c r="BE47" s="76" t="s">
        <v>349</v>
      </c>
      <c r="BF47" s="40" t="s">
        <v>432</v>
      </c>
      <c r="BG47" s="76" t="s">
        <v>350</v>
      </c>
      <c r="BH47" s="40" t="s">
        <v>432</v>
      </c>
      <c r="BI47" s="76"/>
      <c r="BJ47" s="40" t="s">
        <v>432</v>
      </c>
      <c r="BK47" s="76"/>
      <c r="BL47" s="40" t="s">
        <v>432</v>
      </c>
      <c r="BM47" s="76"/>
      <c r="BN47" s="40" t="s">
        <v>432</v>
      </c>
      <c r="BO47" s="76"/>
      <c r="BP47" s="40" t="s">
        <v>432</v>
      </c>
      <c r="BQ47" s="76"/>
      <c r="BR47" s="40" t="s">
        <v>432</v>
      </c>
      <c r="BS47" s="76"/>
      <c r="BT47" s="40" t="s">
        <v>432</v>
      </c>
      <c r="BU47" s="76"/>
      <c r="BV47" s="40" t="s">
        <v>432</v>
      </c>
      <c r="BW47" s="76"/>
      <c r="BX47" s="40" t="s">
        <v>432</v>
      </c>
    </row>
    <row r="48" spans="1:76" x14ac:dyDescent="0.25">
      <c r="A48" s="76" t="s">
        <v>584</v>
      </c>
      <c r="B48" s="76">
        <v>47</v>
      </c>
      <c r="C48" s="76" t="s">
        <v>346</v>
      </c>
      <c r="D48" s="40" t="s">
        <v>432</v>
      </c>
      <c r="E48" s="76"/>
      <c r="F48" s="40" t="s">
        <v>432</v>
      </c>
      <c r="G48" s="76"/>
      <c r="H48" s="40" t="s">
        <v>432</v>
      </c>
      <c r="I48" s="76"/>
      <c r="J48" s="40" t="s">
        <v>432</v>
      </c>
      <c r="K48" s="76"/>
      <c r="L48" s="40" t="s">
        <v>432</v>
      </c>
      <c r="M48" s="76" t="s">
        <v>439</v>
      </c>
      <c r="N48" s="40" t="s">
        <v>432</v>
      </c>
      <c r="O48" s="76"/>
      <c r="P48" s="40" t="s">
        <v>432</v>
      </c>
      <c r="Q48" s="76"/>
      <c r="R48" s="40" t="s">
        <v>432</v>
      </c>
      <c r="S48" s="76"/>
      <c r="T48" s="40" t="s">
        <v>432</v>
      </c>
      <c r="U48" s="76"/>
      <c r="V48" s="40" t="s">
        <v>432</v>
      </c>
      <c r="W48" s="76" t="s">
        <v>440</v>
      </c>
      <c r="X48" s="40" t="s">
        <v>432</v>
      </c>
      <c r="Y48" s="76"/>
      <c r="Z48" s="40" t="s">
        <v>432</v>
      </c>
      <c r="AA48" s="76"/>
      <c r="AB48" s="40" t="s">
        <v>432</v>
      </c>
      <c r="AC48" s="76"/>
      <c r="AD48" s="40" t="s">
        <v>432</v>
      </c>
      <c r="AE48" s="76"/>
      <c r="AF48" s="40" t="s">
        <v>432</v>
      </c>
      <c r="AG48" s="76"/>
      <c r="AH48" s="40" t="s">
        <v>432</v>
      </c>
      <c r="AI48" s="76"/>
      <c r="AJ48" s="40" t="s">
        <v>432</v>
      </c>
      <c r="AK48" s="76"/>
      <c r="AL48" s="40" t="s">
        <v>432</v>
      </c>
      <c r="AM48" s="76" t="s">
        <v>429</v>
      </c>
      <c r="AN48" s="40" t="s">
        <v>432</v>
      </c>
      <c r="AO48" s="76"/>
      <c r="AP48" s="40" t="s">
        <v>432</v>
      </c>
      <c r="AQ48" s="76"/>
      <c r="AR48" s="40" t="s">
        <v>432</v>
      </c>
      <c r="AS48" s="76"/>
      <c r="AT48" s="40" t="s">
        <v>432</v>
      </c>
      <c r="AU48" s="76"/>
      <c r="AV48" s="40" t="s">
        <v>432</v>
      </c>
      <c r="AW48" s="76"/>
      <c r="AX48" s="40" t="s">
        <v>432</v>
      </c>
      <c r="AY48" s="76" t="s">
        <v>431</v>
      </c>
      <c r="AZ48" s="40" t="s">
        <v>432</v>
      </c>
      <c r="BA48" s="76"/>
      <c r="BB48" s="40" t="s">
        <v>432</v>
      </c>
      <c r="BC48" s="76"/>
      <c r="BD48" s="40" t="s">
        <v>432</v>
      </c>
      <c r="BE48" s="76" t="s">
        <v>349</v>
      </c>
      <c r="BF48" s="40" t="s">
        <v>432</v>
      </c>
      <c r="BG48" s="76" t="s">
        <v>350</v>
      </c>
      <c r="BH48" s="40" t="s">
        <v>432</v>
      </c>
      <c r="BI48" s="76"/>
      <c r="BJ48" s="40" t="s">
        <v>432</v>
      </c>
      <c r="BK48" s="76"/>
      <c r="BL48" s="40" t="s">
        <v>432</v>
      </c>
      <c r="BM48" s="76"/>
      <c r="BN48" s="40" t="s">
        <v>432</v>
      </c>
      <c r="BO48" s="76"/>
      <c r="BP48" s="40" t="s">
        <v>432</v>
      </c>
      <c r="BQ48" s="76"/>
      <c r="BR48" s="40" t="s">
        <v>432</v>
      </c>
      <c r="BS48" s="76"/>
      <c r="BT48" s="40" t="s">
        <v>432</v>
      </c>
      <c r="BU48" s="76"/>
      <c r="BV48" s="40" t="s">
        <v>432</v>
      </c>
      <c r="BW48" s="76"/>
      <c r="BX48" s="40" t="s">
        <v>432</v>
      </c>
    </row>
    <row r="49" spans="1:76" x14ac:dyDescent="0.25">
      <c r="A49" s="76" t="s">
        <v>585</v>
      </c>
      <c r="B49" s="76">
        <v>48</v>
      </c>
      <c r="C49" s="76" t="s">
        <v>346</v>
      </c>
      <c r="D49" s="40" t="s">
        <v>432</v>
      </c>
      <c r="E49" s="76"/>
      <c r="F49" s="40" t="s">
        <v>432</v>
      </c>
      <c r="G49" s="76"/>
      <c r="H49" s="40" t="s">
        <v>432</v>
      </c>
      <c r="I49" s="76"/>
      <c r="J49" s="40" t="s">
        <v>432</v>
      </c>
      <c r="K49" s="76"/>
      <c r="L49" s="40" t="s">
        <v>432</v>
      </c>
      <c r="M49" s="76" t="s">
        <v>438</v>
      </c>
      <c r="N49" s="40" t="s">
        <v>432</v>
      </c>
      <c r="O49" s="76" t="s">
        <v>439</v>
      </c>
      <c r="P49" s="40" t="s">
        <v>432</v>
      </c>
      <c r="Q49" s="76"/>
      <c r="R49" s="40" t="s">
        <v>432</v>
      </c>
      <c r="S49" s="76"/>
      <c r="T49" s="40" t="s">
        <v>432</v>
      </c>
      <c r="U49" s="76"/>
      <c r="V49" s="40" t="s">
        <v>432</v>
      </c>
      <c r="W49" s="76" t="s">
        <v>440</v>
      </c>
      <c r="X49" s="40" t="s">
        <v>432</v>
      </c>
      <c r="Y49" s="76"/>
      <c r="Z49" s="40" t="s">
        <v>432</v>
      </c>
      <c r="AA49" s="76"/>
      <c r="AB49" s="40" t="s">
        <v>432</v>
      </c>
      <c r="AC49" s="76"/>
      <c r="AD49" s="40" t="s">
        <v>432</v>
      </c>
      <c r="AE49" s="76"/>
      <c r="AF49" s="40" t="s">
        <v>432</v>
      </c>
      <c r="AG49" s="76"/>
      <c r="AH49" s="40" t="s">
        <v>432</v>
      </c>
      <c r="AI49" s="76"/>
      <c r="AJ49" s="40" t="s">
        <v>432</v>
      </c>
      <c r="AK49" s="76"/>
      <c r="AL49" s="40" t="s">
        <v>432</v>
      </c>
      <c r="AM49" s="76" t="s">
        <v>429</v>
      </c>
      <c r="AN49" s="40" t="s">
        <v>432</v>
      </c>
      <c r="AO49" s="76"/>
      <c r="AP49" s="40" t="s">
        <v>432</v>
      </c>
      <c r="AQ49" s="76"/>
      <c r="AR49" s="40" t="s">
        <v>432</v>
      </c>
      <c r="AS49" s="76"/>
      <c r="AT49" s="40" t="s">
        <v>432</v>
      </c>
      <c r="AU49" s="76"/>
      <c r="AV49" s="40" t="s">
        <v>432</v>
      </c>
      <c r="AW49" s="76"/>
      <c r="AX49" s="40" t="s">
        <v>432</v>
      </c>
      <c r="AY49" s="76" t="s">
        <v>431</v>
      </c>
      <c r="AZ49" s="40" t="s">
        <v>432</v>
      </c>
      <c r="BA49" s="76"/>
      <c r="BB49" s="40" t="s">
        <v>432</v>
      </c>
      <c r="BC49" s="76"/>
      <c r="BD49" s="40" t="s">
        <v>432</v>
      </c>
      <c r="BE49" s="76" t="s">
        <v>349</v>
      </c>
      <c r="BF49" s="40" t="s">
        <v>432</v>
      </c>
      <c r="BG49" s="76"/>
      <c r="BH49" s="40" t="s">
        <v>432</v>
      </c>
      <c r="BI49" s="76"/>
      <c r="BJ49" s="40" t="s">
        <v>432</v>
      </c>
      <c r="BK49" s="76"/>
      <c r="BL49" s="40" t="s">
        <v>432</v>
      </c>
      <c r="BM49" s="76"/>
      <c r="BN49" s="40" t="s">
        <v>432</v>
      </c>
      <c r="BO49" s="76"/>
      <c r="BP49" s="40" t="s">
        <v>432</v>
      </c>
      <c r="BQ49" s="76"/>
      <c r="BR49" s="40" t="s">
        <v>432</v>
      </c>
      <c r="BS49" s="76"/>
      <c r="BT49" s="40" t="s">
        <v>432</v>
      </c>
      <c r="BU49" s="76"/>
      <c r="BV49" s="40" t="s">
        <v>432</v>
      </c>
      <c r="BW49" s="76"/>
      <c r="BX49" s="40" t="s">
        <v>432</v>
      </c>
    </row>
    <row r="50" spans="1:76" x14ac:dyDescent="0.25">
      <c r="A50" s="76" t="s">
        <v>586</v>
      </c>
      <c r="B50" s="76">
        <v>49</v>
      </c>
      <c r="C50" s="76" t="s">
        <v>346</v>
      </c>
      <c r="D50" s="40" t="s">
        <v>432</v>
      </c>
      <c r="E50" s="76"/>
      <c r="F50" s="40" t="s">
        <v>432</v>
      </c>
      <c r="G50" s="76"/>
      <c r="H50" s="40" t="s">
        <v>432</v>
      </c>
      <c r="I50" s="76"/>
      <c r="J50" s="40" t="s">
        <v>432</v>
      </c>
      <c r="K50" s="76"/>
      <c r="L50" s="40" t="s">
        <v>432</v>
      </c>
      <c r="M50" s="76" t="s">
        <v>438</v>
      </c>
      <c r="N50" s="40" t="s">
        <v>432</v>
      </c>
      <c r="O50" s="76" t="s">
        <v>439</v>
      </c>
      <c r="P50" s="40" t="s">
        <v>432</v>
      </c>
      <c r="Q50" s="76"/>
      <c r="R50" s="40" t="s">
        <v>432</v>
      </c>
      <c r="S50" s="76"/>
      <c r="T50" s="40" t="s">
        <v>432</v>
      </c>
      <c r="U50" s="76"/>
      <c r="V50" s="40" t="s">
        <v>432</v>
      </c>
      <c r="W50" s="76" t="s">
        <v>440</v>
      </c>
      <c r="X50" s="40" t="s">
        <v>432</v>
      </c>
      <c r="Y50" s="76"/>
      <c r="Z50" s="40" t="s">
        <v>432</v>
      </c>
      <c r="AA50" s="76"/>
      <c r="AB50" s="40" t="s">
        <v>432</v>
      </c>
      <c r="AC50" s="76"/>
      <c r="AD50" s="40" t="s">
        <v>432</v>
      </c>
      <c r="AE50" s="76"/>
      <c r="AF50" s="40" t="s">
        <v>432</v>
      </c>
      <c r="AG50" s="76"/>
      <c r="AH50" s="40" t="s">
        <v>432</v>
      </c>
      <c r="AI50" s="76"/>
      <c r="AJ50" s="40" t="s">
        <v>432</v>
      </c>
      <c r="AK50" s="76"/>
      <c r="AL50" s="40" t="s">
        <v>432</v>
      </c>
      <c r="AM50" s="76" t="s">
        <v>429</v>
      </c>
      <c r="AN50" s="40" t="s">
        <v>432</v>
      </c>
      <c r="AO50" s="76"/>
      <c r="AP50" s="40" t="s">
        <v>432</v>
      </c>
      <c r="AQ50" s="76"/>
      <c r="AR50" s="40" t="s">
        <v>432</v>
      </c>
      <c r="AS50" s="76"/>
      <c r="AT50" s="40" t="s">
        <v>432</v>
      </c>
      <c r="AU50" s="76"/>
      <c r="AV50" s="40" t="s">
        <v>432</v>
      </c>
      <c r="AW50" s="76"/>
      <c r="AX50" s="40" t="s">
        <v>432</v>
      </c>
      <c r="AY50" s="76" t="s">
        <v>431</v>
      </c>
      <c r="AZ50" s="40" t="s">
        <v>432</v>
      </c>
      <c r="BA50" s="76"/>
      <c r="BB50" s="40" t="s">
        <v>432</v>
      </c>
      <c r="BC50" s="76"/>
      <c r="BD50" s="40" t="s">
        <v>432</v>
      </c>
      <c r="BE50" s="76" t="s">
        <v>349</v>
      </c>
      <c r="BF50" s="40" t="s">
        <v>432</v>
      </c>
      <c r="BG50" s="76" t="s">
        <v>350</v>
      </c>
      <c r="BH50" s="40" t="s">
        <v>432</v>
      </c>
      <c r="BI50" s="76"/>
      <c r="BJ50" s="40" t="s">
        <v>432</v>
      </c>
      <c r="BK50" s="76"/>
      <c r="BL50" s="40" t="s">
        <v>432</v>
      </c>
      <c r="BM50" s="76"/>
      <c r="BN50" s="40" t="s">
        <v>432</v>
      </c>
      <c r="BO50" s="76"/>
      <c r="BP50" s="40" t="s">
        <v>432</v>
      </c>
      <c r="BQ50" s="76"/>
      <c r="BR50" s="40" t="s">
        <v>432</v>
      </c>
      <c r="BS50" s="76"/>
      <c r="BT50" s="40" t="s">
        <v>432</v>
      </c>
      <c r="BU50" s="76"/>
      <c r="BV50" s="40" t="s">
        <v>432</v>
      </c>
      <c r="BW50" s="76"/>
      <c r="BX50" s="40" t="s">
        <v>432</v>
      </c>
    </row>
    <row r="51" spans="1:76" x14ac:dyDescent="0.25">
      <c r="A51" s="76" t="s">
        <v>587</v>
      </c>
      <c r="B51" s="76">
        <v>50</v>
      </c>
      <c r="C51" s="76" t="s">
        <v>346</v>
      </c>
      <c r="D51" s="40" t="s">
        <v>432</v>
      </c>
      <c r="E51" s="76"/>
      <c r="F51" s="40" t="s">
        <v>432</v>
      </c>
      <c r="G51" s="76"/>
      <c r="H51" s="40" t="s">
        <v>432</v>
      </c>
      <c r="I51" s="76"/>
      <c r="J51" s="40" t="s">
        <v>432</v>
      </c>
      <c r="K51" s="76"/>
      <c r="L51" s="40" t="s">
        <v>432</v>
      </c>
      <c r="M51" s="76" t="s">
        <v>438</v>
      </c>
      <c r="N51" s="40" t="s">
        <v>432</v>
      </c>
      <c r="O51" s="76" t="s">
        <v>439</v>
      </c>
      <c r="P51" s="40" t="s">
        <v>432</v>
      </c>
      <c r="Q51" s="76"/>
      <c r="R51" s="40" t="s">
        <v>432</v>
      </c>
      <c r="S51" s="76"/>
      <c r="T51" s="40" t="s">
        <v>432</v>
      </c>
      <c r="U51" s="76"/>
      <c r="V51" s="40" t="s">
        <v>432</v>
      </c>
      <c r="W51" s="76" t="s">
        <v>440</v>
      </c>
      <c r="X51" s="40" t="s">
        <v>432</v>
      </c>
      <c r="Y51" s="76"/>
      <c r="Z51" s="40" t="s">
        <v>432</v>
      </c>
      <c r="AA51" s="76"/>
      <c r="AB51" s="40" t="s">
        <v>432</v>
      </c>
      <c r="AC51" s="76"/>
      <c r="AD51" s="40" t="s">
        <v>432</v>
      </c>
      <c r="AE51" s="76"/>
      <c r="AF51" s="40" t="s">
        <v>432</v>
      </c>
      <c r="AG51" s="76"/>
      <c r="AH51" s="40" t="s">
        <v>432</v>
      </c>
      <c r="AI51" s="76"/>
      <c r="AJ51" s="40" t="s">
        <v>432</v>
      </c>
      <c r="AK51" s="76"/>
      <c r="AL51" s="40" t="s">
        <v>432</v>
      </c>
      <c r="AM51" s="76" t="s">
        <v>429</v>
      </c>
      <c r="AN51" s="40" t="s">
        <v>432</v>
      </c>
      <c r="AO51" s="76"/>
      <c r="AP51" s="40" t="s">
        <v>432</v>
      </c>
      <c r="AQ51" s="76"/>
      <c r="AR51" s="40" t="s">
        <v>432</v>
      </c>
      <c r="AS51" s="76"/>
      <c r="AT51" s="40" t="s">
        <v>432</v>
      </c>
      <c r="AU51" s="76"/>
      <c r="AV51" s="40" t="s">
        <v>432</v>
      </c>
      <c r="AW51" s="76"/>
      <c r="AX51" s="40" t="s">
        <v>432</v>
      </c>
      <c r="AY51" s="76" t="s">
        <v>431</v>
      </c>
      <c r="AZ51" s="40" t="s">
        <v>432</v>
      </c>
      <c r="BA51" s="76"/>
      <c r="BB51" s="40" t="s">
        <v>432</v>
      </c>
      <c r="BC51" s="76"/>
      <c r="BD51" s="40" t="s">
        <v>432</v>
      </c>
      <c r="BE51" s="76" t="s">
        <v>349</v>
      </c>
      <c r="BF51" s="40" t="s">
        <v>432</v>
      </c>
      <c r="BG51" s="76"/>
      <c r="BH51" s="40" t="s">
        <v>432</v>
      </c>
      <c r="BI51" s="76"/>
      <c r="BJ51" s="40" t="s">
        <v>432</v>
      </c>
      <c r="BK51" s="76"/>
      <c r="BL51" s="40" t="s">
        <v>432</v>
      </c>
      <c r="BM51" s="76"/>
      <c r="BN51" s="40" t="s">
        <v>432</v>
      </c>
      <c r="BO51" s="76"/>
      <c r="BP51" s="40" t="s">
        <v>432</v>
      </c>
      <c r="BQ51" s="76"/>
      <c r="BR51" s="40" t="s">
        <v>432</v>
      </c>
      <c r="BS51" s="76"/>
      <c r="BT51" s="40" t="s">
        <v>432</v>
      </c>
      <c r="BU51" s="76"/>
      <c r="BV51" s="40" t="s">
        <v>432</v>
      </c>
      <c r="BW51" s="76"/>
      <c r="BX51" s="40" t="s">
        <v>432</v>
      </c>
    </row>
    <row r="52" spans="1:76" x14ac:dyDescent="0.25">
      <c r="A52" s="76" t="s">
        <v>588</v>
      </c>
      <c r="B52" s="76">
        <v>51</v>
      </c>
      <c r="C52" s="76" t="s">
        <v>346</v>
      </c>
      <c r="D52" s="40" t="s">
        <v>432</v>
      </c>
      <c r="E52" s="76"/>
      <c r="F52" s="40" t="s">
        <v>432</v>
      </c>
      <c r="G52" s="76"/>
      <c r="H52" s="40" t="s">
        <v>432</v>
      </c>
      <c r="I52" s="76"/>
      <c r="J52" s="40" t="s">
        <v>432</v>
      </c>
      <c r="K52" s="76"/>
      <c r="L52" s="40" t="s">
        <v>432</v>
      </c>
      <c r="M52" s="76" t="s">
        <v>438</v>
      </c>
      <c r="N52" s="40" t="s">
        <v>432</v>
      </c>
      <c r="O52" s="76" t="s">
        <v>439</v>
      </c>
      <c r="P52" s="40" t="s">
        <v>432</v>
      </c>
      <c r="Q52" s="76"/>
      <c r="R52" s="40" t="s">
        <v>432</v>
      </c>
      <c r="S52" s="76"/>
      <c r="T52" s="40" t="s">
        <v>432</v>
      </c>
      <c r="U52" s="76"/>
      <c r="V52" s="40" t="s">
        <v>432</v>
      </c>
      <c r="W52" s="76" t="s">
        <v>440</v>
      </c>
      <c r="X52" s="40" t="s">
        <v>432</v>
      </c>
      <c r="Y52" s="76"/>
      <c r="Z52" s="40" t="s">
        <v>432</v>
      </c>
      <c r="AA52" s="76"/>
      <c r="AB52" s="40" t="s">
        <v>432</v>
      </c>
      <c r="AC52" s="76"/>
      <c r="AD52" s="40" t="s">
        <v>432</v>
      </c>
      <c r="AE52" s="76"/>
      <c r="AF52" s="40" t="s">
        <v>432</v>
      </c>
      <c r="AG52" s="76"/>
      <c r="AH52" s="40" t="s">
        <v>432</v>
      </c>
      <c r="AI52" s="76"/>
      <c r="AJ52" s="40" t="s">
        <v>432</v>
      </c>
      <c r="AK52" s="76"/>
      <c r="AL52" s="40" t="s">
        <v>432</v>
      </c>
      <c r="AM52" s="76" t="s">
        <v>429</v>
      </c>
      <c r="AN52" s="40" t="s">
        <v>432</v>
      </c>
      <c r="AO52" s="76"/>
      <c r="AP52" s="40" t="s">
        <v>432</v>
      </c>
      <c r="AQ52" s="76"/>
      <c r="AR52" s="40" t="s">
        <v>432</v>
      </c>
      <c r="AS52" s="76"/>
      <c r="AT52" s="40" t="s">
        <v>432</v>
      </c>
      <c r="AU52" s="76"/>
      <c r="AV52" s="40" t="s">
        <v>432</v>
      </c>
      <c r="AW52" s="76"/>
      <c r="AX52" s="40" t="s">
        <v>432</v>
      </c>
      <c r="AY52" s="76" t="s">
        <v>431</v>
      </c>
      <c r="AZ52" s="40" t="s">
        <v>432</v>
      </c>
      <c r="BA52" s="76"/>
      <c r="BB52" s="40" t="s">
        <v>432</v>
      </c>
      <c r="BC52" s="76"/>
      <c r="BD52" s="40" t="s">
        <v>432</v>
      </c>
      <c r="BE52" s="76" t="s">
        <v>349</v>
      </c>
      <c r="BF52" s="40" t="s">
        <v>432</v>
      </c>
      <c r="BG52" s="76"/>
      <c r="BH52" s="40" t="s">
        <v>432</v>
      </c>
      <c r="BI52" s="76"/>
      <c r="BJ52" s="40" t="s">
        <v>432</v>
      </c>
      <c r="BK52" s="76"/>
      <c r="BL52" s="40" t="s">
        <v>432</v>
      </c>
      <c r="BM52" s="76"/>
      <c r="BN52" s="40" t="s">
        <v>432</v>
      </c>
      <c r="BO52" s="76"/>
      <c r="BP52" s="40" t="s">
        <v>432</v>
      </c>
      <c r="BQ52" s="76"/>
      <c r="BR52" s="40" t="s">
        <v>432</v>
      </c>
      <c r="BS52" s="76"/>
      <c r="BT52" s="40" t="s">
        <v>432</v>
      </c>
      <c r="BU52" s="76"/>
      <c r="BV52" s="40" t="s">
        <v>432</v>
      </c>
      <c r="BW52" s="76"/>
      <c r="BX52" s="40" t="s">
        <v>432</v>
      </c>
    </row>
    <row r="53" spans="1:76" x14ac:dyDescent="0.25">
      <c r="A53" s="76" t="s">
        <v>589</v>
      </c>
      <c r="B53" s="76">
        <v>52</v>
      </c>
      <c r="C53" s="76" t="s">
        <v>346</v>
      </c>
      <c r="D53" s="40" t="s">
        <v>432</v>
      </c>
      <c r="E53" s="76"/>
      <c r="F53" s="40" t="s">
        <v>432</v>
      </c>
      <c r="G53" s="76"/>
      <c r="H53" s="40" t="s">
        <v>432</v>
      </c>
      <c r="I53" s="76"/>
      <c r="J53" s="40" t="s">
        <v>432</v>
      </c>
      <c r="K53" s="76"/>
      <c r="L53" s="40" t="s">
        <v>432</v>
      </c>
      <c r="M53" s="76" t="s">
        <v>438</v>
      </c>
      <c r="N53" s="40" t="s">
        <v>432</v>
      </c>
      <c r="O53" s="76" t="s">
        <v>439</v>
      </c>
      <c r="P53" s="40" t="s">
        <v>432</v>
      </c>
      <c r="Q53" s="76"/>
      <c r="R53" s="40" t="s">
        <v>432</v>
      </c>
      <c r="S53" s="76"/>
      <c r="T53" s="40" t="s">
        <v>432</v>
      </c>
      <c r="U53" s="76"/>
      <c r="V53" s="40" t="s">
        <v>432</v>
      </c>
      <c r="W53" s="76" t="s">
        <v>440</v>
      </c>
      <c r="X53" s="40" t="s">
        <v>432</v>
      </c>
      <c r="Y53" s="76"/>
      <c r="Z53" s="40" t="s">
        <v>432</v>
      </c>
      <c r="AA53" s="76"/>
      <c r="AB53" s="40" t="s">
        <v>432</v>
      </c>
      <c r="AC53" s="76"/>
      <c r="AD53" s="40" t="s">
        <v>432</v>
      </c>
      <c r="AE53" s="76"/>
      <c r="AF53" s="40" t="s">
        <v>432</v>
      </c>
      <c r="AG53" s="76"/>
      <c r="AH53" s="40" t="s">
        <v>432</v>
      </c>
      <c r="AI53" s="76"/>
      <c r="AJ53" s="40" t="s">
        <v>432</v>
      </c>
      <c r="AK53" s="76"/>
      <c r="AL53" s="40" t="s">
        <v>432</v>
      </c>
      <c r="AM53" s="76" t="s">
        <v>429</v>
      </c>
      <c r="AN53" s="40" t="s">
        <v>432</v>
      </c>
      <c r="AO53" s="76"/>
      <c r="AP53" s="40" t="s">
        <v>432</v>
      </c>
      <c r="AQ53" s="76"/>
      <c r="AR53" s="40" t="s">
        <v>432</v>
      </c>
      <c r="AS53" s="76"/>
      <c r="AT53" s="40" t="s">
        <v>432</v>
      </c>
      <c r="AU53" s="76"/>
      <c r="AV53" s="40" t="s">
        <v>432</v>
      </c>
      <c r="AW53" s="76"/>
      <c r="AX53" s="40" t="s">
        <v>432</v>
      </c>
      <c r="AY53" s="76" t="s">
        <v>431</v>
      </c>
      <c r="AZ53" s="40" t="s">
        <v>432</v>
      </c>
      <c r="BA53" s="76"/>
      <c r="BB53" s="40" t="s">
        <v>432</v>
      </c>
      <c r="BC53" s="76"/>
      <c r="BD53" s="40" t="s">
        <v>432</v>
      </c>
      <c r="BE53" s="76" t="s">
        <v>349</v>
      </c>
      <c r="BF53" s="40" t="s">
        <v>432</v>
      </c>
      <c r="BG53" s="76"/>
      <c r="BH53" s="40" t="s">
        <v>432</v>
      </c>
      <c r="BI53" s="76"/>
      <c r="BJ53" s="40" t="s">
        <v>432</v>
      </c>
      <c r="BK53" s="76"/>
      <c r="BL53" s="40" t="s">
        <v>432</v>
      </c>
      <c r="BM53" s="76"/>
      <c r="BN53" s="40" t="s">
        <v>432</v>
      </c>
      <c r="BO53" s="76"/>
      <c r="BP53" s="40" t="s">
        <v>432</v>
      </c>
      <c r="BQ53" s="76"/>
      <c r="BR53" s="40" t="s">
        <v>432</v>
      </c>
      <c r="BS53" s="76"/>
      <c r="BT53" s="40" t="s">
        <v>432</v>
      </c>
      <c r="BU53" s="76"/>
      <c r="BV53" s="40" t="s">
        <v>432</v>
      </c>
      <c r="BW53" s="76"/>
      <c r="BX53" s="40" t="s">
        <v>432</v>
      </c>
    </row>
    <row r="54" spans="1:76" x14ac:dyDescent="0.25">
      <c r="A54" s="76" t="s">
        <v>590</v>
      </c>
      <c r="B54" s="76">
        <v>53</v>
      </c>
      <c r="C54" s="76" t="s">
        <v>346</v>
      </c>
      <c r="D54" s="40" t="s">
        <v>432</v>
      </c>
      <c r="E54" s="76"/>
      <c r="F54" s="40" t="s">
        <v>432</v>
      </c>
      <c r="G54" s="76"/>
      <c r="H54" s="40" t="s">
        <v>432</v>
      </c>
      <c r="I54" s="76"/>
      <c r="J54" s="40" t="s">
        <v>432</v>
      </c>
      <c r="K54" s="76"/>
      <c r="L54" s="40" t="s">
        <v>432</v>
      </c>
      <c r="M54" s="76" t="s">
        <v>438</v>
      </c>
      <c r="N54" s="40" t="s">
        <v>432</v>
      </c>
      <c r="O54" s="76" t="s">
        <v>439</v>
      </c>
      <c r="P54" s="40" t="s">
        <v>432</v>
      </c>
      <c r="Q54" s="76"/>
      <c r="R54" s="40" t="s">
        <v>432</v>
      </c>
      <c r="S54" s="76"/>
      <c r="T54" s="40" t="s">
        <v>432</v>
      </c>
      <c r="U54" s="76"/>
      <c r="V54" s="40" t="s">
        <v>432</v>
      </c>
      <c r="W54" s="76" t="s">
        <v>440</v>
      </c>
      <c r="X54" s="40" t="s">
        <v>432</v>
      </c>
      <c r="Y54" s="76"/>
      <c r="Z54" s="40" t="s">
        <v>432</v>
      </c>
      <c r="AA54" s="76"/>
      <c r="AB54" s="40" t="s">
        <v>432</v>
      </c>
      <c r="AC54" s="76"/>
      <c r="AD54" s="40" t="s">
        <v>432</v>
      </c>
      <c r="AE54" s="76"/>
      <c r="AF54" s="40" t="s">
        <v>432</v>
      </c>
      <c r="AG54" s="76"/>
      <c r="AH54" s="40" t="s">
        <v>432</v>
      </c>
      <c r="AI54" s="76"/>
      <c r="AJ54" s="40" t="s">
        <v>432</v>
      </c>
      <c r="AK54" s="76"/>
      <c r="AL54" s="40" t="s">
        <v>432</v>
      </c>
      <c r="AM54" s="76" t="s">
        <v>429</v>
      </c>
      <c r="AN54" s="40" t="s">
        <v>432</v>
      </c>
      <c r="AO54" s="76"/>
      <c r="AP54" s="40" t="s">
        <v>432</v>
      </c>
      <c r="AQ54" s="76"/>
      <c r="AR54" s="40" t="s">
        <v>432</v>
      </c>
      <c r="AS54" s="76"/>
      <c r="AT54" s="40" t="s">
        <v>432</v>
      </c>
      <c r="AU54" s="76"/>
      <c r="AV54" s="40" t="s">
        <v>432</v>
      </c>
      <c r="AW54" s="76"/>
      <c r="AX54" s="40" t="s">
        <v>432</v>
      </c>
      <c r="AY54" s="76" t="s">
        <v>431</v>
      </c>
      <c r="AZ54" s="40" t="s">
        <v>432</v>
      </c>
      <c r="BA54" s="76"/>
      <c r="BB54" s="40" t="s">
        <v>432</v>
      </c>
      <c r="BC54" s="76"/>
      <c r="BD54" s="40" t="s">
        <v>432</v>
      </c>
      <c r="BE54" s="76" t="s">
        <v>349</v>
      </c>
      <c r="BF54" s="40" t="s">
        <v>432</v>
      </c>
      <c r="BG54" s="76"/>
      <c r="BH54" s="40" t="s">
        <v>432</v>
      </c>
      <c r="BI54" s="76"/>
      <c r="BJ54" s="40" t="s">
        <v>432</v>
      </c>
      <c r="BK54" s="76"/>
      <c r="BL54" s="40" t="s">
        <v>432</v>
      </c>
      <c r="BM54" s="76"/>
      <c r="BN54" s="40" t="s">
        <v>432</v>
      </c>
      <c r="BO54" s="76"/>
      <c r="BP54" s="40" t="s">
        <v>432</v>
      </c>
      <c r="BQ54" s="76"/>
      <c r="BR54" s="40" t="s">
        <v>432</v>
      </c>
      <c r="BS54" s="76"/>
      <c r="BT54" s="40" t="s">
        <v>432</v>
      </c>
      <c r="BU54" s="76"/>
      <c r="BV54" s="40" t="s">
        <v>432</v>
      </c>
      <c r="BW54" s="76"/>
      <c r="BX54" s="40" t="s">
        <v>432</v>
      </c>
    </row>
    <row r="55" spans="1:76" x14ac:dyDescent="0.25">
      <c r="A55" s="76" t="s">
        <v>591</v>
      </c>
      <c r="B55" s="76">
        <v>54</v>
      </c>
      <c r="C55" s="76" t="s">
        <v>346</v>
      </c>
      <c r="D55" s="40" t="s">
        <v>432</v>
      </c>
      <c r="E55" s="76"/>
      <c r="F55" s="40" t="s">
        <v>432</v>
      </c>
      <c r="G55" s="76"/>
      <c r="H55" s="40" t="s">
        <v>432</v>
      </c>
      <c r="I55" s="76"/>
      <c r="J55" s="40" t="s">
        <v>432</v>
      </c>
      <c r="K55" s="76"/>
      <c r="L55" s="40" t="s">
        <v>432</v>
      </c>
      <c r="M55" s="76" t="s">
        <v>438</v>
      </c>
      <c r="N55" s="40" t="s">
        <v>432</v>
      </c>
      <c r="O55" s="76" t="s">
        <v>439</v>
      </c>
      <c r="P55" s="40" t="s">
        <v>432</v>
      </c>
      <c r="Q55" s="76"/>
      <c r="R55" s="40" t="s">
        <v>432</v>
      </c>
      <c r="S55" s="76"/>
      <c r="T55" s="40" t="s">
        <v>432</v>
      </c>
      <c r="U55" s="76"/>
      <c r="V55" s="40" t="s">
        <v>432</v>
      </c>
      <c r="W55" s="76" t="s">
        <v>440</v>
      </c>
      <c r="X55" s="40" t="s">
        <v>432</v>
      </c>
      <c r="Y55" s="76"/>
      <c r="Z55" s="40" t="s">
        <v>432</v>
      </c>
      <c r="AA55" s="76"/>
      <c r="AB55" s="40" t="s">
        <v>432</v>
      </c>
      <c r="AC55" s="76"/>
      <c r="AD55" s="40" t="s">
        <v>432</v>
      </c>
      <c r="AE55" s="76"/>
      <c r="AF55" s="40" t="s">
        <v>432</v>
      </c>
      <c r="AG55" s="76"/>
      <c r="AH55" s="40" t="s">
        <v>432</v>
      </c>
      <c r="AI55" s="76"/>
      <c r="AJ55" s="40" t="s">
        <v>432</v>
      </c>
      <c r="AK55" s="76"/>
      <c r="AL55" s="40" t="s">
        <v>432</v>
      </c>
      <c r="AM55" s="76" t="s">
        <v>429</v>
      </c>
      <c r="AN55" s="40" t="s">
        <v>432</v>
      </c>
      <c r="AO55" s="76"/>
      <c r="AP55" s="40" t="s">
        <v>432</v>
      </c>
      <c r="AQ55" s="76"/>
      <c r="AR55" s="40" t="s">
        <v>432</v>
      </c>
      <c r="AS55" s="76"/>
      <c r="AT55" s="40" t="s">
        <v>432</v>
      </c>
      <c r="AU55" s="76"/>
      <c r="AV55" s="40" t="s">
        <v>432</v>
      </c>
      <c r="AW55" s="76"/>
      <c r="AX55" s="40" t="s">
        <v>432</v>
      </c>
      <c r="AY55" s="76" t="s">
        <v>431</v>
      </c>
      <c r="AZ55" s="40" t="s">
        <v>432</v>
      </c>
      <c r="BA55" s="76"/>
      <c r="BB55" s="40" t="s">
        <v>432</v>
      </c>
      <c r="BC55" s="76"/>
      <c r="BD55" s="40" t="s">
        <v>432</v>
      </c>
      <c r="BE55" s="76" t="s">
        <v>349</v>
      </c>
      <c r="BF55" s="40" t="s">
        <v>432</v>
      </c>
      <c r="BG55" s="76"/>
      <c r="BH55" s="40" t="s">
        <v>432</v>
      </c>
      <c r="BI55" s="76"/>
      <c r="BJ55" s="40" t="s">
        <v>432</v>
      </c>
      <c r="BK55" s="76"/>
      <c r="BL55" s="40" t="s">
        <v>432</v>
      </c>
      <c r="BM55" s="76"/>
      <c r="BN55" s="40" t="s">
        <v>432</v>
      </c>
      <c r="BO55" s="76"/>
      <c r="BP55" s="40" t="s">
        <v>432</v>
      </c>
      <c r="BQ55" s="76"/>
      <c r="BR55" s="40" t="s">
        <v>432</v>
      </c>
      <c r="BS55" s="76"/>
      <c r="BT55" s="40" t="s">
        <v>432</v>
      </c>
      <c r="BU55" s="76"/>
      <c r="BV55" s="40" t="s">
        <v>432</v>
      </c>
      <c r="BW55" s="76"/>
      <c r="BX55" s="40" t="s">
        <v>432</v>
      </c>
    </row>
    <row r="56" spans="1:76" x14ac:dyDescent="0.25">
      <c r="A56" s="76" t="s">
        <v>592</v>
      </c>
      <c r="B56" s="76">
        <v>55</v>
      </c>
      <c r="C56" s="76" t="s">
        <v>346</v>
      </c>
      <c r="D56" s="40" t="s">
        <v>432</v>
      </c>
      <c r="E56" s="76"/>
      <c r="F56" s="40" t="s">
        <v>432</v>
      </c>
      <c r="G56" s="76"/>
      <c r="H56" s="40" t="s">
        <v>432</v>
      </c>
      <c r="I56" s="76"/>
      <c r="J56" s="40" t="s">
        <v>432</v>
      </c>
      <c r="K56" s="76"/>
      <c r="L56" s="40" t="s">
        <v>432</v>
      </c>
      <c r="M56" s="76" t="s">
        <v>438</v>
      </c>
      <c r="N56" s="40" t="s">
        <v>432</v>
      </c>
      <c r="O56" s="76" t="s">
        <v>439</v>
      </c>
      <c r="P56" s="40" t="s">
        <v>432</v>
      </c>
      <c r="Q56" s="76"/>
      <c r="R56" s="40" t="s">
        <v>432</v>
      </c>
      <c r="S56" s="76"/>
      <c r="T56" s="40" t="s">
        <v>432</v>
      </c>
      <c r="U56" s="76"/>
      <c r="V56" s="40" t="s">
        <v>432</v>
      </c>
      <c r="W56" s="76" t="s">
        <v>440</v>
      </c>
      <c r="X56" s="40" t="s">
        <v>432</v>
      </c>
      <c r="Y56" s="76"/>
      <c r="Z56" s="40" t="s">
        <v>432</v>
      </c>
      <c r="AA56" s="76"/>
      <c r="AB56" s="40" t="s">
        <v>432</v>
      </c>
      <c r="AC56" s="76"/>
      <c r="AD56" s="40" t="s">
        <v>432</v>
      </c>
      <c r="AE56" s="76"/>
      <c r="AF56" s="40" t="s">
        <v>432</v>
      </c>
      <c r="AG56" s="76"/>
      <c r="AH56" s="40" t="s">
        <v>432</v>
      </c>
      <c r="AI56" s="76"/>
      <c r="AJ56" s="40" t="s">
        <v>432</v>
      </c>
      <c r="AK56" s="76"/>
      <c r="AL56" s="40" t="s">
        <v>432</v>
      </c>
      <c r="AM56" s="76" t="s">
        <v>429</v>
      </c>
      <c r="AN56" s="40" t="s">
        <v>432</v>
      </c>
      <c r="AO56" s="76"/>
      <c r="AP56" s="40" t="s">
        <v>432</v>
      </c>
      <c r="AQ56" s="76"/>
      <c r="AR56" s="40" t="s">
        <v>432</v>
      </c>
      <c r="AS56" s="76"/>
      <c r="AT56" s="40" t="s">
        <v>432</v>
      </c>
      <c r="AU56" s="76"/>
      <c r="AV56" s="40" t="s">
        <v>432</v>
      </c>
      <c r="AW56" s="76"/>
      <c r="AX56" s="40" t="s">
        <v>432</v>
      </c>
      <c r="AY56" s="76" t="s">
        <v>431</v>
      </c>
      <c r="AZ56" s="40" t="s">
        <v>432</v>
      </c>
      <c r="BA56" s="76"/>
      <c r="BB56" s="40" t="s">
        <v>432</v>
      </c>
      <c r="BC56" s="76"/>
      <c r="BD56" s="40" t="s">
        <v>432</v>
      </c>
      <c r="BE56" s="76" t="s">
        <v>349</v>
      </c>
      <c r="BF56" s="40" t="s">
        <v>432</v>
      </c>
      <c r="BG56" s="76"/>
      <c r="BH56" s="40" t="s">
        <v>432</v>
      </c>
      <c r="BI56" s="76"/>
      <c r="BJ56" s="40" t="s">
        <v>432</v>
      </c>
      <c r="BK56" s="76"/>
      <c r="BL56" s="40" t="s">
        <v>432</v>
      </c>
      <c r="BM56" s="76"/>
      <c r="BN56" s="40" t="s">
        <v>432</v>
      </c>
      <c r="BO56" s="76"/>
      <c r="BP56" s="40" t="s">
        <v>432</v>
      </c>
      <c r="BQ56" s="76"/>
      <c r="BR56" s="40" t="s">
        <v>432</v>
      </c>
      <c r="BS56" s="76"/>
      <c r="BT56" s="40" t="s">
        <v>432</v>
      </c>
      <c r="BU56" s="76"/>
      <c r="BV56" s="40" t="s">
        <v>432</v>
      </c>
      <c r="BW56" s="76"/>
      <c r="BX56" s="40" t="s">
        <v>432</v>
      </c>
    </row>
    <row r="57" spans="1:76" x14ac:dyDescent="0.25">
      <c r="A57" s="76" t="s">
        <v>593</v>
      </c>
      <c r="B57" s="76">
        <v>56</v>
      </c>
      <c r="C57" s="76" t="s">
        <v>346</v>
      </c>
      <c r="D57" s="40" t="s">
        <v>432</v>
      </c>
      <c r="E57" s="76"/>
      <c r="F57" s="40" t="s">
        <v>432</v>
      </c>
      <c r="G57" s="76"/>
      <c r="H57" s="40" t="s">
        <v>432</v>
      </c>
      <c r="I57" s="76"/>
      <c r="J57" s="40" t="s">
        <v>432</v>
      </c>
      <c r="K57" s="76"/>
      <c r="L57" s="40" t="s">
        <v>432</v>
      </c>
      <c r="M57" s="76" t="s">
        <v>438</v>
      </c>
      <c r="N57" s="40" t="s">
        <v>432</v>
      </c>
      <c r="O57" s="76" t="s">
        <v>439</v>
      </c>
      <c r="P57" s="40" t="s">
        <v>432</v>
      </c>
      <c r="Q57" s="76"/>
      <c r="R57" s="40" t="s">
        <v>432</v>
      </c>
      <c r="S57" s="76"/>
      <c r="T57" s="40" t="s">
        <v>432</v>
      </c>
      <c r="U57" s="76"/>
      <c r="V57" s="40" t="s">
        <v>432</v>
      </c>
      <c r="W57" s="76" t="s">
        <v>440</v>
      </c>
      <c r="X57" s="40" t="s">
        <v>432</v>
      </c>
      <c r="Y57" s="76"/>
      <c r="Z57" s="40" t="s">
        <v>432</v>
      </c>
      <c r="AA57" s="76"/>
      <c r="AB57" s="40" t="s">
        <v>432</v>
      </c>
      <c r="AC57" s="76"/>
      <c r="AD57" s="40" t="s">
        <v>432</v>
      </c>
      <c r="AE57" s="76"/>
      <c r="AF57" s="40" t="s">
        <v>432</v>
      </c>
      <c r="AG57" s="76"/>
      <c r="AH57" s="40" t="s">
        <v>432</v>
      </c>
      <c r="AI57" s="76"/>
      <c r="AJ57" s="40" t="s">
        <v>432</v>
      </c>
      <c r="AK57" s="76"/>
      <c r="AL57" s="40" t="s">
        <v>432</v>
      </c>
      <c r="AM57" s="76" t="s">
        <v>429</v>
      </c>
      <c r="AN57" s="40" t="s">
        <v>432</v>
      </c>
      <c r="AO57" s="76"/>
      <c r="AP57" s="40" t="s">
        <v>432</v>
      </c>
      <c r="AQ57" s="76"/>
      <c r="AR57" s="40" t="s">
        <v>432</v>
      </c>
      <c r="AS57" s="76"/>
      <c r="AT57" s="40" t="s">
        <v>432</v>
      </c>
      <c r="AU57" s="76"/>
      <c r="AV57" s="40" t="s">
        <v>432</v>
      </c>
      <c r="AW57" s="76"/>
      <c r="AX57" s="40" t="s">
        <v>432</v>
      </c>
      <c r="AY57" s="76" t="s">
        <v>431</v>
      </c>
      <c r="AZ57" s="40" t="s">
        <v>432</v>
      </c>
      <c r="BA57" s="76"/>
      <c r="BB57" s="40" t="s">
        <v>432</v>
      </c>
      <c r="BC57" s="76"/>
      <c r="BD57" s="40" t="s">
        <v>432</v>
      </c>
      <c r="BE57" s="76" t="s">
        <v>349</v>
      </c>
      <c r="BF57" s="40" t="s">
        <v>432</v>
      </c>
      <c r="BG57" s="76" t="s">
        <v>350</v>
      </c>
      <c r="BH57" s="40" t="s">
        <v>432</v>
      </c>
      <c r="BI57" s="76"/>
      <c r="BJ57" s="40" t="s">
        <v>432</v>
      </c>
      <c r="BK57" s="76"/>
      <c r="BL57" s="40" t="s">
        <v>432</v>
      </c>
      <c r="BM57" s="76"/>
      <c r="BN57" s="40" t="s">
        <v>432</v>
      </c>
      <c r="BO57" s="76"/>
      <c r="BP57" s="40" t="s">
        <v>432</v>
      </c>
      <c r="BQ57" s="76"/>
      <c r="BR57" s="40" t="s">
        <v>432</v>
      </c>
      <c r="BS57" s="76"/>
      <c r="BT57" s="40" t="s">
        <v>432</v>
      </c>
      <c r="BU57" s="76"/>
      <c r="BV57" s="40" t="s">
        <v>432</v>
      </c>
      <c r="BW57" s="76"/>
      <c r="BX57" s="40" t="s">
        <v>432</v>
      </c>
    </row>
    <row r="58" spans="1:76" x14ac:dyDescent="0.25">
      <c r="A58" s="76" t="s">
        <v>594</v>
      </c>
      <c r="B58" s="76">
        <v>57</v>
      </c>
      <c r="C58" s="76" t="s">
        <v>346</v>
      </c>
      <c r="D58" s="40" t="s">
        <v>432</v>
      </c>
      <c r="E58" s="76"/>
      <c r="F58" s="40" t="s">
        <v>432</v>
      </c>
      <c r="G58" s="76"/>
      <c r="H58" s="40" t="s">
        <v>432</v>
      </c>
      <c r="I58" s="76"/>
      <c r="J58" s="40" t="s">
        <v>432</v>
      </c>
      <c r="K58" s="76"/>
      <c r="L58" s="40" t="s">
        <v>432</v>
      </c>
      <c r="M58" s="76" t="s">
        <v>438</v>
      </c>
      <c r="N58" s="40" t="s">
        <v>432</v>
      </c>
      <c r="O58" s="76" t="s">
        <v>439</v>
      </c>
      <c r="P58" s="40" t="s">
        <v>432</v>
      </c>
      <c r="Q58" s="76"/>
      <c r="R58" s="40" t="s">
        <v>432</v>
      </c>
      <c r="S58" s="76"/>
      <c r="T58" s="40" t="s">
        <v>432</v>
      </c>
      <c r="U58" s="76"/>
      <c r="V58" s="40" t="s">
        <v>432</v>
      </c>
      <c r="W58" s="76" t="s">
        <v>440</v>
      </c>
      <c r="X58" s="40" t="s">
        <v>432</v>
      </c>
      <c r="Y58" s="76"/>
      <c r="Z58" s="40" t="s">
        <v>432</v>
      </c>
      <c r="AA58" s="76"/>
      <c r="AB58" s="40" t="s">
        <v>432</v>
      </c>
      <c r="AC58" s="76"/>
      <c r="AD58" s="40" t="s">
        <v>432</v>
      </c>
      <c r="AE58" s="76"/>
      <c r="AF58" s="40" t="s">
        <v>432</v>
      </c>
      <c r="AG58" s="76"/>
      <c r="AH58" s="40" t="s">
        <v>432</v>
      </c>
      <c r="AI58" s="76"/>
      <c r="AJ58" s="40" t="s">
        <v>432</v>
      </c>
      <c r="AK58" s="76"/>
      <c r="AL58" s="40" t="s">
        <v>432</v>
      </c>
      <c r="AM58" s="76" t="s">
        <v>429</v>
      </c>
      <c r="AN58" s="40" t="s">
        <v>432</v>
      </c>
      <c r="AO58" s="76"/>
      <c r="AP58" s="40" t="s">
        <v>432</v>
      </c>
      <c r="AQ58" s="76"/>
      <c r="AR58" s="40" t="s">
        <v>432</v>
      </c>
      <c r="AS58" s="76"/>
      <c r="AT58" s="40" t="s">
        <v>432</v>
      </c>
      <c r="AU58" s="76"/>
      <c r="AV58" s="40" t="s">
        <v>432</v>
      </c>
      <c r="AW58" s="76"/>
      <c r="AX58" s="40" t="s">
        <v>432</v>
      </c>
      <c r="AY58" s="76" t="s">
        <v>431</v>
      </c>
      <c r="AZ58" s="40" t="s">
        <v>432</v>
      </c>
      <c r="BA58" s="76"/>
      <c r="BB58" s="40" t="s">
        <v>432</v>
      </c>
      <c r="BC58" s="76"/>
      <c r="BD58" s="40" t="s">
        <v>432</v>
      </c>
      <c r="BE58" s="76" t="s">
        <v>349</v>
      </c>
      <c r="BF58" s="40" t="s">
        <v>432</v>
      </c>
      <c r="BG58" s="76"/>
      <c r="BH58" s="40" t="s">
        <v>432</v>
      </c>
      <c r="BI58" s="76"/>
      <c r="BJ58" s="40" t="s">
        <v>432</v>
      </c>
      <c r="BK58" s="76"/>
      <c r="BL58" s="40" t="s">
        <v>432</v>
      </c>
      <c r="BM58" s="76"/>
      <c r="BN58" s="40" t="s">
        <v>432</v>
      </c>
      <c r="BO58" s="76"/>
      <c r="BP58" s="40" t="s">
        <v>432</v>
      </c>
      <c r="BQ58" s="76"/>
      <c r="BR58" s="40" t="s">
        <v>432</v>
      </c>
      <c r="BS58" s="76"/>
      <c r="BT58" s="40" t="s">
        <v>432</v>
      </c>
      <c r="BU58" s="76"/>
      <c r="BV58" s="40" t="s">
        <v>432</v>
      </c>
      <c r="BW58" s="76"/>
      <c r="BX58" s="40" t="s">
        <v>432</v>
      </c>
    </row>
    <row r="59" spans="1:76" x14ac:dyDescent="0.25">
      <c r="A59" s="76" t="s">
        <v>595</v>
      </c>
      <c r="B59" s="76">
        <v>58</v>
      </c>
      <c r="C59" s="76" t="s">
        <v>346</v>
      </c>
      <c r="D59" s="40" t="s">
        <v>432</v>
      </c>
      <c r="E59" s="76"/>
      <c r="F59" s="40" t="s">
        <v>432</v>
      </c>
      <c r="G59" s="76"/>
      <c r="H59" s="40" t="s">
        <v>432</v>
      </c>
      <c r="I59" s="76"/>
      <c r="J59" s="40" t="s">
        <v>432</v>
      </c>
      <c r="K59" s="76"/>
      <c r="L59" s="40" t="s">
        <v>432</v>
      </c>
      <c r="M59" s="76" t="s">
        <v>438</v>
      </c>
      <c r="N59" s="40" t="s">
        <v>432</v>
      </c>
      <c r="O59" s="76" t="s">
        <v>439</v>
      </c>
      <c r="P59" s="40" t="s">
        <v>432</v>
      </c>
      <c r="Q59" s="76"/>
      <c r="R59" s="40" t="s">
        <v>432</v>
      </c>
      <c r="S59" s="76"/>
      <c r="T59" s="40" t="s">
        <v>432</v>
      </c>
      <c r="U59" s="76"/>
      <c r="V59" s="40" t="s">
        <v>432</v>
      </c>
      <c r="W59" s="76" t="s">
        <v>440</v>
      </c>
      <c r="X59" s="40" t="s">
        <v>432</v>
      </c>
      <c r="Y59" s="76"/>
      <c r="Z59" s="40" t="s">
        <v>432</v>
      </c>
      <c r="AA59" s="76"/>
      <c r="AB59" s="40" t="s">
        <v>432</v>
      </c>
      <c r="AC59" s="76"/>
      <c r="AD59" s="40" t="s">
        <v>432</v>
      </c>
      <c r="AE59" s="76"/>
      <c r="AF59" s="40" t="s">
        <v>432</v>
      </c>
      <c r="AG59" s="76"/>
      <c r="AH59" s="40" t="s">
        <v>432</v>
      </c>
      <c r="AI59" s="76"/>
      <c r="AJ59" s="40" t="s">
        <v>432</v>
      </c>
      <c r="AK59" s="76"/>
      <c r="AL59" s="40" t="s">
        <v>432</v>
      </c>
      <c r="AM59" s="76" t="s">
        <v>429</v>
      </c>
      <c r="AN59" s="40" t="s">
        <v>432</v>
      </c>
      <c r="AO59" s="76"/>
      <c r="AP59" s="40" t="s">
        <v>432</v>
      </c>
      <c r="AQ59" s="76"/>
      <c r="AR59" s="40" t="s">
        <v>432</v>
      </c>
      <c r="AS59" s="76"/>
      <c r="AT59" s="40" t="s">
        <v>432</v>
      </c>
      <c r="AU59" s="76"/>
      <c r="AV59" s="40" t="s">
        <v>432</v>
      </c>
      <c r="AW59" s="76"/>
      <c r="AX59" s="40" t="s">
        <v>432</v>
      </c>
      <c r="AY59" s="76" t="s">
        <v>431</v>
      </c>
      <c r="AZ59" s="40" t="s">
        <v>432</v>
      </c>
      <c r="BA59" s="76"/>
      <c r="BB59" s="40" t="s">
        <v>432</v>
      </c>
      <c r="BC59" s="76"/>
      <c r="BD59" s="40" t="s">
        <v>432</v>
      </c>
      <c r="BE59" s="76" t="s">
        <v>349</v>
      </c>
      <c r="BF59" s="40" t="s">
        <v>432</v>
      </c>
      <c r="BG59" s="76" t="s">
        <v>350</v>
      </c>
      <c r="BH59" s="40" t="s">
        <v>432</v>
      </c>
      <c r="BI59" s="76"/>
      <c r="BJ59" s="40" t="s">
        <v>432</v>
      </c>
      <c r="BK59" s="76"/>
      <c r="BL59" s="40" t="s">
        <v>432</v>
      </c>
      <c r="BM59" s="76"/>
      <c r="BN59" s="40" t="s">
        <v>432</v>
      </c>
      <c r="BO59" s="76"/>
      <c r="BP59" s="40" t="s">
        <v>432</v>
      </c>
      <c r="BQ59" s="76"/>
      <c r="BR59" s="40" t="s">
        <v>432</v>
      </c>
      <c r="BS59" s="76"/>
      <c r="BT59" s="40" t="s">
        <v>432</v>
      </c>
      <c r="BU59" s="76"/>
      <c r="BV59" s="40" t="s">
        <v>432</v>
      </c>
      <c r="BW59" s="76"/>
      <c r="BX59" s="40" t="s">
        <v>432</v>
      </c>
    </row>
    <row r="60" spans="1:76" x14ac:dyDescent="0.25">
      <c r="A60" s="76" t="s">
        <v>596</v>
      </c>
      <c r="B60" s="76">
        <v>59</v>
      </c>
      <c r="C60" s="76" t="s">
        <v>346</v>
      </c>
      <c r="D60" s="40" t="s">
        <v>432</v>
      </c>
      <c r="E60" s="76"/>
      <c r="F60" s="40" t="s">
        <v>432</v>
      </c>
      <c r="G60" s="76"/>
      <c r="H60" s="40" t="s">
        <v>432</v>
      </c>
      <c r="I60" s="76"/>
      <c r="J60" s="40" t="s">
        <v>432</v>
      </c>
      <c r="K60" s="76"/>
      <c r="L60" s="40" t="s">
        <v>432</v>
      </c>
      <c r="M60" s="76" t="s">
        <v>439</v>
      </c>
      <c r="N60" s="40" t="s">
        <v>432</v>
      </c>
      <c r="O60" s="76"/>
      <c r="P60" s="40" t="s">
        <v>432</v>
      </c>
      <c r="Q60" s="76"/>
      <c r="R60" s="40" t="s">
        <v>432</v>
      </c>
      <c r="S60" s="76"/>
      <c r="T60" s="40" t="s">
        <v>432</v>
      </c>
      <c r="U60" s="76"/>
      <c r="V60" s="40" t="s">
        <v>432</v>
      </c>
      <c r="W60" s="76" t="s">
        <v>440</v>
      </c>
      <c r="X60" s="40" t="s">
        <v>432</v>
      </c>
      <c r="Y60" s="76"/>
      <c r="Z60" s="40" t="s">
        <v>432</v>
      </c>
      <c r="AA60" s="76"/>
      <c r="AB60" s="40" t="s">
        <v>432</v>
      </c>
      <c r="AC60" s="76"/>
      <c r="AD60" s="40" t="s">
        <v>432</v>
      </c>
      <c r="AE60" s="76"/>
      <c r="AF60" s="40" t="s">
        <v>432</v>
      </c>
      <c r="AG60" s="76"/>
      <c r="AH60" s="40" t="s">
        <v>432</v>
      </c>
      <c r="AI60" s="76"/>
      <c r="AJ60" s="40" t="s">
        <v>432</v>
      </c>
      <c r="AK60" s="76"/>
      <c r="AL60" s="40" t="s">
        <v>432</v>
      </c>
      <c r="AM60" s="76" t="s">
        <v>429</v>
      </c>
      <c r="AN60" s="40" t="s">
        <v>432</v>
      </c>
      <c r="AO60" s="76"/>
      <c r="AP60" s="40" t="s">
        <v>432</v>
      </c>
      <c r="AQ60" s="76"/>
      <c r="AR60" s="40" t="s">
        <v>432</v>
      </c>
      <c r="AS60" s="76"/>
      <c r="AT60" s="40" t="s">
        <v>432</v>
      </c>
      <c r="AU60" s="76"/>
      <c r="AV60" s="40" t="s">
        <v>432</v>
      </c>
      <c r="AW60" s="76"/>
      <c r="AX60" s="40" t="s">
        <v>432</v>
      </c>
      <c r="AY60" s="76" t="s">
        <v>431</v>
      </c>
      <c r="AZ60" s="40" t="s">
        <v>432</v>
      </c>
      <c r="BA60" s="76"/>
      <c r="BB60" s="40" t="s">
        <v>432</v>
      </c>
      <c r="BC60" s="76"/>
      <c r="BD60" s="40" t="s">
        <v>432</v>
      </c>
      <c r="BE60" s="76" t="s">
        <v>349</v>
      </c>
      <c r="BF60" s="40" t="s">
        <v>432</v>
      </c>
      <c r="BG60" s="76" t="s">
        <v>350</v>
      </c>
      <c r="BH60" s="40" t="s">
        <v>432</v>
      </c>
      <c r="BI60" s="76"/>
      <c r="BJ60" s="40" t="s">
        <v>432</v>
      </c>
      <c r="BK60" s="76"/>
      <c r="BL60" s="40" t="s">
        <v>432</v>
      </c>
      <c r="BM60" s="76"/>
      <c r="BN60" s="40" t="s">
        <v>432</v>
      </c>
      <c r="BO60" s="76"/>
      <c r="BP60" s="40" t="s">
        <v>432</v>
      </c>
      <c r="BQ60" s="76"/>
      <c r="BR60" s="40" t="s">
        <v>432</v>
      </c>
      <c r="BS60" s="76"/>
      <c r="BT60" s="40" t="s">
        <v>432</v>
      </c>
      <c r="BU60" s="76"/>
      <c r="BV60" s="40" t="s">
        <v>432</v>
      </c>
      <c r="BW60" s="76"/>
      <c r="BX60" s="40" t="s">
        <v>432</v>
      </c>
    </row>
    <row r="61" spans="1:76" x14ac:dyDescent="0.25">
      <c r="A61" s="76" t="s">
        <v>597</v>
      </c>
      <c r="B61" s="76">
        <v>60</v>
      </c>
      <c r="C61" s="76" t="s">
        <v>346</v>
      </c>
      <c r="D61" s="40" t="s">
        <v>432</v>
      </c>
      <c r="E61" s="76"/>
      <c r="F61" s="40" t="s">
        <v>432</v>
      </c>
      <c r="G61" s="76"/>
      <c r="H61" s="40" t="s">
        <v>432</v>
      </c>
      <c r="I61" s="76"/>
      <c r="J61" s="40" t="s">
        <v>432</v>
      </c>
      <c r="K61" s="76"/>
      <c r="L61" s="40" t="s">
        <v>432</v>
      </c>
      <c r="M61" s="76" t="s">
        <v>438</v>
      </c>
      <c r="N61" s="40" t="s">
        <v>432</v>
      </c>
      <c r="O61" s="76" t="s">
        <v>439</v>
      </c>
      <c r="P61" s="40" t="s">
        <v>432</v>
      </c>
      <c r="Q61" s="76"/>
      <c r="R61" s="40" t="s">
        <v>432</v>
      </c>
      <c r="S61" s="76"/>
      <c r="T61" s="40" t="s">
        <v>432</v>
      </c>
      <c r="U61" s="76"/>
      <c r="V61" s="40" t="s">
        <v>432</v>
      </c>
      <c r="W61" s="76" t="s">
        <v>440</v>
      </c>
      <c r="X61" s="40" t="s">
        <v>432</v>
      </c>
      <c r="Y61" s="76"/>
      <c r="Z61" s="40" t="s">
        <v>432</v>
      </c>
      <c r="AA61" s="76"/>
      <c r="AB61" s="40" t="s">
        <v>432</v>
      </c>
      <c r="AC61" s="76"/>
      <c r="AD61" s="40" t="s">
        <v>432</v>
      </c>
      <c r="AE61" s="76"/>
      <c r="AF61" s="40" t="s">
        <v>432</v>
      </c>
      <c r="AG61" s="76"/>
      <c r="AH61" s="40" t="s">
        <v>432</v>
      </c>
      <c r="AI61" s="76"/>
      <c r="AJ61" s="40" t="s">
        <v>432</v>
      </c>
      <c r="AK61" s="76"/>
      <c r="AL61" s="40" t="s">
        <v>432</v>
      </c>
      <c r="AM61" s="76" t="s">
        <v>429</v>
      </c>
      <c r="AN61" s="40" t="s">
        <v>432</v>
      </c>
      <c r="AO61" s="76"/>
      <c r="AP61" s="40" t="s">
        <v>432</v>
      </c>
      <c r="AQ61" s="76"/>
      <c r="AR61" s="40" t="s">
        <v>432</v>
      </c>
      <c r="AS61" s="76"/>
      <c r="AT61" s="40" t="s">
        <v>432</v>
      </c>
      <c r="AU61" s="76"/>
      <c r="AV61" s="40" t="s">
        <v>432</v>
      </c>
      <c r="AW61" s="76"/>
      <c r="AX61" s="40" t="s">
        <v>432</v>
      </c>
      <c r="AY61" s="76" t="s">
        <v>431</v>
      </c>
      <c r="AZ61" s="40" t="s">
        <v>432</v>
      </c>
      <c r="BA61" s="76"/>
      <c r="BB61" s="40" t="s">
        <v>432</v>
      </c>
      <c r="BC61" s="76"/>
      <c r="BD61" s="40" t="s">
        <v>432</v>
      </c>
      <c r="BE61" s="76" t="s">
        <v>349</v>
      </c>
      <c r="BF61" s="40" t="s">
        <v>432</v>
      </c>
      <c r="BG61" s="76"/>
      <c r="BH61" s="40" t="s">
        <v>432</v>
      </c>
      <c r="BI61" s="76"/>
      <c r="BJ61" s="40" t="s">
        <v>432</v>
      </c>
      <c r="BK61" s="76"/>
      <c r="BL61" s="40" t="s">
        <v>432</v>
      </c>
      <c r="BM61" s="76"/>
      <c r="BN61" s="40" t="s">
        <v>432</v>
      </c>
      <c r="BO61" s="76"/>
      <c r="BP61" s="40" t="s">
        <v>432</v>
      </c>
      <c r="BQ61" s="76"/>
      <c r="BR61" s="40" t="s">
        <v>432</v>
      </c>
      <c r="BS61" s="76"/>
      <c r="BT61" s="40" t="s">
        <v>432</v>
      </c>
      <c r="BU61" s="76"/>
      <c r="BV61" s="40" t="s">
        <v>432</v>
      </c>
      <c r="BW61" s="76"/>
      <c r="BX61" s="40" t="s">
        <v>432</v>
      </c>
    </row>
    <row r="62" spans="1:76" x14ac:dyDescent="0.25">
      <c r="A62" s="76" t="s">
        <v>598</v>
      </c>
      <c r="B62" s="76">
        <v>61</v>
      </c>
      <c r="C62" s="76" t="s">
        <v>346</v>
      </c>
      <c r="D62" s="40" t="s">
        <v>432</v>
      </c>
      <c r="E62" s="76"/>
      <c r="F62" s="40" t="s">
        <v>432</v>
      </c>
      <c r="G62" s="76"/>
      <c r="H62" s="40" t="s">
        <v>432</v>
      </c>
      <c r="I62" s="76"/>
      <c r="J62" s="40" t="s">
        <v>432</v>
      </c>
      <c r="K62" s="76"/>
      <c r="L62" s="40" t="s">
        <v>432</v>
      </c>
      <c r="M62" s="76" t="s">
        <v>438</v>
      </c>
      <c r="N62" s="40" t="s">
        <v>432</v>
      </c>
      <c r="O62" s="76" t="s">
        <v>439</v>
      </c>
      <c r="P62" s="40" t="s">
        <v>432</v>
      </c>
      <c r="Q62" s="76"/>
      <c r="R62" s="40" t="s">
        <v>432</v>
      </c>
      <c r="S62" s="76"/>
      <c r="T62" s="40" t="s">
        <v>432</v>
      </c>
      <c r="U62" s="76"/>
      <c r="V62" s="40" t="s">
        <v>432</v>
      </c>
      <c r="W62" s="76" t="s">
        <v>440</v>
      </c>
      <c r="X62" s="40" t="s">
        <v>432</v>
      </c>
      <c r="Y62" s="76"/>
      <c r="Z62" s="40" t="s">
        <v>432</v>
      </c>
      <c r="AA62" s="76"/>
      <c r="AB62" s="40" t="s">
        <v>432</v>
      </c>
      <c r="AC62" s="76"/>
      <c r="AD62" s="40" t="s">
        <v>432</v>
      </c>
      <c r="AE62" s="76"/>
      <c r="AF62" s="40" t="s">
        <v>432</v>
      </c>
      <c r="AG62" s="76"/>
      <c r="AH62" s="40" t="s">
        <v>432</v>
      </c>
      <c r="AI62" s="76"/>
      <c r="AJ62" s="40" t="s">
        <v>432</v>
      </c>
      <c r="AK62" s="76"/>
      <c r="AL62" s="40" t="s">
        <v>432</v>
      </c>
      <c r="AM62" s="76" t="s">
        <v>429</v>
      </c>
      <c r="AN62" s="40" t="s">
        <v>432</v>
      </c>
      <c r="AO62" s="76"/>
      <c r="AP62" s="40" t="s">
        <v>432</v>
      </c>
      <c r="AQ62" s="76"/>
      <c r="AR62" s="40" t="s">
        <v>432</v>
      </c>
      <c r="AS62" s="76"/>
      <c r="AT62" s="40" t="s">
        <v>432</v>
      </c>
      <c r="AU62" s="76"/>
      <c r="AV62" s="40" t="s">
        <v>432</v>
      </c>
      <c r="AW62" s="76"/>
      <c r="AX62" s="40" t="s">
        <v>432</v>
      </c>
      <c r="AY62" s="76" t="s">
        <v>431</v>
      </c>
      <c r="AZ62" s="40" t="s">
        <v>432</v>
      </c>
      <c r="BA62" s="76"/>
      <c r="BB62" s="40" t="s">
        <v>432</v>
      </c>
      <c r="BC62" s="76"/>
      <c r="BD62" s="40" t="s">
        <v>432</v>
      </c>
      <c r="BE62" s="76" t="s">
        <v>349</v>
      </c>
      <c r="BF62" s="40" t="s">
        <v>432</v>
      </c>
      <c r="BG62" s="76" t="s">
        <v>350</v>
      </c>
      <c r="BH62" s="40" t="s">
        <v>432</v>
      </c>
      <c r="BI62" s="76"/>
      <c r="BJ62" s="40" t="s">
        <v>432</v>
      </c>
      <c r="BK62" s="76"/>
      <c r="BL62" s="40" t="s">
        <v>432</v>
      </c>
      <c r="BM62" s="76"/>
      <c r="BN62" s="40" t="s">
        <v>432</v>
      </c>
      <c r="BO62" s="76"/>
      <c r="BP62" s="40" t="s">
        <v>432</v>
      </c>
      <c r="BQ62" s="76"/>
      <c r="BR62" s="40" t="s">
        <v>432</v>
      </c>
      <c r="BS62" s="76"/>
      <c r="BT62" s="40" t="s">
        <v>432</v>
      </c>
      <c r="BU62" s="76"/>
      <c r="BV62" s="40" t="s">
        <v>432</v>
      </c>
      <c r="BW62" s="76"/>
      <c r="BX62" s="40" t="s">
        <v>432</v>
      </c>
    </row>
    <row r="63" spans="1:76" x14ac:dyDescent="0.25">
      <c r="A63" s="76" t="s">
        <v>599</v>
      </c>
      <c r="B63" s="76">
        <v>62</v>
      </c>
      <c r="C63" s="76" t="s">
        <v>346</v>
      </c>
      <c r="D63" s="40" t="s">
        <v>432</v>
      </c>
      <c r="E63" s="76"/>
      <c r="F63" s="40" t="s">
        <v>432</v>
      </c>
      <c r="G63" s="76"/>
      <c r="H63" s="40" t="s">
        <v>432</v>
      </c>
      <c r="I63" s="76"/>
      <c r="J63" s="40" t="s">
        <v>432</v>
      </c>
      <c r="K63" s="76"/>
      <c r="L63" s="40" t="s">
        <v>432</v>
      </c>
      <c r="M63" s="76" t="s">
        <v>438</v>
      </c>
      <c r="N63" s="40" t="s">
        <v>432</v>
      </c>
      <c r="O63" s="76" t="s">
        <v>439</v>
      </c>
      <c r="P63" s="40" t="s">
        <v>432</v>
      </c>
      <c r="Q63" s="76"/>
      <c r="R63" s="40" t="s">
        <v>432</v>
      </c>
      <c r="S63" s="76"/>
      <c r="T63" s="40" t="s">
        <v>432</v>
      </c>
      <c r="U63" s="76"/>
      <c r="V63" s="40" t="s">
        <v>432</v>
      </c>
      <c r="W63" s="76" t="s">
        <v>440</v>
      </c>
      <c r="X63" s="40" t="s">
        <v>432</v>
      </c>
      <c r="Y63" s="76"/>
      <c r="Z63" s="40" t="s">
        <v>432</v>
      </c>
      <c r="AA63" s="76"/>
      <c r="AB63" s="40" t="s">
        <v>432</v>
      </c>
      <c r="AC63" s="76"/>
      <c r="AD63" s="40" t="s">
        <v>432</v>
      </c>
      <c r="AE63" s="76"/>
      <c r="AF63" s="40" t="s">
        <v>432</v>
      </c>
      <c r="AG63" s="76"/>
      <c r="AH63" s="40" t="s">
        <v>432</v>
      </c>
      <c r="AI63" s="76"/>
      <c r="AJ63" s="40" t="s">
        <v>432</v>
      </c>
      <c r="AK63" s="76"/>
      <c r="AL63" s="40" t="s">
        <v>432</v>
      </c>
      <c r="AM63" s="76" t="s">
        <v>429</v>
      </c>
      <c r="AN63" s="40" t="s">
        <v>432</v>
      </c>
      <c r="AO63" s="76"/>
      <c r="AP63" s="40" t="s">
        <v>432</v>
      </c>
      <c r="AQ63" s="76"/>
      <c r="AR63" s="40" t="s">
        <v>432</v>
      </c>
      <c r="AS63" s="76"/>
      <c r="AT63" s="40" t="s">
        <v>432</v>
      </c>
      <c r="AU63" s="76"/>
      <c r="AV63" s="40" t="s">
        <v>432</v>
      </c>
      <c r="AW63" s="76"/>
      <c r="AX63" s="40" t="s">
        <v>432</v>
      </c>
      <c r="AY63" s="76" t="s">
        <v>431</v>
      </c>
      <c r="AZ63" s="40" t="s">
        <v>432</v>
      </c>
      <c r="BA63" s="76"/>
      <c r="BB63" s="40" t="s">
        <v>432</v>
      </c>
      <c r="BC63" s="76"/>
      <c r="BD63" s="40" t="s">
        <v>432</v>
      </c>
      <c r="BE63" s="76" t="s">
        <v>349</v>
      </c>
      <c r="BF63" s="40" t="s">
        <v>432</v>
      </c>
      <c r="BG63" s="76"/>
      <c r="BH63" s="40" t="s">
        <v>432</v>
      </c>
      <c r="BI63" s="76"/>
      <c r="BJ63" s="40" t="s">
        <v>432</v>
      </c>
      <c r="BK63" s="76"/>
      <c r="BL63" s="40" t="s">
        <v>432</v>
      </c>
      <c r="BM63" s="76"/>
      <c r="BN63" s="40" t="s">
        <v>432</v>
      </c>
      <c r="BO63" s="76"/>
      <c r="BP63" s="40" t="s">
        <v>432</v>
      </c>
      <c r="BQ63" s="76"/>
      <c r="BR63" s="40" t="s">
        <v>432</v>
      </c>
      <c r="BS63" s="76"/>
      <c r="BT63" s="40" t="s">
        <v>432</v>
      </c>
      <c r="BU63" s="76"/>
      <c r="BV63" s="40" t="s">
        <v>432</v>
      </c>
      <c r="BW63" s="76"/>
      <c r="BX63" s="40" t="s">
        <v>432</v>
      </c>
    </row>
    <row r="64" spans="1:76" x14ac:dyDescent="0.25">
      <c r="A64" s="76" t="s">
        <v>600</v>
      </c>
      <c r="B64" s="76">
        <v>63</v>
      </c>
      <c r="C64" s="76" t="s">
        <v>346</v>
      </c>
      <c r="D64" s="40" t="s">
        <v>432</v>
      </c>
      <c r="E64" s="76"/>
      <c r="F64" s="40" t="s">
        <v>432</v>
      </c>
      <c r="G64" s="76"/>
      <c r="H64" s="40" t="s">
        <v>432</v>
      </c>
      <c r="I64" s="76"/>
      <c r="J64" s="40" t="s">
        <v>432</v>
      </c>
      <c r="K64" s="76"/>
      <c r="L64" s="40" t="s">
        <v>432</v>
      </c>
      <c r="M64" s="76" t="s">
        <v>438</v>
      </c>
      <c r="N64" s="40" t="s">
        <v>432</v>
      </c>
      <c r="O64" s="76" t="s">
        <v>439</v>
      </c>
      <c r="P64" s="40" t="s">
        <v>432</v>
      </c>
      <c r="Q64" s="76"/>
      <c r="R64" s="40" t="s">
        <v>432</v>
      </c>
      <c r="S64" s="76"/>
      <c r="T64" s="40" t="s">
        <v>432</v>
      </c>
      <c r="U64" s="76"/>
      <c r="V64" s="40" t="s">
        <v>432</v>
      </c>
      <c r="W64" s="76" t="s">
        <v>440</v>
      </c>
      <c r="X64" s="40" t="s">
        <v>432</v>
      </c>
      <c r="Y64" s="76"/>
      <c r="Z64" s="40" t="s">
        <v>432</v>
      </c>
      <c r="AA64" s="76"/>
      <c r="AB64" s="40" t="s">
        <v>432</v>
      </c>
      <c r="AC64" s="76"/>
      <c r="AD64" s="40" t="s">
        <v>432</v>
      </c>
      <c r="AE64" s="76"/>
      <c r="AF64" s="40" t="s">
        <v>432</v>
      </c>
      <c r="AG64" s="76"/>
      <c r="AH64" s="40" t="s">
        <v>432</v>
      </c>
      <c r="AI64" s="76"/>
      <c r="AJ64" s="40" t="s">
        <v>432</v>
      </c>
      <c r="AK64" s="76"/>
      <c r="AL64" s="40" t="s">
        <v>432</v>
      </c>
      <c r="AM64" s="76" t="s">
        <v>429</v>
      </c>
      <c r="AN64" s="40" t="s">
        <v>432</v>
      </c>
      <c r="AO64" s="76"/>
      <c r="AP64" s="40" t="s">
        <v>432</v>
      </c>
      <c r="AQ64" s="76"/>
      <c r="AR64" s="40" t="s">
        <v>432</v>
      </c>
      <c r="AS64" s="76"/>
      <c r="AT64" s="40" t="s">
        <v>432</v>
      </c>
      <c r="AU64" s="76"/>
      <c r="AV64" s="40" t="s">
        <v>432</v>
      </c>
      <c r="AW64" s="76"/>
      <c r="AX64" s="40" t="s">
        <v>432</v>
      </c>
      <c r="AY64" s="76" t="s">
        <v>431</v>
      </c>
      <c r="AZ64" s="40" t="s">
        <v>432</v>
      </c>
      <c r="BA64" s="76"/>
      <c r="BB64" s="40" t="s">
        <v>432</v>
      </c>
      <c r="BC64" s="76"/>
      <c r="BD64" s="40" t="s">
        <v>432</v>
      </c>
      <c r="BE64" s="76" t="s">
        <v>349</v>
      </c>
      <c r="BF64" s="40" t="s">
        <v>432</v>
      </c>
      <c r="BG64" s="76"/>
      <c r="BH64" s="40" t="s">
        <v>432</v>
      </c>
      <c r="BI64" s="76"/>
      <c r="BJ64" s="40" t="s">
        <v>432</v>
      </c>
      <c r="BK64" s="76"/>
      <c r="BL64" s="40" t="s">
        <v>432</v>
      </c>
      <c r="BM64" s="76"/>
      <c r="BN64" s="40" t="s">
        <v>432</v>
      </c>
      <c r="BO64" s="76"/>
      <c r="BP64" s="40" t="s">
        <v>432</v>
      </c>
      <c r="BQ64" s="76"/>
      <c r="BR64" s="40" t="s">
        <v>432</v>
      </c>
      <c r="BS64" s="76"/>
      <c r="BT64" s="40" t="s">
        <v>432</v>
      </c>
      <c r="BU64" s="76"/>
      <c r="BV64" s="40" t="s">
        <v>432</v>
      </c>
      <c r="BW64" s="76"/>
      <c r="BX64" s="40" t="s">
        <v>432</v>
      </c>
    </row>
    <row r="65" spans="1:76" x14ac:dyDescent="0.25">
      <c r="A65" s="76" t="s">
        <v>601</v>
      </c>
      <c r="B65" s="76">
        <v>64</v>
      </c>
      <c r="C65" s="76" t="s">
        <v>346</v>
      </c>
      <c r="D65" s="40" t="s">
        <v>432</v>
      </c>
      <c r="E65" s="76"/>
      <c r="F65" s="40" t="s">
        <v>432</v>
      </c>
      <c r="G65" s="76"/>
      <c r="H65" s="40" t="s">
        <v>432</v>
      </c>
      <c r="I65" s="76"/>
      <c r="J65" s="40" t="s">
        <v>432</v>
      </c>
      <c r="K65" s="76"/>
      <c r="L65" s="40" t="s">
        <v>432</v>
      </c>
      <c r="M65" s="76" t="s">
        <v>438</v>
      </c>
      <c r="N65" s="40" t="s">
        <v>432</v>
      </c>
      <c r="O65" s="76" t="s">
        <v>439</v>
      </c>
      <c r="P65" s="40" t="s">
        <v>432</v>
      </c>
      <c r="Q65" s="76"/>
      <c r="R65" s="40" t="s">
        <v>432</v>
      </c>
      <c r="S65" s="76"/>
      <c r="T65" s="40" t="s">
        <v>432</v>
      </c>
      <c r="U65" s="76"/>
      <c r="V65" s="40" t="s">
        <v>432</v>
      </c>
      <c r="W65" s="76" t="s">
        <v>440</v>
      </c>
      <c r="X65" s="40" t="s">
        <v>432</v>
      </c>
      <c r="Y65" s="76"/>
      <c r="Z65" s="40" t="s">
        <v>432</v>
      </c>
      <c r="AA65" s="76"/>
      <c r="AB65" s="40" t="s">
        <v>432</v>
      </c>
      <c r="AC65" s="76"/>
      <c r="AD65" s="40" t="s">
        <v>432</v>
      </c>
      <c r="AE65" s="76"/>
      <c r="AF65" s="40" t="s">
        <v>432</v>
      </c>
      <c r="AG65" s="76"/>
      <c r="AH65" s="40" t="s">
        <v>432</v>
      </c>
      <c r="AI65" s="76"/>
      <c r="AJ65" s="40" t="s">
        <v>432</v>
      </c>
      <c r="AK65" s="76"/>
      <c r="AL65" s="40" t="s">
        <v>432</v>
      </c>
      <c r="AM65" s="76" t="s">
        <v>429</v>
      </c>
      <c r="AN65" s="40" t="s">
        <v>432</v>
      </c>
      <c r="AO65" s="76"/>
      <c r="AP65" s="40" t="s">
        <v>432</v>
      </c>
      <c r="AQ65" s="76"/>
      <c r="AR65" s="40" t="s">
        <v>432</v>
      </c>
      <c r="AS65" s="76"/>
      <c r="AT65" s="40" t="s">
        <v>432</v>
      </c>
      <c r="AU65" s="76"/>
      <c r="AV65" s="40" t="s">
        <v>432</v>
      </c>
      <c r="AW65" s="76"/>
      <c r="AX65" s="40" t="s">
        <v>432</v>
      </c>
      <c r="AY65" s="76" t="s">
        <v>431</v>
      </c>
      <c r="AZ65" s="40" t="s">
        <v>432</v>
      </c>
      <c r="BA65" s="76"/>
      <c r="BB65" s="40" t="s">
        <v>432</v>
      </c>
      <c r="BC65" s="76"/>
      <c r="BD65" s="40" t="s">
        <v>432</v>
      </c>
      <c r="BE65" s="76" t="s">
        <v>349</v>
      </c>
      <c r="BF65" s="40" t="s">
        <v>432</v>
      </c>
      <c r="BG65" s="76"/>
      <c r="BH65" s="40" t="s">
        <v>432</v>
      </c>
      <c r="BI65" s="76"/>
      <c r="BJ65" s="40" t="s">
        <v>432</v>
      </c>
      <c r="BK65" s="76"/>
      <c r="BL65" s="40" t="s">
        <v>432</v>
      </c>
      <c r="BM65" s="76"/>
      <c r="BN65" s="40" t="s">
        <v>432</v>
      </c>
      <c r="BO65" s="76"/>
      <c r="BP65" s="40" t="s">
        <v>432</v>
      </c>
      <c r="BQ65" s="76"/>
      <c r="BR65" s="40" t="s">
        <v>432</v>
      </c>
      <c r="BS65" s="76"/>
      <c r="BT65" s="40" t="s">
        <v>432</v>
      </c>
      <c r="BU65" s="76"/>
      <c r="BV65" s="40" t="s">
        <v>432</v>
      </c>
      <c r="BW65" s="76"/>
      <c r="BX65" s="40" t="s">
        <v>432</v>
      </c>
    </row>
    <row r="66" spans="1:76" x14ac:dyDescent="0.25">
      <c r="A66" s="76" t="s">
        <v>602</v>
      </c>
      <c r="B66" s="76">
        <v>65</v>
      </c>
      <c r="C66" s="76" t="s">
        <v>346</v>
      </c>
      <c r="D66" s="40" t="s">
        <v>432</v>
      </c>
      <c r="E66" s="76"/>
      <c r="F66" s="40" t="s">
        <v>432</v>
      </c>
      <c r="G66" s="76"/>
      <c r="H66" s="40" t="s">
        <v>432</v>
      </c>
      <c r="I66" s="76"/>
      <c r="J66" s="40" t="s">
        <v>432</v>
      </c>
      <c r="K66" s="76"/>
      <c r="L66" s="40" t="s">
        <v>432</v>
      </c>
      <c r="M66" s="76" t="s">
        <v>438</v>
      </c>
      <c r="N66" s="40" t="s">
        <v>432</v>
      </c>
      <c r="O66" s="76" t="s">
        <v>439</v>
      </c>
      <c r="P66" s="40" t="s">
        <v>432</v>
      </c>
      <c r="Q66" s="76"/>
      <c r="R66" s="40" t="s">
        <v>432</v>
      </c>
      <c r="S66" s="76"/>
      <c r="T66" s="40" t="s">
        <v>432</v>
      </c>
      <c r="U66" s="76"/>
      <c r="V66" s="40" t="s">
        <v>432</v>
      </c>
      <c r="W66" s="76" t="s">
        <v>440</v>
      </c>
      <c r="X66" s="40" t="s">
        <v>432</v>
      </c>
      <c r="Y66" s="76"/>
      <c r="Z66" s="40" t="s">
        <v>432</v>
      </c>
      <c r="AA66" s="76"/>
      <c r="AB66" s="40" t="s">
        <v>432</v>
      </c>
      <c r="AC66" s="76"/>
      <c r="AD66" s="40" t="s">
        <v>432</v>
      </c>
      <c r="AE66" s="76"/>
      <c r="AF66" s="40" t="s">
        <v>432</v>
      </c>
      <c r="AG66" s="76"/>
      <c r="AH66" s="40" t="s">
        <v>432</v>
      </c>
      <c r="AI66" s="76"/>
      <c r="AJ66" s="40" t="s">
        <v>432</v>
      </c>
      <c r="AK66" s="76"/>
      <c r="AL66" s="40" t="s">
        <v>432</v>
      </c>
      <c r="AM66" s="76" t="s">
        <v>429</v>
      </c>
      <c r="AN66" s="40" t="s">
        <v>432</v>
      </c>
      <c r="AO66" s="76"/>
      <c r="AP66" s="40" t="s">
        <v>432</v>
      </c>
      <c r="AQ66" s="76"/>
      <c r="AR66" s="40" t="s">
        <v>432</v>
      </c>
      <c r="AS66" s="76"/>
      <c r="AT66" s="40" t="s">
        <v>432</v>
      </c>
      <c r="AU66" s="76"/>
      <c r="AV66" s="40" t="s">
        <v>432</v>
      </c>
      <c r="AW66" s="76"/>
      <c r="AX66" s="40" t="s">
        <v>432</v>
      </c>
      <c r="AY66" s="76" t="s">
        <v>431</v>
      </c>
      <c r="AZ66" s="40" t="s">
        <v>432</v>
      </c>
      <c r="BA66" s="76"/>
      <c r="BB66" s="40" t="s">
        <v>432</v>
      </c>
      <c r="BC66" s="76"/>
      <c r="BD66" s="40" t="s">
        <v>432</v>
      </c>
      <c r="BE66" s="76" t="s">
        <v>349</v>
      </c>
      <c r="BF66" s="40" t="s">
        <v>432</v>
      </c>
      <c r="BG66" s="76"/>
      <c r="BH66" s="40" t="s">
        <v>432</v>
      </c>
      <c r="BI66" s="76"/>
      <c r="BJ66" s="40" t="s">
        <v>432</v>
      </c>
      <c r="BK66" s="76"/>
      <c r="BL66" s="40" t="s">
        <v>432</v>
      </c>
      <c r="BM66" s="76"/>
      <c r="BN66" s="40" t="s">
        <v>432</v>
      </c>
      <c r="BO66" s="76"/>
      <c r="BP66" s="40" t="s">
        <v>432</v>
      </c>
      <c r="BQ66" s="76"/>
      <c r="BR66" s="40" t="s">
        <v>432</v>
      </c>
      <c r="BS66" s="76"/>
      <c r="BT66" s="40" t="s">
        <v>432</v>
      </c>
      <c r="BU66" s="76"/>
      <c r="BV66" s="40" t="s">
        <v>432</v>
      </c>
      <c r="BW66" s="76"/>
      <c r="BX66" s="40" t="s">
        <v>432</v>
      </c>
    </row>
    <row r="67" spans="1:76" x14ac:dyDescent="0.25">
      <c r="A67" s="76" t="s">
        <v>603</v>
      </c>
      <c r="B67" s="76">
        <v>66</v>
      </c>
      <c r="C67" s="76" t="s">
        <v>346</v>
      </c>
      <c r="D67" s="40" t="s">
        <v>432</v>
      </c>
      <c r="E67" s="76"/>
      <c r="F67" s="40" t="s">
        <v>432</v>
      </c>
      <c r="G67" s="76"/>
      <c r="H67" s="40" t="s">
        <v>432</v>
      </c>
      <c r="I67" s="76"/>
      <c r="J67" s="40" t="s">
        <v>432</v>
      </c>
      <c r="K67" s="76"/>
      <c r="L67" s="40" t="s">
        <v>432</v>
      </c>
      <c r="M67" s="76" t="s">
        <v>438</v>
      </c>
      <c r="N67" s="40" t="s">
        <v>432</v>
      </c>
      <c r="O67" s="76" t="s">
        <v>439</v>
      </c>
      <c r="P67" s="40" t="s">
        <v>432</v>
      </c>
      <c r="Q67" s="76"/>
      <c r="R67" s="40" t="s">
        <v>432</v>
      </c>
      <c r="S67" s="76"/>
      <c r="T67" s="40" t="s">
        <v>432</v>
      </c>
      <c r="U67" s="76"/>
      <c r="V67" s="40" t="s">
        <v>432</v>
      </c>
      <c r="W67" s="76" t="s">
        <v>440</v>
      </c>
      <c r="X67" s="40" t="s">
        <v>432</v>
      </c>
      <c r="Y67" s="76"/>
      <c r="Z67" s="40" t="s">
        <v>432</v>
      </c>
      <c r="AA67" s="76"/>
      <c r="AB67" s="40" t="s">
        <v>432</v>
      </c>
      <c r="AC67" s="76"/>
      <c r="AD67" s="40" t="s">
        <v>432</v>
      </c>
      <c r="AE67" s="76"/>
      <c r="AF67" s="40" t="s">
        <v>432</v>
      </c>
      <c r="AG67" s="76"/>
      <c r="AH67" s="40" t="s">
        <v>432</v>
      </c>
      <c r="AI67" s="76"/>
      <c r="AJ67" s="40" t="s">
        <v>432</v>
      </c>
      <c r="AK67" s="76"/>
      <c r="AL67" s="40" t="s">
        <v>432</v>
      </c>
      <c r="AM67" s="76" t="s">
        <v>429</v>
      </c>
      <c r="AN67" s="40" t="s">
        <v>432</v>
      </c>
      <c r="AO67" s="76"/>
      <c r="AP67" s="40" t="s">
        <v>432</v>
      </c>
      <c r="AQ67" s="76"/>
      <c r="AR67" s="40" t="s">
        <v>432</v>
      </c>
      <c r="AS67" s="76"/>
      <c r="AT67" s="40" t="s">
        <v>432</v>
      </c>
      <c r="AU67" s="76"/>
      <c r="AV67" s="40" t="s">
        <v>432</v>
      </c>
      <c r="AW67" s="76"/>
      <c r="AX67" s="40" t="s">
        <v>432</v>
      </c>
      <c r="AY67" s="76" t="s">
        <v>431</v>
      </c>
      <c r="AZ67" s="40" t="s">
        <v>432</v>
      </c>
      <c r="BA67" s="76"/>
      <c r="BB67" s="40" t="s">
        <v>432</v>
      </c>
      <c r="BC67" s="76"/>
      <c r="BD67" s="40" t="s">
        <v>432</v>
      </c>
      <c r="BE67" s="76" t="s">
        <v>349</v>
      </c>
      <c r="BF67" s="40" t="s">
        <v>432</v>
      </c>
      <c r="BG67" s="76"/>
      <c r="BH67" s="40" t="s">
        <v>432</v>
      </c>
      <c r="BI67" s="76"/>
      <c r="BJ67" s="40" t="s">
        <v>432</v>
      </c>
      <c r="BK67" s="76"/>
      <c r="BL67" s="40" t="s">
        <v>432</v>
      </c>
      <c r="BM67" s="76"/>
      <c r="BN67" s="40" t="s">
        <v>432</v>
      </c>
      <c r="BO67" s="76"/>
      <c r="BP67" s="40" t="s">
        <v>432</v>
      </c>
      <c r="BQ67" s="76"/>
      <c r="BR67" s="40" t="s">
        <v>432</v>
      </c>
      <c r="BS67" s="76"/>
      <c r="BT67" s="40" t="s">
        <v>432</v>
      </c>
      <c r="BU67" s="76"/>
      <c r="BV67" s="40" t="s">
        <v>432</v>
      </c>
      <c r="BW67" s="76"/>
      <c r="BX67" s="40" t="s">
        <v>432</v>
      </c>
    </row>
    <row r="68" spans="1:76" x14ac:dyDescent="0.25">
      <c r="A68" s="76" t="s">
        <v>604</v>
      </c>
      <c r="B68" s="76">
        <v>67</v>
      </c>
      <c r="C68" s="76" t="s">
        <v>346</v>
      </c>
      <c r="D68" s="40" t="s">
        <v>432</v>
      </c>
      <c r="E68" s="76"/>
      <c r="F68" s="40" t="s">
        <v>432</v>
      </c>
      <c r="G68" s="76"/>
      <c r="H68" s="40" t="s">
        <v>432</v>
      </c>
      <c r="I68" s="76"/>
      <c r="J68" s="40" t="s">
        <v>432</v>
      </c>
      <c r="K68" s="76"/>
      <c r="L68" s="40" t="s">
        <v>432</v>
      </c>
      <c r="M68" s="76" t="s">
        <v>438</v>
      </c>
      <c r="N68" s="40" t="s">
        <v>432</v>
      </c>
      <c r="O68" s="76" t="s">
        <v>439</v>
      </c>
      <c r="P68" s="40" t="s">
        <v>432</v>
      </c>
      <c r="Q68" s="76"/>
      <c r="R68" s="40" t="s">
        <v>432</v>
      </c>
      <c r="S68" s="76"/>
      <c r="T68" s="40" t="s">
        <v>432</v>
      </c>
      <c r="U68" s="76"/>
      <c r="V68" s="40" t="s">
        <v>432</v>
      </c>
      <c r="W68" s="76" t="s">
        <v>440</v>
      </c>
      <c r="X68" s="40" t="s">
        <v>432</v>
      </c>
      <c r="Y68" s="76"/>
      <c r="Z68" s="40" t="s">
        <v>432</v>
      </c>
      <c r="AA68" s="76"/>
      <c r="AB68" s="40" t="s">
        <v>432</v>
      </c>
      <c r="AC68" s="76"/>
      <c r="AD68" s="40" t="s">
        <v>432</v>
      </c>
      <c r="AE68" s="76"/>
      <c r="AF68" s="40" t="s">
        <v>432</v>
      </c>
      <c r="AG68" s="76"/>
      <c r="AH68" s="40" t="s">
        <v>432</v>
      </c>
      <c r="AI68" s="76"/>
      <c r="AJ68" s="40" t="s">
        <v>432</v>
      </c>
      <c r="AK68" s="76"/>
      <c r="AL68" s="40" t="s">
        <v>432</v>
      </c>
      <c r="AM68" s="76" t="s">
        <v>429</v>
      </c>
      <c r="AN68" s="40" t="s">
        <v>432</v>
      </c>
      <c r="AO68" s="76"/>
      <c r="AP68" s="40" t="s">
        <v>432</v>
      </c>
      <c r="AQ68" s="76"/>
      <c r="AR68" s="40" t="s">
        <v>432</v>
      </c>
      <c r="AS68" s="76"/>
      <c r="AT68" s="40" t="s">
        <v>432</v>
      </c>
      <c r="AU68" s="76"/>
      <c r="AV68" s="40" t="s">
        <v>432</v>
      </c>
      <c r="AW68" s="76"/>
      <c r="AX68" s="40" t="s">
        <v>432</v>
      </c>
      <c r="AY68" s="76" t="s">
        <v>431</v>
      </c>
      <c r="AZ68" s="40" t="s">
        <v>432</v>
      </c>
      <c r="BA68" s="76"/>
      <c r="BB68" s="40" t="s">
        <v>432</v>
      </c>
      <c r="BC68" s="76"/>
      <c r="BD68" s="40" t="s">
        <v>432</v>
      </c>
      <c r="BE68" s="76" t="s">
        <v>349</v>
      </c>
      <c r="BF68" s="40" t="s">
        <v>432</v>
      </c>
      <c r="BG68" s="76"/>
      <c r="BH68" s="40" t="s">
        <v>432</v>
      </c>
      <c r="BI68" s="76"/>
      <c r="BJ68" s="40" t="s">
        <v>432</v>
      </c>
      <c r="BK68" s="76"/>
      <c r="BL68" s="40" t="s">
        <v>432</v>
      </c>
      <c r="BM68" s="76"/>
      <c r="BN68" s="40" t="s">
        <v>432</v>
      </c>
      <c r="BO68" s="76"/>
      <c r="BP68" s="40" t="s">
        <v>432</v>
      </c>
      <c r="BQ68" s="76"/>
      <c r="BR68" s="40" t="s">
        <v>432</v>
      </c>
      <c r="BS68" s="76"/>
      <c r="BT68" s="40" t="s">
        <v>432</v>
      </c>
      <c r="BU68" s="76"/>
      <c r="BV68" s="40" t="s">
        <v>432</v>
      </c>
      <c r="BW68" s="76"/>
      <c r="BX68" s="40" t="s">
        <v>432</v>
      </c>
    </row>
    <row r="69" spans="1:76" x14ac:dyDescent="0.25">
      <c r="A69" s="76" t="s">
        <v>605</v>
      </c>
      <c r="B69" s="76">
        <v>68</v>
      </c>
      <c r="C69" s="76" t="s">
        <v>346</v>
      </c>
      <c r="D69" s="40" t="s">
        <v>432</v>
      </c>
      <c r="E69" s="76"/>
      <c r="F69" s="40" t="s">
        <v>432</v>
      </c>
      <c r="G69" s="76"/>
      <c r="H69" s="40" t="s">
        <v>432</v>
      </c>
      <c r="I69" s="76"/>
      <c r="J69" s="40" t="s">
        <v>432</v>
      </c>
      <c r="K69" s="76"/>
      <c r="L69" s="40" t="s">
        <v>432</v>
      </c>
      <c r="M69" s="76" t="s">
        <v>438</v>
      </c>
      <c r="N69" s="40" t="s">
        <v>432</v>
      </c>
      <c r="O69" s="76" t="s">
        <v>439</v>
      </c>
      <c r="P69" s="40" t="s">
        <v>432</v>
      </c>
      <c r="Q69" s="76"/>
      <c r="R69" s="40" t="s">
        <v>432</v>
      </c>
      <c r="S69" s="76"/>
      <c r="T69" s="40" t="s">
        <v>432</v>
      </c>
      <c r="U69" s="76"/>
      <c r="V69" s="40" t="s">
        <v>432</v>
      </c>
      <c r="W69" s="76" t="s">
        <v>440</v>
      </c>
      <c r="X69" s="40" t="s">
        <v>432</v>
      </c>
      <c r="Y69" s="76"/>
      <c r="Z69" s="40" t="s">
        <v>432</v>
      </c>
      <c r="AA69" s="76"/>
      <c r="AB69" s="40" t="s">
        <v>432</v>
      </c>
      <c r="AC69" s="76"/>
      <c r="AD69" s="40" t="s">
        <v>432</v>
      </c>
      <c r="AE69" s="76"/>
      <c r="AF69" s="40" t="s">
        <v>432</v>
      </c>
      <c r="AG69" s="76"/>
      <c r="AH69" s="40" t="s">
        <v>432</v>
      </c>
      <c r="AI69" s="76"/>
      <c r="AJ69" s="40" t="s">
        <v>432</v>
      </c>
      <c r="AK69" s="76"/>
      <c r="AL69" s="40" t="s">
        <v>432</v>
      </c>
      <c r="AM69" s="76" t="s">
        <v>429</v>
      </c>
      <c r="AN69" s="40" t="s">
        <v>432</v>
      </c>
      <c r="AO69" s="76"/>
      <c r="AP69" s="40" t="s">
        <v>432</v>
      </c>
      <c r="AQ69" s="76"/>
      <c r="AR69" s="40" t="s">
        <v>432</v>
      </c>
      <c r="AS69" s="76"/>
      <c r="AT69" s="40" t="s">
        <v>432</v>
      </c>
      <c r="AU69" s="76"/>
      <c r="AV69" s="40" t="s">
        <v>432</v>
      </c>
      <c r="AW69" s="76"/>
      <c r="AX69" s="40" t="s">
        <v>432</v>
      </c>
      <c r="AY69" s="76" t="s">
        <v>431</v>
      </c>
      <c r="AZ69" s="40" t="s">
        <v>432</v>
      </c>
      <c r="BA69" s="76"/>
      <c r="BB69" s="40" t="s">
        <v>432</v>
      </c>
      <c r="BC69" s="76"/>
      <c r="BD69" s="40" t="s">
        <v>432</v>
      </c>
      <c r="BE69" s="76" t="s">
        <v>349</v>
      </c>
      <c r="BF69" s="40" t="s">
        <v>432</v>
      </c>
      <c r="BG69" s="76" t="s">
        <v>350</v>
      </c>
      <c r="BH69" s="40" t="s">
        <v>432</v>
      </c>
      <c r="BI69" s="76"/>
      <c r="BJ69" s="40" t="s">
        <v>432</v>
      </c>
      <c r="BK69" s="76"/>
      <c r="BL69" s="40" t="s">
        <v>432</v>
      </c>
      <c r="BM69" s="76"/>
      <c r="BN69" s="40" t="s">
        <v>432</v>
      </c>
      <c r="BO69" s="76"/>
      <c r="BP69" s="40" t="s">
        <v>432</v>
      </c>
      <c r="BQ69" s="76"/>
      <c r="BR69" s="40" t="s">
        <v>432</v>
      </c>
      <c r="BS69" s="76"/>
      <c r="BT69" s="40" t="s">
        <v>432</v>
      </c>
      <c r="BU69" s="76"/>
      <c r="BV69" s="40" t="s">
        <v>432</v>
      </c>
      <c r="BW69" s="76"/>
      <c r="BX69" s="40" t="s">
        <v>432</v>
      </c>
    </row>
    <row r="70" spans="1:76" x14ac:dyDescent="0.25">
      <c r="A70" s="76" t="s">
        <v>606</v>
      </c>
      <c r="B70" s="76">
        <v>69</v>
      </c>
      <c r="C70" s="76" t="s">
        <v>346</v>
      </c>
      <c r="D70" s="40" t="s">
        <v>432</v>
      </c>
      <c r="E70" s="76"/>
      <c r="F70" s="40" t="s">
        <v>432</v>
      </c>
      <c r="G70" s="76"/>
      <c r="H70" s="40" t="s">
        <v>432</v>
      </c>
      <c r="I70" s="76"/>
      <c r="J70" s="40" t="s">
        <v>432</v>
      </c>
      <c r="K70" s="76"/>
      <c r="L70" s="40" t="s">
        <v>432</v>
      </c>
      <c r="M70" s="76" t="s">
        <v>438</v>
      </c>
      <c r="N70" s="40" t="s">
        <v>432</v>
      </c>
      <c r="O70" s="76" t="s">
        <v>439</v>
      </c>
      <c r="P70" s="40" t="s">
        <v>432</v>
      </c>
      <c r="Q70" s="76"/>
      <c r="R70" s="40" t="s">
        <v>432</v>
      </c>
      <c r="S70" s="76"/>
      <c r="T70" s="40" t="s">
        <v>432</v>
      </c>
      <c r="U70" s="76"/>
      <c r="V70" s="40" t="s">
        <v>432</v>
      </c>
      <c r="W70" s="76" t="s">
        <v>440</v>
      </c>
      <c r="X70" s="40" t="s">
        <v>432</v>
      </c>
      <c r="Y70" s="76"/>
      <c r="Z70" s="40" t="s">
        <v>432</v>
      </c>
      <c r="AA70" s="76"/>
      <c r="AB70" s="40" t="s">
        <v>432</v>
      </c>
      <c r="AC70" s="76"/>
      <c r="AD70" s="40" t="s">
        <v>432</v>
      </c>
      <c r="AE70" s="76"/>
      <c r="AF70" s="40" t="s">
        <v>432</v>
      </c>
      <c r="AG70" s="76"/>
      <c r="AH70" s="40" t="s">
        <v>432</v>
      </c>
      <c r="AI70" s="76"/>
      <c r="AJ70" s="40" t="s">
        <v>432</v>
      </c>
      <c r="AK70" s="76"/>
      <c r="AL70" s="40" t="s">
        <v>432</v>
      </c>
      <c r="AM70" s="76" t="s">
        <v>429</v>
      </c>
      <c r="AN70" s="40" t="s">
        <v>432</v>
      </c>
      <c r="AO70" s="76"/>
      <c r="AP70" s="40" t="s">
        <v>432</v>
      </c>
      <c r="AQ70" s="76"/>
      <c r="AR70" s="40" t="s">
        <v>432</v>
      </c>
      <c r="AS70" s="76"/>
      <c r="AT70" s="40" t="s">
        <v>432</v>
      </c>
      <c r="AU70" s="76"/>
      <c r="AV70" s="40" t="s">
        <v>432</v>
      </c>
      <c r="AW70" s="76"/>
      <c r="AX70" s="40" t="s">
        <v>432</v>
      </c>
      <c r="AY70" s="76" t="s">
        <v>431</v>
      </c>
      <c r="AZ70" s="40" t="s">
        <v>432</v>
      </c>
      <c r="BA70" s="76"/>
      <c r="BB70" s="40" t="s">
        <v>432</v>
      </c>
      <c r="BC70" s="76"/>
      <c r="BD70" s="40" t="s">
        <v>432</v>
      </c>
      <c r="BE70" s="76" t="s">
        <v>349</v>
      </c>
      <c r="BF70" s="40" t="s">
        <v>432</v>
      </c>
      <c r="BG70" s="76"/>
      <c r="BH70" s="40" t="s">
        <v>432</v>
      </c>
      <c r="BI70" s="76"/>
      <c r="BJ70" s="40" t="s">
        <v>432</v>
      </c>
      <c r="BK70" s="76"/>
      <c r="BL70" s="40" t="s">
        <v>432</v>
      </c>
      <c r="BM70" s="76"/>
      <c r="BN70" s="40" t="s">
        <v>432</v>
      </c>
      <c r="BO70" s="76"/>
      <c r="BP70" s="40" t="s">
        <v>432</v>
      </c>
      <c r="BQ70" s="76"/>
      <c r="BR70" s="40" t="s">
        <v>432</v>
      </c>
      <c r="BS70" s="76"/>
      <c r="BT70" s="40" t="s">
        <v>432</v>
      </c>
      <c r="BU70" s="76"/>
      <c r="BV70" s="40" t="s">
        <v>432</v>
      </c>
      <c r="BW70" s="76"/>
      <c r="BX70" s="40" t="s">
        <v>432</v>
      </c>
    </row>
    <row r="71" spans="1:76" x14ac:dyDescent="0.25">
      <c r="A71" s="76" t="s">
        <v>607</v>
      </c>
      <c r="B71" s="76">
        <v>70</v>
      </c>
      <c r="C71" s="76" t="s">
        <v>346</v>
      </c>
      <c r="D71" s="40" t="s">
        <v>432</v>
      </c>
      <c r="E71" s="76"/>
      <c r="F71" s="40" t="s">
        <v>432</v>
      </c>
      <c r="G71" s="76"/>
      <c r="H71" s="40" t="s">
        <v>432</v>
      </c>
      <c r="I71" s="76"/>
      <c r="J71" s="40" t="s">
        <v>432</v>
      </c>
      <c r="K71" s="76"/>
      <c r="L71" s="40" t="s">
        <v>432</v>
      </c>
      <c r="M71" s="76" t="s">
        <v>438</v>
      </c>
      <c r="N71" s="40" t="s">
        <v>432</v>
      </c>
      <c r="O71" s="76" t="s">
        <v>439</v>
      </c>
      <c r="P71" s="40" t="s">
        <v>432</v>
      </c>
      <c r="Q71" s="76"/>
      <c r="R71" s="40" t="s">
        <v>432</v>
      </c>
      <c r="S71" s="76"/>
      <c r="T71" s="40" t="s">
        <v>432</v>
      </c>
      <c r="U71" s="76"/>
      <c r="V71" s="40" t="s">
        <v>432</v>
      </c>
      <c r="W71" s="76" t="s">
        <v>440</v>
      </c>
      <c r="X71" s="40" t="s">
        <v>432</v>
      </c>
      <c r="Y71" s="76"/>
      <c r="Z71" s="40" t="s">
        <v>432</v>
      </c>
      <c r="AA71" s="76"/>
      <c r="AB71" s="40" t="s">
        <v>432</v>
      </c>
      <c r="AC71" s="76"/>
      <c r="AD71" s="40" t="s">
        <v>432</v>
      </c>
      <c r="AE71" s="76"/>
      <c r="AF71" s="40" t="s">
        <v>432</v>
      </c>
      <c r="AG71" s="76"/>
      <c r="AH71" s="40" t="s">
        <v>432</v>
      </c>
      <c r="AI71" s="76"/>
      <c r="AJ71" s="40" t="s">
        <v>432</v>
      </c>
      <c r="AK71" s="76"/>
      <c r="AL71" s="40" t="s">
        <v>432</v>
      </c>
      <c r="AM71" s="76" t="s">
        <v>429</v>
      </c>
      <c r="AN71" s="40" t="s">
        <v>432</v>
      </c>
      <c r="AO71" s="76"/>
      <c r="AP71" s="40" t="s">
        <v>432</v>
      </c>
      <c r="AQ71" s="76"/>
      <c r="AR71" s="40" t="s">
        <v>432</v>
      </c>
      <c r="AS71" s="76"/>
      <c r="AT71" s="40" t="s">
        <v>432</v>
      </c>
      <c r="AU71" s="76"/>
      <c r="AV71" s="40" t="s">
        <v>432</v>
      </c>
      <c r="AW71" s="76"/>
      <c r="AX71" s="40" t="s">
        <v>432</v>
      </c>
      <c r="AY71" s="76" t="s">
        <v>431</v>
      </c>
      <c r="AZ71" s="40" t="s">
        <v>432</v>
      </c>
      <c r="BA71" s="76"/>
      <c r="BB71" s="40" t="s">
        <v>432</v>
      </c>
      <c r="BC71" s="76"/>
      <c r="BD71" s="40" t="s">
        <v>432</v>
      </c>
      <c r="BE71" s="76" t="s">
        <v>349</v>
      </c>
      <c r="BF71" s="40" t="s">
        <v>432</v>
      </c>
      <c r="BG71" s="76" t="s">
        <v>350</v>
      </c>
      <c r="BH71" s="40" t="s">
        <v>432</v>
      </c>
      <c r="BI71" s="76"/>
      <c r="BJ71" s="40" t="s">
        <v>432</v>
      </c>
      <c r="BK71" s="76"/>
      <c r="BL71" s="40" t="s">
        <v>432</v>
      </c>
      <c r="BM71" s="76"/>
      <c r="BN71" s="40" t="s">
        <v>432</v>
      </c>
      <c r="BO71" s="76"/>
      <c r="BP71" s="40" t="s">
        <v>432</v>
      </c>
      <c r="BQ71" s="76"/>
      <c r="BR71" s="40" t="s">
        <v>432</v>
      </c>
      <c r="BS71" s="76"/>
      <c r="BT71" s="40" t="s">
        <v>432</v>
      </c>
      <c r="BU71" s="76"/>
      <c r="BV71" s="40" t="s">
        <v>432</v>
      </c>
      <c r="BW71" s="76"/>
      <c r="BX71" s="40" t="s">
        <v>432</v>
      </c>
    </row>
    <row r="72" spans="1:76" x14ac:dyDescent="0.25">
      <c r="A72" s="76" t="s">
        <v>608</v>
      </c>
      <c r="B72" s="76">
        <v>71</v>
      </c>
      <c r="C72" s="76" t="s">
        <v>346</v>
      </c>
      <c r="D72" s="40" t="s">
        <v>432</v>
      </c>
      <c r="E72" s="76"/>
      <c r="F72" s="40" t="s">
        <v>432</v>
      </c>
      <c r="G72" s="76"/>
      <c r="H72" s="40" t="s">
        <v>432</v>
      </c>
      <c r="I72" s="76"/>
      <c r="J72" s="40" t="s">
        <v>432</v>
      </c>
      <c r="K72" s="76"/>
      <c r="L72" s="40" t="s">
        <v>432</v>
      </c>
      <c r="M72" s="76" t="s">
        <v>439</v>
      </c>
      <c r="N72" s="40" t="s">
        <v>432</v>
      </c>
      <c r="O72" s="76"/>
      <c r="P72" s="40" t="s">
        <v>432</v>
      </c>
      <c r="Q72" s="76"/>
      <c r="R72" s="40" t="s">
        <v>432</v>
      </c>
      <c r="S72" s="76"/>
      <c r="T72" s="40" t="s">
        <v>432</v>
      </c>
      <c r="U72" s="76"/>
      <c r="V72" s="40" t="s">
        <v>432</v>
      </c>
      <c r="W72" s="76" t="s">
        <v>440</v>
      </c>
      <c r="X72" s="40" t="s">
        <v>432</v>
      </c>
      <c r="Y72" s="76"/>
      <c r="Z72" s="40" t="s">
        <v>432</v>
      </c>
      <c r="AA72" s="76"/>
      <c r="AB72" s="40" t="s">
        <v>432</v>
      </c>
      <c r="AC72" s="76"/>
      <c r="AD72" s="40" t="s">
        <v>432</v>
      </c>
      <c r="AE72" s="76"/>
      <c r="AF72" s="40" t="s">
        <v>432</v>
      </c>
      <c r="AG72" s="76"/>
      <c r="AH72" s="40" t="s">
        <v>432</v>
      </c>
      <c r="AI72" s="76"/>
      <c r="AJ72" s="40" t="s">
        <v>432</v>
      </c>
      <c r="AK72" s="76"/>
      <c r="AL72" s="40" t="s">
        <v>432</v>
      </c>
      <c r="AM72" s="76" t="s">
        <v>429</v>
      </c>
      <c r="AN72" s="40" t="s">
        <v>432</v>
      </c>
      <c r="AO72" s="76"/>
      <c r="AP72" s="40" t="s">
        <v>432</v>
      </c>
      <c r="AQ72" s="76"/>
      <c r="AR72" s="40" t="s">
        <v>432</v>
      </c>
      <c r="AS72" s="76"/>
      <c r="AT72" s="40" t="s">
        <v>432</v>
      </c>
      <c r="AU72" s="76"/>
      <c r="AV72" s="40" t="s">
        <v>432</v>
      </c>
      <c r="AW72" s="76"/>
      <c r="AX72" s="40" t="s">
        <v>432</v>
      </c>
      <c r="AY72" s="76" t="s">
        <v>431</v>
      </c>
      <c r="AZ72" s="40" t="s">
        <v>432</v>
      </c>
      <c r="BA72" s="76"/>
      <c r="BB72" s="40" t="s">
        <v>432</v>
      </c>
      <c r="BC72" s="76"/>
      <c r="BD72" s="40" t="s">
        <v>432</v>
      </c>
      <c r="BE72" s="76" t="s">
        <v>349</v>
      </c>
      <c r="BF72" s="40" t="s">
        <v>432</v>
      </c>
      <c r="BG72" s="76" t="s">
        <v>350</v>
      </c>
      <c r="BH72" s="40" t="s">
        <v>432</v>
      </c>
      <c r="BI72" s="76"/>
      <c r="BJ72" s="40" t="s">
        <v>432</v>
      </c>
      <c r="BK72" s="76"/>
      <c r="BL72" s="40" t="s">
        <v>432</v>
      </c>
      <c r="BM72" s="76"/>
      <c r="BN72" s="40" t="s">
        <v>432</v>
      </c>
      <c r="BO72" s="76"/>
      <c r="BP72" s="40" t="s">
        <v>432</v>
      </c>
      <c r="BQ72" s="76"/>
      <c r="BR72" s="40" t="s">
        <v>432</v>
      </c>
      <c r="BS72" s="76"/>
      <c r="BT72" s="40" t="s">
        <v>432</v>
      </c>
      <c r="BU72" s="76"/>
      <c r="BV72" s="40" t="s">
        <v>432</v>
      </c>
      <c r="BW72" s="76"/>
      <c r="BX72" s="40" t="s">
        <v>432</v>
      </c>
    </row>
    <row r="73" spans="1:76" x14ac:dyDescent="0.25">
      <c r="A73" s="76" t="s">
        <v>609</v>
      </c>
      <c r="B73" s="76">
        <v>72</v>
      </c>
      <c r="C73" s="76" t="s">
        <v>346</v>
      </c>
      <c r="D73" s="40" t="s">
        <v>432</v>
      </c>
      <c r="E73" s="76"/>
      <c r="F73" s="40" t="s">
        <v>432</v>
      </c>
      <c r="G73" s="76"/>
      <c r="H73" s="40" t="s">
        <v>432</v>
      </c>
      <c r="I73" s="76"/>
      <c r="J73" s="40" t="s">
        <v>432</v>
      </c>
      <c r="K73" s="76"/>
      <c r="L73" s="40" t="s">
        <v>432</v>
      </c>
      <c r="M73" s="76" t="s">
        <v>438</v>
      </c>
      <c r="N73" s="40" t="s">
        <v>432</v>
      </c>
      <c r="O73" s="76" t="s">
        <v>439</v>
      </c>
      <c r="P73" s="40" t="s">
        <v>432</v>
      </c>
      <c r="Q73" s="76"/>
      <c r="R73" s="40" t="s">
        <v>432</v>
      </c>
      <c r="S73" s="76"/>
      <c r="T73" s="40" t="s">
        <v>432</v>
      </c>
      <c r="U73" s="76"/>
      <c r="V73" s="40" t="s">
        <v>432</v>
      </c>
      <c r="W73" s="76" t="s">
        <v>440</v>
      </c>
      <c r="X73" s="40" t="s">
        <v>432</v>
      </c>
      <c r="Y73" s="76"/>
      <c r="Z73" s="40" t="s">
        <v>432</v>
      </c>
      <c r="AA73" s="76"/>
      <c r="AB73" s="40" t="s">
        <v>432</v>
      </c>
      <c r="AC73" s="76"/>
      <c r="AD73" s="40" t="s">
        <v>432</v>
      </c>
      <c r="AE73" s="76"/>
      <c r="AF73" s="40" t="s">
        <v>432</v>
      </c>
      <c r="AG73" s="76"/>
      <c r="AH73" s="40" t="s">
        <v>432</v>
      </c>
      <c r="AI73" s="76"/>
      <c r="AJ73" s="40" t="s">
        <v>432</v>
      </c>
      <c r="AK73" s="76"/>
      <c r="AL73" s="40" t="s">
        <v>432</v>
      </c>
      <c r="AM73" s="76" t="s">
        <v>429</v>
      </c>
      <c r="AN73" s="40" t="s">
        <v>432</v>
      </c>
      <c r="AO73" s="76"/>
      <c r="AP73" s="40" t="s">
        <v>432</v>
      </c>
      <c r="AQ73" s="76"/>
      <c r="AR73" s="40" t="s">
        <v>432</v>
      </c>
      <c r="AS73" s="76"/>
      <c r="AT73" s="40" t="s">
        <v>432</v>
      </c>
      <c r="AU73" s="76"/>
      <c r="AV73" s="40" t="s">
        <v>432</v>
      </c>
      <c r="AW73" s="76"/>
      <c r="AX73" s="40" t="s">
        <v>432</v>
      </c>
      <c r="AY73" s="76" t="s">
        <v>431</v>
      </c>
      <c r="AZ73" s="40" t="s">
        <v>432</v>
      </c>
      <c r="BA73" s="76"/>
      <c r="BB73" s="40" t="s">
        <v>432</v>
      </c>
      <c r="BC73" s="76"/>
      <c r="BD73" s="40" t="s">
        <v>432</v>
      </c>
      <c r="BE73" s="76" t="s">
        <v>349</v>
      </c>
      <c r="BF73" s="40" t="s">
        <v>432</v>
      </c>
      <c r="BG73" s="76"/>
      <c r="BH73" s="40" t="s">
        <v>432</v>
      </c>
      <c r="BI73" s="76"/>
      <c r="BJ73" s="40" t="s">
        <v>432</v>
      </c>
      <c r="BK73" s="76"/>
      <c r="BL73" s="40" t="s">
        <v>432</v>
      </c>
      <c r="BM73" s="76"/>
      <c r="BN73" s="40" t="s">
        <v>432</v>
      </c>
      <c r="BO73" s="76"/>
      <c r="BP73" s="40" t="s">
        <v>432</v>
      </c>
      <c r="BQ73" s="76"/>
      <c r="BR73" s="40" t="s">
        <v>432</v>
      </c>
      <c r="BS73" s="76"/>
      <c r="BT73" s="40" t="s">
        <v>432</v>
      </c>
      <c r="BU73" s="76"/>
      <c r="BV73" s="40" t="s">
        <v>432</v>
      </c>
      <c r="BW73" s="76"/>
      <c r="BX73" s="40" t="s">
        <v>432</v>
      </c>
    </row>
    <row r="74" spans="1:76" x14ac:dyDescent="0.25">
      <c r="A74" s="76" t="s">
        <v>610</v>
      </c>
      <c r="B74" s="76">
        <v>73</v>
      </c>
      <c r="C74" s="76" t="s">
        <v>346</v>
      </c>
      <c r="D74" s="40" t="s">
        <v>432</v>
      </c>
      <c r="E74" s="76"/>
      <c r="F74" s="40" t="s">
        <v>432</v>
      </c>
      <c r="G74" s="76"/>
      <c r="H74" s="40" t="s">
        <v>432</v>
      </c>
      <c r="I74" s="76"/>
      <c r="J74" s="40" t="s">
        <v>432</v>
      </c>
      <c r="K74" s="76"/>
      <c r="L74" s="40" t="s">
        <v>432</v>
      </c>
      <c r="M74" s="76" t="s">
        <v>438</v>
      </c>
      <c r="N74" s="40" t="s">
        <v>432</v>
      </c>
      <c r="O74" s="76" t="s">
        <v>439</v>
      </c>
      <c r="P74" s="40" t="s">
        <v>432</v>
      </c>
      <c r="Q74" s="76"/>
      <c r="R74" s="40" t="s">
        <v>432</v>
      </c>
      <c r="S74" s="76"/>
      <c r="T74" s="40" t="s">
        <v>432</v>
      </c>
      <c r="U74" s="76"/>
      <c r="V74" s="40" t="s">
        <v>432</v>
      </c>
      <c r="W74" s="76" t="s">
        <v>440</v>
      </c>
      <c r="X74" s="40" t="s">
        <v>432</v>
      </c>
      <c r="Y74" s="76"/>
      <c r="Z74" s="40" t="s">
        <v>432</v>
      </c>
      <c r="AA74" s="76"/>
      <c r="AB74" s="40" t="s">
        <v>432</v>
      </c>
      <c r="AC74" s="76"/>
      <c r="AD74" s="40" t="s">
        <v>432</v>
      </c>
      <c r="AE74" s="76"/>
      <c r="AF74" s="40" t="s">
        <v>432</v>
      </c>
      <c r="AG74" s="76"/>
      <c r="AH74" s="40" t="s">
        <v>432</v>
      </c>
      <c r="AI74" s="76"/>
      <c r="AJ74" s="40" t="s">
        <v>432</v>
      </c>
      <c r="AK74" s="76"/>
      <c r="AL74" s="40" t="s">
        <v>432</v>
      </c>
      <c r="AM74" s="76" t="s">
        <v>429</v>
      </c>
      <c r="AN74" s="40" t="s">
        <v>432</v>
      </c>
      <c r="AO74" s="76"/>
      <c r="AP74" s="40" t="s">
        <v>432</v>
      </c>
      <c r="AQ74" s="76"/>
      <c r="AR74" s="40" t="s">
        <v>432</v>
      </c>
      <c r="AS74" s="76"/>
      <c r="AT74" s="40" t="s">
        <v>432</v>
      </c>
      <c r="AU74" s="76"/>
      <c r="AV74" s="40" t="s">
        <v>432</v>
      </c>
      <c r="AW74" s="76"/>
      <c r="AX74" s="40" t="s">
        <v>432</v>
      </c>
      <c r="AY74" s="76" t="s">
        <v>431</v>
      </c>
      <c r="AZ74" s="40" t="s">
        <v>432</v>
      </c>
      <c r="BA74" s="76"/>
      <c r="BB74" s="40" t="s">
        <v>432</v>
      </c>
      <c r="BC74" s="76"/>
      <c r="BD74" s="40" t="s">
        <v>432</v>
      </c>
      <c r="BE74" s="76" t="s">
        <v>349</v>
      </c>
      <c r="BF74" s="40" t="s">
        <v>432</v>
      </c>
      <c r="BG74" s="76" t="s">
        <v>350</v>
      </c>
      <c r="BH74" s="40" t="s">
        <v>432</v>
      </c>
      <c r="BI74" s="76"/>
      <c r="BJ74" s="40" t="s">
        <v>432</v>
      </c>
      <c r="BK74" s="76"/>
      <c r="BL74" s="40" t="s">
        <v>432</v>
      </c>
      <c r="BM74" s="76"/>
      <c r="BN74" s="40" t="s">
        <v>432</v>
      </c>
      <c r="BO74" s="76"/>
      <c r="BP74" s="40" t="s">
        <v>432</v>
      </c>
      <c r="BQ74" s="76"/>
      <c r="BR74" s="40" t="s">
        <v>432</v>
      </c>
      <c r="BS74" s="76"/>
      <c r="BT74" s="40" t="s">
        <v>432</v>
      </c>
      <c r="BU74" s="76"/>
      <c r="BV74" s="40" t="s">
        <v>432</v>
      </c>
      <c r="BW74" s="76"/>
      <c r="BX74" s="40" t="s">
        <v>432</v>
      </c>
    </row>
    <row r="75" spans="1:76" x14ac:dyDescent="0.25">
      <c r="A75" s="76" t="s">
        <v>611</v>
      </c>
      <c r="B75" s="76">
        <v>74</v>
      </c>
      <c r="C75" s="76" t="s">
        <v>346</v>
      </c>
      <c r="D75" s="40" t="s">
        <v>432</v>
      </c>
      <c r="E75" s="76"/>
      <c r="F75" s="40" t="s">
        <v>432</v>
      </c>
      <c r="G75" s="76"/>
      <c r="H75" s="40" t="s">
        <v>432</v>
      </c>
      <c r="I75" s="76"/>
      <c r="J75" s="40" t="s">
        <v>432</v>
      </c>
      <c r="K75" s="76"/>
      <c r="L75" s="40" t="s">
        <v>432</v>
      </c>
      <c r="M75" s="76" t="s">
        <v>438</v>
      </c>
      <c r="N75" s="40" t="s">
        <v>432</v>
      </c>
      <c r="O75" s="76" t="s">
        <v>439</v>
      </c>
      <c r="P75" s="40" t="s">
        <v>432</v>
      </c>
      <c r="Q75" s="76"/>
      <c r="R75" s="40" t="s">
        <v>432</v>
      </c>
      <c r="S75" s="76"/>
      <c r="T75" s="40" t="s">
        <v>432</v>
      </c>
      <c r="U75" s="76"/>
      <c r="V75" s="40" t="s">
        <v>432</v>
      </c>
      <c r="W75" s="76" t="s">
        <v>440</v>
      </c>
      <c r="X75" s="40" t="s">
        <v>432</v>
      </c>
      <c r="Y75" s="76"/>
      <c r="Z75" s="40" t="s">
        <v>432</v>
      </c>
      <c r="AA75" s="76"/>
      <c r="AB75" s="40" t="s">
        <v>432</v>
      </c>
      <c r="AC75" s="76"/>
      <c r="AD75" s="40" t="s">
        <v>432</v>
      </c>
      <c r="AE75" s="76"/>
      <c r="AF75" s="40" t="s">
        <v>432</v>
      </c>
      <c r="AG75" s="76"/>
      <c r="AH75" s="40" t="s">
        <v>432</v>
      </c>
      <c r="AI75" s="76"/>
      <c r="AJ75" s="40" t="s">
        <v>432</v>
      </c>
      <c r="AK75" s="76"/>
      <c r="AL75" s="40" t="s">
        <v>432</v>
      </c>
      <c r="AM75" s="76" t="s">
        <v>429</v>
      </c>
      <c r="AN75" s="40" t="s">
        <v>432</v>
      </c>
      <c r="AO75" s="76"/>
      <c r="AP75" s="40" t="s">
        <v>432</v>
      </c>
      <c r="AQ75" s="76"/>
      <c r="AR75" s="40" t="s">
        <v>432</v>
      </c>
      <c r="AS75" s="76"/>
      <c r="AT75" s="40" t="s">
        <v>432</v>
      </c>
      <c r="AU75" s="76"/>
      <c r="AV75" s="40" t="s">
        <v>432</v>
      </c>
      <c r="AW75" s="76"/>
      <c r="AX75" s="40" t="s">
        <v>432</v>
      </c>
      <c r="AY75" s="76" t="s">
        <v>431</v>
      </c>
      <c r="AZ75" s="40" t="s">
        <v>432</v>
      </c>
      <c r="BA75" s="76"/>
      <c r="BB75" s="40" t="s">
        <v>432</v>
      </c>
      <c r="BC75" s="76"/>
      <c r="BD75" s="40" t="s">
        <v>432</v>
      </c>
      <c r="BE75" s="76" t="s">
        <v>349</v>
      </c>
      <c r="BF75" s="40" t="s">
        <v>432</v>
      </c>
      <c r="BG75" s="76"/>
      <c r="BH75" s="40" t="s">
        <v>432</v>
      </c>
      <c r="BI75" s="76"/>
      <c r="BJ75" s="40" t="s">
        <v>432</v>
      </c>
      <c r="BK75" s="76"/>
      <c r="BL75" s="40" t="s">
        <v>432</v>
      </c>
      <c r="BM75" s="76"/>
      <c r="BN75" s="40" t="s">
        <v>432</v>
      </c>
      <c r="BO75" s="76"/>
      <c r="BP75" s="40" t="s">
        <v>432</v>
      </c>
      <c r="BQ75" s="76"/>
      <c r="BR75" s="40" t="s">
        <v>432</v>
      </c>
      <c r="BS75" s="76"/>
      <c r="BT75" s="40" t="s">
        <v>432</v>
      </c>
      <c r="BU75" s="76"/>
      <c r="BV75" s="40" t="s">
        <v>432</v>
      </c>
      <c r="BW75" s="76"/>
      <c r="BX75" s="40" t="s">
        <v>432</v>
      </c>
    </row>
    <row r="76" spans="1:76" x14ac:dyDescent="0.25">
      <c r="A76" s="76" t="s">
        <v>612</v>
      </c>
      <c r="B76" s="76">
        <v>75</v>
      </c>
      <c r="C76" s="76" t="s">
        <v>346</v>
      </c>
      <c r="D76" s="40" t="s">
        <v>432</v>
      </c>
      <c r="E76" s="76"/>
      <c r="F76" s="40" t="s">
        <v>432</v>
      </c>
      <c r="G76" s="76"/>
      <c r="H76" s="40" t="s">
        <v>432</v>
      </c>
      <c r="I76" s="76"/>
      <c r="J76" s="40" t="s">
        <v>432</v>
      </c>
      <c r="K76" s="76"/>
      <c r="L76" s="40" t="s">
        <v>432</v>
      </c>
      <c r="M76" s="76" t="s">
        <v>438</v>
      </c>
      <c r="N76" s="40" t="s">
        <v>432</v>
      </c>
      <c r="O76" s="76" t="s">
        <v>439</v>
      </c>
      <c r="P76" s="40" t="s">
        <v>432</v>
      </c>
      <c r="Q76" s="76"/>
      <c r="R76" s="40" t="s">
        <v>432</v>
      </c>
      <c r="S76" s="76"/>
      <c r="T76" s="40" t="s">
        <v>432</v>
      </c>
      <c r="U76" s="76"/>
      <c r="V76" s="40" t="s">
        <v>432</v>
      </c>
      <c r="W76" s="76" t="s">
        <v>440</v>
      </c>
      <c r="X76" s="40" t="s">
        <v>432</v>
      </c>
      <c r="Y76" s="76"/>
      <c r="Z76" s="40" t="s">
        <v>432</v>
      </c>
      <c r="AA76" s="76"/>
      <c r="AB76" s="40" t="s">
        <v>432</v>
      </c>
      <c r="AC76" s="76"/>
      <c r="AD76" s="40" t="s">
        <v>432</v>
      </c>
      <c r="AE76" s="76"/>
      <c r="AF76" s="40" t="s">
        <v>432</v>
      </c>
      <c r="AG76" s="76"/>
      <c r="AH76" s="40" t="s">
        <v>432</v>
      </c>
      <c r="AI76" s="76"/>
      <c r="AJ76" s="40" t="s">
        <v>432</v>
      </c>
      <c r="AK76" s="76"/>
      <c r="AL76" s="40" t="s">
        <v>432</v>
      </c>
      <c r="AM76" s="76" t="s">
        <v>429</v>
      </c>
      <c r="AN76" s="40" t="s">
        <v>432</v>
      </c>
      <c r="AO76" s="76"/>
      <c r="AP76" s="40" t="s">
        <v>432</v>
      </c>
      <c r="AQ76" s="76"/>
      <c r="AR76" s="40" t="s">
        <v>432</v>
      </c>
      <c r="AS76" s="76"/>
      <c r="AT76" s="40" t="s">
        <v>432</v>
      </c>
      <c r="AU76" s="76"/>
      <c r="AV76" s="40" t="s">
        <v>432</v>
      </c>
      <c r="AW76" s="76"/>
      <c r="AX76" s="40" t="s">
        <v>432</v>
      </c>
      <c r="AY76" s="76" t="s">
        <v>431</v>
      </c>
      <c r="AZ76" s="40" t="s">
        <v>432</v>
      </c>
      <c r="BA76" s="76"/>
      <c r="BB76" s="40" t="s">
        <v>432</v>
      </c>
      <c r="BC76" s="76"/>
      <c r="BD76" s="40" t="s">
        <v>432</v>
      </c>
      <c r="BE76" s="76" t="s">
        <v>349</v>
      </c>
      <c r="BF76" s="40" t="s">
        <v>432</v>
      </c>
      <c r="BG76" s="76"/>
      <c r="BH76" s="40" t="s">
        <v>432</v>
      </c>
      <c r="BI76" s="76"/>
      <c r="BJ76" s="40" t="s">
        <v>432</v>
      </c>
      <c r="BK76" s="76"/>
      <c r="BL76" s="40" t="s">
        <v>432</v>
      </c>
      <c r="BM76" s="76"/>
      <c r="BN76" s="40" t="s">
        <v>432</v>
      </c>
      <c r="BO76" s="76"/>
      <c r="BP76" s="40" t="s">
        <v>432</v>
      </c>
      <c r="BQ76" s="76"/>
      <c r="BR76" s="40" t="s">
        <v>432</v>
      </c>
      <c r="BS76" s="76"/>
      <c r="BT76" s="40" t="s">
        <v>432</v>
      </c>
      <c r="BU76" s="76"/>
      <c r="BV76" s="40" t="s">
        <v>432</v>
      </c>
      <c r="BW76" s="76"/>
      <c r="BX76" s="40" t="s">
        <v>432</v>
      </c>
    </row>
    <row r="77" spans="1:76" x14ac:dyDescent="0.25">
      <c r="A77" s="76" t="s">
        <v>613</v>
      </c>
      <c r="B77" s="76">
        <v>76</v>
      </c>
      <c r="C77" s="76" t="s">
        <v>346</v>
      </c>
      <c r="D77" s="40" t="s">
        <v>432</v>
      </c>
      <c r="E77" s="76"/>
      <c r="F77" s="40" t="s">
        <v>432</v>
      </c>
      <c r="G77" s="76"/>
      <c r="H77" s="40" t="s">
        <v>432</v>
      </c>
      <c r="I77" s="76"/>
      <c r="J77" s="40" t="s">
        <v>432</v>
      </c>
      <c r="K77" s="76"/>
      <c r="L77" s="40" t="s">
        <v>432</v>
      </c>
      <c r="M77" s="76" t="s">
        <v>438</v>
      </c>
      <c r="N77" s="40" t="s">
        <v>432</v>
      </c>
      <c r="O77" s="76" t="s">
        <v>439</v>
      </c>
      <c r="P77" s="40" t="s">
        <v>432</v>
      </c>
      <c r="Q77" s="76"/>
      <c r="R77" s="40" t="s">
        <v>432</v>
      </c>
      <c r="S77" s="76"/>
      <c r="T77" s="40" t="s">
        <v>432</v>
      </c>
      <c r="U77" s="76"/>
      <c r="V77" s="40" t="s">
        <v>432</v>
      </c>
      <c r="W77" s="76" t="s">
        <v>440</v>
      </c>
      <c r="X77" s="40" t="s">
        <v>432</v>
      </c>
      <c r="Y77" s="76"/>
      <c r="Z77" s="40" t="s">
        <v>432</v>
      </c>
      <c r="AA77" s="76"/>
      <c r="AB77" s="40" t="s">
        <v>432</v>
      </c>
      <c r="AC77" s="76"/>
      <c r="AD77" s="40" t="s">
        <v>432</v>
      </c>
      <c r="AE77" s="76"/>
      <c r="AF77" s="40" t="s">
        <v>432</v>
      </c>
      <c r="AG77" s="76"/>
      <c r="AH77" s="40" t="s">
        <v>432</v>
      </c>
      <c r="AI77" s="76"/>
      <c r="AJ77" s="40" t="s">
        <v>432</v>
      </c>
      <c r="AK77" s="76"/>
      <c r="AL77" s="40" t="s">
        <v>432</v>
      </c>
      <c r="AM77" s="76" t="s">
        <v>429</v>
      </c>
      <c r="AN77" s="40" t="s">
        <v>432</v>
      </c>
      <c r="AO77" s="76"/>
      <c r="AP77" s="40" t="s">
        <v>432</v>
      </c>
      <c r="AQ77" s="76"/>
      <c r="AR77" s="40" t="s">
        <v>432</v>
      </c>
      <c r="AS77" s="76"/>
      <c r="AT77" s="40" t="s">
        <v>432</v>
      </c>
      <c r="AU77" s="76"/>
      <c r="AV77" s="40" t="s">
        <v>432</v>
      </c>
      <c r="AW77" s="76"/>
      <c r="AX77" s="40" t="s">
        <v>432</v>
      </c>
      <c r="AY77" s="76" t="s">
        <v>431</v>
      </c>
      <c r="AZ77" s="40" t="s">
        <v>432</v>
      </c>
      <c r="BA77" s="76"/>
      <c r="BB77" s="40" t="s">
        <v>432</v>
      </c>
      <c r="BC77" s="76"/>
      <c r="BD77" s="40" t="s">
        <v>432</v>
      </c>
      <c r="BE77" s="76" t="s">
        <v>349</v>
      </c>
      <c r="BF77" s="40" t="s">
        <v>432</v>
      </c>
      <c r="BG77" s="76"/>
      <c r="BH77" s="40" t="s">
        <v>432</v>
      </c>
      <c r="BI77" s="76"/>
      <c r="BJ77" s="40" t="s">
        <v>432</v>
      </c>
      <c r="BK77" s="76"/>
      <c r="BL77" s="40" t="s">
        <v>432</v>
      </c>
      <c r="BM77" s="76"/>
      <c r="BN77" s="40" t="s">
        <v>432</v>
      </c>
      <c r="BO77" s="76"/>
      <c r="BP77" s="40" t="s">
        <v>432</v>
      </c>
      <c r="BQ77" s="76"/>
      <c r="BR77" s="40" t="s">
        <v>432</v>
      </c>
      <c r="BS77" s="76"/>
      <c r="BT77" s="40" t="s">
        <v>432</v>
      </c>
      <c r="BU77" s="76"/>
      <c r="BV77" s="40" t="s">
        <v>432</v>
      </c>
      <c r="BW77" s="76"/>
      <c r="BX77" s="40" t="s">
        <v>432</v>
      </c>
    </row>
    <row r="78" spans="1:76" x14ac:dyDescent="0.25">
      <c r="A78" s="76" t="s">
        <v>614</v>
      </c>
      <c r="B78" s="76">
        <v>77</v>
      </c>
      <c r="C78" s="76" t="s">
        <v>346</v>
      </c>
      <c r="D78" s="40" t="s">
        <v>432</v>
      </c>
      <c r="E78" s="76"/>
      <c r="F78" s="40" t="s">
        <v>432</v>
      </c>
      <c r="G78" s="76"/>
      <c r="H78" s="40" t="s">
        <v>432</v>
      </c>
      <c r="I78" s="76"/>
      <c r="J78" s="40" t="s">
        <v>432</v>
      </c>
      <c r="K78" s="76"/>
      <c r="L78" s="40" t="s">
        <v>432</v>
      </c>
      <c r="M78" s="76" t="s">
        <v>438</v>
      </c>
      <c r="N78" s="40" t="s">
        <v>432</v>
      </c>
      <c r="O78" s="76" t="s">
        <v>439</v>
      </c>
      <c r="P78" s="40" t="s">
        <v>432</v>
      </c>
      <c r="Q78" s="76"/>
      <c r="R78" s="40" t="s">
        <v>432</v>
      </c>
      <c r="S78" s="76"/>
      <c r="T78" s="40" t="s">
        <v>432</v>
      </c>
      <c r="U78" s="76"/>
      <c r="V78" s="40" t="s">
        <v>432</v>
      </c>
      <c r="W78" s="76" t="s">
        <v>440</v>
      </c>
      <c r="X78" s="40" t="s">
        <v>432</v>
      </c>
      <c r="Y78" s="76"/>
      <c r="Z78" s="40" t="s">
        <v>432</v>
      </c>
      <c r="AA78" s="76"/>
      <c r="AB78" s="40" t="s">
        <v>432</v>
      </c>
      <c r="AC78" s="76"/>
      <c r="AD78" s="40" t="s">
        <v>432</v>
      </c>
      <c r="AE78" s="76"/>
      <c r="AF78" s="40" t="s">
        <v>432</v>
      </c>
      <c r="AG78" s="76"/>
      <c r="AH78" s="40" t="s">
        <v>432</v>
      </c>
      <c r="AI78" s="76"/>
      <c r="AJ78" s="40" t="s">
        <v>432</v>
      </c>
      <c r="AK78" s="76"/>
      <c r="AL78" s="40" t="s">
        <v>432</v>
      </c>
      <c r="AM78" s="76" t="s">
        <v>429</v>
      </c>
      <c r="AN78" s="40" t="s">
        <v>432</v>
      </c>
      <c r="AO78" s="76"/>
      <c r="AP78" s="40" t="s">
        <v>432</v>
      </c>
      <c r="AQ78" s="76"/>
      <c r="AR78" s="40" t="s">
        <v>432</v>
      </c>
      <c r="AS78" s="76"/>
      <c r="AT78" s="40" t="s">
        <v>432</v>
      </c>
      <c r="AU78" s="76"/>
      <c r="AV78" s="40" t="s">
        <v>432</v>
      </c>
      <c r="AW78" s="76"/>
      <c r="AX78" s="40" t="s">
        <v>432</v>
      </c>
      <c r="AY78" s="76" t="s">
        <v>431</v>
      </c>
      <c r="AZ78" s="40" t="s">
        <v>432</v>
      </c>
      <c r="BA78" s="76"/>
      <c r="BB78" s="40" t="s">
        <v>432</v>
      </c>
      <c r="BC78" s="76"/>
      <c r="BD78" s="40" t="s">
        <v>432</v>
      </c>
      <c r="BE78" s="76" t="s">
        <v>349</v>
      </c>
      <c r="BF78" s="40" t="s">
        <v>432</v>
      </c>
      <c r="BG78" s="76"/>
      <c r="BH78" s="40" t="s">
        <v>432</v>
      </c>
      <c r="BI78" s="76"/>
      <c r="BJ78" s="40" t="s">
        <v>432</v>
      </c>
      <c r="BK78" s="76"/>
      <c r="BL78" s="40" t="s">
        <v>432</v>
      </c>
      <c r="BM78" s="76"/>
      <c r="BN78" s="40" t="s">
        <v>432</v>
      </c>
      <c r="BO78" s="76"/>
      <c r="BP78" s="40" t="s">
        <v>432</v>
      </c>
      <c r="BQ78" s="76"/>
      <c r="BR78" s="40" t="s">
        <v>432</v>
      </c>
      <c r="BS78" s="76"/>
      <c r="BT78" s="40" t="s">
        <v>432</v>
      </c>
      <c r="BU78" s="76"/>
      <c r="BV78" s="40" t="s">
        <v>432</v>
      </c>
      <c r="BW78" s="76"/>
      <c r="BX78" s="40" t="s">
        <v>432</v>
      </c>
    </row>
    <row r="79" spans="1:76" x14ac:dyDescent="0.25">
      <c r="A79" s="76" t="s">
        <v>615</v>
      </c>
      <c r="B79" s="76">
        <v>78</v>
      </c>
      <c r="C79" s="76" t="s">
        <v>346</v>
      </c>
      <c r="D79" s="40" t="s">
        <v>432</v>
      </c>
      <c r="E79" s="76"/>
      <c r="F79" s="40" t="s">
        <v>432</v>
      </c>
      <c r="G79" s="76"/>
      <c r="H79" s="40" t="s">
        <v>432</v>
      </c>
      <c r="I79" s="76"/>
      <c r="J79" s="40" t="s">
        <v>432</v>
      </c>
      <c r="K79" s="76"/>
      <c r="L79" s="40" t="s">
        <v>432</v>
      </c>
      <c r="M79" s="76" t="s">
        <v>438</v>
      </c>
      <c r="N79" s="40" t="s">
        <v>432</v>
      </c>
      <c r="O79" s="76" t="s">
        <v>439</v>
      </c>
      <c r="P79" s="40" t="s">
        <v>432</v>
      </c>
      <c r="Q79" s="76"/>
      <c r="R79" s="40" t="s">
        <v>432</v>
      </c>
      <c r="S79" s="76"/>
      <c r="T79" s="40" t="s">
        <v>432</v>
      </c>
      <c r="U79" s="76"/>
      <c r="V79" s="40" t="s">
        <v>432</v>
      </c>
      <c r="W79" s="76" t="s">
        <v>440</v>
      </c>
      <c r="X79" s="40" t="s">
        <v>432</v>
      </c>
      <c r="Y79" s="76"/>
      <c r="Z79" s="40" t="s">
        <v>432</v>
      </c>
      <c r="AA79" s="76"/>
      <c r="AB79" s="40" t="s">
        <v>432</v>
      </c>
      <c r="AC79" s="76"/>
      <c r="AD79" s="40" t="s">
        <v>432</v>
      </c>
      <c r="AE79" s="76"/>
      <c r="AF79" s="40" t="s">
        <v>432</v>
      </c>
      <c r="AG79" s="76"/>
      <c r="AH79" s="40" t="s">
        <v>432</v>
      </c>
      <c r="AI79" s="76"/>
      <c r="AJ79" s="40" t="s">
        <v>432</v>
      </c>
      <c r="AK79" s="76"/>
      <c r="AL79" s="40" t="s">
        <v>432</v>
      </c>
      <c r="AM79" s="76" t="s">
        <v>429</v>
      </c>
      <c r="AN79" s="40" t="s">
        <v>432</v>
      </c>
      <c r="AO79" s="76"/>
      <c r="AP79" s="40" t="s">
        <v>432</v>
      </c>
      <c r="AQ79" s="76"/>
      <c r="AR79" s="40" t="s">
        <v>432</v>
      </c>
      <c r="AS79" s="76"/>
      <c r="AT79" s="40" t="s">
        <v>432</v>
      </c>
      <c r="AU79" s="76"/>
      <c r="AV79" s="40" t="s">
        <v>432</v>
      </c>
      <c r="AW79" s="76"/>
      <c r="AX79" s="40" t="s">
        <v>432</v>
      </c>
      <c r="AY79" s="76" t="s">
        <v>431</v>
      </c>
      <c r="AZ79" s="40" t="s">
        <v>432</v>
      </c>
      <c r="BA79" s="76"/>
      <c r="BB79" s="40" t="s">
        <v>432</v>
      </c>
      <c r="BC79" s="76"/>
      <c r="BD79" s="40" t="s">
        <v>432</v>
      </c>
      <c r="BE79" s="76" t="s">
        <v>349</v>
      </c>
      <c r="BF79" s="40" t="s">
        <v>432</v>
      </c>
      <c r="BG79" s="76"/>
      <c r="BH79" s="40" t="s">
        <v>432</v>
      </c>
      <c r="BI79" s="76"/>
      <c r="BJ79" s="40" t="s">
        <v>432</v>
      </c>
      <c r="BK79" s="76"/>
      <c r="BL79" s="40" t="s">
        <v>432</v>
      </c>
      <c r="BM79" s="76"/>
      <c r="BN79" s="40" t="s">
        <v>432</v>
      </c>
      <c r="BO79" s="76"/>
      <c r="BP79" s="40" t="s">
        <v>432</v>
      </c>
      <c r="BQ79" s="76"/>
      <c r="BR79" s="40" t="s">
        <v>432</v>
      </c>
      <c r="BS79" s="76"/>
      <c r="BT79" s="40" t="s">
        <v>432</v>
      </c>
      <c r="BU79" s="76"/>
      <c r="BV79" s="40" t="s">
        <v>432</v>
      </c>
      <c r="BW79" s="76"/>
      <c r="BX79" s="40" t="s">
        <v>432</v>
      </c>
    </row>
    <row r="80" spans="1:76" x14ac:dyDescent="0.25">
      <c r="A80" s="76" t="s">
        <v>616</v>
      </c>
      <c r="B80" s="76">
        <v>79</v>
      </c>
      <c r="C80" s="76" t="s">
        <v>346</v>
      </c>
      <c r="D80" s="40" t="s">
        <v>432</v>
      </c>
      <c r="E80" s="76"/>
      <c r="F80" s="40" t="s">
        <v>432</v>
      </c>
      <c r="G80" s="76"/>
      <c r="H80" s="40" t="s">
        <v>432</v>
      </c>
      <c r="I80" s="76"/>
      <c r="J80" s="40" t="s">
        <v>432</v>
      </c>
      <c r="K80" s="76"/>
      <c r="L80" s="40" t="s">
        <v>432</v>
      </c>
      <c r="M80" s="76" t="s">
        <v>438</v>
      </c>
      <c r="N80" s="40" t="s">
        <v>432</v>
      </c>
      <c r="O80" s="76" t="s">
        <v>439</v>
      </c>
      <c r="P80" s="40" t="s">
        <v>432</v>
      </c>
      <c r="Q80" s="76"/>
      <c r="R80" s="40" t="s">
        <v>432</v>
      </c>
      <c r="S80" s="76"/>
      <c r="T80" s="40" t="s">
        <v>432</v>
      </c>
      <c r="U80" s="76"/>
      <c r="V80" s="40" t="s">
        <v>432</v>
      </c>
      <c r="W80" s="76" t="s">
        <v>440</v>
      </c>
      <c r="X80" s="40" t="s">
        <v>432</v>
      </c>
      <c r="Y80" s="76"/>
      <c r="Z80" s="40" t="s">
        <v>432</v>
      </c>
      <c r="AA80" s="76"/>
      <c r="AB80" s="40" t="s">
        <v>432</v>
      </c>
      <c r="AC80" s="76"/>
      <c r="AD80" s="40" t="s">
        <v>432</v>
      </c>
      <c r="AE80" s="76"/>
      <c r="AF80" s="40" t="s">
        <v>432</v>
      </c>
      <c r="AG80" s="76"/>
      <c r="AH80" s="40" t="s">
        <v>432</v>
      </c>
      <c r="AI80" s="76"/>
      <c r="AJ80" s="40" t="s">
        <v>432</v>
      </c>
      <c r="AK80" s="76"/>
      <c r="AL80" s="40" t="s">
        <v>432</v>
      </c>
      <c r="AM80" s="76" t="s">
        <v>429</v>
      </c>
      <c r="AN80" s="40" t="s">
        <v>432</v>
      </c>
      <c r="AO80" s="76"/>
      <c r="AP80" s="40" t="s">
        <v>432</v>
      </c>
      <c r="AQ80" s="76"/>
      <c r="AR80" s="40" t="s">
        <v>432</v>
      </c>
      <c r="AS80" s="76"/>
      <c r="AT80" s="40" t="s">
        <v>432</v>
      </c>
      <c r="AU80" s="76"/>
      <c r="AV80" s="40" t="s">
        <v>432</v>
      </c>
      <c r="AW80" s="76"/>
      <c r="AX80" s="40" t="s">
        <v>432</v>
      </c>
      <c r="AY80" s="76" t="s">
        <v>431</v>
      </c>
      <c r="AZ80" s="40" t="s">
        <v>432</v>
      </c>
      <c r="BA80" s="76"/>
      <c r="BB80" s="40" t="s">
        <v>432</v>
      </c>
      <c r="BC80" s="76"/>
      <c r="BD80" s="40" t="s">
        <v>432</v>
      </c>
      <c r="BE80" s="76" t="s">
        <v>349</v>
      </c>
      <c r="BF80" s="40" t="s">
        <v>432</v>
      </c>
      <c r="BG80" s="76"/>
      <c r="BH80" s="40" t="s">
        <v>432</v>
      </c>
      <c r="BI80" s="76"/>
      <c r="BJ80" s="40" t="s">
        <v>432</v>
      </c>
      <c r="BK80" s="76"/>
      <c r="BL80" s="40" t="s">
        <v>432</v>
      </c>
      <c r="BM80" s="76"/>
      <c r="BN80" s="40" t="s">
        <v>432</v>
      </c>
      <c r="BO80" s="76"/>
      <c r="BP80" s="40" t="s">
        <v>432</v>
      </c>
      <c r="BQ80" s="76"/>
      <c r="BR80" s="40" t="s">
        <v>432</v>
      </c>
      <c r="BS80" s="76"/>
      <c r="BT80" s="40" t="s">
        <v>432</v>
      </c>
      <c r="BU80" s="76"/>
      <c r="BV80" s="40" t="s">
        <v>432</v>
      </c>
      <c r="BW80" s="76"/>
      <c r="BX80" s="40" t="s">
        <v>432</v>
      </c>
    </row>
    <row r="81" spans="1:76" x14ac:dyDescent="0.25">
      <c r="A81" s="76" t="s">
        <v>617</v>
      </c>
      <c r="B81" s="76">
        <v>80</v>
      </c>
      <c r="C81" s="76" t="s">
        <v>346</v>
      </c>
      <c r="D81" s="40" t="s">
        <v>432</v>
      </c>
      <c r="E81" s="76"/>
      <c r="F81" s="40" t="s">
        <v>432</v>
      </c>
      <c r="G81" s="76"/>
      <c r="H81" s="40" t="s">
        <v>432</v>
      </c>
      <c r="I81" s="76"/>
      <c r="J81" s="40" t="s">
        <v>432</v>
      </c>
      <c r="K81" s="76"/>
      <c r="L81" s="40" t="s">
        <v>432</v>
      </c>
      <c r="M81" s="76" t="s">
        <v>438</v>
      </c>
      <c r="N81" s="40" t="s">
        <v>432</v>
      </c>
      <c r="O81" s="76" t="s">
        <v>439</v>
      </c>
      <c r="P81" s="40" t="s">
        <v>432</v>
      </c>
      <c r="Q81" s="76"/>
      <c r="R81" s="40" t="s">
        <v>432</v>
      </c>
      <c r="S81" s="76"/>
      <c r="T81" s="40" t="s">
        <v>432</v>
      </c>
      <c r="U81" s="76"/>
      <c r="V81" s="40" t="s">
        <v>432</v>
      </c>
      <c r="W81" s="76" t="s">
        <v>440</v>
      </c>
      <c r="X81" s="40" t="s">
        <v>432</v>
      </c>
      <c r="Y81" s="76"/>
      <c r="Z81" s="40" t="s">
        <v>432</v>
      </c>
      <c r="AA81" s="76"/>
      <c r="AB81" s="40" t="s">
        <v>432</v>
      </c>
      <c r="AC81" s="76"/>
      <c r="AD81" s="40" t="s">
        <v>432</v>
      </c>
      <c r="AE81" s="76"/>
      <c r="AF81" s="40" t="s">
        <v>432</v>
      </c>
      <c r="AG81" s="76"/>
      <c r="AH81" s="40" t="s">
        <v>432</v>
      </c>
      <c r="AI81" s="76"/>
      <c r="AJ81" s="40" t="s">
        <v>432</v>
      </c>
      <c r="AK81" s="76"/>
      <c r="AL81" s="40" t="s">
        <v>432</v>
      </c>
      <c r="AM81" s="76" t="s">
        <v>429</v>
      </c>
      <c r="AN81" s="40" t="s">
        <v>432</v>
      </c>
      <c r="AO81" s="76"/>
      <c r="AP81" s="40" t="s">
        <v>432</v>
      </c>
      <c r="AQ81" s="76"/>
      <c r="AR81" s="40" t="s">
        <v>432</v>
      </c>
      <c r="AS81" s="76"/>
      <c r="AT81" s="40" t="s">
        <v>432</v>
      </c>
      <c r="AU81" s="76"/>
      <c r="AV81" s="40" t="s">
        <v>432</v>
      </c>
      <c r="AW81" s="76"/>
      <c r="AX81" s="40" t="s">
        <v>432</v>
      </c>
      <c r="AY81" s="76" t="s">
        <v>431</v>
      </c>
      <c r="AZ81" s="40" t="s">
        <v>432</v>
      </c>
      <c r="BA81" s="76"/>
      <c r="BB81" s="40" t="s">
        <v>432</v>
      </c>
      <c r="BC81" s="76"/>
      <c r="BD81" s="40" t="s">
        <v>432</v>
      </c>
      <c r="BE81" s="76" t="s">
        <v>349</v>
      </c>
      <c r="BF81" s="40" t="s">
        <v>432</v>
      </c>
      <c r="BG81" s="76" t="s">
        <v>350</v>
      </c>
      <c r="BH81" s="40" t="s">
        <v>432</v>
      </c>
      <c r="BI81" s="76"/>
      <c r="BJ81" s="40" t="s">
        <v>432</v>
      </c>
      <c r="BK81" s="76"/>
      <c r="BL81" s="40" t="s">
        <v>432</v>
      </c>
      <c r="BM81" s="76"/>
      <c r="BN81" s="40" t="s">
        <v>432</v>
      </c>
      <c r="BO81" s="76"/>
      <c r="BP81" s="40" t="s">
        <v>432</v>
      </c>
      <c r="BQ81" s="76"/>
      <c r="BR81" s="40" t="s">
        <v>432</v>
      </c>
      <c r="BS81" s="76"/>
      <c r="BT81" s="40" t="s">
        <v>432</v>
      </c>
      <c r="BU81" s="76"/>
      <c r="BV81" s="40" t="s">
        <v>432</v>
      </c>
      <c r="BW81" s="76"/>
      <c r="BX81" s="40" t="s">
        <v>432</v>
      </c>
    </row>
    <row r="82" spans="1:76" x14ac:dyDescent="0.25">
      <c r="A82" s="76" t="s">
        <v>618</v>
      </c>
      <c r="B82" s="76">
        <v>81</v>
      </c>
      <c r="C82" s="76" t="s">
        <v>346</v>
      </c>
      <c r="D82" s="40" t="s">
        <v>432</v>
      </c>
      <c r="E82" s="76"/>
      <c r="F82" s="40" t="s">
        <v>432</v>
      </c>
      <c r="G82" s="76"/>
      <c r="H82" s="40" t="s">
        <v>432</v>
      </c>
      <c r="I82" s="76"/>
      <c r="J82" s="40" t="s">
        <v>432</v>
      </c>
      <c r="K82" s="76"/>
      <c r="L82" s="40" t="s">
        <v>432</v>
      </c>
      <c r="M82" s="76" t="s">
        <v>438</v>
      </c>
      <c r="N82" s="40" t="s">
        <v>432</v>
      </c>
      <c r="O82" s="76" t="s">
        <v>439</v>
      </c>
      <c r="P82" s="40" t="s">
        <v>432</v>
      </c>
      <c r="Q82" s="76"/>
      <c r="R82" s="40" t="s">
        <v>432</v>
      </c>
      <c r="S82" s="76"/>
      <c r="T82" s="40" t="s">
        <v>432</v>
      </c>
      <c r="U82" s="76"/>
      <c r="V82" s="40" t="s">
        <v>432</v>
      </c>
      <c r="W82" s="76" t="s">
        <v>440</v>
      </c>
      <c r="X82" s="40" t="s">
        <v>432</v>
      </c>
      <c r="Y82" s="76"/>
      <c r="Z82" s="40" t="s">
        <v>432</v>
      </c>
      <c r="AA82" s="76"/>
      <c r="AB82" s="40" t="s">
        <v>432</v>
      </c>
      <c r="AC82" s="76"/>
      <c r="AD82" s="40" t="s">
        <v>432</v>
      </c>
      <c r="AE82" s="76"/>
      <c r="AF82" s="40" t="s">
        <v>432</v>
      </c>
      <c r="AG82" s="76"/>
      <c r="AH82" s="40" t="s">
        <v>432</v>
      </c>
      <c r="AI82" s="76"/>
      <c r="AJ82" s="40" t="s">
        <v>432</v>
      </c>
      <c r="AK82" s="76"/>
      <c r="AL82" s="40" t="s">
        <v>432</v>
      </c>
      <c r="AM82" s="76" t="s">
        <v>429</v>
      </c>
      <c r="AN82" s="40" t="s">
        <v>432</v>
      </c>
      <c r="AO82" s="76"/>
      <c r="AP82" s="40" t="s">
        <v>432</v>
      </c>
      <c r="AQ82" s="76"/>
      <c r="AR82" s="40" t="s">
        <v>432</v>
      </c>
      <c r="AS82" s="76"/>
      <c r="AT82" s="40" t="s">
        <v>432</v>
      </c>
      <c r="AU82" s="76"/>
      <c r="AV82" s="40" t="s">
        <v>432</v>
      </c>
      <c r="AW82" s="76"/>
      <c r="AX82" s="40" t="s">
        <v>432</v>
      </c>
      <c r="AY82" s="76" t="s">
        <v>431</v>
      </c>
      <c r="AZ82" s="40" t="s">
        <v>432</v>
      </c>
      <c r="BA82" s="76"/>
      <c r="BB82" s="40" t="s">
        <v>432</v>
      </c>
      <c r="BC82" s="76"/>
      <c r="BD82" s="40" t="s">
        <v>432</v>
      </c>
      <c r="BE82" s="76" t="s">
        <v>349</v>
      </c>
      <c r="BF82" s="40" t="s">
        <v>432</v>
      </c>
      <c r="BG82" s="76"/>
      <c r="BH82" s="40" t="s">
        <v>432</v>
      </c>
      <c r="BI82" s="76"/>
      <c r="BJ82" s="40" t="s">
        <v>432</v>
      </c>
      <c r="BK82" s="76"/>
      <c r="BL82" s="40" t="s">
        <v>432</v>
      </c>
      <c r="BM82" s="76"/>
      <c r="BN82" s="40" t="s">
        <v>432</v>
      </c>
      <c r="BO82" s="76"/>
      <c r="BP82" s="40" t="s">
        <v>432</v>
      </c>
      <c r="BQ82" s="76"/>
      <c r="BR82" s="40" t="s">
        <v>432</v>
      </c>
      <c r="BS82" s="76"/>
      <c r="BT82" s="40" t="s">
        <v>432</v>
      </c>
      <c r="BU82" s="76"/>
      <c r="BV82" s="40" t="s">
        <v>432</v>
      </c>
      <c r="BW82" s="76"/>
      <c r="BX82" s="40" t="s">
        <v>432</v>
      </c>
    </row>
    <row r="83" spans="1:76" x14ac:dyDescent="0.25">
      <c r="A83" s="76" t="s">
        <v>619</v>
      </c>
      <c r="B83" s="76">
        <v>82</v>
      </c>
      <c r="C83" s="76" t="s">
        <v>346</v>
      </c>
      <c r="D83" s="40" t="s">
        <v>432</v>
      </c>
      <c r="E83" s="76"/>
      <c r="F83" s="40" t="s">
        <v>432</v>
      </c>
      <c r="G83" s="76"/>
      <c r="H83" s="40" t="s">
        <v>432</v>
      </c>
      <c r="I83" s="76"/>
      <c r="J83" s="40" t="s">
        <v>432</v>
      </c>
      <c r="K83" s="76"/>
      <c r="L83" s="40" t="s">
        <v>432</v>
      </c>
      <c r="M83" s="76" t="s">
        <v>438</v>
      </c>
      <c r="N83" s="40" t="s">
        <v>432</v>
      </c>
      <c r="O83" s="76" t="s">
        <v>439</v>
      </c>
      <c r="P83" s="40" t="s">
        <v>432</v>
      </c>
      <c r="Q83" s="76"/>
      <c r="R83" s="40" t="s">
        <v>432</v>
      </c>
      <c r="S83" s="76"/>
      <c r="T83" s="40" t="s">
        <v>432</v>
      </c>
      <c r="U83" s="76"/>
      <c r="V83" s="40" t="s">
        <v>432</v>
      </c>
      <c r="W83" s="76" t="s">
        <v>440</v>
      </c>
      <c r="X83" s="40" t="s">
        <v>432</v>
      </c>
      <c r="Y83" s="76"/>
      <c r="Z83" s="40" t="s">
        <v>432</v>
      </c>
      <c r="AA83" s="76"/>
      <c r="AB83" s="40" t="s">
        <v>432</v>
      </c>
      <c r="AC83" s="76"/>
      <c r="AD83" s="40" t="s">
        <v>432</v>
      </c>
      <c r="AE83" s="76"/>
      <c r="AF83" s="40" t="s">
        <v>432</v>
      </c>
      <c r="AG83" s="76"/>
      <c r="AH83" s="40" t="s">
        <v>432</v>
      </c>
      <c r="AI83" s="76"/>
      <c r="AJ83" s="40" t="s">
        <v>432</v>
      </c>
      <c r="AK83" s="76"/>
      <c r="AL83" s="40" t="s">
        <v>432</v>
      </c>
      <c r="AM83" s="76" t="s">
        <v>429</v>
      </c>
      <c r="AN83" s="40" t="s">
        <v>432</v>
      </c>
      <c r="AO83" s="76"/>
      <c r="AP83" s="40" t="s">
        <v>432</v>
      </c>
      <c r="AQ83" s="76"/>
      <c r="AR83" s="40" t="s">
        <v>432</v>
      </c>
      <c r="AS83" s="76"/>
      <c r="AT83" s="40" t="s">
        <v>432</v>
      </c>
      <c r="AU83" s="76"/>
      <c r="AV83" s="40" t="s">
        <v>432</v>
      </c>
      <c r="AW83" s="76"/>
      <c r="AX83" s="40" t="s">
        <v>432</v>
      </c>
      <c r="AY83" s="76" t="s">
        <v>431</v>
      </c>
      <c r="AZ83" s="40" t="s">
        <v>432</v>
      </c>
      <c r="BA83" s="76"/>
      <c r="BB83" s="40" t="s">
        <v>432</v>
      </c>
      <c r="BC83" s="76"/>
      <c r="BD83" s="40" t="s">
        <v>432</v>
      </c>
      <c r="BE83" s="76" t="s">
        <v>349</v>
      </c>
      <c r="BF83" s="40" t="s">
        <v>432</v>
      </c>
      <c r="BG83" s="76" t="s">
        <v>350</v>
      </c>
      <c r="BH83" s="40" t="s">
        <v>432</v>
      </c>
      <c r="BI83" s="76"/>
      <c r="BJ83" s="40" t="s">
        <v>432</v>
      </c>
      <c r="BK83" s="76"/>
      <c r="BL83" s="40" t="s">
        <v>432</v>
      </c>
      <c r="BM83" s="76"/>
      <c r="BN83" s="40" t="s">
        <v>432</v>
      </c>
      <c r="BO83" s="76"/>
      <c r="BP83" s="40" t="s">
        <v>432</v>
      </c>
      <c r="BQ83" s="76"/>
      <c r="BR83" s="40" t="s">
        <v>432</v>
      </c>
      <c r="BS83" s="76"/>
      <c r="BT83" s="40" t="s">
        <v>432</v>
      </c>
      <c r="BU83" s="76"/>
      <c r="BV83" s="40" t="s">
        <v>432</v>
      </c>
      <c r="BW83" s="76"/>
      <c r="BX83" s="40" t="s">
        <v>432</v>
      </c>
    </row>
    <row r="84" spans="1:76" x14ac:dyDescent="0.25">
      <c r="A84" s="76" t="s">
        <v>620</v>
      </c>
      <c r="B84" s="76">
        <v>83</v>
      </c>
      <c r="C84" s="76" t="s">
        <v>346</v>
      </c>
      <c r="D84" s="40" t="s">
        <v>432</v>
      </c>
      <c r="E84" s="76"/>
      <c r="F84" s="40" t="s">
        <v>432</v>
      </c>
      <c r="G84" s="76"/>
      <c r="H84" s="40" t="s">
        <v>432</v>
      </c>
      <c r="I84" s="76"/>
      <c r="J84" s="40" t="s">
        <v>432</v>
      </c>
      <c r="K84" s="76"/>
      <c r="L84" s="40" t="s">
        <v>432</v>
      </c>
      <c r="M84" s="76" t="s">
        <v>439</v>
      </c>
      <c r="N84" s="40" t="s">
        <v>432</v>
      </c>
      <c r="O84" s="76"/>
      <c r="P84" s="40" t="s">
        <v>432</v>
      </c>
      <c r="Q84" s="76"/>
      <c r="R84" s="40" t="s">
        <v>432</v>
      </c>
      <c r="S84" s="76"/>
      <c r="T84" s="40" t="s">
        <v>432</v>
      </c>
      <c r="U84" s="76"/>
      <c r="V84" s="40" t="s">
        <v>432</v>
      </c>
      <c r="W84" s="76" t="s">
        <v>440</v>
      </c>
      <c r="X84" s="40" t="s">
        <v>432</v>
      </c>
      <c r="Y84" s="76"/>
      <c r="Z84" s="40" t="s">
        <v>432</v>
      </c>
      <c r="AA84" s="76"/>
      <c r="AB84" s="40" t="s">
        <v>432</v>
      </c>
      <c r="AC84" s="76"/>
      <c r="AD84" s="40" t="s">
        <v>432</v>
      </c>
      <c r="AE84" s="76"/>
      <c r="AF84" s="40" t="s">
        <v>432</v>
      </c>
      <c r="AG84" s="76"/>
      <c r="AH84" s="40" t="s">
        <v>432</v>
      </c>
      <c r="AI84" s="76"/>
      <c r="AJ84" s="40" t="s">
        <v>432</v>
      </c>
      <c r="AK84" s="76"/>
      <c r="AL84" s="40" t="s">
        <v>432</v>
      </c>
      <c r="AM84" s="76" t="s">
        <v>429</v>
      </c>
      <c r="AN84" s="40" t="s">
        <v>432</v>
      </c>
      <c r="AO84" s="76"/>
      <c r="AP84" s="40" t="s">
        <v>432</v>
      </c>
      <c r="AQ84" s="76"/>
      <c r="AR84" s="40" t="s">
        <v>432</v>
      </c>
      <c r="AS84" s="76"/>
      <c r="AT84" s="40" t="s">
        <v>432</v>
      </c>
      <c r="AU84" s="76"/>
      <c r="AV84" s="40" t="s">
        <v>432</v>
      </c>
      <c r="AW84" s="76"/>
      <c r="AX84" s="40" t="s">
        <v>432</v>
      </c>
      <c r="AY84" s="76" t="s">
        <v>431</v>
      </c>
      <c r="AZ84" s="40" t="s">
        <v>432</v>
      </c>
      <c r="BA84" s="76"/>
      <c r="BB84" s="40" t="s">
        <v>432</v>
      </c>
      <c r="BC84" s="76"/>
      <c r="BD84" s="40" t="s">
        <v>432</v>
      </c>
      <c r="BE84" s="76" t="s">
        <v>349</v>
      </c>
      <c r="BF84" s="40" t="s">
        <v>432</v>
      </c>
      <c r="BG84" s="76" t="s">
        <v>350</v>
      </c>
      <c r="BH84" s="40" t="s">
        <v>432</v>
      </c>
      <c r="BI84" s="76"/>
      <c r="BJ84" s="40" t="s">
        <v>432</v>
      </c>
      <c r="BK84" s="76"/>
      <c r="BL84" s="40" t="s">
        <v>432</v>
      </c>
      <c r="BM84" s="76"/>
      <c r="BN84" s="40" t="s">
        <v>432</v>
      </c>
      <c r="BO84" s="76"/>
      <c r="BP84" s="40" t="s">
        <v>432</v>
      </c>
      <c r="BQ84" s="76"/>
      <c r="BR84" s="40" t="s">
        <v>432</v>
      </c>
      <c r="BS84" s="76"/>
      <c r="BT84" s="40" t="s">
        <v>432</v>
      </c>
      <c r="BU84" s="76"/>
      <c r="BV84" s="40" t="s">
        <v>432</v>
      </c>
      <c r="BW84" s="76"/>
      <c r="BX84" s="40" t="s">
        <v>432</v>
      </c>
    </row>
    <row r="85" spans="1:76" x14ac:dyDescent="0.25">
      <c r="A85" s="76" t="s">
        <v>621</v>
      </c>
      <c r="B85" s="76">
        <v>84</v>
      </c>
      <c r="C85" s="76" t="s">
        <v>346</v>
      </c>
      <c r="D85" s="40" t="s">
        <v>432</v>
      </c>
      <c r="E85" s="76"/>
      <c r="F85" s="40" t="s">
        <v>432</v>
      </c>
      <c r="G85" s="76"/>
      <c r="H85" s="40" t="s">
        <v>432</v>
      </c>
      <c r="I85" s="76"/>
      <c r="J85" s="40" t="s">
        <v>432</v>
      </c>
      <c r="K85" s="76"/>
      <c r="L85" s="40" t="s">
        <v>432</v>
      </c>
      <c r="M85" s="76" t="s">
        <v>438</v>
      </c>
      <c r="N85" s="40" t="s">
        <v>432</v>
      </c>
      <c r="O85" s="76" t="s">
        <v>439</v>
      </c>
      <c r="P85" s="40" t="s">
        <v>432</v>
      </c>
      <c r="Q85" s="76"/>
      <c r="R85" s="40" t="s">
        <v>432</v>
      </c>
      <c r="S85" s="76"/>
      <c r="T85" s="40" t="s">
        <v>432</v>
      </c>
      <c r="U85" s="76"/>
      <c r="V85" s="40" t="s">
        <v>432</v>
      </c>
      <c r="W85" s="76" t="s">
        <v>440</v>
      </c>
      <c r="X85" s="40" t="s">
        <v>432</v>
      </c>
      <c r="Y85" s="76"/>
      <c r="Z85" s="40" t="s">
        <v>432</v>
      </c>
      <c r="AA85" s="76"/>
      <c r="AB85" s="40" t="s">
        <v>432</v>
      </c>
      <c r="AC85" s="76" t="s">
        <v>338</v>
      </c>
      <c r="AD85" s="40" t="s">
        <v>432</v>
      </c>
      <c r="AE85" s="76"/>
      <c r="AF85" s="40" t="s">
        <v>432</v>
      </c>
      <c r="AG85" s="76"/>
      <c r="AH85" s="40" t="s">
        <v>432</v>
      </c>
      <c r="AI85" s="76"/>
      <c r="AJ85" s="40" t="s">
        <v>432</v>
      </c>
      <c r="AK85" s="76"/>
      <c r="AL85" s="40" t="s">
        <v>432</v>
      </c>
      <c r="AM85" s="76"/>
      <c r="AN85" s="40" t="s">
        <v>432</v>
      </c>
      <c r="AO85" s="76"/>
      <c r="AP85" s="40" t="s">
        <v>432</v>
      </c>
      <c r="AQ85" s="76"/>
      <c r="AR85" s="40" t="s">
        <v>432</v>
      </c>
      <c r="AS85" s="76"/>
      <c r="AT85" s="40" t="s">
        <v>432</v>
      </c>
      <c r="AU85" s="76"/>
      <c r="AV85" s="40" t="s">
        <v>432</v>
      </c>
      <c r="AW85" s="76"/>
      <c r="AX85" s="40" t="s">
        <v>432</v>
      </c>
      <c r="AY85" s="76" t="s">
        <v>431</v>
      </c>
      <c r="AZ85" s="40" t="s">
        <v>432</v>
      </c>
      <c r="BA85" s="76"/>
      <c r="BB85" s="40" t="s">
        <v>432</v>
      </c>
      <c r="BC85" s="76"/>
      <c r="BD85" s="40" t="s">
        <v>432</v>
      </c>
      <c r="BE85" s="76" t="s">
        <v>349</v>
      </c>
      <c r="BF85" s="40" t="s">
        <v>432</v>
      </c>
      <c r="BG85" s="76"/>
      <c r="BH85" s="40" t="s">
        <v>432</v>
      </c>
      <c r="BI85" s="76"/>
      <c r="BJ85" s="40" t="s">
        <v>432</v>
      </c>
      <c r="BK85" s="76"/>
      <c r="BL85" s="40" t="s">
        <v>432</v>
      </c>
      <c r="BM85" s="76"/>
      <c r="BN85" s="40" t="s">
        <v>432</v>
      </c>
      <c r="BO85" s="76"/>
      <c r="BP85" s="40" t="s">
        <v>432</v>
      </c>
      <c r="BQ85" s="76"/>
      <c r="BR85" s="40" t="s">
        <v>432</v>
      </c>
      <c r="BS85" s="76"/>
      <c r="BT85" s="40" t="s">
        <v>432</v>
      </c>
      <c r="BU85" s="76"/>
      <c r="BV85" s="40" t="s">
        <v>432</v>
      </c>
      <c r="BW85" s="76"/>
      <c r="BX85" s="40" t="s">
        <v>432</v>
      </c>
    </row>
    <row r="86" spans="1:76" x14ac:dyDescent="0.25">
      <c r="A86" s="76" t="s">
        <v>622</v>
      </c>
      <c r="B86" s="76">
        <v>85</v>
      </c>
      <c r="C86" s="76" t="s">
        <v>346</v>
      </c>
      <c r="D86" s="40" t="s">
        <v>432</v>
      </c>
      <c r="E86" s="76"/>
      <c r="F86" s="40" t="s">
        <v>432</v>
      </c>
      <c r="G86" s="76"/>
      <c r="H86" s="40" t="s">
        <v>432</v>
      </c>
      <c r="I86" s="76"/>
      <c r="J86" s="40" t="s">
        <v>432</v>
      </c>
      <c r="K86" s="76"/>
      <c r="L86" s="40" t="s">
        <v>432</v>
      </c>
      <c r="M86" s="76" t="s">
        <v>438</v>
      </c>
      <c r="N86" s="40" t="s">
        <v>432</v>
      </c>
      <c r="O86" s="76" t="s">
        <v>439</v>
      </c>
      <c r="P86" s="40" t="s">
        <v>432</v>
      </c>
      <c r="Q86" s="76"/>
      <c r="R86" s="40" t="s">
        <v>432</v>
      </c>
      <c r="S86" s="76"/>
      <c r="T86" s="40" t="s">
        <v>432</v>
      </c>
      <c r="U86" s="76"/>
      <c r="V86" s="40" t="s">
        <v>432</v>
      </c>
      <c r="W86" s="76" t="s">
        <v>440</v>
      </c>
      <c r="X86" s="40" t="s">
        <v>432</v>
      </c>
      <c r="Y86" s="76"/>
      <c r="Z86" s="40" t="s">
        <v>432</v>
      </c>
      <c r="AA86" s="76"/>
      <c r="AB86" s="40" t="s">
        <v>432</v>
      </c>
      <c r="AC86" s="76" t="s">
        <v>338</v>
      </c>
      <c r="AD86" s="40" t="s">
        <v>432</v>
      </c>
      <c r="AE86" s="76"/>
      <c r="AF86" s="40" t="s">
        <v>432</v>
      </c>
      <c r="AG86" s="76"/>
      <c r="AH86" s="40" t="s">
        <v>432</v>
      </c>
      <c r="AI86" s="76"/>
      <c r="AJ86" s="40" t="s">
        <v>432</v>
      </c>
      <c r="AK86" s="76"/>
      <c r="AL86" s="40" t="s">
        <v>432</v>
      </c>
      <c r="AM86" s="76"/>
      <c r="AN86" s="40" t="s">
        <v>432</v>
      </c>
      <c r="AO86" s="76"/>
      <c r="AP86" s="40" t="s">
        <v>432</v>
      </c>
      <c r="AQ86" s="76"/>
      <c r="AR86" s="40" t="s">
        <v>432</v>
      </c>
      <c r="AS86" s="76"/>
      <c r="AT86" s="40" t="s">
        <v>432</v>
      </c>
      <c r="AU86" s="76"/>
      <c r="AV86" s="40" t="s">
        <v>432</v>
      </c>
      <c r="AW86" s="76"/>
      <c r="AX86" s="40" t="s">
        <v>432</v>
      </c>
      <c r="AY86" s="76" t="s">
        <v>431</v>
      </c>
      <c r="AZ86" s="40" t="s">
        <v>432</v>
      </c>
      <c r="BA86" s="76"/>
      <c r="BB86" s="40" t="s">
        <v>432</v>
      </c>
      <c r="BC86" s="76"/>
      <c r="BD86" s="40" t="s">
        <v>432</v>
      </c>
      <c r="BE86" s="76" t="s">
        <v>349</v>
      </c>
      <c r="BF86" s="40" t="s">
        <v>432</v>
      </c>
      <c r="BG86" s="76" t="s">
        <v>350</v>
      </c>
      <c r="BH86" s="40" t="s">
        <v>432</v>
      </c>
      <c r="BI86" s="76"/>
      <c r="BJ86" s="40" t="s">
        <v>432</v>
      </c>
      <c r="BK86" s="76"/>
      <c r="BL86" s="40" t="s">
        <v>432</v>
      </c>
      <c r="BM86" s="76"/>
      <c r="BN86" s="40" t="s">
        <v>432</v>
      </c>
      <c r="BO86" s="76"/>
      <c r="BP86" s="40" t="s">
        <v>432</v>
      </c>
      <c r="BQ86" s="76"/>
      <c r="BR86" s="40" t="s">
        <v>432</v>
      </c>
      <c r="BS86" s="76"/>
      <c r="BT86" s="40" t="s">
        <v>432</v>
      </c>
      <c r="BU86" s="76"/>
      <c r="BV86" s="40" t="s">
        <v>432</v>
      </c>
      <c r="BW86" s="76"/>
      <c r="BX86" s="40" t="s">
        <v>432</v>
      </c>
    </row>
    <row r="87" spans="1:76" x14ac:dyDescent="0.25">
      <c r="A87" s="76" t="s">
        <v>623</v>
      </c>
      <c r="B87" s="76">
        <v>86</v>
      </c>
      <c r="C87" s="76" t="s">
        <v>346</v>
      </c>
      <c r="D87" s="40" t="s">
        <v>432</v>
      </c>
      <c r="E87" s="76"/>
      <c r="F87" s="40" t="s">
        <v>432</v>
      </c>
      <c r="G87" s="76"/>
      <c r="H87" s="40" t="s">
        <v>432</v>
      </c>
      <c r="I87" s="76"/>
      <c r="J87" s="40" t="s">
        <v>432</v>
      </c>
      <c r="K87" s="76"/>
      <c r="L87" s="40" t="s">
        <v>432</v>
      </c>
      <c r="M87" s="76" t="s">
        <v>438</v>
      </c>
      <c r="N87" s="40" t="s">
        <v>432</v>
      </c>
      <c r="O87" s="76" t="s">
        <v>439</v>
      </c>
      <c r="P87" s="40" t="s">
        <v>432</v>
      </c>
      <c r="Q87" s="76"/>
      <c r="R87" s="40" t="s">
        <v>432</v>
      </c>
      <c r="S87" s="76"/>
      <c r="T87" s="40" t="s">
        <v>432</v>
      </c>
      <c r="U87" s="76"/>
      <c r="V87" s="40" t="s">
        <v>432</v>
      </c>
      <c r="W87" s="76" t="s">
        <v>440</v>
      </c>
      <c r="X87" s="40" t="s">
        <v>432</v>
      </c>
      <c r="Y87" s="76"/>
      <c r="Z87" s="40" t="s">
        <v>432</v>
      </c>
      <c r="AA87" s="76"/>
      <c r="AB87" s="40" t="s">
        <v>432</v>
      </c>
      <c r="AC87" s="76" t="s">
        <v>338</v>
      </c>
      <c r="AD87" s="40" t="s">
        <v>432</v>
      </c>
      <c r="AE87" s="76"/>
      <c r="AF87" s="40" t="s">
        <v>432</v>
      </c>
      <c r="AG87" s="76"/>
      <c r="AH87" s="40" t="s">
        <v>432</v>
      </c>
      <c r="AI87" s="76"/>
      <c r="AJ87" s="40" t="s">
        <v>432</v>
      </c>
      <c r="AK87" s="76"/>
      <c r="AL87" s="40" t="s">
        <v>432</v>
      </c>
      <c r="AM87" s="76"/>
      <c r="AN87" s="40" t="s">
        <v>432</v>
      </c>
      <c r="AO87" s="76"/>
      <c r="AP87" s="40" t="s">
        <v>432</v>
      </c>
      <c r="AQ87" s="76"/>
      <c r="AR87" s="40" t="s">
        <v>432</v>
      </c>
      <c r="AS87" s="76"/>
      <c r="AT87" s="40" t="s">
        <v>432</v>
      </c>
      <c r="AU87" s="76"/>
      <c r="AV87" s="40" t="s">
        <v>432</v>
      </c>
      <c r="AW87" s="76"/>
      <c r="AX87" s="40" t="s">
        <v>432</v>
      </c>
      <c r="AY87" s="76" t="s">
        <v>431</v>
      </c>
      <c r="AZ87" s="40" t="s">
        <v>432</v>
      </c>
      <c r="BA87" s="76"/>
      <c r="BB87" s="40" t="s">
        <v>432</v>
      </c>
      <c r="BC87" s="76"/>
      <c r="BD87" s="40" t="s">
        <v>432</v>
      </c>
      <c r="BE87" s="76" t="s">
        <v>349</v>
      </c>
      <c r="BF87" s="40" t="s">
        <v>432</v>
      </c>
      <c r="BG87" s="76"/>
      <c r="BH87" s="40" t="s">
        <v>432</v>
      </c>
      <c r="BI87" s="76"/>
      <c r="BJ87" s="40" t="s">
        <v>432</v>
      </c>
      <c r="BK87" s="76"/>
      <c r="BL87" s="40" t="s">
        <v>432</v>
      </c>
      <c r="BM87" s="76"/>
      <c r="BN87" s="40" t="s">
        <v>432</v>
      </c>
      <c r="BO87" s="76"/>
      <c r="BP87" s="40" t="s">
        <v>432</v>
      </c>
      <c r="BQ87" s="76"/>
      <c r="BR87" s="40" t="s">
        <v>432</v>
      </c>
      <c r="BS87" s="76"/>
      <c r="BT87" s="40" t="s">
        <v>432</v>
      </c>
      <c r="BU87" s="76"/>
      <c r="BV87" s="40" t="s">
        <v>432</v>
      </c>
      <c r="BW87" s="76"/>
      <c r="BX87" s="40" t="s">
        <v>432</v>
      </c>
    </row>
    <row r="88" spans="1:76" x14ac:dyDescent="0.25">
      <c r="A88" s="76" t="s">
        <v>624</v>
      </c>
      <c r="B88" s="76">
        <v>87</v>
      </c>
      <c r="C88" s="76" t="s">
        <v>346</v>
      </c>
      <c r="D88" s="40" t="s">
        <v>432</v>
      </c>
      <c r="E88" s="76"/>
      <c r="F88" s="40" t="s">
        <v>432</v>
      </c>
      <c r="G88" s="76"/>
      <c r="H88" s="40" t="s">
        <v>432</v>
      </c>
      <c r="I88" s="76"/>
      <c r="J88" s="40" t="s">
        <v>432</v>
      </c>
      <c r="K88" s="76"/>
      <c r="L88" s="40" t="s">
        <v>432</v>
      </c>
      <c r="M88" s="76" t="s">
        <v>438</v>
      </c>
      <c r="N88" s="40" t="s">
        <v>432</v>
      </c>
      <c r="O88" s="76" t="s">
        <v>439</v>
      </c>
      <c r="P88" s="40" t="s">
        <v>432</v>
      </c>
      <c r="Q88" s="76"/>
      <c r="R88" s="40" t="s">
        <v>432</v>
      </c>
      <c r="S88" s="76"/>
      <c r="T88" s="40" t="s">
        <v>432</v>
      </c>
      <c r="U88" s="76"/>
      <c r="V88" s="40" t="s">
        <v>432</v>
      </c>
      <c r="W88" s="76" t="s">
        <v>440</v>
      </c>
      <c r="X88" s="40" t="s">
        <v>432</v>
      </c>
      <c r="Y88" s="76"/>
      <c r="Z88" s="40" t="s">
        <v>432</v>
      </c>
      <c r="AA88" s="76"/>
      <c r="AB88" s="40" t="s">
        <v>432</v>
      </c>
      <c r="AC88" s="76" t="s">
        <v>338</v>
      </c>
      <c r="AD88" s="40" t="s">
        <v>432</v>
      </c>
      <c r="AE88" s="76"/>
      <c r="AF88" s="40" t="s">
        <v>432</v>
      </c>
      <c r="AG88" s="76"/>
      <c r="AH88" s="40" t="s">
        <v>432</v>
      </c>
      <c r="AI88" s="76"/>
      <c r="AJ88" s="40" t="s">
        <v>432</v>
      </c>
      <c r="AK88" s="76"/>
      <c r="AL88" s="40" t="s">
        <v>432</v>
      </c>
      <c r="AM88" s="76"/>
      <c r="AN88" s="40" t="s">
        <v>432</v>
      </c>
      <c r="AO88" s="76"/>
      <c r="AP88" s="40" t="s">
        <v>432</v>
      </c>
      <c r="AQ88" s="76"/>
      <c r="AR88" s="40" t="s">
        <v>432</v>
      </c>
      <c r="AS88" s="76"/>
      <c r="AT88" s="40" t="s">
        <v>432</v>
      </c>
      <c r="AU88" s="76"/>
      <c r="AV88" s="40" t="s">
        <v>432</v>
      </c>
      <c r="AW88" s="76"/>
      <c r="AX88" s="40" t="s">
        <v>432</v>
      </c>
      <c r="AY88" s="76" t="s">
        <v>431</v>
      </c>
      <c r="AZ88" s="40" t="s">
        <v>432</v>
      </c>
      <c r="BA88" s="76"/>
      <c r="BB88" s="40" t="s">
        <v>432</v>
      </c>
      <c r="BC88" s="76"/>
      <c r="BD88" s="40" t="s">
        <v>432</v>
      </c>
      <c r="BE88" s="76" t="s">
        <v>349</v>
      </c>
      <c r="BF88" s="40" t="s">
        <v>432</v>
      </c>
      <c r="BG88" s="76"/>
      <c r="BH88" s="40" t="s">
        <v>432</v>
      </c>
      <c r="BI88" s="76"/>
      <c r="BJ88" s="40" t="s">
        <v>432</v>
      </c>
      <c r="BK88" s="76"/>
      <c r="BL88" s="40" t="s">
        <v>432</v>
      </c>
      <c r="BM88" s="76"/>
      <c r="BN88" s="40" t="s">
        <v>432</v>
      </c>
      <c r="BO88" s="76"/>
      <c r="BP88" s="40" t="s">
        <v>432</v>
      </c>
      <c r="BQ88" s="76"/>
      <c r="BR88" s="40" t="s">
        <v>432</v>
      </c>
      <c r="BS88" s="76"/>
      <c r="BT88" s="40" t="s">
        <v>432</v>
      </c>
      <c r="BU88" s="76"/>
      <c r="BV88" s="40" t="s">
        <v>432</v>
      </c>
      <c r="BW88" s="76"/>
      <c r="BX88" s="40" t="s">
        <v>432</v>
      </c>
    </row>
    <row r="89" spans="1:76" x14ac:dyDescent="0.25">
      <c r="A89" s="76" t="s">
        <v>625</v>
      </c>
      <c r="B89" s="76">
        <v>88</v>
      </c>
      <c r="C89" s="76" t="s">
        <v>346</v>
      </c>
      <c r="D89" s="40" t="s">
        <v>432</v>
      </c>
      <c r="E89" s="76"/>
      <c r="F89" s="40" t="s">
        <v>432</v>
      </c>
      <c r="G89" s="76"/>
      <c r="H89" s="40" t="s">
        <v>432</v>
      </c>
      <c r="I89" s="76"/>
      <c r="J89" s="40" t="s">
        <v>432</v>
      </c>
      <c r="K89" s="76"/>
      <c r="L89" s="40" t="s">
        <v>432</v>
      </c>
      <c r="M89" s="76" t="s">
        <v>438</v>
      </c>
      <c r="N89" s="40" t="s">
        <v>432</v>
      </c>
      <c r="O89" s="76" t="s">
        <v>439</v>
      </c>
      <c r="P89" s="40" t="s">
        <v>432</v>
      </c>
      <c r="Q89" s="76"/>
      <c r="R89" s="40" t="s">
        <v>432</v>
      </c>
      <c r="S89" s="76"/>
      <c r="T89" s="40" t="s">
        <v>432</v>
      </c>
      <c r="U89" s="76"/>
      <c r="V89" s="40" t="s">
        <v>432</v>
      </c>
      <c r="W89" s="76" t="s">
        <v>440</v>
      </c>
      <c r="X89" s="40" t="s">
        <v>432</v>
      </c>
      <c r="Y89" s="76"/>
      <c r="Z89" s="40" t="s">
        <v>432</v>
      </c>
      <c r="AA89" s="76"/>
      <c r="AB89" s="40" t="s">
        <v>432</v>
      </c>
      <c r="AC89" s="76" t="s">
        <v>338</v>
      </c>
      <c r="AD89" s="40" t="s">
        <v>432</v>
      </c>
      <c r="AE89" s="76"/>
      <c r="AF89" s="40" t="s">
        <v>432</v>
      </c>
      <c r="AG89" s="76"/>
      <c r="AH89" s="40" t="s">
        <v>432</v>
      </c>
      <c r="AI89" s="76"/>
      <c r="AJ89" s="40" t="s">
        <v>432</v>
      </c>
      <c r="AK89" s="76"/>
      <c r="AL89" s="40" t="s">
        <v>432</v>
      </c>
      <c r="AM89" s="76"/>
      <c r="AN89" s="40" t="s">
        <v>432</v>
      </c>
      <c r="AO89" s="76"/>
      <c r="AP89" s="40" t="s">
        <v>432</v>
      </c>
      <c r="AQ89" s="76"/>
      <c r="AR89" s="40" t="s">
        <v>432</v>
      </c>
      <c r="AS89" s="76"/>
      <c r="AT89" s="40" t="s">
        <v>432</v>
      </c>
      <c r="AU89" s="76"/>
      <c r="AV89" s="40" t="s">
        <v>432</v>
      </c>
      <c r="AW89" s="76"/>
      <c r="AX89" s="40" t="s">
        <v>432</v>
      </c>
      <c r="AY89" s="76" t="s">
        <v>431</v>
      </c>
      <c r="AZ89" s="40" t="s">
        <v>432</v>
      </c>
      <c r="BA89" s="76"/>
      <c r="BB89" s="40" t="s">
        <v>432</v>
      </c>
      <c r="BC89" s="76"/>
      <c r="BD89" s="40" t="s">
        <v>432</v>
      </c>
      <c r="BE89" s="76" t="s">
        <v>349</v>
      </c>
      <c r="BF89" s="40" t="s">
        <v>432</v>
      </c>
      <c r="BG89" s="76"/>
      <c r="BH89" s="40" t="s">
        <v>432</v>
      </c>
      <c r="BI89" s="76"/>
      <c r="BJ89" s="40" t="s">
        <v>432</v>
      </c>
      <c r="BK89" s="76"/>
      <c r="BL89" s="40" t="s">
        <v>432</v>
      </c>
      <c r="BM89" s="76"/>
      <c r="BN89" s="40" t="s">
        <v>432</v>
      </c>
      <c r="BO89" s="76"/>
      <c r="BP89" s="40" t="s">
        <v>432</v>
      </c>
      <c r="BQ89" s="76"/>
      <c r="BR89" s="40" t="s">
        <v>432</v>
      </c>
      <c r="BS89" s="76"/>
      <c r="BT89" s="40" t="s">
        <v>432</v>
      </c>
      <c r="BU89" s="76"/>
      <c r="BV89" s="40" t="s">
        <v>432</v>
      </c>
      <c r="BW89" s="76"/>
      <c r="BX89" s="40" t="s">
        <v>432</v>
      </c>
    </row>
    <row r="90" spans="1:76" x14ac:dyDescent="0.25">
      <c r="A90" s="76" t="s">
        <v>626</v>
      </c>
      <c r="B90" s="76">
        <v>89</v>
      </c>
      <c r="C90" s="76" t="s">
        <v>346</v>
      </c>
      <c r="D90" s="40" t="s">
        <v>432</v>
      </c>
      <c r="E90" s="76"/>
      <c r="F90" s="40" t="s">
        <v>432</v>
      </c>
      <c r="G90" s="76"/>
      <c r="H90" s="40" t="s">
        <v>432</v>
      </c>
      <c r="I90" s="76"/>
      <c r="J90" s="40" t="s">
        <v>432</v>
      </c>
      <c r="K90" s="76"/>
      <c r="L90" s="40" t="s">
        <v>432</v>
      </c>
      <c r="M90" s="76" t="s">
        <v>438</v>
      </c>
      <c r="N90" s="40" t="s">
        <v>432</v>
      </c>
      <c r="O90" s="76" t="s">
        <v>439</v>
      </c>
      <c r="P90" s="40" t="s">
        <v>432</v>
      </c>
      <c r="Q90" s="76"/>
      <c r="R90" s="40" t="s">
        <v>432</v>
      </c>
      <c r="S90" s="76"/>
      <c r="T90" s="40" t="s">
        <v>432</v>
      </c>
      <c r="U90" s="76"/>
      <c r="V90" s="40" t="s">
        <v>432</v>
      </c>
      <c r="W90" s="76" t="s">
        <v>440</v>
      </c>
      <c r="X90" s="40" t="s">
        <v>432</v>
      </c>
      <c r="Y90" s="76"/>
      <c r="Z90" s="40" t="s">
        <v>432</v>
      </c>
      <c r="AA90" s="76"/>
      <c r="AB90" s="40" t="s">
        <v>432</v>
      </c>
      <c r="AC90" s="76" t="s">
        <v>338</v>
      </c>
      <c r="AD90" s="40" t="s">
        <v>432</v>
      </c>
      <c r="AE90" s="76"/>
      <c r="AF90" s="40" t="s">
        <v>432</v>
      </c>
      <c r="AG90" s="76"/>
      <c r="AH90" s="40" t="s">
        <v>432</v>
      </c>
      <c r="AI90" s="76"/>
      <c r="AJ90" s="40" t="s">
        <v>432</v>
      </c>
      <c r="AK90" s="76"/>
      <c r="AL90" s="40" t="s">
        <v>432</v>
      </c>
      <c r="AM90" s="76"/>
      <c r="AN90" s="40" t="s">
        <v>432</v>
      </c>
      <c r="AO90" s="76"/>
      <c r="AP90" s="40" t="s">
        <v>432</v>
      </c>
      <c r="AQ90" s="76"/>
      <c r="AR90" s="40" t="s">
        <v>432</v>
      </c>
      <c r="AS90" s="76"/>
      <c r="AT90" s="40" t="s">
        <v>432</v>
      </c>
      <c r="AU90" s="76"/>
      <c r="AV90" s="40" t="s">
        <v>432</v>
      </c>
      <c r="AW90" s="76"/>
      <c r="AX90" s="40" t="s">
        <v>432</v>
      </c>
      <c r="AY90" s="76" t="s">
        <v>431</v>
      </c>
      <c r="AZ90" s="40" t="s">
        <v>432</v>
      </c>
      <c r="BA90" s="76"/>
      <c r="BB90" s="40" t="s">
        <v>432</v>
      </c>
      <c r="BC90" s="76"/>
      <c r="BD90" s="40" t="s">
        <v>432</v>
      </c>
      <c r="BE90" s="76" t="s">
        <v>349</v>
      </c>
      <c r="BF90" s="40" t="s">
        <v>432</v>
      </c>
      <c r="BG90" s="76"/>
      <c r="BH90" s="40" t="s">
        <v>432</v>
      </c>
      <c r="BI90" s="76"/>
      <c r="BJ90" s="40" t="s">
        <v>432</v>
      </c>
      <c r="BK90" s="76"/>
      <c r="BL90" s="40" t="s">
        <v>432</v>
      </c>
      <c r="BM90" s="76"/>
      <c r="BN90" s="40" t="s">
        <v>432</v>
      </c>
      <c r="BO90" s="76"/>
      <c r="BP90" s="40" t="s">
        <v>432</v>
      </c>
      <c r="BQ90" s="76"/>
      <c r="BR90" s="40" t="s">
        <v>432</v>
      </c>
      <c r="BS90" s="76"/>
      <c r="BT90" s="40" t="s">
        <v>432</v>
      </c>
      <c r="BU90" s="76"/>
      <c r="BV90" s="40" t="s">
        <v>432</v>
      </c>
      <c r="BW90" s="76"/>
      <c r="BX90" s="40" t="s">
        <v>432</v>
      </c>
    </row>
    <row r="91" spans="1:76" x14ac:dyDescent="0.25">
      <c r="A91" s="76" t="s">
        <v>627</v>
      </c>
      <c r="B91" s="76">
        <v>90</v>
      </c>
      <c r="C91" s="76" t="s">
        <v>346</v>
      </c>
      <c r="D91" s="40" t="s">
        <v>432</v>
      </c>
      <c r="E91" s="76"/>
      <c r="F91" s="40" t="s">
        <v>432</v>
      </c>
      <c r="G91" s="76"/>
      <c r="H91" s="40" t="s">
        <v>432</v>
      </c>
      <c r="I91" s="76"/>
      <c r="J91" s="40" t="s">
        <v>432</v>
      </c>
      <c r="K91" s="76"/>
      <c r="L91" s="40" t="s">
        <v>432</v>
      </c>
      <c r="M91" s="76" t="s">
        <v>438</v>
      </c>
      <c r="N91" s="40" t="s">
        <v>432</v>
      </c>
      <c r="O91" s="76" t="s">
        <v>439</v>
      </c>
      <c r="P91" s="40" t="s">
        <v>432</v>
      </c>
      <c r="Q91" s="76"/>
      <c r="R91" s="40" t="s">
        <v>432</v>
      </c>
      <c r="S91" s="76"/>
      <c r="T91" s="40" t="s">
        <v>432</v>
      </c>
      <c r="U91" s="76"/>
      <c r="V91" s="40" t="s">
        <v>432</v>
      </c>
      <c r="W91" s="76" t="s">
        <v>440</v>
      </c>
      <c r="X91" s="40" t="s">
        <v>432</v>
      </c>
      <c r="Y91" s="76"/>
      <c r="Z91" s="40" t="s">
        <v>432</v>
      </c>
      <c r="AA91" s="76"/>
      <c r="AB91" s="40" t="s">
        <v>432</v>
      </c>
      <c r="AC91" s="76" t="s">
        <v>338</v>
      </c>
      <c r="AD91" s="40" t="s">
        <v>432</v>
      </c>
      <c r="AE91" s="76"/>
      <c r="AF91" s="40" t="s">
        <v>432</v>
      </c>
      <c r="AG91" s="76"/>
      <c r="AH91" s="40" t="s">
        <v>432</v>
      </c>
      <c r="AI91" s="76"/>
      <c r="AJ91" s="40" t="s">
        <v>432</v>
      </c>
      <c r="AK91" s="76"/>
      <c r="AL91" s="40" t="s">
        <v>432</v>
      </c>
      <c r="AM91" s="76"/>
      <c r="AN91" s="40" t="s">
        <v>432</v>
      </c>
      <c r="AO91" s="76"/>
      <c r="AP91" s="40" t="s">
        <v>432</v>
      </c>
      <c r="AQ91" s="76"/>
      <c r="AR91" s="40" t="s">
        <v>432</v>
      </c>
      <c r="AS91" s="76"/>
      <c r="AT91" s="40" t="s">
        <v>432</v>
      </c>
      <c r="AU91" s="76"/>
      <c r="AV91" s="40" t="s">
        <v>432</v>
      </c>
      <c r="AW91" s="76"/>
      <c r="AX91" s="40" t="s">
        <v>432</v>
      </c>
      <c r="AY91" s="76" t="s">
        <v>431</v>
      </c>
      <c r="AZ91" s="40" t="s">
        <v>432</v>
      </c>
      <c r="BA91" s="76"/>
      <c r="BB91" s="40" t="s">
        <v>432</v>
      </c>
      <c r="BC91" s="76"/>
      <c r="BD91" s="40" t="s">
        <v>432</v>
      </c>
      <c r="BE91" s="76" t="s">
        <v>349</v>
      </c>
      <c r="BF91" s="40" t="s">
        <v>432</v>
      </c>
      <c r="BG91" s="76"/>
      <c r="BH91" s="40" t="s">
        <v>432</v>
      </c>
      <c r="BI91" s="76"/>
      <c r="BJ91" s="40" t="s">
        <v>432</v>
      </c>
      <c r="BK91" s="76"/>
      <c r="BL91" s="40" t="s">
        <v>432</v>
      </c>
      <c r="BM91" s="76"/>
      <c r="BN91" s="40" t="s">
        <v>432</v>
      </c>
      <c r="BO91" s="76"/>
      <c r="BP91" s="40" t="s">
        <v>432</v>
      </c>
      <c r="BQ91" s="76"/>
      <c r="BR91" s="40" t="s">
        <v>432</v>
      </c>
      <c r="BS91" s="76"/>
      <c r="BT91" s="40" t="s">
        <v>432</v>
      </c>
      <c r="BU91" s="76"/>
      <c r="BV91" s="40" t="s">
        <v>432</v>
      </c>
      <c r="BW91" s="76"/>
      <c r="BX91" s="40" t="s">
        <v>432</v>
      </c>
    </row>
    <row r="92" spans="1:76" x14ac:dyDescent="0.25">
      <c r="A92" s="76" t="s">
        <v>628</v>
      </c>
      <c r="B92" s="76">
        <v>91</v>
      </c>
      <c r="C92" s="76" t="s">
        <v>346</v>
      </c>
      <c r="D92" s="40" t="s">
        <v>432</v>
      </c>
      <c r="E92" s="76"/>
      <c r="F92" s="40" t="s">
        <v>432</v>
      </c>
      <c r="G92" s="76"/>
      <c r="H92" s="40" t="s">
        <v>432</v>
      </c>
      <c r="I92" s="76"/>
      <c r="J92" s="40" t="s">
        <v>432</v>
      </c>
      <c r="K92" s="76"/>
      <c r="L92" s="40" t="s">
        <v>432</v>
      </c>
      <c r="M92" s="76" t="s">
        <v>438</v>
      </c>
      <c r="N92" s="40" t="s">
        <v>432</v>
      </c>
      <c r="O92" s="76" t="s">
        <v>439</v>
      </c>
      <c r="P92" s="40" t="s">
        <v>432</v>
      </c>
      <c r="Q92" s="76"/>
      <c r="R92" s="40" t="s">
        <v>432</v>
      </c>
      <c r="S92" s="76"/>
      <c r="T92" s="40" t="s">
        <v>432</v>
      </c>
      <c r="U92" s="76"/>
      <c r="V92" s="40" t="s">
        <v>432</v>
      </c>
      <c r="W92" s="76" t="s">
        <v>440</v>
      </c>
      <c r="X92" s="40" t="s">
        <v>432</v>
      </c>
      <c r="Y92" s="76"/>
      <c r="Z92" s="40" t="s">
        <v>432</v>
      </c>
      <c r="AA92" s="76"/>
      <c r="AB92" s="40" t="s">
        <v>432</v>
      </c>
      <c r="AC92" s="76" t="s">
        <v>338</v>
      </c>
      <c r="AD92" s="40" t="s">
        <v>432</v>
      </c>
      <c r="AE92" s="76"/>
      <c r="AF92" s="40" t="s">
        <v>432</v>
      </c>
      <c r="AG92" s="76"/>
      <c r="AH92" s="40" t="s">
        <v>432</v>
      </c>
      <c r="AI92" s="76"/>
      <c r="AJ92" s="40" t="s">
        <v>432</v>
      </c>
      <c r="AK92" s="76"/>
      <c r="AL92" s="40" t="s">
        <v>432</v>
      </c>
      <c r="AM92" s="76"/>
      <c r="AN92" s="40" t="s">
        <v>432</v>
      </c>
      <c r="AO92" s="76"/>
      <c r="AP92" s="40" t="s">
        <v>432</v>
      </c>
      <c r="AQ92" s="76"/>
      <c r="AR92" s="40" t="s">
        <v>432</v>
      </c>
      <c r="AS92" s="76"/>
      <c r="AT92" s="40" t="s">
        <v>432</v>
      </c>
      <c r="AU92" s="76"/>
      <c r="AV92" s="40" t="s">
        <v>432</v>
      </c>
      <c r="AW92" s="76"/>
      <c r="AX92" s="40" t="s">
        <v>432</v>
      </c>
      <c r="AY92" s="76" t="s">
        <v>431</v>
      </c>
      <c r="AZ92" s="40" t="s">
        <v>432</v>
      </c>
      <c r="BA92" s="76"/>
      <c r="BB92" s="40" t="s">
        <v>432</v>
      </c>
      <c r="BC92" s="76"/>
      <c r="BD92" s="40" t="s">
        <v>432</v>
      </c>
      <c r="BE92" s="76" t="s">
        <v>349</v>
      </c>
      <c r="BF92" s="40" t="s">
        <v>432</v>
      </c>
      <c r="BG92" s="76"/>
      <c r="BH92" s="40" t="s">
        <v>432</v>
      </c>
      <c r="BI92" s="76"/>
      <c r="BJ92" s="40" t="s">
        <v>432</v>
      </c>
      <c r="BK92" s="76"/>
      <c r="BL92" s="40" t="s">
        <v>432</v>
      </c>
      <c r="BM92" s="76"/>
      <c r="BN92" s="40" t="s">
        <v>432</v>
      </c>
      <c r="BO92" s="76"/>
      <c r="BP92" s="40" t="s">
        <v>432</v>
      </c>
      <c r="BQ92" s="76"/>
      <c r="BR92" s="40" t="s">
        <v>432</v>
      </c>
      <c r="BS92" s="76"/>
      <c r="BT92" s="40" t="s">
        <v>432</v>
      </c>
      <c r="BU92" s="76"/>
      <c r="BV92" s="40" t="s">
        <v>432</v>
      </c>
      <c r="BW92" s="76"/>
      <c r="BX92" s="40" t="s">
        <v>432</v>
      </c>
    </row>
    <row r="93" spans="1:76" x14ac:dyDescent="0.25">
      <c r="A93" s="76" t="s">
        <v>629</v>
      </c>
      <c r="B93" s="76">
        <v>92</v>
      </c>
      <c r="C93" s="76" t="s">
        <v>346</v>
      </c>
      <c r="D93" s="40" t="s">
        <v>432</v>
      </c>
      <c r="E93" s="76"/>
      <c r="F93" s="40" t="s">
        <v>432</v>
      </c>
      <c r="G93" s="76"/>
      <c r="H93" s="40" t="s">
        <v>432</v>
      </c>
      <c r="I93" s="76"/>
      <c r="J93" s="40" t="s">
        <v>432</v>
      </c>
      <c r="K93" s="76"/>
      <c r="L93" s="40" t="s">
        <v>432</v>
      </c>
      <c r="M93" s="76" t="s">
        <v>438</v>
      </c>
      <c r="N93" s="40" t="s">
        <v>432</v>
      </c>
      <c r="O93" s="76" t="s">
        <v>439</v>
      </c>
      <c r="P93" s="40" t="s">
        <v>432</v>
      </c>
      <c r="Q93" s="76"/>
      <c r="R93" s="40" t="s">
        <v>432</v>
      </c>
      <c r="S93" s="76"/>
      <c r="T93" s="40" t="s">
        <v>432</v>
      </c>
      <c r="U93" s="76"/>
      <c r="V93" s="40" t="s">
        <v>432</v>
      </c>
      <c r="W93" s="76" t="s">
        <v>440</v>
      </c>
      <c r="X93" s="40" t="s">
        <v>432</v>
      </c>
      <c r="Y93" s="76"/>
      <c r="Z93" s="40" t="s">
        <v>432</v>
      </c>
      <c r="AA93" s="76"/>
      <c r="AB93" s="40" t="s">
        <v>432</v>
      </c>
      <c r="AC93" s="76" t="s">
        <v>338</v>
      </c>
      <c r="AD93" s="40" t="s">
        <v>432</v>
      </c>
      <c r="AE93" s="76"/>
      <c r="AF93" s="40" t="s">
        <v>432</v>
      </c>
      <c r="AG93" s="76"/>
      <c r="AH93" s="40" t="s">
        <v>432</v>
      </c>
      <c r="AI93" s="76"/>
      <c r="AJ93" s="40" t="s">
        <v>432</v>
      </c>
      <c r="AK93" s="76"/>
      <c r="AL93" s="40" t="s">
        <v>432</v>
      </c>
      <c r="AM93" s="76"/>
      <c r="AN93" s="40" t="s">
        <v>432</v>
      </c>
      <c r="AO93" s="76"/>
      <c r="AP93" s="40" t="s">
        <v>432</v>
      </c>
      <c r="AQ93" s="76"/>
      <c r="AR93" s="40" t="s">
        <v>432</v>
      </c>
      <c r="AS93" s="76"/>
      <c r="AT93" s="40" t="s">
        <v>432</v>
      </c>
      <c r="AU93" s="76"/>
      <c r="AV93" s="40" t="s">
        <v>432</v>
      </c>
      <c r="AW93" s="76"/>
      <c r="AX93" s="40" t="s">
        <v>432</v>
      </c>
      <c r="AY93" s="76" t="s">
        <v>431</v>
      </c>
      <c r="AZ93" s="40" t="s">
        <v>432</v>
      </c>
      <c r="BA93" s="76"/>
      <c r="BB93" s="40" t="s">
        <v>432</v>
      </c>
      <c r="BC93" s="76"/>
      <c r="BD93" s="40" t="s">
        <v>432</v>
      </c>
      <c r="BE93" s="76" t="s">
        <v>349</v>
      </c>
      <c r="BF93" s="40" t="s">
        <v>432</v>
      </c>
      <c r="BG93" s="76" t="s">
        <v>350</v>
      </c>
      <c r="BH93" s="40" t="s">
        <v>432</v>
      </c>
      <c r="BI93" s="76"/>
      <c r="BJ93" s="40" t="s">
        <v>432</v>
      </c>
      <c r="BK93" s="76"/>
      <c r="BL93" s="40" t="s">
        <v>432</v>
      </c>
      <c r="BM93" s="76"/>
      <c r="BN93" s="40" t="s">
        <v>432</v>
      </c>
      <c r="BO93" s="76"/>
      <c r="BP93" s="40" t="s">
        <v>432</v>
      </c>
      <c r="BQ93" s="76"/>
      <c r="BR93" s="40" t="s">
        <v>432</v>
      </c>
      <c r="BS93" s="76"/>
      <c r="BT93" s="40" t="s">
        <v>432</v>
      </c>
      <c r="BU93" s="76"/>
      <c r="BV93" s="40" t="s">
        <v>432</v>
      </c>
      <c r="BW93" s="76"/>
      <c r="BX93" s="40" t="s">
        <v>432</v>
      </c>
    </row>
    <row r="94" spans="1:76" x14ac:dyDescent="0.25">
      <c r="A94" s="76" t="s">
        <v>630</v>
      </c>
      <c r="B94" s="76">
        <v>93</v>
      </c>
      <c r="C94" s="76" t="s">
        <v>346</v>
      </c>
      <c r="D94" s="40" t="s">
        <v>432</v>
      </c>
      <c r="E94" s="76"/>
      <c r="F94" s="40" t="s">
        <v>432</v>
      </c>
      <c r="G94" s="76"/>
      <c r="H94" s="40" t="s">
        <v>432</v>
      </c>
      <c r="I94" s="76"/>
      <c r="J94" s="40" t="s">
        <v>432</v>
      </c>
      <c r="K94" s="76"/>
      <c r="L94" s="40" t="s">
        <v>432</v>
      </c>
      <c r="M94" s="76" t="s">
        <v>438</v>
      </c>
      <c r="N94" s="40" t="s">
        <v>432</v>
      </c>
      <c r="O94" s="76" t="s">
        <v>439</v>
      </c>
      <c r="P94" s="40" t="s">
        <v>432</v>
      </c>
      <c r="Q94" s="76"/>
      <c r="R94" s="40" t="s">
        <v>432</v>
      </c>
      <c r="S94" s="76"/>
      <c r="T94" s="40" t="s">
        <v>432</v>
      </c>
      <c r="U94" s="76"/>
      <c r="V94" s="40" t="s">
        <v>432</v>
      </c>
      <c r="W94" s="76" t="s">
        <v>440</v>
      </c>
      <c r="X94" s="40" t="s">
        <v>432</v>
      </c>
      <c r="Y94" s="76"/>
      <c r="Z94" s="40" t="s">
        <v>432</v>
      </c>
      <c r="AA94" s="76"/>
      <c r="AB94" s="40" t="s">
        <v>432</v>
      </c>
      <c r="AC94" s="76" t="s">
        <v>338</v>
      </c>
      <c r="AD94" s="40" t="s">
        <v>432</v>
      </c>
      <c r="AE94" s="76"/>
      <c r="AF94" s="40" t="s">
        <v>432</v>
      </c>
      <c r="AG94" s="76"/>
      <c r="AH94" s="40" t="s">
        <v>432</v>
      </c>
      <c r="AI94" s="76"/>
      <c r="AJ94" s="40" t="s">
        <v>432</v>
      </c>
      <c r="AK94" s="76"/>
      <c r="AL94" s="40" t="s">
        <v>432</v>
      </c>
      <c r="AM94" s="76"/>
      <c r="AN94" s="40" t="s">
        <v>432</v>
      </c>
      <c r="AO94" s="76"/>
      <c r="AP94" s="40" t="s">
        <v>432</v>
      </c>
      <c r="AQ94" s="76"/>
      <c r="AR94" s="40" t="s">
        <v>432</v>
      </c>
      <c r="AS94" s="76"/>
      <c r="AT94" s="40" t="s">
        <v>432</v>
      </c>
      <c r="AU94" s="76"/>
      <c r="AV94" s="40" t="s">
        <v>432</v>
      </c>
      <c r="AW94" s="76"/>
      <c r="AX94" s="40" t="s">
        <v>432</v>
      </c>
      <c r="AY94" s="76" t="s">
        <v>431</v>
      </c>
      <c r="AZ94" s="40" t="s">
        <v>432</v>
      </c>
      <c r="BA94" s="76"/>
      <c r="BB94" s="40" t="s">
        <v>432</v>
      </c>
      <c r="BC94" s="76"/>
      <c r="BD94" s="40" t="s">
        <v>432</v>
      </c>
      <c r="BE94" s="76" t="s">
        <v>349</v>
      </c>
      <c r="BF94" s="40" t="s">
        <v>432</v>
      </c>
      <c r="BG94" s="76"/>
      <c r="BH94" s="40" t="s">
        <v>432</v>
      </c>
      <c r="BI94" s="76"/>
      <c r="BJ94" s="40" t="s">
        <v>432</v>
      </c>
      <c r="BK94" s="76"/>
      <c r="BL94" s="40" t="s">
        <v>432</v>
      </c>
      <c r="BM94" s="76"/>
      <c r="BN94" s="40" t="s">
        <v>432</v>
      </c>
      <c r="BO94" s="76"/>
      <c r="BP94" s="40" t="s">
        <v>432</v>
      </c>
      <c r="BQ94" s="76"/>
      <c r="BR94" s="40" t="s">
        <v>432</v>
      </c>
      <c r="BS94" s="76"/>
      <c r="BT94" s="40" t="s">
        <v>432</v>
      </c>
      <c r="BU94" s="76"/>
      <c r="BV94" s="40" t="s">
        <v>432</v>
      </c>
      <c r="BW94" s="76"/>
      <c r="BX94" s="40" t="s">
        <v>432</v>
      </c>
    </row>
    <row r="95" spans="1:76" x14ac:dyDescent="0.25">
      <c r="A95" s="76" t="s">
        <v>631</v>
      </c>
      <c r="B95" s="76">
        <v>94</v>
      </c>
      <c r="C95" s="76" t="s">
        <v>346</v>
      </c>
      <c r="D95" s="40" t="s">
        <v>432</v>
      </c>
      <c r="E95" s="76"/>
      <c r="F95" s="40" t="s">
        <v>432</v>
      </c>
      <c r="G95" s="76"/>
      <c r="H95" s="40" t="s">
        <v>432</v>
      </c>
      <c r="I95" s="76"/>
      <c r="J95" s="40" t="s">
        <v>432</v>
      </c>
      <c r="K95" s="76"/>
      <c r="L95" s="40" t="s">
        <v>432</v>
      </c>
      <c r="M95" s="76" t="s">
        <v>438</v>
      </c>
      <c r="N95" s="40" t="s">
        <v>432</v>
      </c>
      <c r="O95" s="76" t="s">
        <v>439</v>
      </c>
      <c r="P95" s="40" t="s">
        <v>432</v>
      </c>
      <c r="Q95" s="76"/>
      <c r="R95" s="40" t="s">
        <v>432</v>
      </c>
      <c r="S95" s="76"/>
      <c r="T95" s="40" t="s">
        <v>432</v>
      </c>
      <c r="U95" s="76"/>
      <c r="V95" s="40" t="s">
        <v>432</v>
      </c>
      <c r="W95" s="76" t="s">
        <v>440</v>
      </c>
      <c r="X95" s="40" t="s">
        <v>432</v>
      </c>
      <c r="Y95" s="76"/>
      <c r="Z95" s="40" t="s">
        <v>432</v>
      </c>
      <c r="AA95" s="76"/>
      <c r="AB95" s="40" t="s">
        <v>432</v>
      </c>
      <c r="AC95" s="76" t="s">
        <v>338</v>
      </c>
      <c r="AD95" s="40" t="s">
        <v>432</v>
      </c>
      <c r="AE95" s="76"/>
      <c r="AF95" s="40" t="s">
        <v>432</v>
      </c>
      <c r="AG95" s="76"/>
      <c r="AH95" s="40" t="s">
        <v>432</v>
      </c>
      <c r="AI95" s="76"/>
      <c r="AJ95" s="40" t="s">
        <v>432</v>
      </c>
      <c r="AK95" s="76"/>
      <c r="AL95" s="40" t="s">
        <v>432</v>
      </c>
      <c r="AM95" s="76"/>
      <c r="AN95" s="40" t="s">
        <v>432</v>
      </c>
      <c r="AO95" s="76"/>
      <c r="AP95" s="40" t="s">
        <v>432</v>
      </c>
      <c r="AQ95" s="76"/>
      <c r="AR95" s="40" t="s">
        <v>432</v>
      </c>
      <c r="AS95" s="76"/>
      <c r="AT95" s="40" t="s">
        <v>432</v>
      </c>
      <c r="AU95" s="76"/>
      <c r="AV95" s="40" t="s">
        <v>432</v>
      </c>
      <c r="AW95" s="76"/>
      <c r="AX95" s="40" t="s">
        <v>432</v>
      </c>
      <c r="AY95" s="76" t="s">
        <v>431</v>
      </c>
      <c r="AZ95" s="40" t="s">
        <v>432</v>
      </c>
      <c r="BA95" s="76"/>
      <c r="BB95" s="40" t="s">
        <v>432</v>
      </c>
      <c r="BC95" s="76"/>
      <c r="BD95" s="40" t="s">
        <v>432</v>
      </c>
      <c r="BE95" s="76" t="s">
        <v>349</v>
      </c>
      <c r="BF95" s="40" t="s">
        <v>432</v>
      </c>
      <c r="BG95" s="76" t="s">
        <v>350</v>
      </c>
      <c r="BH95" s="40" t="s">
        <v>432</v>
      </c>
      <c r="BI95" s="76"/>
      <c r="BJ95" s="40" t="s">
        <v>432</v>
      </c>
      <c r="BK95" s="76"/>
      <c r="BL95" s="40" t="s">
        <v>432</v>
      </c>
      <c r="BM95" s="76"/>
      <c r="BN95" s="40" t="s">
        <v>432</v>
      </c>
      <c r="BO95" s="76"/>
      <c r="BP95" s="40" t="s">
        <v>432</v>
      </c>
      <c r="BQ95" s="76"/>
      <c r="BR95" s="40" t="s">
        <v>432</v>
      </c>
      <c r="BS95" s="76"/>
      <c r="BT95" s="40" t="s">
        <v>432</v>
      </c>
      <c r="BU95" s="76"/>
      <c r="BV95" s="40" t="s">
        <v>432</v>
      </c>
      <c r="BW95" s="76"/>
      <c r="BX95" s="40" t="s">
        <v>432</v>
      </c>
    </row>
    <row r="96" spans="1:76" x14ac:dyDescent="0.25">
      <c r="A96" s="76" t="s">
        <v>632</v>
      </c>
      <c r="B96" s="76">
        <v>95</v>
      </c>
      <c r="C96" s="76" t="s">
        <v>346</v>
      </c>
      <c r="D96" s="40" t="s">
        <v>432</v>
      </c>
      <c r="E96" s="76"/>
      <c r="F96" s="40" t="s">
        <v>432</v>
      </c>
      <c r="G96" s="76"/>
      <c r="H96" s="40" t="s">
        <v>432</v>
      </c>
      <c r="I96" s="76"/>
      <c r="J96" s="40" t="s">
        <v>432</v>
      </c>
      <c r="K96" s="76"/>
      <c r="L96" s="40" t="s">
        <v>432</v>
      </c>
      <c r="M96" s="76" t="s">
        <v>439</v>
      </c>
      <c r="N96" s="40" t="s">
        <v>432</v>
      </c>
      <c r="O96" s="76"/>
      <c r="P96" s="40" t="s">
        <v>432</v>
      </c>
      <c r="Q96" s="76"/>
      <c r="R96" s="40" t="s">
        <v>432</v>
      </c>
      <c r="S96" s="76"/>
      <c r="T96" s="40" t="s">
        <v>432</v>
      </c>
      <c r="U96" s="76"/>
      <c r="V96" s="40" t="s">
        <v>432</v>
      </c>
      <c r="W96" s="76" t="s">
        <v>440</v>
      </c>
      <c r="X96" s="40" t="s">
        <v>432</v>
      </c>
      <c r="Y96" s="76"/>
      <c r="Z96" s="40" t="s">
        <v>432</v>
      </c>
      <c r="AA96" s="76"/>
      <c r="AB96" s="40" t="s">
        <v>432</v>
      </c>
      <c r="AC96" s="76" t="s">
        <v>338</v>
      </c>
      <c r="AD96" s="40" t="s">
        <v>432</v>
      </c>
      <c r="AE96" s="76"/>
      <c r="AF96" s="40" t="s">
        <v>432</v>
      </c>
      <c r="AG96" s="76"/>
      <c r="AH96" s="40" t="s">
        <v>432</v>
      </c>
      <c r="AI96" s="76"/>
      <c r="AJ96" s="40" t="s">
        <v>432</v>
      </c>
      <c r="AK96" s="76"/>
      <c r="AL96" s="40" t="s">
        <v>432</v>
      </c>
      <c r="AM96" s="76"/>
      <c r="AN96" s="40" t="s">
        <v>432</v>
      </c>
      <c r="AO96" s="76"/>
      <c r="AP96" s="40" t="s">
        <v>432</v>
      </c>
      <c r="AQ96" s="76"/>
      <c r="AR96" s="40" t="s">
        <v>432</v>
      </c>
      <c r="AS96" s="76"/>
      <c r="AT96" s="40" t="s">
        <v>432</v>
      </c>
      <c r="AU96" s="76"/>
      <c r="AV96" s="40" t="s">
        <v>432</v>
      </c>
      <c r="AW96" s="76"/>
      <c r="AX96" s="40" t="s">
        <v>432</v>
      </c>
      <c r="AY96" s="76" t="s">
        <v>431</v>
      </c>
      <c r="AZ96" s="40" t="s">
        <v>432</v>
      </c>
      <c r="BA96" s="76"/>
      <c r="BB96" s="40" t="s">
        <v>432</v>
      </c>
      <c r="BC96" s="76"/>
      <c r="BD96" s="40" t="s">
        <v>432</v>
      </c>
      <c r="BE96" s="76" t="s">
        <v>349</v>
      </c>
      <c r="BF96" s="40" t="s">
        <v>432</v>
      </c>
      <c r="BG96" s="76" t="s">
        <v>350</v>
      </c>
      <c r="BH96" s="40" t="s">
        <v>432</v>
      </c>
      <c r="BI96" s="76"/>
      <c r="BJ96" s="40" t="s">
        <v>432</v>
      </c>
      <c r="BK96" s="76"/>
      <c r="BL96" s="40" t="s">
        <v>432</v>
      </c>
      <c r="BM96" s="76"/>
      <c r="BN96" s="40" t="s">
        <v>432</v>
      </c>
      <c r="BO96" s="76"/>
      <c r="BP96" s="40" t="s">
        <v>432</v>
      </c>
      <c r="BQ96" s="76"/>
      <c r="BR96" s="40" t="s">
        <v>432</v>
      </c>
      <c r="BS96" s="76"/>
      <c r="BT96" s="40" t="s">
        <v>432</v>
      </c>
      <c r="BU96" s="76"/>
      <c r="BV96" s="40" t="s">
        <v>432</v>
      </c>
      <c r="BW96" s="76"/>
      <c r="BX96" s="40" t="s">
        <v>432</v>
      </c>
    </row>
    <row r="97" spans="1:76" x14ac:dyDescent="0.25">
      <c r="A97" s="76"/>
      <c r="B97" s="76"/>
      <c r="C97" s="76"/>
      <c r="D97" s="40"/>
      <c r="E97" s="76"/>
      <c r="F97" s="40"/>
      <c r="G97" s="76"/>
      <c r="H97" s="40"/>
      <c r="I97" s="76"/>
      <c r="J97" s="40"/>
      <c r="K97" s="76"/>
      <c r="L97" s="40"/>
      <c r="M97" s="76"/>
      <c r="N97" s="40"/>
      <c r="O97" s="76"/>
      <c r="P97" s="40"/>
      <c r="Q97" s="76"/>
      <c r="R97" s="40"/>
      <c r="S97" s="76"/>
      <c r="T97" s="40"/>
      <c r="U97" s="76"/>
      <c r="V97" s="40"/>
      <c r="W97" s="76"/>
      <c r="X97" s="40"/>
      <c r="Y97" s="76"/>
      <c r="Z97" s="40"/>
      <c r="AA97" s="76"/>
      <c r="AB97" s="40"/>
      <c r="AC97" s="76"/>
      <c r="AD97" s="40"/>
      <c r="AE97" s="76"/>
      <c r="AF97" s="40"/>
      <c r="AG97" s="76"/>
      <c r="AH97" s="40"/>
      <c r="AI97" s="76"/>
      <c r="AJ97" s="40"/>
      <c r="AK97" s="76"/>
      <c r="AL97" s="40"/>
      <c r="AM97" s="76"/>
      <c r="AN97" s="40"/>
      <c r="AO97" s="76"/>
      <c r="AP97" s="40"/>
      <c r="AQ97" s="76"/>
      <c r="AR97" s="40"/>
      <c r="AS97" s="76"/>
      <c r="AT97" s="40"/>
      <c r="AU97" s="76"/>
      <c r="AV97" s="40"/>
      <c r="AW97" s="76"/>
      <c r="AX97" s="40"/>
      <c r="AY97" s="76"/>
      <c r="AZ97" s="40"/>
      <c r="BA97" s="76"/>
      <c r="BB97" s="40"/>
      <c r="BC97" s="76"/>
      <c r="BD97" s="40"/>
      <c r="BE97" s="76"/>
      <c r="BF97" s="40"/>
      <c r="BG97" s="76"/>
      <c r="BH97" s="40"/>
      <c r="BI97" s="76"/>
      <c r="BJ97" s="40"/>
      <c r="BK97" s="76"/>
      <c r="BL97" s="40"/>
      <c r="BM97" s="76"/>
      <c r="BN97" s="40"/>
      <c r="BO97" s="76"/>
      <c r="BP97" s="40"/>
      <c r="BQ97" s="76"/>
      <c r="BR97" s="40"/>
      <c r="BS97" s="76"/>
      <c r="BT97" s="40"/>
      <c r="BU97" s="76"/>
      <c r="BV97" s="40"/>
      <c r="BW97" s="76"/>
      <c r="BX97" s="40"/>
    </row>
    <row r="98" spans="1:76" x14ac:dyDescent="0.25">
      <c r="A98" s="76"/>
      <c r="B98" s="76"/>
      <c r="C98" s="76"/>
      <c r="D98" s="40"/>
      <c r="E98" s="76"/>
      <c r="F98" s="40"/>
      <c r="G98" s="76"/>
      <c r="H98" s="40"/>
      <c r="I98" s="76"/>
      <c r="J98" s="40"/>
      <c r="K98" s="76"/>
      <c r="L98" s="40"/>
      <c r="M98" s="76"/>
      <c r="N98" s="40"/>
      <c r="O98" s="76"/>
      <c r="P98" s="40"/>
      <c r="Q98" s="76"/>
      <c r="R98" s="40"/>
      <c r="S98" s="76"/>
      <c r="T98" s="40"/>
      <c r="U98" s="76"/>
      <c r="V98" s="40"/>
      <c r="W98" s="76"/>
      <c r="X98" s="40"/>
      <c r="Y98" s="76"/>
      <c r="Z98" s="40"/>
      <c r="AA98" s="76"/>
      <c r="AB98" s="40"/>
      <c r="AC98" s="76"/>
      <c r="AD98" s="40"/>
      <c r="AE98" s="76"/>
      <c r="AF98" s="40"/>
      <c r="AG98" s="76"/>
      <c r="AH98" s="40"/>
      <c r="AI98" s="76"/>
      <c r="AJ98" s="40"/>
      <c r="AK98" s="76"/>
      <c r="AL98" s="40"/>
      <c r="AM98" s="76"/>
      <c r="AN98" s="40"/>
      <c r="AO98" s="76"/>
      <c r="AP98" s="40"/>
      <c r="AQ98" s="76"/>
      <c r="AR98" s="40"/>
      <c r="AS98" s="76"/>
      <c r="AT98" s="40"/>
      <c r="AU98" s="76"/>
      <c r="AV98" s="40"/>
      <c r="AW98" s="76"/>
      <c r="AX98" s="40"/>
      <c r="AY98" s="76"/>
      <c r="AZ98" s="40"/>
      <c r="BA98" s="76"/>
      <c r="BB98" s="40"/>
      <c r="BC98" s="76"/>
      <c r="BD98" s="40"/>
      <c r="BE98" s="76"/>
      <c r="BF98" s="40"/>
      <c r="BG98" s="76"/>
      <c r="BH98" s="40"/>
      <c r="BI98" s="76"/>
      <c r="BJ98" s="40"/>
      <c r="BK98" s="76"/>
      <c r="BL98" s="40"/>
      <c r="BM98" s="76"/>
      <c r="BN98" s="40"/>
      <c r="BO98" s="76"/>
      <c r="BP98" s="40"/>
      <c r="BQ98" s="76"/>
      <c r="BR98" s="40"/>
      <c r="BS98" s="76"/>
      <c r="BT98" s="40"/>
      <c r="BU98" s="76"/>
      <c r="BV98" s="40"/>
      <c r="BW98" s="76"/>
      <c r="BX98" s="40"/>
    </row>
    <row r="99" spans="1:76" x14ac:dyDescent="0.25">
      <c r="A99" s="76"/>
      <c r="B99" s="76"/>
      <c r="C99" s="76"/>
      <c r="D99" s="40"/>
      <c r="E99" s="76"/>
      <c r="F99" s="40"/>
      <c r="G99" s="76"/>
      <c r="H99" s="40"/>
      <c r="I99" s="76"/>
      <c r="J99" s="40"/>
      <c r="K99" s="76"/>
      <c r="L99" s="40"/>
      <c r="M99" s="76"/>
      <c r="N99" s="40"/>
      <c r="O99" s="76"/>
      <c r="P99" s="40"/>
      <c r="Q99" s="76"/>
      <c r="R99" s="40"/>
      <c r="S99" s="76"/>
      <c r="T99" s="40"/>
      <c r="U99" s="76"/>
      <c r="V99" s="40"/>
      <c r="W99" s="76"/>
      <c r="X99" s="40"/>
      <c r="Y99" s="76"/>
      <c r="Z99" s="40"/>
      <c r="AA99" s="76"/>
      <c r="AB99" s="40"/>
      <c r="AC99" s="76"/>
      <c r="AD99" s="40"/>
      <c r="AE99" s="76"/>
      <c r="AF99" s="40"/>
      <c r="AG99" s="76"/>
      <c r="AH99" s="40"/>
      <c r="AI99" s="76"/>
      <c r="AJ99" s="40"/>
      <c r="AK99" s="76"/>
      <c r="AL99" s="40"/>
      <c r="AM99" s="76"/>
      <c r="AN99" s="40"/>
      <c r="AO99" s="76"/>
      <c r="AP99" s="40"/>
      <c r="AQ99" s="76"/>
      <c r="AR99" s="40"/>
      <c r="AS99" s="76"/>
      <c r="AT99" s="40"/>
      <c r="AU99" s="76"/>
      <c r="AV99" s="40"/>
      <c r="AW99" s="76"/>
      <c r="AX99" s="40"/>
      <c r="AY99" s="76"/>
      <c r="AZ99" s="40"/>
      <c r="BA99" s="76"/>
      <c r="BB99" s="40"/>
      <c r="BC99" s="76"/>
      <c r="BD99" s="40"/>
      <c r="BE99" s="76"/>
      <c r="BF99" s="40"/>
      <c r="BG99" s="76"/>
      <c r="BH99" s="40"/>
      <c r="BI99" s="76"/>
      <c r="BJ99" s="40"/>
      <c r="BK99" s="76"/>
      <c r="BL99" s="40"/>
      <c r="BM99" s="76"/>
      <c r="BN99" s="40"/>
      <c r="BO99" s="76"/>
      <c r="BP99" s="40"/>
      <c r="BQ99" s="76"/>
      <c r="BR99" s="40"/>
      <c r="BS99" s="76"/>
      <c r="BT99" s="40"/>
      <c r="BU99" s="76"/>
      <c r="BV99" s="40"/>
      <c r="BW99" s="76"/>
      <c r="BX99" s="40"/>
    </row>
    <row r="100" spans="1:76" x14ac:dyDescent="0.25">
      <c r="A100" s="76"/>
      <c r="B100" s="76"/>
      <c r="C100" s="76"/>
      <c r="D100" s="40"/>
      <c r="E100" s="76"/>
      <c r="F100" s="40"/>
      <c r="G100" s="76"/>
      <c r="H100" s="40"/>
      <c r="I100" s="76"/>
      <c r="J100" s="40"/>
      <c r="K100" s="76"/>
      <c r="L100" s="40"/>
      <c r="M100" s="76"/>
      <c r="N100" s="40"/>
      <c r="O100" s="76"/>
      <c r="P100" s="40"/>
      <c r="Q100" s="76"/>
      <c r="R100" s="40"/>
      <c r="S100" s="76"/>
      <c r="T100" s="40"/>
      <c r="U100" s="76"/>
      <c r="V100" s="40"/>
      <c r="W100" s="76"/>
      <c r="X100" s="40"/>
      <c r="Y100" s="76"/>
      <c r="Z100" s="40"/>
      <c r="AA100" s="76"/>
      <c r="AB100" s="40"/>
      <c r="AC100" s="76"/>
      <c r="AD100" s="40"/>
      <c r="AE100" s="76"/>
      <c r="AF100" s="40"/>
      <c r="AG100" s="76"/>
      <c r="AH100" s="40"/>
      <c r="AI100" s="76"/>
      <c r="AJ100" s="40"/>
      <c r="AK100" s="76"/>
      <c r="AL100" s="40"/>
      <c r="AM100" s="76"/>
      <c r="AN100" s="40"/>
      <c r="AO100" s="76"/>
      <c r="AP100" s="40"/>
      <c r="AQ100" s="76"/>
      <c r="AR100" s="40"/>
      <c r="AS100" s="76"/>
      <c r="AT100" s="40"/>
      <c r="AU100" s="76"/>
      <c r="AV100" s="40"/>
      <c r="AW100" s="76"/>
      <c r="AX100" s="40"/>
      <c r="AY100" s="76"/>
      <c r="AZ100" s="40"/>
      <c r="BA100" s="76"/>
      <c r="BB100" s="40"/>
      <c r="BC100" s="76"/>
      <c r="BD100" s="40"/>
      <c r="BE100" s="76"/>
      <c r="BF100" s="40"/>
      <c r="BG100" s="76"/>
      <c r="BH100" s="40"/>
      <c r="BI100" s="76"/>
      <c r="BJ100" s="40"/>
      <c r="BK100" s="76"/>
      <c r="BL100" s="40"/>
      <c r="BM100" s="76"/>
      <c r="BN100" s="40"/>
      <c r="BO100" s="76"/>
      <c r="BP100" s="40"/>
      <c r="BQ100" s="76"/>
      <c r="BR100" s="40"/>
      <c r="BS100" s="76"/>
      <c r="BT100" s="40"/>
      <c r="BU100" s="76"/>
      <c r="BV100" s="40"/>
      <c r="BW100" s="76"/>
      <c r="BX100" s="40"/>
    </row>
  </sheetData>
  <conditionalFormatting sqref="A2:BX100">
    <cfRule type="expression" dxfId="282" priority="2">
      <formula>AND(B2&lt;&gt;"", B2=0)</formula>
    </cfRule>
  </conditionalFormatting>
  <conditionalFormatting sqref="C2:C19">
    <cfRule type="expression" dxfId="281" priority="1">
      <formula>AND(COLUMN()&gt;2, MOD(COLUMN(),2)=1, OFFSET(A1,0,1)&lt;&gt;"")+$A$2:$BZ$100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81FC-B98E-4C4A-B5DF-35EC96396C76}">
  <sheetPr codeName="Sheet10">
    <tabColor theme="8" tint="0.79998168889431442"/>
  </sheetPr>
  <dimension ref="B2:W100"/>
  <sheetViews>
    <sheetView showGridLines="0" workbookViewId="0">
      <selection activeCell="D21" sqref="D21"/>
    </sheetView>
  </sheetViews>
  <sheetFormatPr defaultRowHeight="13.8" x14ac:dyDescent="0.25"/>
  <cols>
    <col min="1" max="1" width="8.796875" style="7"/>
    <col min="2" max="2" width="20.09765625" style="7" customWidth="1"/>
    <col min="3" max="3" width="8.796875" style="7"/>
    <col min="4" max="4" width="32.69921875" style="7" customWidth="1"/>
    <col min="5" max="5" width="6.69921875" style="7" customWidth="1"/>
    <col min="6" max="6" width="8.796875" style="7"/>
    <col min="7" max="7" width="3.69921875" style="7" customWidth="1"/>
    <col min="8" max="11" width="8.796875" style="7"/>
    <col min="12" max="12" width="3.8984375" style="7" customWidth="1"/>
    <col min="13" max="14" width="8.796875" style="7"/>
    <col min="15" max="15" width="2.69921875" style="7" customWidth="1"/>
    <col min="16" max="16" width="5.69921875" style="7" customWidth="1"/>
    <col min="17" max="17" width="10.3984375" style="7" customWidth="1"/>
    <col min="18" max="18" width="11.5" style="7" customWidth="1"/>
    <col min="19" max="19" width="2.3984375" style="7" customWidth="1"/>
    <col min="20" max="20" width="8.796875" style="7"/>
    <col min="21" max="21" width="14.09765625" style="7" customWidth="1"/>
    <col min="22" max="22" width="12.3984375" style="7" customWidth="1"/>
    <col min="23" max="16384" width="8.796875" style="7"/>
  </cols>
  <sheetData>
    <row r="2" spans="2:22" x14ac:dyDescent="0.25">
      <c r="B2" s="28" t="s">
        <v>258</v>
      </c>
      <c r="H2" s="28" t="s">
        <v>147</v>
      </c>
      <c r="L2" s="28" t="s">
        <v>161</v>
      </c>
    </row>
    <row r="4" spans="2:22" s="6" customFormat="1" ht="58.8" x14ac:dyDescent="0.2">
      <c r="B4" s="27" t="s">
        <v>252</v>
      </c>
      <c r="C4" s="26" t="s">
        <v>262</v>
      </c>
      <c r="D4" s="27" t="s">
        <v>254</v>
      </c>
      <c r="F4" s="2" t="s">
        <v>150</v>
      </c>
      <c r="H4" s="2" t="s">
        <v>151</v>
      </c>
      <c r="I4" s="2" t="s">
        <v>152</v>
      </c>
      <c r="J4" s="2" t="s">
        <v>153</v>
      </c>
      <c r="L4" s="2" t="s">
        <v>158</v>
      </c>
      <c r="M4" s="2" t="s">
        <v>159</v>
      </c>
      <c r="N4" s="2" t="s">
        <v>69</v>
      </c>
      <c r="P4" s="2" t="s">
        <v>158</v>
      </c>
      <c r="Q4" s="2" t="s">
        <v>159</v>
      </c>
      <c r="R4" s="2" t="s">
        <v>71</v>
      </c>
      <c r="T4" s="2" t="s">
        <v>158</v>
      </c>
      <c r="U4" s="2" t="s">
        <v>159</v>
      </c>
      <c r="V4" s="2" t="s">
        <v>71</v>
      </c>
    </row>
    <row r="5" spans="2:22" s="6" customFormat="1" ht="11.4" x14ac:dyDescent="0.2">
      <c r="B5" s="33" t="s">
        <v>93</v>
      </c>
      <c r="C5" s="4" t="s">
        <v>256</v>
      </c>
      <c r="D5" s="15"/>
      <c r="F5" s="63" t="s">
        <v>441</v>
      </c>
      <c r="H5" s="64" t="s">
        <v>157</v>
      </c>
      <c r="I5" s="77" t="s">
        <v>98</v>
      </c>
      <c r="J5" s="79" t="s">
        <v>99</v>
      </c>
      <c r="L5" s="13" t="s">
        <v>97</v>
      </c>
      <c r="M5" s="13" t="s">
        <v>62</v>
      </c>
      <c r="N5" s="14" t="str">
        <f>_xlfn.XLOOKUP(H5,$L$5:$L$12,$M$5:$M$12)</f>
        <v>Northwest</v>
      </c>
      <c r="P5" s="15" t="s">
        <v>98</v>
      </c>
      <c r="Q5" s="15" t="s">
        <v>74</v>
      </c>
      <c r="R5" s="14" t="str">
        <f>_xlfn.XLOOKUP(I5,$P$5:$P$12,$Q$5:$Q$12)</f>
        <v>EndTerrace</v>
      </c>
      <c r="T5" s="15" t="s">
        <v>160</v>
      </c>
      <c r="U5" s="15" t="s">
        <v>76</v>
      </c>
      <c r="V5" s="14" t="str">
        <f>_xlfn.XLOOKUP(J5,$T$5:$T$12,$U$5:$U$12)</f>
        <v>MidFloorFlat</v>
      </c>
    </row>
    <row r="6" spans="2:22" s="6" customFormat="1" ht="11.4" x14ac:dyDescent="0.2">
      <c r="B6" s="33" t="s">
        <v>92</v>
      </c>
      <c r="C6" s="4" t="s">
        <v>256</v>
      </c>
      <c r="D6" s="15"/>
      <c r="F6" s="63" t="s">
        <v>442</v>
      </c>
      <c r="H6" s="64" t="s">
        <v>155</v>
      </c>
      <c r="I6" s="78" t="s">
        <v>98</v>
      </c>
      <c r="J6" s="79" t="s">
        <v>99</v>
      </c>
      <c r="L6" s="13" t="s">
        <v>154</v>
      </c>
      <c r="M6" s="13" t="s">
        <v>88</v>
      </c>
      <c r="N6" s="14" t="str">
        <f t="shared" ref="N6:N69" si="0">_xlfn.XLOOKUP(H6,$L$5:$L$12,$M$5:$M$12)</f>
        <v>Southeast</v>
      </c>
      <c r="P6" s="15" t="s">
        <v>99</v>
      </c>
      <c r="Q6" s="15" t="s">
        <v>100</v>
      </c>
      <c r="R6" s="14" t="str">
        <f t="shared" ref="R6:R69" si="1">_xlfn.XLOOKUP(I6,$P$5:$P$12,$Q$5:$Q$12)</f>
        <v>EndTerrace</v>
      </c>
      <c r="T6" s="15" t="s">
        <v>99</v>
      </c>
      <c r="U6" s="15" t="s">
        <v>75</v>
      </c>
      <c r="V6" s="14" t="str">
        <f t="shared" ref="V6:V69" si="2">_xlfn.XLOOKUP(J6,$T$5:$T$12,$U$5:$U$12)</f>
        <v>MidFloorFlat</v>
      </c>
    </row>
    <row r="7" spans="2:22" s="6" customFormat="1" ht="11.4" x14ac:dyDescent="0.2">
      <c r="B7" s="33" t="s">
        <v>0</v>
      </c>
      <c r="C7" s="4" t="s">
        <v>256</v>
      </c>
      <c r="D7" s="15"/>
      <c r="F7" s="63" t="s">
        <v>443</v>
      </c>
      <c r="H7" s="64" t="s">
        <v>157</v>
      </c>
      <c r="I7" s="77" t="s">
        <v>99</v>
      </c>
      <c r="J7" s="79" t="s">
        <v>99</v>
      </c>
      <c r="L7" s="13" t="s">
        <v>95</v>
      </c>
      <c r="M7" s="13" t="s">
        <v>63</v>
      </c>
      <c r="N7" s="14" t="str">
        <f t="shared" si="0"/>
        <v>Northwest</v>
      </c>
      <c r="R7" s="14" t="str">
        <f t="shared" si="1"/>
        <v>MidTerrace</v>
      </c>
      <c r="T7" s="15" t="s">
        <v>101</v>
      </c>
      <c r="U7" s="15" t="s">
        <v>77</v>
      </c>
      <c r="V7" s="14" t="str">
        <f t="shared" si="2"/>
        <v>MidFloorFlat</v>
      </c>
    </row>
    <row r="8" spans="2:22" s="6" customFormat="1" ht="11.4" x14ac:dyDescent="0.2">
      <c r="B8" s="33" t="s">
        <v>8</v>
      </c>
      <c r="C8" s="4" t="s">
        <v>64</v>
      </c>
      <c r="D8" s="15"/>
      <c r="F8" s="63" t="s">
        <v>444</v>
      </c>
      <c r="H8" s="64" t="s">
        <v>155</v>
      </c>
      <c r="I8" s="78" t="s">
        <v>99</v>
      </c>
      <c r="J8" s="79" t="s">
        <v>99</v>
      </c>
      <c r="L8" s="13" t="s">
        <v>155</v>
      </c>
      <c r="M8" s="13" t="s">
        <v>91</v>
      </c>
      <c r="N8" s="14" t="str">
        <f t="shared" si="0"/>
        <v>Southeast</v>
      </c>
      <c r="R8" s="14" t="str">
        <f t="shared" si="1"/>
        <v>MidTerrace</v>
      </c>
      <c r="V8" s="14" t="str">
        <f t="shared" si="2"/>
        <v>MidFloorFlat</v>
      </c>
    </row>
    <row r="9" spans="2:22" s="6" customFormat="1" ht="11.4" x14ac:dyDescent="0.2">
      <c r="B9" s="29" t="s">
        <v>69</v>
      </c>
      <c r="C9" s="4" t="s">
        <v>256</v>
      </c>
      <c r="D9" s="15" t="s">
        <v>257</v>
      </c>
      <c r="F9" s="63" t="s">
        <v>445</v>
      </c>
      <c r="H9" s="64" t="s">
        <v>157</v>
      </c>
      <c r="I9" s="78" t="s">
        <v>99</v>
      </c>
      <c r="J9" s="79" t="s">
        <v>99</v>
      </c>
      <c r="L9" s="13" t="s">
        <v>94</v>
      </c>
      <c r="M9" s="13" t="s">
        <v>78</v>
      </c>
      <c r="N9" s="14" t="str">
        <f t="shared" si="0"/>
        <v>Northwest</v>
      </c>
      <c r="R9" s="14" t="str">
        <f t="shared" si="1"/>
        <v>MidTerrace</v>
      </c>
      <c r="V9" s="14" t="str">
        <f t="shared" si="2"/>
        <v>MidFloorFlat</v>
      </c>
    </row>
    <row r="10" spans="2:22" s="6" customFormat="1" ht="11.4" x14ac:dyDescent="0.2">
      <c r="B10" s="29" t="s">
        <v>70</v>
      </c>
      <c r="C10" s="4" t="s">
        <v>255</v>
      </c>
      <c r="D10" s="15"/>
      <c r="F10" s="63" t="s">
        <v>446</v>
      </c>
      <c r="H10" s="64" t="s">
        <v>155</v>
      </c>
      <c r="I10" s="77" t="s">
        <v>99</v>
      </c>
      <c r="J10" s="79" t="s">
        <v>99</v>
      </c>
      <c r="L10" s="13" t="s">
        <v>156</v>
      </c>
      <c r="M10" s="13" t="s">
        <v>89</v>
      </c>
      <c r="N10" s="14" t="str">
        <f t="shared" si="0"/>
        <v>Southeast</v>
      </c>
      <c r="R10" s="14" t="str">
        <f t="shared" si="1"/>
        <v>MidTerrace</v>
      </c>
      <c r="V10" s="14" t="str">
        <f t="shared" si="2"/>
        <v>MidFloorFlat</v>
      </c>
    </row>
    <row r="11" spans="2:22" s="6" customFormat="1" ht="11.4" x14ac:dyDescent="0.2">
      <c r="B11" s="29" t="s">
        <v>71</v>
      </c>
      <c r="C11" s="4" t="s">
        <v>256</v>
      </c>
      <c r="D11" s="15"/>
      <c r="F11" s="63" t="s">
        <v>447</v>
      </c>
      <c r="H11" s="64" t="s">
        <v>155</v>
      </c>
      <c r="I11" s="78" t="s">
        <v>99</v>
      </c>
      <c r="J11" s="79" t="s">
        <v>99</v>
      </c>
      <c r="L11" s="13" t="s">
        <v>96</v>
      </c>
      <c r="M11" s="13" t="s">
        <v>59</v>
      </c>
      <c r="N11" s="14" t="str">
        <f t="shared" si="0"/>
        <v>Southeast</v>
      </c>
      <c r="R11" s="14" t="str">
        <f t="shared" si="1"/>
        <v>MidTerrace</v>
      </c>
      <c r="V11" s="14" t="str">
        <f t="shared" si="2"/>
        <v>MidFloorFlat</v>
      </c>
    </row>
    <row r="12" spans="2:22" s="6" customFormat="1" ht="11.4" x14ac:dyDescent="0.2">
      <c r="B12" s="29" t="s">
        <v>72</v>
      </c>
      <c r="C12" s="4" t="s">
        <v>256</v>
      </c>
      <c r="D12" s="15"/>
      <c r="F12" s="63" t="s">
        <v>448</v>
      </c>
      <c r="H12" s="64" t="s">
        <v>155</v>
      </c>
      <c r="I12" s="77" t="s">
        <v>99</v>
      </c>
      <c r="J12" s="79" t="s">
        <v>99</v>
      </c>
      <c r="L12" s="13" t="s">
        <v>157</v>
      </c>
      <c r="M12" s="13" t="s">
        <v>90</v>
      </c>
      <c r="N12" s="14" t="str">
        <f t="shared" si="0"/>
        <v>Southeast</v>
      </c>
      <c r="R12" s="14" t="str">
        <f t="shared" si="1"/>
        <v>MidTerrace</v>
      </c>
      <c r="V12" s="14" t="str">
        <f t="shared" si="2"/>
        <v>MidFloorFlat</v>
      </c>
    </row>
    <row r="13" spans="2:22" s="6" customFormat="1" ht="11.4" x14ac:dyDescent="0.2">
      <c r="B13" s="29" t="s">
        <v>65</v>
      </c>
      <c r="C13" s="4" t="s">
        <v>256</v>
      </c>
      <c r="D13" s="15"/>
      <c r="F13" s="63" t="s">
        <v>449</v>
      </c>
      <c r="H13" s="64" t="s">
        <v>154</v>
      </c>
      <c r="I13" s="78" t="s">
        <v>98</v>
      </c>
      <c r="J13" s="79" t="s">
        <v>99</v>
      </c>
      <c r="N13" s="14" t="str">
        <f t="shared" si="0"/>
        <v>Northeast</v>
      </c>
      <c r="R13" s="14" t="str">
        <f t="shared" si="1"/>
        <v>EndTerrace</v>
      </c>
      <c r="V13" s="14" t="str">
        <f t="shared" si="2"/>
        <v>MidFloorFlat</v>
      </c>
    </row>
    <row r="14" spans="2:22" s="6" customFormat="1" ht="11.4" x14ac:dyDescent="0.2">
      <c r="B14" s="29" t="s">
        <v>66</v>
      </c>
      <c r="C14" s="4" t="s">
        <v>256</v>
      </c>
      <c r="D14" s="15"/>
      <c r="F14" s="63" t="s">
        <v>450</v>
      </c>
      <c r="H14" s="64" t="s">
        <v>156</v>
      </c>
      <c r="I14" s="77" t="s">
        <v>99</v>
      </c>
      <c r="J14" s="79" t="s">
        <v>99</v>
      </c>
      <c r="N14" s="14" t="str">
        <f t="shared" si="0"/>
        <v>Southwest</v>
      </c>
      <c r="R14" s="14" t="str">
        <f t="shared" si="1"/>
        <v>MidTerrace</v>
      </c>
      <c r="V14" s="14" t="str">
        <f t="shared" si="2"/>
        <v>MidFloorFlat</v>
      </c>
    </row>
    <row r="15" spans="2:22" s="6" customFormat="1" ht="11.4" x14ac:dyDescent="0.2">
      <c r="B15" s="30" t="s">
        <v>67</v>
      </c>
      <c r="C15" s="4" t="s">
        <v>255</v>
      </c>
      <c r="D15" s="15"/>
      <c r="F15" s="63" t="s">
        <v>451</v>
      </c>
      <c r="H15" s="64" t="s">
        <v>156</v>
      </c>
      <c r="I15" s="78" t="s">
        <v>99</v>
      </c>
      <c r="J15" s="79" t="s">
        <v>99</v>
      </c>
      <c r="N15" s="14" t="str">
        <f t="shared" si="0"/>
        <v>Southwest</v>
      </c>
      <c r="R15" s="14" t="str">
        <f t="shared" si="1"/>
        <v>MidTerrace</v>
      </c>
      <c r="V15" s="14" t="str">
        <f t="shared" si="2"/>
        <v>MidFloorFlat</v>
      </c>
    </row>
    <row r="16" spans="2:22" s="6" customFormat="1" ht="11.4" x14ac:dyDescent="0.2">
      <c r="B16" s="30" t="s">
        <v>68</v>
      </c>
      <c r="C16" s="4" t="s">
        <v>256</v>
      </c>
      <c r="D16" s="15"/>
      <c r="F16" s="63" t="s">
        <v>452</v>
      </c>
      <c r="H16" s="64" t="s">
        <v>156</v>
      </c>
      <c r="I16" s="78" t="s">
        <v>99</v>
      </c>
      <c r="J16" s="79" t="s">
        <v>99</v>
      </c>
      <c r="N16" s="14" t="str">
        <f t="shared" si="0"/>
        <v>Southwest</v>
      </c>
      <c r="R16" s="14" t="str">
        <f t="shared" si="1"/>
        <v>MidTerrace</v>
      </c>
      <c r="V16" s="14" t="str">
        <f t="shared" si="2"/>
        <v>MidFloorFlat</v>
      </c>
    </row>
    <row r="17" spans="2:23" s="6" customFormat="1" ht="11.4" x14ac:dyDescent="0.2">
      <c r="B17" s="30" t="s">
        <v>2</v>
      </c>
      <c r="C17" s="4" t="s">
        <v>255</v>
      </c>
      <c r="D17" s="15"/>
      <c r="F17" s="63" t="s">
        <v>453</v>
      </c>
      <c r="H17" s="64" t="s">
        <v>157</v>
      </c>
      <c r="I17" s="77" t="s">
        <v>98</v>
      </c>
      <c r="J17" s="79" t="s">
        <v>99</v>
      </c>
      <c r="N17" s="14" t="str">
        <f t="shared" si="0"/>
        <v>Northwest</v>
      </c>
      <c r="R17" s="14" t="str">
        <f t="shared" si="1"/>
        <v>EndTerrace</v>
      </c>
      <c r="V17" s="14" t="str">
        <f t="shared" si="2"/>
        <v>MidFloorFlat</v>
      </c>
    </row>
    <row r="18" spans="2:23" s="6" customFormat="1" ht="11.4" x14ac:dyDescent="0.2">
      <c r="B18" s="30" t="s">
        <v>3</v>
      </c>
      <c r="C18" s="4" t="s">
        <v>256</v>
      </c>
      <c r="D18" s="15"/>
      <c r="F18" s="63" t="s">
        <v>454</v>
      </c>
      <c r="H18" s="64" t="s">
        <v>157</v>
      </c>
      <c r="I18" s="78" t="s">
        <v>99</v>
      </c>
      <c r="J18" s="79" t="s">
        <v>99</v>
      </c>
      <c r="N18" s="14" t="str">
        <f t="shared" si="0"/>
        <v>Northwest</v>
      </c>
      <c r="R18" s="14" t="str">
        <f t="shared" si="1"/>
        <v>MidTerrace</v>
      </c>
      <c r="V18" s="14" t="str">
        <f t="shared" si="2"/>
        <v>MidFloorFlat</v>
      </c>
    </row>
    <row r="19" spans="2:23" s="6" customFormat="1" ht="11.4" x14ac:dyDescent="0.2">
      <c r="B19" s="30" t="s">
        <v>4</v>
      </c>
      <c r="C19" s="4" t="s">
        <v>256</v>
      </c>
      <c r="D19" s="15"/>
      <c r="F19" s="63" t="s">
        <v>455</v>
      </c>
      <c r="H19" s="64" t="s">
        <v>157</v>
      </c>
      <c r="I19" s="77" t="s">
        <v>98</v>
      </c>
      <c r="J19" s="79" t="s">
        <v>99</v>
      </c>
      <c r="N19" s="14" t="str">
        <f t="shared" si="0"/>
        <v>Northwest</v>
      </c>
      <c r="R19" s="14" t="str">
        <f t="shared" si="1"/>
        <v>EndTerrace</v>
      </c>
      <c r="V19" s="14" t="str">
        <f t="shared" si="2"/>
        <v>MidFloorFlat</v>
      </c>
    </row>
    <row r="20" spans="2:23" s="6" customFormat="1" ht="11.4" x14ac:dyDescent="0.2">
      <c r="B20" s="30" t="s">
        <v>1</v>
      </c>
      <c r="C20" s="4" t="s">
        <v>256</v>
      </c>
      <c r="D20" s="15"/>
      <c r="F20" s="63" t="s">
        <v>456</v>
      </c>
      <c r="H20" s="64" t="s">
        <v>155</v>
      </c>
      <c r="I20" s="78" t="s">
        <v>98</v>
      </c>
      <c r="J20" s="79" t="s">
        <v>99</v>
      </c>
      <c r="N20" s="14" t="str">
        <f t="shared" si="0"/>
        <v>Southeast</v>
      </c>
      <c r="R20" s="14" t="str">
        <f t="shared" si="1"/>
        <v>EndTerrace</v>
      </c>
      <c r="V20" s="14" t="str">
        <f t="shared" si="2"/>
        <v>MidFloorFlat</v>
      </c>
    </row>
    <row r="21" spans="2:23" s="6" customFormat="1" ht="11.4" x14ac:dyDescent="0.2">
      <c r="B21" s="31" t="s">
        <v>221</v>
      </c>
      <c r="C21" s="4" t="s">
        <v>255</v>
      </c>
      <c r="D21" s="15"/>
      <c r="F21" s="63" t="s">
        <v>457</v>
      </c>
      <c r="H21" s="64" t="s">
        <v>157</v>
      </c>
      <c r="I21" s="78" t="s">
        <v>98</v>
      </c>
      <c r="J21" s="79" t="s">
        <v>101</v>
      </c>
      <c r="N21" s="14" t="str">
        <f t="shared" si="0"/>
        <v>Northwest</v>
      </c>
      <c r="R21" s="14" t="str">
        <f t="shared" si="1"/>
        <v>EndTerrace</v>
      </c>
      <c r="V21" s="14" t="str">
        <f t="shared" si="2"/>
        <v>TopFloorFlat</v>
      </c>
    </row>
    <row r="22" spans="2:23" s="6" customFormat="1" ht="11.4" x14ac:dyDescent="0.2">
      <c r="B22" s="31" t="s">
        <v>222</v>
      </c>
      <c r="C22" s="4" t="s">
        <v>256</v>
      </c>
      <c r="D22" s="15"/>
      <c r="F22" s="63" t="s">
        <v>458</v>
      </c>
      <c r="H22" s="64" t="s">
        <v>155</v>
      </c>
      <c r="I22" s="78" t="s">
        <v>98</v>
      </c>
      <c r="J22" s="79" t="s">
        <v>101</v>
      </c>
      <c r="N22" s="14" t="str">
        <f t="shared" si="0"/>
        <v>Southeast</v>
      </c>
      <c r="R22" s="14" t="str">
        <f t="shared" si="1"/>
        <v>EndTerrace</v>
      </c>
      <c r="V22" s="14" t="str">
        <f t="shared" si="2"/>
        <v>TopFloorFlat</v>
      </c>
    </row>
    <row r="23" spans="2:23" s="6" customFormat="1" ht="11.4" x14ac:dyDescent="0.2">
      <c r="B23" s="31" t="s">
        <v>223</v>
      </c>
      <c r="C23" s="4" t="s">
        <v>255</v>
      </c>
      <c r="D23" s="15"/>
      <c r="F23" s="63" t="s">
        <v>459</v>
      </c>
      <c r="H23" s="64" t="s">
        <v>157</v>
      </c>
      <c r="I23" s="77" t="s">
        <v>99</v>
      </c>
      <c r="J23" s="79" t="s">
        <v>101</v>
      </c>
      <c r="N23" s="14" t="str">
        <f t="shared" si="0"/>
        <v>Northwest</v>
      </c>
      <c r="R23" s="14" t="str">
        <f t="shared" si="1"/>
        <v>MidTerrace</v>
      </c>
      <c r="V23" s="14" t="str">
        <f t="shared" si="2"/>
        <v>TopFloorFlat</v>
      </c>
    </row>
    <row r="24" spans="2:23" s="6" customFormat="1" ht="11.4" x14ac:dyDescent="0.2">
      <c r="B24" s="32" t="s">
        <v>224</v>
      </c>
      <c r="C24" s="4" t="s">
        <v>255</v>
      </c>
      <c r="D24" s="15"/>
      <c r="F24" s="63" t="s">
        <v>460</v>
      </c>
      <c r="H24" s="64" t="s">
        <v>155</v>
      </c>
      <c r="I24" s="78" t="s">
        <v>99</v>
      </c>
      <c r="J24" s="79" t="s">
        <v>101</v>
      </c>
      <c r="N24" s="14" t="str">
        <f t="shared" si="0"/>
        <v>Southeast</v>
      </c>
      <c r="R24" s="14" t="str">
        <f t="shared" si="1"/>
        <v>MidTerrace</v>
      </c>
      <c r="V24" s="14" t="str">
        <f t="shared" si="2"/>
        <v>TopFloorFlat</v>
      </c>
    </row>
    <row r="25" spans="2:23" s="6" customFormat="1" ht="11.4" x14ac:dyDescent="0.2">
      <c r="B25" s="32" t="s">
        <v>225</v>
      </c>
      <c r="C25" s="4" t="s">
        <v>256</v>
      </c>
      <c r="D25" s="15"/>
      <c r="F25" s="63" t="s">
        <v>461</v>
      </c>
      <c r="H25" s="64" t="s">
        <v>157</v>
      </c>
      <c r="I25" s="78" t="s">
        <v>99</v>
      </c>
      <c r="J25" s="79" t="s">
        <v>101</v>
      </c>
      <c r="N25" s="14" t="str">
        <f t="shared" si="0"/>
        <v>Northwest</v>
      </c>
      <c r="R25" s="14" t="str">
        <f t="shared" si="1"/>
        <v>MidTerrace</v>
      </c>
      <c r="V25" s="14" t="str">
        <f t="shared" si="2"/>
        <v>TopFloorFlat</v>
      </c>
    </row>
    <row r="26" spans="2:23" s="6" customFormat="1" x14ac:dyDescent="0.25">
      <c r="B26" s="32" t="s">
        <v>226</v>
      </c>
      <c r="C26" s="4" t="s">
        <v>255</v>
      </c>
      <c r="D26" s="15"/>
      <c r="F26" t="s">
        <v>462</v>
      </c>
      <c r="H26" s="64" t="s">
        <v>155</v>
      </c>
      <c r="I26" s="78" t="s">
        <v>99</v>
      </c>
      <c r="J26" s="79" t="s">
        <v>101</v>
      </c>
      <c r="N26" s="14" t="str">
        <f t="shared" si="0"/>
        <v>Southeast</v>
      </c>
      <c r="O26"/>
      <c r="P26"/>
      <c r="Q26"/>
      <c r="R26" s="14" t="str">
        <f t="shared" si="1"/>
        <v>MidTerrace</v>
      </c>
      <c r="S26"/>
      <c r="T26"/>
      <c r="U26"/>
      <c r="V26" s="14" t="str">
        <f t="shared" si="2"/>
        <v>TopFloorFlat</v>
      </c>
      <c r="W26"/>
    </row>
    <row r="27" spans="2:23" s="6" customFormat="1" x14ac:dyDescent="0.25">
      <c r="B27" s="30" t="s">
        <v>5</v>
      </c>
      <c r="C27" s="4" t="s">
        <v>256</v>
      </c>
      <c r="D27" s="15" t="s">
        <v>259</v>
      </c>
      <c r="F27" t="s">
        <v>463</v>
      </c>
      <c r="H27" s="64" t="s">
        <v>155</v>
      </c>
      <c r="I27" s="77" t="s">
        <v>99</v>
      </c>
      <c r="J27" s="79" t="s">
        <v>99</v>
      </c>
      <c r="N27" s="14" t="str">
        <f t="shared" si="0"/>
        <v>Southeast</v>
      </c>
      <c r="O27"/>
      <c r="P27"/>
      <c r="Q27"/>
      <c r="R27" s="14" t="str">
        <f t="shared" si="1"/>
        <v>MidTerrace</v>
      </c>
      <c r="S27"/>
      <c r="T27"/>
      <c r="U27"/>
      <c r="V27" s="14" t="str">
        <f t="shared" si="2"/>
        <v>MidFloorFlat</v>
      </c>
      <c r="W27"/>
    </row>
    <row r="28" spans="2:23" s="6" customFormat="1" x14ac:dyDescent="0.25">
      <c r="B28" s="30" t="s">
        <v>6</v>
      </c>
      <c r="C28" s="4" t="s">
        <v>255</v>
      </c>
      <c r="D28" s="15" t="s">
        <v>259</v>
      </c>
      <c r="F28" t="s">
        <v>464</v>
      </c>
      <c r="H28" s="64" t="s">
        <v>155</v>
      </c>
      <c r="I28" s="78" t="s">
        <v>99</v>
      </c>
      <c r="J28" s="79" t="s">
        <v>99</v>
      </c>
      <c r="N28" s="14" t="str">
        <f t="shared" si="0"/>
        <v>Southeast</v>
      </c>
      <c r="O28"/>
      <c r="P28"/>
      <c r="Q28"/>
      <c r="R28" s="14" t="str">
        <f t="shared" si="1"/>
        <v>MidTerrace</v>
      </c>
      <c r="S28"/>
      <c r="T28"/>
      <c r="U28"/>
      <c r="V28" s="14" t="str">
        <f t="shared" si="2"/>
        <v>MidFloorFlat</v>
      </c>
      <c r="W28"/>
    </row>
    <row r="29" spans="2:23" s="6" customFormat="1" x14ac:dyDescent="0.25">
      <c r="B29" s="30" t="s">
        <v>13</v>
      </c>
      <c r="C29" s="4" t="s">
        <v>255</v>
      </c>
      <c r="D29" s="15" t="s">
        <v>259</v>
      </c>
      <c r="F29" t="s">
        <v>465</v>
      </c>
      <c r="H29" s="64" t="s">
        <v>154</v>
      </c>
      <c r="I29" s="78" t="s">
        <v>98</v>
      </c>
      <c r="J29" s="79" t="s">
        <v>101</v>
      </c>
      <c r="N29" s="14" t="str">
        <f t="shared" si="0"/>
        <v>Northeast</v>
      </c>
      <c r="O29"/>
      <c r="P29"/>
      <c r="Q29"/>
      <c r="R29" s="14" t="str">
        <f t="shared" si="1"/>
        <v>EndTerrace</v>
      </c>
      <c r="S29"/>
      <c r="T29"/>
      <c r="U29"/>
      <c r="V29" s="14" t="str">
        <f t="shared" si="2"/>
        <v>TopFloorFlat</v>
      </c>
      <c r="W29"/>
    </row>
    <row r="30" spans="2:23" s="6" customFormat="1" x14ac:dyDescent="0.25">
      <c r="B30" s="30" t="s">
        <v>10</v>
      </c>
      <c r="C30" s="4" t="s">
        <v>256</v>
      </c>
      <c r="D30" s="15"/>
      <c r="F30" t="s">
        <v>466</v>
      </c>
      <c r="H30" s="64" t="s">
        <v>157</v>
      </c>
      <c r="I30" s="78" t="s">
        <v>98</v>
      </c>
      <c r="J30" s="79" t="s">
        <v>101</v>
      </c>
      <c r="N30" s="14" t="str">
        <f t="shared" si="0"/>
        <v>Northwest</v>
      </c>
      <c r="O30"/>
      <c r="P30"/>
      <c r="Q30"/>
      <c r="R30" s="14" t="str">
        <f t="shared" si="1"/>
        <v>EndTerrace</v>
      </c>
      <c r="S30"/>
      <c r="T30"/>
      <c r="U30"/>
      <c r="V30" s="14" t="str">
        <f t="shared" si="2"/>
        <v>TopFloorFlat</v>
      </c>
      <c r="W30"/>
    </row>
    <row r="31" spans="2:23" s="6" customFormat="1" x14ac:dyDescent="0.25">
      <c r="B31" s="30" t="s">
        <v>11</v>
      </c>
      <c r="C31" s="4" t="s">
        <v>255</v>
      </c>
      <c r="D31" s="15"/>
      <c r="F31" t="s">
        <v>467</v>
      </c>
      <c r="H31" s="64" t="s">
        <v>154</v>
      </c>
      <c r="I31" s="77" t="s">
        <v>99</v>
      </c>
      <c r="J31" s="79" t="s">
        <v>99</v>
      </c>
      <c r="N31" s="14" t="str">
        <f t="shared" si="0"/>
        <v>Northeast</v>
      </c>
      <c r="O31"/>
      <c r="P31"/>
      <c r="Q31"/>
      <c r="R31" s="14" t="str">
        <f t="shared" si="1"/>
        <v>MidTerrace</v>
      </c>
      <c r="S31"/>
      <c r="T31"/>
      <c r="U31"/>
      <c r="V31" s="14" t="str">
        <f t="shared" si="2"/>
        <v>MidFloorFlat</v>
      </c>
      <c r="W31"/>
    </row>
    <row r="32" spans="2:23" s="6" customFormat="1" x14ac:dyDescent="0.25">
      <c r="B32" s="30" t="s">
        <v>7</v>
      </c>
      <c r="C32" s="4" t="s">
        <v>256</v>
      </c>
      <c r="D32" s="15"/>
      <c r="F32" t="s">
        <v>468</v>
      </c>
      <c r="H32" s="64" t="s">
        <v>156</v>
      </c>
      <c r="I32" s="78" t="s">
        <v>99</v>
      </c>
      <c r="J32" s="79" t="s">
        <v>99</v>
      </c>
      <c r="N32" s="14" t="str">
        <f t="shared" si="0"/>
        <v>Southwest</v>
      </c>
      <c r="O32"/>
      <c r="P32"/>
      <c r="Q32"/>
      <c r="R32" s="14" t="str">
        <f t="shared" si="1"/>
        <v>MidTerrace</v>
      </c>
      <c r="S32"/>
      <c r="T32"/>
      <c r="U32"/>
      <c r="V32" s="14" t="str">
        <f t="shared" si="2"/>
        <v>MidFloorFlat</v>
      </c>
      <c r="W32"/>
    </row>
    <row r="33" spans="2:23" s="6" customFormat="1" x14ac:dyDescent="0.25">
      <c r="B33" s="30" t="s">
        <v>9</v>
      </c>
      <c r="C33" s="4" t="s">
        <v>256</v>
      </c>
      <c r="D33" s="15"/>
      <c r="E33"/>
      <c r="F33" t="s">
        <v>469</v>
      </c>
      <c r="H33" s="64" t="s">
        <v>156</v>
      </c>
      <c r="I33" s="78" t="s">
        <v>99</v>
      </c>
      <c r="J33" s="79" t="s">
        <v>99</v>
      </c>
      <c r="N33" s="14" t="str">
        <f t="shared" si="0"/>
        <v>Southwest</v>
      </c>
      <c r="O33"/>
      <c r="P33"/>
      <c r="Q33"/>
      <c r="R33" s="14" t="str">
        <f t="shared" si="1"/>
        <v>MidTerrace</v>
      </c>
      <c r="S33"/>
      <c r="T33"/>
      <c r="U33"/>
      <c r="V33" s="14" t="str">
        <f t="shared" si="2"/>
        <v>MidFloorFlat</v>
      </c>
      <c r="W33"/>
    </row>
    <row r="34" spans="2:23" s="6" customFormat="1" ht="14.4" thickBot="1" x14ac:dyDescent="0.3">
      <c r="E34"/>
      <c r="F34" t="s">
        <v>470</v>
      </c>
      <c r="H34" s="64" t="s">
        <v>154</v>
      </c>
      <c r="I34" s="78" t="s">
        <v>99</v>
      </c>
      <c r="J34" s="79" t="s">
        <v>99</v>
      </c>
      <c r="N34" s="14" t="str">
        <f t="shared" si="0"/>
        <v>Northeast</v>
      </c>
      <c r="O34"/>
      <c r="P34"/>
      <c r="Q34"/>
      <c r="R34" s="14" t="str">
        <f t="shared" si="1"/>
        <v>MidTerrace</v>
      </c>
      <c r="S34"/>
      <c r="T34"/>
      <c r="U34"/>
      <c r="V34" s="14" t="str">
        <f t="shared" si="2"/>
        <v>MidFloorFlat</v>
      </c>
      <c r="W34"/>
    </row>
    <row r="35" spans="2:23" s="6" customFormat="1" x14ac:dyDescent="0.25">
      <c r="B35" s="51" t="s">
        <v>269</v>
      </c>
      <c r="C35" s="52"/>
      <c r="D35" s="53"/>
      <c r="E35"/>
      <c r="F35" t="s">
        <v>471</v>
      </c>
      <c r="H35" s="64" t="s">
        <v>156</v>
      </c>
      <c r="I35" s="77" t="s">
        <v>99</v>
      </c>
      <c r="J35" s="79" t="s">
        <v>99</v>
      </c>
      <c r="N35" s="14" t="str">
        <f t="shared" si="0"/>
        <v>Southwest</v>
      </c>
      <c r="O35"/>
      <c r="P35"/>
      <c r="Q35"/>
      <c r="R35" s="14" t="str">
        <f t="shared" si="1"/>
        <v>MidTerrace</v>
      </c>
      <c r="S35"/>
      <c r="T35"/>
      <c r="U35"/>
      <c r="V35" s="14" t="str">
        <f t="shared" si="2"/>
        <v>MidFloorFlat</v>
      </c>
      <c r="W35"/>
    </row>
    <row r="36" spans="2:23" s="6" customFormat="1" ht="14.4" thickBot="1" x14ac:dyDescent="0.3">
      <c r="B36" s="54" t="s">
        <v>268</v>
      </c>
      <c r="C36" s="55"/>
      <c r="D36" s="56"/>
      <c r="E36"/>
      <c r="F36" t="s">
        <v>472</v>
      </c>
      <c r="H36" s="64" t="s">
        <v>157</v>
      </c>
      <c r="I36" s="78" t="s">
        <v>98</v>
      </c>
      <c r="J36" s="79" t="s">
        <v>99</v>
      </c>
      <c r="N36" s="14" t="str">
        <f t="shared" si="0"/>
        <v>Northwest</v>
      </c>
      <c r="O36"/>
      <c r="P36"/>
      <c r="Q36"/>
      <c r="R36" s="14" t="str">
        <f t="shared" si="1"/>
        <v>EndTerrace</v>
      </c>
      <c r="S36"/>
      <c r="T36"/>
      <c r="U36"/>
      <c r="V36" s="14" t="str">
        <f t="shared" si="2"/>
        <v>MidFloorFlat</v>
      </c>
      <c r="W36"/>
    </row>
    <row r="37" spans="2:23" s="6" customFormat="1" x14ac:dyDescent="0.25">
      <c r="C37"/>
      <c r="D37"/>
      <c r="F37" t="s">
        <v>473</v>
      </c>
      <c r="H37" s="64" t="s">
        <v>157</v>
      </c>
      <c r="I37" s="78" t="s">
        <v>99</v>
      </c>
      <c r="J37" s="79" t="s">
        <v>99</v>
      </c>
      <c r="N37" s="14" t="str">
        <f t="shared" si="0"/>
        <v>Northwest</v>
      </c>
      <c r="O37"/>
      <c r="P37"/>
      <c r="Q37"/>
      <c r="R37" s="14" t="str">
        <f t="shared" si="1"/>
        <v>MidTerrace</v>
      </c>
      <c r="S37"/>
      <c r="T37"/>
      <c r="U37"/>
      <c r="V37" s="14" t="str">
        <f t="shared" si="2"/>
        <v>MidFloorFlat</v>
      </c>
      <c r="W37"/>
    </row>
    <row r="38" spans="2:23" s="6" customFormat="1" x14ac:dyDescent="0.25">
      <c r="C38"/>
      <c r="D38"/>
      <c r="F38" t="s">
        <v>474</v>
      </c>
      <c r="H38" s="64" t="s">
        <v>157</v>
      </c>
      <c r="I38" s="78" t="s">
        <v>98</v>
      </c>
      <c r="J38" s="79" t="s">
        <v>99</v>
      </c>
      <c r="N38" s="14" t="str">
        <f t="shared" si="0"/>
        <v>Northwest</v>
      </c>
      <c r="O38"/>
      <c r="P38"/>
      <c r="Q38"/>
      <c r="R38" s="14" t="str">
        <f t="shared" si="1"/>
        <v>EndTerrace</v>
      </c>
      <c r="S38"/>
      <c r="T38"/>
      <c r="U38"/>
      <c r="V38" s="14" t="str">
        <f t="shared" si="2"/>
        <v>MidFloorFlat</v>
      </c>
      <c r="W38"/>
    </row>
    <row r="39" spans="2:23" s="6" customFormat="1" x14ac:dyDescent="0.25">
      <c r="C39"/>
      <c r="D39"/>
      <c r="F39" t="s">
        <v>475</v>
      </c>
      <c r="H39" s="64" t="s">
        <v>155</v>
      </c>
      <c r="I39" s="77" t="s">
        <v>98</v>
      </c>
      <c r="J39" s="79" t="s">
        <v>99</v>
      </c>
      <c r="N39" s="14" t="str">
        <f t="shared" si="0"/>
        <v>Southeast</v>
      </c>
      <c r="O39"/>
      <c r="P39"/>
      <c r="Q39"/>
      <c r="R39" s="14" t="str">
        <f t="shared" si="1"/>
        <v>EndTerrace</v>
      </c>
      <c r="S39"/>
      <c r="T39"/>
      <c r="U39"/>
      <c r="V39" s="14" t="str">
        <f t="shared" si="2"/>
        <v>MidFloorFlat</v>
      </c>
      <c r="W39"/>
    </row>
    <row r="40" spans="2:23" s="6" customFormat="1" x14ac:dyDescent="0.25">
      <c r="C40"/>
      <c r="D40"/>
      <c r="F40" t="s">
        <v>476</v>
      </c>
      <c r="H40" s="64" t="s">
        <v>155</v>
      </c>
      <c r="I40" s="78" t="s">
        <v>99</v>
      </c>
      <c r="J40" s="79" t="s">
        <v>99</v>
      </c>
      <c r="N40" s="14" t="str">
        <f t="shared" si="0"/>
        <v>Southeast</v>
      </c>
      <c r="O40"/>
      <c r="P40"/>
      <c r="Q40"/>
      <c r="R40" s="14" t="str">
        <f t="shared" si="1"/>
        <v>MidTerrace</v>
      </c>
      <c r="S40"/>
      <c r="T40"/>
      <c r="U40"/>
      <c r="V40" s="14" t="str">
        <f t="shared" si="2"/>
        <v>MidFloorFlat</v>
      </c>
      <c r="W40"/>
    </row>
    <row r="41" spans="2:23" s="6" customFormat="1" x14ac:dyDescent="0.25">
      <c r="F41" t="s">
        <v>477</v>
      </c>
      <c r="H41" s="64" t="s">
        <v>155</v>
      </c>
      <c r="I41" s="78" t="s">
        <v>98</v>
      </c>
      <c r="J41" s="79" t="s">
        <v>99</v>
      </c>
      <c r="N41" s="14" t="str">
        <f t="shared" si="0"/>
        <v>Southeast</v>
      </c>
      <c r="O41"/>
      <c r="P41"/>
      <c r="Q41"/>
      <c r="R41" s="14" t="str">
        <f t="shared" si="1"/>
        <v>EndTerrace</v>
      </c>
      <c r="S41"/>
      <c r="T41"/>
      <c r="U41"/>
      <c r="V41" s="14" t="str">
        <f t="shared" si="2"/>
        <v>MidFloorFlat</v>
      </c>
      <c r="W41"/>
    </row>
    <row r="42" spans="2:23" s="6" customFormat="1" x14ac:dyDescent="0.25">
      <c r="F42" t="s">
        <v>478</v>
      </c>
      <c r="H42" s="64" t="s">
        <v>154</v>
      </c>
      <c r="I42" s="78" t="s">
        <v>99</v>
      </c>
      <c r="J42" s="79" t="s">
        <v>99</v>
      </c>
      <c r="N42" s="14" t="str">
        <f t="shared" si="0"/>
        <v>Northeast</v>
      </c>
      <c r="O42"/>
      <c r="P42"/>
      <c r="Q42"/>
      <c r="R42" s="14" t="str">
        <f t="shared" si="1"/>
        <v>MidTerrace</v>
      </c>
      <c r="S42"/>
      <c r="T42"/>
      <c r="U42"/>
      <c r="V42" s="14" t="str">
        <f t="shared" si="2"/>
        <v>MidFloorFlat</v>
      </c>
      <c r="W42"/>
    </row>
    <row r="43" spans="2:23" s="6" customFormat="1" x14ac:dyDescent="0.25">
      <c r="F43" t="s">
        <v>479</v>
      </c>
      <c r="H43" s="64" t="s">
        <v>156</v>
      </c>
      <c r="I43" s="77" t="s">
        <v>99</v>
      </c>
      <c r="J43" s="79" t="s">
        <v>99</v>
      </c>
      <c r="N43" s="14" t="str">
        <f t="shared" si="0"/>
        <v>Southwest</v>
      </c>
      <c r="O43"/>
      <c r="P43"/>
      <c r="Q43"/>
      <c r="R43" s="14" t="str">
        <f t="shared" si="1"/>
        <v>MidTerrace</v>
      </c>
      <c r="S43"/>
      <c r="T43"/>
      <c r="U43"/>
      <c r="V43" s="14" t="str">
        <f t="shared" si="2"/>
        <v>MidFloorFlat</v>
      </c>
      <c r="W43"/>
    </row>
    <row r="44" spans="2:23" s="6" customFormat="1" x14ac:dyDescent="0.25">
      <c r="F44" t="s">
        <v>480</v>
      </c>
      <c r="H44" s="64" t="s">
        <v>154</v>
      </c>
      <c r="I44" s="78" t="s">
        <v>99</v>
      </c>
      <c r="J44" s="79" t="s">
        <v>99</v>
      </c>
      <c r="N44" s="14" t="str">
        <f t="shared" si="0"/>
        <v>Northeast</v>
      </c>
      <c r="O44"/>
      <c r="P44"/>
      <c r="Q44"/>
      <c r="R44" s="14" t="str">
        <f t="shared" si="1"/>
        <v>MidTerrace</v>
      </c>
      <c r="S44"/>
      <c r="T44"/>
      <c r="U44"/>
      <c r="V44" s="14" t="str">
        <f t="shared" si="2"/>
        <v>MidFloorFlat</v>
      </c>
      <c r="W44"/>
    </row>
    <row r="45" spans="2:23" s="6" customFormat="1" x14ac:dyDescent="0.25">
      <c r="F45" t="s">
        <v>481</v>
      </c>
      <c r="H45" s="64" t="s">
        <v>156</v>
      </c>
      <c r="I45" s="78" t="s">
        <v>99</v>
      </c>
      <c r="J45" s="79" t="s">
        <v>99</v>
      </c>
      <c r="N45" s="14" t="str">
        <f t="shared" si="0"/>
        <v>Southwest</v>
      </c>
      <c r="O45"/>
      <c r="P45"/>
      <c r="Q45"/>
      <c r="R45" s="14" t="str">
        <f t="shared" si="1"/>
        <v>MidTerrace</v>
      </c>
      <c r="S45"/>
      <c r="T45"/>
      <c r="U45"/>
      <c r="V45" s="14" t="str">
        <f t="shared" si="2"/>
        <v>MidFloorFlat</v>
      </c>
      <c r="W45"/>
    </row>
    <row r="46" spans="2:23" s="6" customFormat="1" x14ac:dyDescent="0.25">
      <c r="F46" t="s">
        <v>482</v>
      </c>
      <c r="H46" s="64" t="s">
        <v>154</v>
      </c>
      <c r="I46" s="78" t="s">
        <v>99</v>
      </c>
      <c r="J46" s="79" t="s">
        <v>99</v>
      </c>
      <c r="N46" s="14" t="str">
        <f t="shared" si="0"/>
        <v>Northeast</v>
      </c>
      <c r="O46"/>
      <c r="P46"/>
      <c r="Q46"/>
      <c r="R46" s="14" t="str">
        <f t="shared" si="1"/>
        <v>MidTerrace</v>
      </c>
      <c r="S46"/>
      <c r="T46"/>
      <c r="U46"/>
      <c r="V46" s="14" t="str">
        <f t="shared" si="2"/>
        <v>MidFloorFlat</v>
      </c>
      <c r="W46"/>
    </row>
    <row r="47" spans="2:23" s="6" customFormat="1" x14ac:dyDescent="0.25">
      <c r="F47" t="s">
        <v>483</v>
      </c>
      <c r="H47" s="64" t="s">
        <v>156</v>
      </c>
      <c r="I47" s="77" t="s">
        <v>99</v>
      </c>
      <c r="J47" s="79" t="s">
        <v>99</v>
      </c>
      <c r="N47" s="14" t="str">
        <f t="shared" si="0"/>
        <v>Southwest</v>
      </c>
      <c r="O47"/>
      <c r="P47"/>
      <c r="Q47"/>
      <c r="R47" s="14" t="str">
        <f t="shared" si="1"/>
        <v>MidTerrace</v>
      </c>
      <c r="S47"/>
      <c r="T47"/>
      <c r="U47"/>
      <c r="V47" s="14" t="str">
        <f t="shared" si="2"/>
        <v>MidFloorFlat</v>
      </c>
      <c r="W47"/>
    </row>
    <row r="48" spans="2:23" s="6" customFormat="1" x14ac:dyDescent="0.25">
      <c r="F48" t="s">
        <v>484</v>
      </c>
      <c r="H48" s="64" t="s">
        <v>157</v>
      </c>
      <c r="I48" s="78" t="s">
        <v>98</v>
      </c>
      <c r="J48" s="79" t="s">
        <v>99</v>
      </c>
      <c r="N48" s="14" t="str">
        <f t="shared" si="0"/>
        <v>Northwest</v>
      </c>
      <c r="O48"/>
      <c r="P48"/>
      <c r="Q48"/>
      <c r="R48" s="14" t="str">
        <f t="shared" si="1"/>
        <v>EndTerrace</v>
      </c>
      <c r="S48"/>
      <c r="T48"/>
      <c r="U48"/>
      <c r="V48" s="14" t="str">
        <f t="shared" si="2"/>
        <v>MidFloorFlat</v>
      </c>
      <c r="W48"/>
    </row>
    <row r="49" spans="6:23" s="6" customFormat="1" x14ac:dyDescent="0.25">
      <c r="F49" t="s">
        <v>485</v>
      </c>
      <c r="H49" s="64" t="s">
        <v>157</v>
      </c>
      <c r="I49" s="78" t="s">
        <v>99</v>
      </c>
      <c r="J49" s="79" t="s">
        <v>99</v>
      </c>
      <c r="N49" s="14" t="str">
        <f t="shared" si="0"/>
        <v>Northwest</v>
      </c>
      <c r="O49"/>
      <c r="P49"/>
      <c r="Q49"/>
      <c r="R49" s="14" t="str">
        <f t="shared" si="1"/>
        <v>MidTerrace</v>
      </c>
      <c r="S49"/>
      <c r="T49"/>
      <c r="U49"/>
      <c r="V49" s="14" t="str">
        <f t="shared" si="2"/>
        <v>MidFloorFlat</v>
      </c>
      <c r="W49"/>
    </row>
    <row r="50" spans="6:23" s="6" customFormat="1" x14ac:dyDescent="0.25">
      <c r="F50" t="s">
        <v>486</v>
      </c>
      <c r="H50" s="64" t="s">
        <v>157</v>
      </c>
      <c r="I50" s="78" t="s">
        <v>98</v>
      </c>
      <c r="J50" s="79" t="s">
        <v>99</v>
      </c>
      <c r="N50" s="14" t="str">
        <f t="shared" si="0"/>
        <v>Northwest</v>
      </c>
      <c r="O50"/>
      <c r="P50"/>
      <c r="Q50"/>
      <c r="R50" s="14" t="str">
        <f t="shared" si="1"/>
        <v>EndTerrace</v>
      </c>
      <c r="S50"/>
      <c r="T50"/>
      <c r="U50"/>
      <c r="V50" s="14" t="str">
        <f t="shared" si="2"/>
        <v>MidFloorFlat</v>
      </c>
      <c r="W50"/>
    </row>
    <row r="51" spans="6:23" s="6" customFormat="1" x14ac:dyDescent="0.25">
      <c r="F51" t="s">
        <v>487</v>
      </c>
      <c r="H51" s="64" t="s">
        <v>155</v>
      </c>
      <c r="I51" s="77" t="s">
        <v>98</v>
      </c>
      <c r="J51" s="79" t="s">
        <v>99</v>
      </c>
      <c r="N51" s="14" t="str">
        <f t="shared" si="0"/>
        <v>Southeast</v>
      </c>
      <c r="O51"/>
      <c r="P51"/>
      <c r="Q51"/>
      <c r="R51" s="14" t="str">
        <f t="shared" si="1"/>
        <v>EndTerrace</v>
      </c>
      <c r="S51"/>
      <c r="T51"/>
      <c r="U51"/>
      <c r="V51" s="14" t="str">
        <f t="shared" si="2"/>
        <v>MidFloorFlat</v>
      </c>
      <c r="W51"/>
    </row>
    <row r="52" spans="6:23" s="6" customFormat="1" x14ac:dyDescent="0.25">
      <c r="F52" t="s">
        <v>488</v>
      </c>
      <c r="H52" s="64" t="s">
        <v>155</v>
      </c>
      <c r="I52" s="78" t="s">
        <v>99</v>
      </c>
      <c r="J52" s="79" t="s">
        <v>99</v>
      </c>
      <c r="N52" s="14" t="str">
        <f t="shared" si="0"/>
        <v>Southeast</v>
      </c>
      <c r="O52"/>
      <c r="P52"/>
      <c r="Q52"/>
      <c r="R52" s="14" t="str">
        <f t="shared" si="1"/>
        <v>MidTerrace</v>
      </c>
      <c r="S52"/>
      <c r="T52"/>
      <c r="U52"/>
      <c r="V52" s="14" t="str">
        <f t="shared" si="2"/>
        <v>MidFloorFlat</v>
      </c>
      <c r="W52"/>
    </row>
    <row r="53" spans="6:23" s="6" customFormat="1" x14ac:dyDescent="0.25">
      <c r="F53" t="s">
        <v>489</v>
      </c>
      <c r="H53" s="64" t="s">
        <v>155</v>
      </c>
      <c r="I53" s="78" t="s">
        <v>98</v>
      </c>
      <c r="J53" s="79" t="s">
        <v>99</v>
      </c>
      <c r="N53" s="14" t="str">
        <f t="shared" si="0"/>
        <v>Southeast</v>
      </c>
      <c r="O53"/>
      <c r="P53"/>
      <c r="Q53"/>
      <c r="R53" s="14" t="str">
        <f t="shared" si="1"/>
        <v>EndTerrace</v>
      </c>
      <c r="S53"/>
      <c r="T53"/>
      <c r="U53"/>
      <c r="V53" s="14" t="str">
        <f t="shared" si="2"/>
        <v>MidFloorFlat</v>
      </c>
      <c r="W53"/>
    </row>
    <row r="54" spans="6:23" s="6" customFormat="1" x14ac:dyDescent="0.25">
      <c r="F54" t="s">
        <v>490</v>
      </c>
      <c r="H54" s="64" t="s">
        <v>154</v>
      </c>
      <c r="I54" s="78" t="s">
        <v>99</v>
      </c>
      <c r="J54" s="79" t="s">
        <v>99</v>
      </c>
      <c r="N54" s="14" t="str">
        <f t="shared" si="0"/>
        <v>Northeast</v>
      </c>
      <c r="O54"/>
      <c r="P54"/>
      <c r="Q54"/>
      <c r="R54" s="14" t="str">
        <f t="shared" si="1"/>
        <v>MidTerrace</v>
      </c>
      <c r="S54"/>
      <c r="T54"/>
      <c r="U54"/>
      <c r="V54" s="14" t="str">
        <f t="shared" si="2"/>
        <v>MidFloorFlat</v>
      </c>
      <c r="W54"/>
    </row>
    <row r="55" spans="6:23" s="6" customFormat="1" x14ac:dyDescent="0.25">
      <c r="F55" t="s">
        <v>491</v>
      </c>
      <c r="H55" s="64" t="s">
        <v>156</v>
      </c>
      <c r="I55" s="77" t="s">
        <v>99</v>
      </c>
      <c r="J55" s="79" t="s">
        <v>99</v>
      </c>
      <c r="N55" s="14" t="str">
        <f t="shared" si="0"/>
        <v>Southwest</v>
      </c>
      <c r="O55"/>
      <c r="P55"/>
      <c r="Q55"/>
      <c r="R55" s="14" t="str">
        <f t="shared" si="1"/>
        <v>MidTerrace</v>
      </c>
      <c r="S55"/>
      <c r="T55"/>
      <c r="U55"/>
      <c r="V55" s="14" t="str">
        <f t="shared" si="2"/>
        <v>MidFloorFlat</v>
      </c>
      <c r="W55"/>
    </row>
    <row r="56" spans="6:23" s="6" customFormat="1" x14ac:dyDescent="0.25">
      <c r="F56" t="s">
        <v>492</v>
      </c>
      <c r="H56" s="64" t="s">
        <v>154</v>
      </c>
      <c r="I56" s="78" t="s">
        <v>99</v>
      </c>
      <c r="J56" s="79" t="s">
        <v>99</v>
      </c>
      <c r="N56" s="14" t="str">
        <f t="shared" si="0"/>
        <v>Northeast</v>
      </c>
      <c r="O56"/>
      <c r="P56"/>
      <c r="Q56"/>
      <c r="R56" s="14" t="str">
        <f t="shared" si="1"/>
        <v>MidTerrace</v>
      </c>
      <c r="S56"/>
      <c r="T56"/>
      <c r="U56"/>
      <c r="V56" s="14" t="str">
        <f t="shared" si="2"/>
        <v>MidFloorFlat</v>
      </c>
      <c r="W56"/>
    </row>
    <row r="57" spans="6:23" s="6" customFormat="1" x14ac:dyDescent="0.25">
      <c r="F57" t="s">
        <v>493</v>
      </c>
      <c r="H57" s="64" t="s">
        <v>156</v>
      </c>
      <c r="I57" s="78" t="s">
        <v>99</v>
      </c>
      <c r="J57" s="79" t="s">
        <v>99</v>
      </c>
      <c r="N57" s="14" t="str">
        <f t="shared" si="0"/>
        <v>Southwest</v>
      </c>
      <c r="O57"/>
      <c r="P57"/>
      <c r="Q57"/>
      <c r="R57" s="14" t="str">
        <f t="shared" si="1"/>
        <v>MidTerrace</v>
      </c>
      <c r="S57"/>
      <c r="T57"/>
      <c r="U57"/>
      <c r="V57" s="14" t="str">
        <f t="shared" si="2"/>
        <v>MidFloorFlat</v>
      </c>
      <c r="W57"/>
    </row>
    <row r="58" spans="6:23" s="6" customFormat="1" x14ac:dyDescent="0.25">
      <c r="F58" t="s">
        <v>494</v>
      </c>
      <c r="H58" s="64" t="s">
        <v>154</v>
      </c>
      <c r="I58" s="78" t="s">
        <v>99</v>
      </c>
      <c r="J58" s="79" t="s">
        <v>99</v>
      </c>
      <c r="N58" s="14" t="str">
        <f t="shared" si="0"/>
        <v>Northeast</v>
      </c>
      <c r="O58"/>
      <c r="P58"/>
      <c r="Q58"/>
      <c r="R58" s="14" t="str">
        <f t="shared" si="1"/>
        <v>MidTerrace</v>
      </c>
      <c r="S58"/>
      <c r="T58"/>
      <c r="U58"/>
      <c r="V58" s="14" t="str">
        <f t="shared" si="2"/>
        <v>MidFloorFlat</v>
      </c>
      <c r="W58"/>
    </row>
    <row r="59" spans="6:23" s="6" customFormat="1" x14ac:dyDescent="0.25">
      <c r="F59" t="s">
        <v>495</v>
      </c>
      <c r="H59" s="64" t="s">
        <v>156</v>
      </c>
      <c r="I59" s="77" t="s">
        <v>99</v>
      </c>
      <c r="J59" s="79" t="s">
        <v>99</v>
      </c>
      <c r="N59" s="14" t="str">
        <f t="shared" si="0"/>
        <v>Southwest</v>
      </c>
      <c r="O59"/>
      <c r="P59"/>
      <c r="Q59"/>
      <c r="R59" s="14" t="str">
        <f t="shared" si="1"/>
        <v>MidTerrace</v>
      </c>
      <c r="S59"/>
      <c r="T59"/>
      <c r="U59"/>
      <c r="V59" s="14" t="str">
        <f t="shared" si="2"/>
        <v>MidFloorFlat</v>
      </c>
      <c r="W59"/>
    </row>
    <row r="60" spans="6:23" s="6" customFormat="1" x14ac:dyDescent="0.25">
      <c r="F60" t="s">
        <v>496</v>
      </c>
      <c r="H60" s="64" t="s">
        <v>157</v>
      </c>
      <c r="I60" s="78" t="s">
        <v>98</v>
      </c>
      <c r="J60" s="79" t="s">
        <v>99</v>
      </c>
      <c r="N60" s="14" t="str">
        <f t="shared" si="0"/>
        <v>Northwest</v>
      </c>
      <c r="O60"/>
      <c r="P60"/>
      <c r="Q60"/>
      <c r="R60" s="14" t="str">
        <f t="shared" si="1"/>
        <v>EndTerrace</v>
      </c>
      <c r="S60"/>
      <c r="T60"/>
      <c r="U60"/>
      <c r="V60" s="14" t="str">
        <f t="shared" si="2"/>
        <v>MidFloorFlat</v>
      </c>
      <c r="W60"/>
    </row>
    <row r="61" spans="6:23" s="6" customFormat="1" x14ac:dyDescent="0.25">
      <c r="F61" t="s">
        <v>497</v>
      </c>
      <c r="H61" s="64" t="s">
        <v>157</v>
      </c>
      <c r="I61" s="78" t="s">
        <v>99</v>
      </c>
      <c r="J61" s="79" t="s">
        <v>99</v>
      </c>
      <c r="N61" s="14" t="str">
        <f t="shared" si="0"/>
        <v>Northwest</v>
      </c>
      <c r="O61"/>
      <c r="P61"/>
      <c r="Q61"/>
      <c r="R61" s="14" t="str">
        <f t="shared" si="1"/>
        <v>MidTerrace</v>
      </c>
      <c r="S61"/>
      <c r="T61"/>
      <c r="U61"/>
      <c r="V61" s="14" t="str">
        <f t="shared" si="2"/>
        <v>MidFloorFlat</v>
      </c>
      <c r="W61"/>
    </row>
    <row r="62" spans="6:23" s="6" customFormat="1" x14ac:dyDescent="0.25">
      <c r="F62" t="s">
        <v>498</v>
      </c>
      <c r="H62" s="64" t="s">
        <v>157</v>
      </c>
      <c r="I62" s="78" t="s">
        <v>98</v>
      </c>
      <c r="J62" s="79" t="s">
        <v>99</v>
      </c>
      <c r="N62" s="14" t="str">
        <f t="shared" si="0"/>
        <v>Northwest</v>
      </c>
      <c r="O62"/>
      <c r="P62"/>
      <c r="Q62"/>
      <c r="R62" s="14" t="str">
        <f t="shared" si="1"/>
        <v>EndTerrace</v>
      </c>
      <c r="S62"/>
      <c r="T62"/>
      <c r="U62"/>
      <c r="V62" s="14" t="str">
        <f t="shared" si="2"/>
        <v>MidFloorFlat</v>
      </c>
      <c r="W62"/>
    </row>
    <row r="63" spans="6:23" s="6" customFormat="1" x14ac:dyDescent="0.25">
      <c r="F63" t="s">
        <v>499</v>
      </c>
      <c r="H63" s="64" t="s">
        <v>155</v>
      </c>
      <c r="I63" s="77" t="s">
        <v>98</v>
      </c>
      <c r="J63" s="79" t="s">
        <v>99</v>
      </c>
      <c r="N63" s="14" t="str">
        <f t="shared" si="0"/>
        <v>Southeast</v>
      </c>
      <c r="O63"/>
      <c r="P63"/>
      <c r="Q63"/>
      <c r="R63" s="14" t="str">
        <f t="shared" si="1"/>
        <v>EndTerrace</v>
      </c>
      <c r="S63"/>
      <c r="T63"/>
      <c r="U63"/>
      <c r="V63" s="14" t="str">
        <f t="shared" si="2"/>
        <v>MidFloorFlat</v>
      </c>
      <c r="W63"/>
    </row>
    <row r="64" spans="6:23" s="6" customFormat="1" x14ac:dyDescent="0.25">
      <c r="F64" t="s">
        <v>500</v>
      </c>
      <c r="H64" s="64" t="s">
        <v>155</v>
      </c>
      <c r="I64" s="78" t="s">
        <v>99</v>
      </c>
      <c r="J64" s="79" t="s">
        <v>99</v>
      </c>
      <c r="N64" s="14" t="str">
        <f t="shared" si="0"/>
        <v>Southeast</v>
      </c>
      <c r="O64"/>
      <c r="P64"/>
      <c r="Q64"/>
      <c r="R64" s="14" t="str">
        <f t="shared" si="1"/>
        <v>MidTerrace</v>
      </c>
      <c r="S64"/>
      <c r="T64"/>
      <c r="U64"/>
      <c r="V64" s="14" t="str">
        <f t="shared" si="2"/>
        <v>MidFloorFlat</v>
      </c>
      <c r="W64"/>
    </row>
    <row r="65" spans="6:23" s="6" customFormat="1" x14ac:dyDescent="0.25">
      <c r="F65" t="s">
        <v>501</v>
      </c>
      <c r="H65" s="64" t="s">
        <v>155</v>
      </c>
      <c r="I65" s="78" t="s">
        <v>98</v>
      </c>
      <c r="J65" s="79" t="s">
        <v>99</v>
      </c>
      <c r="N65" s="14" t="str">
        <f t="shared" si="0"/>
        <v>Southeast</v>
      </c>
      <c r="O65"/>
      <c r="P65"/>
      <c r="Q65"/>
      <c r="R65" s="14" t="str">
        <f t="shared" si="1"/>
        <v>EndTerrace</v>
      </c>
      <c r="S65"/>
      <c r="T65"/>
      <c r="U65"/>
      <c r="V65" s="14" t="str">
        <f t="shared" si="2"/>
        <v>MidFloorFlat</v>
      </c>
      <c r="W65"/>
    </row>
    <row r="66" spans="6:23" s="6" customFormat="1" x14ac:dyDescent="0.25">
      <c r="F66" t="s">
        <v>502</v>
      </c>
      <c r="H66" s="64" t="s">
        <v>154</v>
      </c>
      <c r="I66" s="78" t="s">
        <v>99</v>
      </c>
      <c r="J66" s="79" t="s">
        <v>99</v>
      </c>
      <c r="N66" s="14" t="str">
        <f t="shared" si="0"/>
        <v>Northeast</v>
      </c>
      <c r="O66"/>
      <c r="P66"/>
      <c r="Q66"/>
      <c r="R66" s="14" t="str">
        <f t="shared" si="1"/>
        <v>MidTerrace</v>
      </c>
      <c r="S66"/>
      <c r="T66"/>
      <c r="U66"/>
      <c r="V66" s="14" t="str">
        <f t="shared" si="2"/>
        <v>MidFloorFlat</v>
      </c>
      <c r="W66"/>
    </row>
    <row r="67" spans="6:23" s="6" customFormat="1" x14ac:dyDescent="0.25">
      <c r="F67" t="s">
        <v>503</v>
      </c>
      <c r="H67" s="64" t="s">
        <v>156</v>
      </c>
      <c r="I67" s="77" t="s">
        <v>99</v>
      </c>
      <c r="J67" s="79" t="s">
        <v>99</v>
      </c>
      <c r="N67" s="14" t="str">
        <f t="shared" si="0"/>
        <v>Southwest</v>
      </c>
      <c r="O67"/>
      <c r="P67"/>
      <c r="Q67"/>
      <c r="R67" s="14" t="str">
        <f t="shared" si="1"/>
        <v>MidTerrace</v>
      </c>
      <c r="S67"/>
      <c r="T67"/>
      <c r="U67"/>
      <c r="V67" s="14" t="str">
        <f t="shared" si="2"/>
        <v>MidFloorFlat</v>
      </c>
      <c r="W67"/>
    </row>
    <row r="68" spans="6:23" s="6" customFormat="1" x14ac:dyDescent="0.25">
      <c r="F68" t="s">
        <v>504</v>
      </c>
      <c r="H68" s="64" t="s">
        <v>154</v>
      </c>
      <c r="I68" s="78" t="s">
        <v>99</v>
      </c>
      <c r="J68" s="79" t="s">
        <v>99</v>
      </c>
      <c r="N68" s="14" t="str">
        <f t="shared" si="0"/>
        <v>Northeast</v>
      </c>
      <c r="O68"/>
      <c r="P68"/>
      <c r="Q68"/>
      <c r="R68" s="14" t="str">
        <f t="shared" si="1"/>
        <v>MidTerrace</v>
      </c>
      <c r="S68"/>
      <c r="T68"/>
      <c r="U68"/>
      <c r="V68" s="14" t="str">
        <f t="shared" si="2"/>
        <v>MidFloorFlat</v>
      </c>
      <c r="W68"/>
    </row>
    <row r="69" spans="6:23" s="6" customFormat="1" x14ac:dyDescent="0.25">
      <c r="F69" t="s">
        <v>505</v>
      </c>
      <c r="H69" s="64" t="s">
        <v>156</v>
      </c>
      <c r="I69" s="78" t="s">
        <v>99</v>
      </c>
      <c r="J69" s="79" t="s">
        <v>99</v>
      </c>
      <c r="N69" s="14" t="str">
        <f t="shared" si="0"/>
        <v>Southwest</v>
      </c>
      <c r="O69"/>
      <c r="P69"/>
      <c r="Q69"/>
      <c r="R69" s="14" t="str">
        <f t="shared" si="1"/>
        <v>MidTerrace</v>
      </c>
      <c r="S69"/>
      <c r="T69"/>
      <c r="U69"/>
      <c r="V69" s="14" t="str">
        <f t="shared" si="2"/>
        <v>MidFloorFlat</v>
      </c>
      <c r="W69"/>
    </row>
    <row r="70" spans="6:23" s="6" customFormat="1" x14ac:dyDescent="0.25">
      <c r="F70" t="s">
        <v>506</v>
      </c>
      <c r="H70" s="64" t="s">
        <v>154</v>
      </c>
      <c r="I70" s="78" t="s">
        <v>99</v>
      </c>
      <c r="J70" s="79" t="s">
        <v>99</v>
      </c>
      <c r="N70" s="14" t="str">
        <f t="shared" ref="N70:N99" si="3">_xlfn.XLOOKUP(H70,$L$5:$L$12,$M$5:$M$12)</f>
        <v>Northeast</v>
      </c>
      <c r="O70"/>
      <c r="P70"/>
      <c r="Q70"/>
      <c r="R70" s="14" t="str">
        <f t="shared" ref="R70:R99" si="4">_xlfn.XLOOKUP(I70,$P$5:$P$12,$Q$5:$Q$12)</f>
        <v>MidTerrace</v>
      </c>
      <c r="S70"/>
      <c r="T70"/>
      <c r="U70"/>
      <c r="V70" s="14" t="str">
        <f t="shared" ref="V70:V99" si="5">_xlfn.XLOOKUP(J70,$T$5:$T$12,$U$5:$U$12)</f>
        <v>MidFloorFlat</v>
      </c>
      <c r="W70"/>
    </row>
    <row r="71" spans="6:23" s="6" customFormat="1" x14ac:dyDescent="0.25">
      <c r="F71" t="s">
        <v>507</v>
      </c>
      <c r="H71" s="64" t="s">
        <v>156</v>
      </c>
      <c r="I71" s="77" t="s">
        <v>99</v>
      </c>
      <c r="J71" s="79" t="s">
        <v>99</v>
      </c>
      <c r="N71" s="14" t="str">
        <f t="shared" si="3"/>
        <v>Southwest</v>
      </c>
      <c r="O71"/>
      <c r="P71"/>
      <c r="Q71"/>
      <c r="R71" s="14" t="str">
        <f t="shared" si="4"/>
        <v>MidTerrace</v>
      </c>
      <c r="S71"/>
      <c r="T71"/>
      <c r="U71"/>
      <c r="V71" s="14" t="str">
        <f t="shared" si="5"/>
        <v>MidFloorFlat</v>
      </c>
      <c r="W71"/>
    </row>
    <row r="72" spans="6:23" s="6" customFormat="1" x14ac:dyDescent="0.25">
      <c r="F72" t="s">
        <v>508</v>
      </c>
      <c r="H72" s="64" t="s">
        <v>157</v>
      </c>
      <c r="I72" s="78" t="s">
        <v>98</v>
      </c>
      <c r="J72" s="79" t="s">
        <v>99</v>
      </c>
      <c r="N72" s="14" t="str">
        <f t="shared" si="3"/>
        <v>Northwest</v>
      </c>
      <c r="O72"/>
      <c r="P72"/>
      <c r="Q72"/>
      <c r="R72" s="14" t="str">
        <f t="shared" si="4"/>
        <v>EndTerrace</v>
      </c>
      <c r="S72"/>
      <c r="T72"/>
      <c r="U72"/>
      <c r="V72" s="14" t="str">
        <f t="shared" si="5"/>
        <v>MidFloorFlat</v>
      </c>
      <c r="W72"/>
    </row>
    <row r="73" spans="6:23" s="6" customFormat="1" x14ac:dyDescent="0.25">
      <c r="F73" t="s">
        <v>509</v>
      </c>
      <c r="H73" s="64" t="s">
        <v>157</v>
      </c>
      <c r="I73" s="78" t="s">
        <v>99</v>
      </c>
      <c r="J73" s="79" t="s">
        <v>99</v>
      </c>
      <c r="N73" s="14" t="str">
        <f t="shared" si="3"/>
        <v>Northwest</v>
      </c>
      <c r="O73"/>
      <c r="P73"/>
      <c r="Q73"/>
      <c r="R73" s="14" t="str">
        <f t="shared" si="4"/>
        <v>MidTerrace</v>
      </c>
      <c r="S73"/>
      <c r="T73"/>
      <c r="U73"/>
      <c r="V73" s="14" t="str">
        <f t="shared" si="5"/>
        <v>MidFloorFlat</v>
      </c>
      <c r="W73"/>
    </row>
    <row r="74" spans="6:23" s="6" customFormat="1" x14ac:dyDescent="0.25">
      <c r="F74" t="s">
        <v>510</v>
      </c>
      <c r="H74" s="64" t="s">
        <v>157</v>
      </c>
      <c r="I74" s="78" t="s">
        <v>98</v>
      </c>
      <c r="J74" s="79" t="s">
        <v>99</v>
      </c>
      <c r="N74" s="14" t="str">
        <f t="shared" si="3"/>
        <v>Northwest</v>
      </c>
      <c r="O74"/>
      <c r="P74"/>
      <c r="Q74"/>
      <c r="R74" s="14" t="str">
        <f t="shared" si="4"/>
        <v>EndTerrace</v>
      </c>
      <c r="S74"/>
      <c r="T74"/>
      <c r="U74"/>
      <c r="V74" s="14" t="str">
        <f t="shared" si="5"/>
        <v>MidFloorFlat</v>
      </c>
      <c r="W74"/>
    </row>
    <row r="75" spans="6:23" s="6" customFormat="1" x14ac:dyDescent="0.25">
      <c r="F75" t="s">
        <v>511</v>
      </c>
      <c r="H75" s="64" t="s">
        <v>155</v>
      </c>
      <c r="I75" s="77" t="s">
        <v>98</v>
      </c>
      <c r="J75" s="79" t="s">
        <v>99</v>
      </c>
      <c r="N75" s="14" t="str">
        <f t="shared" si="3"/>
        <v>Southeast</v>
      </c>
      <c r="O75"/>
      <c r="P75"/>
      <c r="Q75"/>
      <c r="R75" s="14" t="str">
        <f t="shared" si="4"/>
        <v>EndTerrace</v>
      </c>
      <c r="S75"/>
      <c r="T75"/>
      <c r="U75"/>
      <c r="V75" s="14" t="str">
        <f t="shared" si="5"/>
        <v>MidFloorFlat</v>
      </c>
      <c r="W75"/>
    </row>
    <row r="76" spans="6:23" s="6" customFormat="1" x14ac:dyDescent="0.25">
      <c r="F76" t="s">
        <v>512</v>
      </c>
      <c r="H76" s="64" t="s">
        <v>155</v>
      </c>
      <c r="I76" s="78" t="s">
        <v>99</v>
      </c>
      <c r="J76" s="79" t="s">
        <v>99</v>
      </c>
      <c r="N76" s="14" t="str">
        <f t="shared" si="3"/>
        <v>Southeast</v>
      </c>
      <c r="O76"/>
      <c r="P76"/>
      <c r="Q76"/>
      <c r="R76" s="14" t="str">
        <f t="shared" si="4"/>
        <v>MidTerrace</v>
      </c>
      <c r="S76"/>
      <c r="T76"/>
      <c r="U76"/>
      <c r="V76" s="14" t="str">
        <f t="shared" si="5"/>
        <v>MidFloorFlat</v>
      </c>
      <c r="W76"/>
    </row>
    <row r="77" spans="6:23" s="6" customFormat="1" x14ac:dyDescent="0.25">
      <c r="F77" t="s">
        <v>513</v>
      </c>
      <c r="H77" s="64" t="s">
        <v>155</v>
      </c>
      <c r="I77" s="78" t="s">
        <v>98</v>
      </c>
      <c r="J77" s="79" t="s">
        <v>99</v>
      </c>
      <c r="N77" s="14" t="str">
        <f t="shared" si="3"/>
        <v>Southeast</v>
      </c>
      <c r="O77"/>
      <c r="P77"/>
      <c r="Q77"/>
      <c r="R77" s="14" t="str">
        <f t="shared" si="4"/>
        <v>EndTerrace</v>
      </c>
      <c r="S77"/>
      <c r="T77"/>
      <c r="U77"/>
      <c r="V77" s="14" t="str">
        <f t="shared" si="5"/>
        <v>MidFloorFlat</v>
      </c>
      <c r="W77"/>
    </row>
    <row r="78" spans="6:23" s="6" customFormat="1" x14ac:dyDescent="0.25">
      <c r="F78" t="s">
        <v>514</v>
      </c>
      <c r="H78" s="64" t="s">
        <v>154</v>
      </c>
      <c r="I78" s="78" t="s">
        <v>99</v>
      </c>
      <c r="J78" s="79" t="s">
        <v>99</v>
      </c>
      <c r="N78" s="14" t="str">
        <f t="shared" si="3"/>
        <v>Northeast</v>
      </c>
      <c r="O78"/>
      <c r="P78"/>
      <c r="Q78"/>
      <c r="R78" s="14" t="str">
        <f t="shared" si="4"/>
        <v>MidTerrace</v>
      </c>
      <c r="S78"/>
      <c r="T78"/>
      <c r="U78"/>
      <c r="V78" s="14" t="str">
        <f t="shared" si="5"/>
        <v>MidFloorFlat</v>
      </c>
      <c r="W78"/>
    </row>
    <row r="79" spans="6:23" s="6" customFormat="1" x14ac:dyDescent="0.25">
      <c r="F79" t="s">
        <v>515</v>
      </c>
      <c r="H79" s="64" t="s">
        <v>156</v>
      </c>
      <c r="I79" s="77" t="s">
        <v>99</v>
      </c>
      <c r="J79" s="79" t="s">
        <v>99</v>
      </c>
      <c r="N79" s="14" t="str">
        <f t="shared" si="3"/>
        <v>Southwest</v>
      </c>
      <c r="O79"/>
      <c r="P79"/>
      <c r="Q79"/>
      <c r="R79" s="14" t="str">
        <f t="shared" si="4"/>
        <v>MidTerrace</v>
      </c>
      <c r="S79"/>
      <c r="T79"/>
      <c r="U79"/>
      <c r="V79" s="14" t="str">
        <f t="shared" si="5"/>
        <v>MidFloorFlat</v>
      </c>
      <c r="W79"/>
    </row>
    <row r="80" spans="6:23" s="6" customFormat="1" x14ac:dyDescent="0.25">
      <c r="F80" t="s">
        <v>516</v>
      </c>
      <c r="H80" s="64" t="s">
        <v>154</v>
      </c>
      <c r="I80" s="78" t="s">
        <v>99</v>
      </c>
      <c r="J80" s="79" t="s">
        <v>99</v>
      </c>
      <c r="N80" s="14" t="str">
        <f t="shared" si="3"/>
        <v>Northeast</v>
      </c>
      <c r="O80"/>
      <c r="P80"/>
      <c r="Q80"/>
      <c r="R80" s="14" t="str">
        <f t="shared" si="4"/>
        <v>MidTerrace</v>
      </c>
      <c r="S80"/>
      <c r="T80"/>
      <c r="U80"/>
      <c r="V80" s="14" t="str">
        <f t="shared" si="5"/>
        <v>MidFloorFlat</v>
      </c>
      <c r="W80"/>
    </row>
    <row r="81" spans="6:23" s="6" customFormat="1" x14ac:dyDescent="0.25">
      <c r="F81" t="s">
        <v>517</v>
      </c>
      <c r="H81" s="64" t="s">
        <v>156</v>
      </c>
      <c r="I81" s="78" t="s">
        <v>99</v>
      </c>
      <c r="J81" s="79" t="s">
        <v>99</v>
      </c>
      <c r="N81" s="14" t="str">
        <f t="shared" si="3"/>
        <v>Southwest</v>
      </c>
      <c r="O81"/>
      <c r="P81"/>
      <c r="Q81"/>
      <c r="R81" s="14" t="str">
        <f t="shared" si="4"/>
        <v>MidTerrace</v>
      </c>
      <c r="S81"/>
      <c r="T81"/>
      <c r="U81"/>
      <c r="V81" s="14" t="str">
        <f t="shared" si="5"/>
        <v>MidFloorFlat</v>
      </c>
      <c r="W81"/>
    </row>
    <row r="82" spans="6:23" s="6" customFormat="1" x14ac:dyDescent="0.25">
      <c r="F82" t="s">
        <v>518</v>
      </c>
      <c r="H82" s="64" t="s">
        <v>154</v>
      </c>
      <c r="I82" s="78" t="s">
        <v>99</v>
      </c>
      <c r="J82" s="79" t="s">
        <v>99</v>
      </c>
      <c r="N82" s="14" t="str">
        <f t="shared" si="3"/>
        <v>Northeast</v>
      </c>
      <c r="O82"/>
      <c r="P82"/>
      <c r="Q82"/>
      <c r="R82" s="14" t="str">
        <f t="shared" si="4"/>
        <v>MidTerrace</v>
      </c>
      <c r="S82"/>
      <c r="T82"/>
      <c r="U82"/>
      <c r="V82" s="14" t="str">
        <f t="shared" si="5"/>
        <v>MidFloorFlat</v>
      </c>
      <c r="W82"/>
    </row>
    <row r="83" spans="6:23" s="6" customFormat="1" x14ac:dyDescent="0.25">
      <c r="F83" t="s">
        <v>519</v>
      </c>
      <c r="H83" s="64" t="s">
        <v>156</v>
      </c>
      <c r="I83" s="77" t="s">
        <v>99</v>
      </c>
      <c r="J83" s="79" t="s">
        <v>99</v>
      </c>
      <c r="N83" s="14" t="str">
        <f t="shared" si="3"/>
        <v>Southwest</v>
      </c>
      <c r="O83"/>
      <c r="P83"/>
      <c r="Q83"/>
      <c r="R83" s="14" t="str">
        <f t="shared" si="4"/>
        <v>MidTerrace</v>
      </c>
      <c r="S83"/>
      <c r="T83"/>
      <c r="U83"/>
      <c r="V83" s="14" t="str">
        <f t="shared" si="5"/>
        <v>MidFloorFlat</v>
      </c>
      <c r="W83"/>
    </row>
    <row r="84" spans="6:23" s="6" customFormat="1" x14ac:dyDescent="0.25">
      <c r="F84" t="s">
        <v>520</v>
      </c>
      <c r="H84" s="64" t="s">
        <v>157</v>
      </c>
      <c r="I84" s="78" t="s">
        <v>98</v>
      </c>
      <c r="J84" s="79" t="s">
        <v>99</v>
      </c>
      <c r="N84" s="14" t="str">
        <f t="shared" si="3"/>
        <v>Northwest</v>
      </c>
      <c r="O84"/>
      <c r="P84"/>
      <c r="Q84"/>
      <c r="R84" s="14" t="str">
        <f t="shared" si="4"/>
        <v>EndTerrace</v>
      </c>
      <c r="S84"/>
      <c r="T84"/>
      <c r="U84"/>
      <c r="V84" s="14" t="str">
        <f t="shared" si="5"/>
        <v>MidFloorFlat</v>
      </c>
      <c r="W84"/>
    </row>
    <row r="85" spans="6:23" s="6" customFormat="1" x14ac:dyDescent="0.25">
      <c r="F85" t="s">
        <v>521</v>
      </c>
      <c r="H85" s="64" t="s">
        <v>157</v>
      </c>
      <c r="I85" s="78" t="s">
        <v>99</v>
      </c>
      <c r="J85" s="79" t="s">
        <v>99</v>
      </c>
      <c r="N85" s="14" t="str">
        <f t="shared" si="3"/>
        <v>Northwest</v>
      </c>
      <c r="O85"/>
      <c r="P85"/>
      <c r="Q85"/>
      <c r="R85" s="14" t="str">
        <f t="shared" si="4"/>
        <v>MidTerrace</v>
      </c>
      <c r="S85"/>
      <c r="T85"/>
      <c r="U85"/>
      <c r="V85" s="14" t="str">
        <f t="shared" si="5"/>
        <v>MidFloorFlat</v>
      </c>
      <c r="W85"/>
    </row>
    <row r="86" spans="6:23" s="6" customFormat="1" x14ac:dyDescent="0.25">
      <c r="F86" t="s">
        <v>522</v>
      </c>
      <c r="H86" s="64" t="s">
        <v>157</v>
      </c>
      <c r="I86" s="78" t="s">
        <v>98</v>
      </c>
      <c r="J86" s="79" t="s">
        <v>99</v>
      </c>
      <c r="N86" s="14" t="str">
        <f t="shared" si="3"/>
        <v>Northwest</v>
      </c>
      <c r="O86"/>
      <c r="P86"/>
      <c r="Q86"/>
      <c r="R86" s="14" t="str">
        <f t="shared" si="4"/>
        <v>EndTerrace</v>
      </c>
      <c r="S86"/>
      <c r="T86"/>
      <c r="U86"/>
      <c r="V86" s="14" t="str">
        <f t="shared" si="5"/>
        <v>MidFloorFlat</v>
      </c>
      <c r="W86"/>
    </row>
    <row r="87" spans="6:23" s="6" customFormat="1" x14ac:dyDescent="0.25">
      <c r="F87" t="s">
        <v>523</v>
      </c>
      <c r="H87" s="64" t="s">
        <v>155</v>
      </c>
      <c r="I87" s="77" t="s">
        <v>98</v>
      </c>
      <c r="J87" s="79" t="s">
        <v>99</v>
      </c>
      <c r="N87" s="14" t="str">
        <f t="shared" si="3"/>
        <v>Southeast</v>
      </c>
      <c r="O87"/>
      <c r="P87"/>
      <c r="Q87"/>
      <c r="R87" s="14" t="str">
        <f t="shared" si="4"/>
        <v>EndTerrace</v>
      </c>
      <c r="S87"/>
      <c r="T87"/>
      <c r="U87"/>
      <c r="V87" s="14" t="str">
        <f t="shared" si="5"/>
        <v>MidFloorFlat</v>
      </c>
      <c r="W87"/>
    </row>
    <row r="88" spans="6:23" s="6" customFormat="1" x14ac:dyDescent="0.25">
      <c r="F88" t="s">
        <v>524</v>
      </c>
      <c r="H88" s="64" t="s">
        <v>155</v>
      </c>
      <c r="I88" s="78" t="s">
        <v>99</v>
      </c>
      <c r="J88" s="79" t="s">
        <v>101</v>
      </c>
      <c r="N88" s="14" t="str">
        <f t="shared" si="3"/>
        <v>Southeast</v>
      </c>
      <c r="O88"/>
      <c r="P88"/>
      <c r="Q88"/>
      <c r="R88" s="14" t="str">
        <f t="shared" si="4"/>
        <v>MidTerrace</v>
      </c>
      <c r="S88"/>
      <c r="T88"/>
      <c r="U88"/>
      <c r="V88" s="14" t="str">
        <f t="shared" si="5"/>
        <v>TopFloorFlat</v>
      </c>
      <c r="W88"/>
    </row>
    <row r="89" spans="6:23" s="6" customFormat="1" x14ac:dyDescent="0.25">
      <c r="F89" t="s">
        <v>525</v>
      </c>
      <c r="H89" s="64" t="s">
        <v>155</v>
      </c>
      <c r="I89" s="78" t="s">
        <v>98</v>
      </c>
      <c r="J89" s="79" t="s">
        <v>101</v>
      </c>
      <c r="N89" s="14" t="str">
        <f t="shared" si="3"/>
        <v>Southeast</v>
      </c>
      <c r="O89"/>
      <c r="P89"/>
      <c r="Q89"/>
      <c r="R89" s="14" t="str">
        <f t="shared" si="4"/>
        <v>EndTerrace</v>
      </c>
      <c r="S89"/>
      <c r="T89"/>
      <c r="U89"/>
      <c r="V89" s="14" t="str">
        <f t="shared" si="5"/>
        <v>TopFloorFlat</v>
      </c>
      <c r="W89"/>
    </row>
    <row r="90" spans="6:23" s="6" customFormat="1" x14ac:dyDescent="0.25">
      <c r="F90" t="s">
        <v>526</v>
      </c>
      <c r="H90" s="64" t="s">
        <v>154</v>
      </c>
      <c r="I90" s="78" t="s">
        <v>99</v>
      </c>
      <c r="J90" s="79" t="s">
        <v>101</v>
      </c>
      <c r="N90" s="14" t="str">
        <f t="shared" si="3"/>
        <v>Northeast</v>
      </c>
      <c r="O90"/>
      <c r="P90"/>
      <c r="Q90"/>
      <c r="R90" s="14" t="str">
        <f t="shared" si="4"/>
        <v>MidTerrace</v>
      </c>
      <c r="S90"/>
      <c r="T90"/>
      <c r="U90"/>
      <c r="V90" s="14" t="str">
        <f t="shared" si="5"/>
        <v>TopFloorFlat</v>
      </c>
      <c r="W90"/>
    </row>
    <row r="91" spans="6:23" s="6" customFormat="1" x14ac:dyDescent="0.25">
      <c r="F91" t="s">
        <v>527</v>
      </c>
      <c r="H91" s="64" t="s">
        <v>156</v>
      </c>
      <c r="I91" s="77" t="s">
        <v>99</v>
      </c>
      <c r="J91" s="79" t="s">
        <v>101</v>
      </c>
      <c r="N91" s="14" t="str">
        <f t="shared" si="3"/>
        <v>Southwest</v>
      </c>
      <c r="O91"/>
      <c r="P91"/>
      <c r="Q91"/>
      <c r="R91" s="14" t="str">
        <f t="shared" si="4"/>
        <v>MidTerrace</v>
      </c>
      <c r="S91"/>
      <c r="T91"/>
      <c r="U91"/>
      <c r="V91" s="14" t="str">
        <f t="shared" si="5"/>
        <v>TopFloorFlat</v>
      </c>
      <c r="W91"/>
    </row>
    <row r="92" spans="6:23" s="6" customFormat="1" x14ac:dyDescent="0.25">
      <c r="F92" t="s">
        <v>528</v>
      </c>
      <c r="H92" s="64" t="s">
        <v>154</v>
      </c>
      <c r="I92" s="78" t="s">
        <v>99</v>
      </c>
      <c r="J92" s="79" t="s">
        <v>101</v>
      </c>
      <c r="N92" s="14" t="str">
        <f t="shared" si="3"/>
        <v>Northeast</v>
      </c>
      <c r="O92"/>
      <c r="P92"/>
      <c r="Q92"/>
      <c r="R92" s="14" t="str">
        <f t="shared" si="4"/>
        <v>MidTerrace</v>
      </c>
      <c r="S92"/>
      <c r="T92"/>
      <c r="U92"/>
      <c r="V92" s="14" t="str">
        <f t="shared" si="5"/>
        <v>TopFloorFlat</v>
      </c>
      <c r="W92"/>
    </row>
    <row r="93" spans="6:23" s="6" customFormat="1" x14ac:dyDescent="0.25">
      <c r="F93" t="s">
        <v>529</v>
      </c>
      <c r="H93" s="64" t="s">
        <v>156</v>
      </c>
      <c r="I93" s="78" t="s">
        <v>99</v>
      </c>
      <c r="J93" s="79" t="s">
        <v>101</v>
      </c>
      <c r="N93" s="14" t="str">
        <f t="shared" si="3"/>
        <v>Southwest</v>
      </c>
      <c r="O93"/>
      <c r="P93"/>
      <c r="Q93"/>
      <c r="R93" s="14" t="str">
        <f t="shared" si="4"/>
        <v>MidTerrace</v>
      </c>
      <c r="S93"/>
      <c r="T93"/>
      <c r="U93"/>
      <c r="V93" s="14" t="str">
        <f t="shared" si="5"/>
        <v>TopFloorFlat</v>
      </c>
      <c r="W93"/>
    </row>
    <row r="94" spans="6:23" s="6" customFormat="1" x14ac:dyDescent="0.25">
      <c r="F94" t="s">
        <v>530</v>
      </c>
      <c r="H94" s="64" t="s">
        <v>154</v>
      </c>
      <c r="I94" s="78" t="s">
        <v>99</v>
      </c>
      <c r="J94" s="79" t="s">
        <v>101</v>
      </c>
      <c r="N94" s="14" t="str">
        <f t="shared" si="3"/>
        <v>Northeast</v>
      </c>
      <c r="O94"/>
      <c r="P94"/>
      <c r="Q94"/>
      <c r="R94" s="14" t="str">
        <f t="shared" si="4"/>
        <v>MidTerrace</v>
      </c>
      <c r="S94"/>
      <c r="T94"/>
      <c r="U94"/>
      <c r="V94" s="14" t="str">
        <f t="shared" si="5"/>
        <v>TopFloorFlat</v>
      </c>
      <c r="W94"/>
    </row>
    <row r="95" spans="6:23" s="6" customFormat="1" x14ac:dyDescent="0.25">
      <c r="F95" t="s">
        <v>531</v>
      </c>
      <c r="H95" s="64" t="s">
        <v>156</v>
      </c>
      <c r="I95" s="77" t="s">
        <v>99</v>
      </c>
      <c r="J95" s="79" t="s">
        <v>101</v>
      </c>
      <c r="N95" s="14" t="str">
        <f t="shared" si="3"/>
        <v>Southwest</v>
      </c>
      <c r="O95"/>
      <c r="P95"/>
      <c r="Q95"/>
      <c r="R95" s="14" t="str">
        <f t="shared" si="4"/>
        <v>MidTerrace</v>
      </c>
      <c r="S95"/>
      <c r="T95"/>
      <c r="U95"/>
      <c r="V95" s="14" t="str">
        <f t="shared" si="5"/>
        <v>TopFloorFlat</v>
      </c>
      <c r="W95"/>
    </row>
    <row r="96" spans="6:23" s="6" customFormat="1" x14ac:dyDescent="0.25">
      <c r="F96" t="s">
        <v>532</v>
      </c>
      <c r="H96" s="64" t="s">
        <v>157</v>
      </c>
      <c r="I96" s="78" t="s">
        <v>98</v>
      </c>
      <c r="J96" s="79" t="s">
        <v>101</v>
      </c>
      <c r="N96" s="14" t="str">
        <f t="shared" si="3"/>
        <v>Northwest</v>
      </c>
      <c r="O96"/>
      <c r="P96"/>
      <c r="Q96"/>
      <c r="R96" s="14" t="str">
        <f t="shared" si="4"/>
        <v>EndTerrace</v>
      </c>
      <c r="S96"/>
      <c r="T96"/>
      <c r="U96"/>
      <c r="V96" s="14" t="str">
        <f t="shared" si="5"/>
        <v>TopFloorFlat</v>
      </c>
      <c r="W96"/>
    </row>
    <row r="97" spans="6:23" s="6" customFormat="1" x14ac:dyDescent="0.25">
      <c r="F97" t="s">
        <v>533</v>
      </c>
      <c r="H97" s="64" t="s">
        <v>157</v>
      </c>
      <c r="I97" s="78" t="s">
        <v>99</v>
      </c>
      <c r="J97" s="79" t="s">
        <v>101</v>
      </c>
      <c r="N97" s="14" t="str">
        <f t="shared" si="3"/>
        <v>Northwest</v>
      </c>
      <c r="O97"/>
      <c r="P97"/>
      <c r="Q97"/>
      <c r="R97" s="14" t="str">
        <f t="shared" si="4"/>
        <v>MidTerrace</v>
      </c>
      <c r="S97"/>
      <c r="T97"/>
      <c r="U97"/>
      <c r="V97" s="14" t="str">
        <f t="shared" si="5"/>
        <v>TopFloorFlat</v>
      </c>
      <c r="W97"/>
    </row>
    <row r="98" spans="6:23" s="6" customFormat="1" x14ac:dyDescent="0.25">
      <c r="F98" t="s">
        <v>534</v>
      </c>
      <c r="H98" s="64" t="s">
        <v>157</v>
      </c>
      <c r="I98" s="78" t="s">
        <v>98</v>
      </c>
      <c r="J98" s="79" t="s">
        <v>101</v>
      </c>
      <c r="N98" s="14" t="str">
        <f t="shared" si="3"/>
        <v>Northwest</v>
      </c>
      <c r="O98"/>
      <c r="P98"/>
      <c r="Q98"/>
      <c r="R98" s="14" t="str">
        <f t="shared" si="4"/>
        <v>EndTerrace</v>
      </c>
      <c r="S98"/>
      <c r="T98"/>
      <c r="U98"/>
      <c r="V98" s="14" t="str">
        <f t="shared" si="5"/>
        <v>TopFloorFlat</v>
      </c>
      <c r="W98"/>
    </row>
    <row r="99" spans="6:23" s="6" customFormat="1" x14ac:dyDescent="0.25">
      <c r="F99" t="s">
        <v>535</v>
      </c>
      <c r="H99" s="64" t="s">
        <v>155</v>
      </c>
      <c r="I99" s="77" t="s">
        <v>98</v>
      </c>
      <c r="J99" s="79" t="s">
        <v>101</v>
      </c>
      <c r="N99" s="14" t="str">
        <f t="shared" si="3"/>
        <v>Southeast</v>
      </c>
      <c r="O99"/>
      <c r="P99"/>
      <c r="Q99"/>
      <c r="R99" s="14" t="str">
        <f t="shared" si="4"/>
        <v>EndTerrace</v>
      </c>
      <c r="S99"/>
      <c r="T99"/>
      <c r="U99"/>
      <c r="V99" s="14" t="str">
        <f t="shared" si="5"/>
        <v>TopFloorFlat</v>
      </c>
      <c r="W99"/>
    </row>
    <row r="100" spans="6:23" s="6" customFormat="1" x14ac:dyDescent="0.25">
      <c r="H100"/>
      <c r="I100"/>
      <c r="J100"/>
      <c r="N100"/>
      <c r="O100"/>
      <c r="P100"/>
      <c r="Q100"/>
      <c r="R100"/>
      <c r="S100"/>
      <c r="T100"/>
      <c r="U100"/>
      <c r="V100"/>
      <c r="W100"/>
    </row>
  </sheetData>
  <conditionalFormatting sqref="M5:M12">
    <cfRule type="cellIs" dxfId="280" priority="35" operator="equal">
      <formula>"H"</formula>
    </cfRule>
    <cfRule type="cellIs" dxfId="279" priority="36" operator="equal">
      <formula>"N/A"</formula>
    </cfRule>
    <cfRule type="cellIs" dxfId="278" priority="37" operator="equal">
      <formula>"North"</formula>
    </cfRule>
    <cfRule type="cellIs" dxfId="277" priority="38" operator="equal">
      <formula>"Northeast"</formula>
    </cfRule>
    <cfRule type="cellIs" dxfId="276" priority="39" operator="equal">
      <formula>"East"</formula>
    </cfRule>
    <cfRule type="cellIs" dxfId="275" priority="40" operator="equal">
      <formula>"Southeast"</formula>
    </cfRule>
    <cfRule type="cellIs" dxfId="274" priority="41" operator="equal">
      <formula>"South"</formula>
    </cfRule>
    <cfRule type="cellIs" dxfId="273" priority="42" operator="equal">
      <formula>"West"</formula>
    </cfRule>
    <cfRule type="cellIs" dxfId="272" priority="43" operator="equal">
      <formula>"Northwest"</formula>
    </cfRule>
    <cfRule type="cellIs" dxfId="271" priority="44" operator="equal">
      <formula>"Southwest"</formula>
    </cfRule>
  </conditionalFormatting>
  <conditionalFormatting sqref="L5:L12">
    <cfRule type="cellIs" dxfId="270" priority="15" operator="equal">
      <formula>"H"</formula>
    </cfRule>
    <cfRule type="cellIs" dxfId="269" priority="16" operator="equal">
      <formula>"-"</formula>
    </cfRule>
    <cfRule type="cellIs" dxfId="268" priority="17" operator="equal">
      <formula>"N"</formula>
    </cfRule>
    <cfRule type="cellIs" dxfId="267" priority="18" operator="equal">
      <formula>"NE"</formula>
    </cfRule>
    <cfRule type="cellIs" dxfId="266" priority="19" operator="equal">
      <formula>"E"</formula>
    </cfRule>
    <cfRule type="cellIs" dxfId="265" priority="20" operator="equal">
      <formula>"SE"</formula>
    </cfRule>
    <cfRule type="cellIs" dxfId="264" priority="21" operator="equal">
      <formula>"S"</formula>
    </cfRule>
    <cfRule type="cellIs" dxfId="263" priority="22" operator="equal">
      <formula>"W"</formula>
    </cfRule>
    <cfRule type="cellIs" dxfId="262" priority="23" operator="equal">
      <formula>"NW"</formula>
    </cfRule>
    <cfRule type="cellIs" dxfId="261" priority="24" operator="equal">
      <formula>"SW"</formula>
    </cfRule>
  </conditionalFormatting>
  <conditionalFormatting sqref="C9:C33">
    <cfRule type="cellIs" dxfId="260" priority="13" operator="equal">
      <formula>"Yes"</formula>
    </cfRule>
    <cfRule type="cellIs" dxfId="259" priority="14" operator="equal">
      <formula>"No"</formula>
    </cfRule>
  </conditionalFormatting>
  <conditionalFormatting sqref="C5">
    <cfRule type="cellIs" dxfId="258" priority="11" operator="equal">
      <formula>"Yes"</formula>
    </cfRule>
    <cfRule type="cellIs" dxfId="257" priority="12" operator="equal">
      <formula>"No"</formula>
    </cfRule>
  </conditionalFormatting>
  <conditionalFormatting sqref="C6:C7">
    <cfRule type="cellIs" dxfId="256" priority="9" operator="equal">
      <formula>"Yes"</formula>
    </cfRule>
    <cfRule type="cellIs" dxfId="255" priority="10" operator="equal">
      <formula>"No"</formula>
    </cfRule>
  </conditionalFormatting>
  <conditionalFormatting sqref="H5:H99">
    <cfRule type="cellIs" dxfId="254" priority="1" operator="equal">
      <formula>"N"</formula>
    </cfRule>
    <cfRule type="cellIs" dxfId="253" priority="2" operator="equal">
      <formula>"NE"</formula>
    </cfRule>
    <cfRule type="cellIs" dxfId="252" priority="3" operator="equal">
      <formula>"E"</formula>
    </cfRule>
    <cfRule type="cellIs" dxfId="251" priority="4" operator="equal">
      <formula>"SE"</formula>
    </cfRule>
    <cfRule type="cellIs" dxfId="250" priority="5" operator="equal">
      <formula>"S"</formula>
    </cfRule>
    <cfRule type="cellIs" dxfId="249" priority="6" operator="equal">
      <formula>"W"</formula>
    </cfRule>
    <cfRule type="cellIs" dxfId="248" priority="7" operator="equal">
      <formula>"NW"</formula>
    </cfRule>
    <cfRule type="cellIs" dxfId="247" priority="8" operator="equal">
      <formula>"SW"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81BE-441C-4B7A-A519-2DE1CC088381}">
  <sheetPr codeName="Sheet7">
    <tabColor theme="7" tint="0.79998168889431442"/>
  </sheetPr>
  <dimension ref="A1:AC97"/>
  <sheetViews>
    <sheetView showGridLines="0" workbookViewId="0">
      <selection activeCell="Q12" sqref="Q12"/>
    </sheetView>
  </sheetViews>
  <sheetFormatPr defaultRowHeight="13.8" x14ac:dyDescent="0.25"/>
  <cols>
    <col min="1" max="1" width="8.796875" style="38"/>
    <col min="2" max="2" width="8.19921875" style="38" customWidth="1"/>
    <col min="3" max="5" width="8.796875" style="38"/>
    <col min="6" max="6" width="3.3984375" style="38" bestFit="1" customWidth="1"/>
    <col min="7" max="7" width="10.5" style="38" customWidth="1"/>
    <col min="8" max="8" width="11.69921875" style="38" customWidth="1"/>
    <col min="9" max="9" width="6.09765625" style="38" customWidth="1"/>
    <col min="10" max="12" width="3.5" style="38" customWidth="1"/>
    <col min="13" max="15" width="6.09765625" style="38" customWidth="1"/>
    <col min="16" max="16" width="5.8984375" style="38" customWidth="1"/>
    <col min="17" max="17" width="13.5" customWidth="1"/>
    <col min="18" max="19" width="6.09765625" customWidth="1"/>
    <col min="20" max="20" width="13.5" customWidth="1"/>
    <col min="21" max="21" width="6.09765625" customWidth="1"/>
    <col min="22" max="22" width="6.5" customWidth="1"/>
    <col min="23" max="23" width="6.09765625" customWidth="1"/>
    <col min="24" max="25" width="6.5" customWidth="1"/>
    <col min="26" max="29" width="6.09765625" customWidth="1"/>
    <col min="30" max="16384" width="8.796875" style="38"/>
  </cols>
  <sheetData>
    <row r="1" spans="1:16" ht="71.400000000000006" customHeight="1" x14ac:dyDescent="0.25">
      <c r="A1" s="35" t="s">
        <v>93</v>
      </c>
      <c r="B1" s="35" t="s">
        <v>92</v>
      </c>
      <c r="C1" s="35" t="s">
        <v>0</v>
      </c>
      <c r="D1" s="35" t="s">
        <v>8</v>
      </c>
      <c r="E1" s="36" t="s">
        <v>69</v>
      </c>
      <c r="F1" s="36" t="s">
        <v>70</v>
      </c>
      <c r="G1" s="36" t="s">
        <v>71</v>
      </c>
      <c r="H1" s="36" t="s">
        <v>72</v>
      </c>
      <c r="I1" s="36" t="s">
        <v>65</v>
      </c>
      <c r="J1" s="36" t="s">
        <v>66</v>
      </c>
      <c r="K1" s="45" t="s">
        <v>67</v>
      </c>
      <c r="L1" s="45" t="s">
        <v>68</v>
      </c>
      <c r="M1" s="45" t="s">
        <v>2</v>
      </c>
      <c r="N1" s="45" t="s">
        <v>3</v>
      </c>
      <c r="O1" s="45" t="s">
        <v>4</v>
      </c>
      <c r="P1" s="45" t="s">
        <v>1</v>
      </c>
    </row>
    <row r="2" spans="1:16" x14ac:dyDescent="0.25">
      <c r="A2" s="39" t="s">
        <v>441</v>
      </c>
      <c r="B2" s="39" t="s">
        <v>536</v>
      </c>
      <c r="C2" s="39" t="s">
        <v>441</v>
      </c>
      <c r="D2" s="40" t="s">
        <v>537</v>
      </c>
      <c r="E2" s="13" t="s">
        <v>90</v>
      </c>
      <c r="F2" s="40" t="s">
        <v>73</v>
      </c>
      <c r="G2" s="40" t="s">
        <v>74</v>
      </c>
      <c r="H2" s="40" t="s">
        <v>75</v>
      </c>
      <c r="I2" s="13">
        <v>1</v>
      </c>
      <c r="J2" s="13">
        <v>2</v>
      </c>
      <c r="K2" s="13">
        <v>1</v>
      </c>
      <c r="L2" s="13">
        <v>2</v>
      </c>
      <c r="M2" s="20">
        <v>1</v>
      </c>
      <c r="N2" s="46">
        <v>51.97</v>
      </c>
      <c r="O2" s="46">
        <v>2.863</v>
      </c>
      <c r="P2" s="46">
        <v>23.52</v>
      </c>
    </row>
    <row r="3" spans="1:16" x14ac:dyDescent="0.25">
      <c r="A3" s="39" t="s">
        <v>442</v>
      </c>
      <c r="B3" s="39" t="s">
        <v>536</v>
      </c>
      <c r="C3" s="39" t="s">
        <v>442</v>
      </c>
      <c r="D3" s="40" t="s">
        <v>539</v>
      </c>
      <c r="E3" s="13" t="s">
        <v>91</v>
      </c>
      <c r="F3" s="40" t="s">
        <v>73</v>
      </c>
      <c r="G3" s="40" t="s">
        <v>74</v>
      </c>
      <c r="H3" s="40" t="s">
        <v>75</v>
      </c>
      <c r="I3" s="13">
        <v>1</v>
      </c>
      <c r="J3" s="13">
        <v>2</v>
      </c>
      <c r="K3" s="13">
        <v>1</v>
      </c>
      <c r="L3" s="13">
        <v>2</v>
      </c>
      <c r="M3" s="20">
        <v>1</v>
      </c>
      <c r="N3" s="46">
        <v>50.4</v>
      </c>
      <c r="O3" s="46">
        <v>2.863</v>
      </c>
      <c r="P3" s="46">
        <v>22.67</v>
      </c>
    </row>
    <row r="4" spans="1:16" x14ac:dyDescent="0.25">
      <c r="A4" s="39" t="s">
        <v>443</v>
      </c>
      <c r="B4" s="39" t="s">
        <v>536</v>
      </c>
      <c r="C4" s="39" t="s">
        <v>443</v>
      </c>
      <c r="D4" s="40" t="s">
        <v>540</v>
      </c>
      <c r="E4" s="13" t="s">
        <v>90</v>
      </c>
      <c r="F4" s="40" t="s">
        <v>73</v>
      </c>
      <c r="G4" s="40" t="s">
        <v>100</v>
      </c>
      <c r="H4" s="40" t="s">
        <v>75</v>
      </c>
      <c r="I4" s="13">
        <v>1</v>
      </c>
      <c r="J4" s="13">
        <v>2</v>
      </c>
      <c r="K4" s="13">
        <v>1</v>
      </c>
      <c r="L4" s="13">
        <v>3</v>
      </c>
      <c r="M4" s="20">
        <v>1</v>
      </c>
      <c r="N4" s="46">
        <v>51.96</v>
      </c>
      <c r="O4" s="46">
        <v>2.863</v>
      </c>
      <c r="P4" s="46">
        <v>23.66</v>
      </c>
    </row>
    <row r="5" spans="1:16" x14ac:dyDescent="0.25">
      <c r="A5" s="39" t="s">
        <v>444</v>
      </c>
      <c r="B5" s="39" t="s">
        <v>536</v>
      </c>
      <c r="C5" s="39" t="s">
        <v>444</v>
      </c>
      <c r="D5" s="40" t="s">
        <v>541</v>
      </c>
      <c r="E5" s="13" t="s">
        <v>91</v>
      </c>
      <c r="F5" s="40" t="s">
        <v>73</v>
      </c>
      <c r="G5" s="40" t="s">
        <v>100</v>
      </c>
      <c r="H5" s="40" t="s">
        <v>75</v>
      </c>
      <c r="I5" s="13">
        <v>1</v>
      </c>
      <c r="J5" s="13">
        <v>2</v>
      </c>
      <c r="K5" s="13">
        <v>1</v>
      </c>
      <c r="L5" s="13">
        <v>3</v>
      </c>
      <c r="M5" s="20">
        <v>1</v>
      </c>
      <c r="N5" s="46">
        <v>50.4</v>
      </c>
      <c r="O5" s="46">
        <v>2.863</v>
      </c>
      <c r="P5" s="46">
        <v>22.67</v>
      </c>
    </row>
    <row r="6" spans="1:16" x14ac:dyDescent="0.25">
      <c r="A6" s="39" t="s">
        <v>445</v>
      </c>
      <c r="B6" s="39" t="s">
        <v>536</v>
      </c>
      <c r="C6" s="39" t="s">
        <v>445</v>
      </c>
      <c r="D6" s="40" t="s">
        <v>542</v>
      </c>
      <c r="E6" s="13" t="s">
        <v>90</v>
      </c>
      <c r="F6" s="40" t="s">
        <v>73</v>
      </c>
      <c r="G6" s="40" t="s">
        <v>100</v>
      </c>
      <c r="H6" s="40" t="s">
        <v>75</v>
      </c>
      <c r="I6" s="13">
        <v>1</v>
      </c>
      <c r="J6" s="13">
        <v>2</v>
      </c>
      <c r="K6" s="13">
        <v>1</v>
      </c>
      <c r="L6" s="13">
        <v>3</v>
      </c>
      <c r="M6" s="20">
        <v>1</v>
      </c>
      <c r="N6" s="46">
        <v>42.13</v>
      </c>
      <c r="O6" s="46">
        <v>2.863</v>
      </c>
      <c r="P6" s="46">
        <v>32.24</v>
      </c>
    </row>
    <row r="7" spans="1:16" x14ac:dyDescent="0.25">
      <c r="A7" s="39" t="s">
        <v>446</v>
      </c>
      <c r="B7" s="39" t="s">
        <v>536</v>
      </c>
      <c r="C7" s="39" t="s">
        <v>446</v>
      </c>
      <c r="D7" s="40" t="s">
        <v>543</v>
      </c>
      <c r="E7" s="13" t="s">
        <v>91</v>
      </c>
      <c r="F7" s="40" t="s">
        <v>73</v>
      </c>
      <c r="G7" s="40" t="s">
        <v>100</v>
      </c>
      <c r="H7" s="40" t="s">
        <v>75</v>
      </c>
      <c r="I7" s="13">
        <v>1</v>
      </c>
      <c r="J7" s="13">
        <v>2</v>
      </c>
      <c r="K7" s="13">
        <v>1</v>
      </c>
      <c r="L7" s="13">
        <v>3</v>
      </c>
      <c r="M7" s="20">
        <v>1</v>
      </c>
      <c r="N7" s="46">
        <v>41.47</v>
      </c>
      <c r="O7" s="46">
        <v>2.863</v>
      </c>
      <c r="P7" s="46">
        <v>31.42</v>
      </c>
    </row>
    <row r="8" spans="1:16" x14ac:dyDescent="0.25">
      <c r="A8" s="39" t="s">
        <v>447</v>
      </c>
      <c r="B8" s="39" t="s">
        <v>536</v>
      </c>
      <c r="C8" s="39" t="s">
        <v>447</v>
      </c>
      <c r="D8" s="40" t="s">
        <v>544</v>
      </c>
      <c r="E8" s="13" t="s">
        <v>91</v>
      </c>
      <c r="F8" s="40" t="s">
        <v>73</v>
      </c>
      <c r="G8" s="40" t="s">
        <v>100</v>
      </c>
      <c r="H8" s="40" t="s">
        <v>75</v>
      </c>
      <c r="I8" s="13">
        <v>1</v>
      </c>
      <c r="J8" s="13">
        <v>7</v>
      </c>
      <c r="K8" s="13">
        <v>1</v>
      </c>
      <c r="L8" s="13">
        <v>3</v>
      </c>
      <c r="M8" s="20">
        <v>1</v>
      </c>
      <c r="N8" s="46">
        <v>37.33</v>
      </c>
      <c r="O8" s="46">
        <v>2.863</v>
      </c>
      <c r="P8" s="46">
        <v>27.96</v>
      </c>
    </row>
    <row r="9" spans="1:16" x14ac:dyDescent="0.25">
      <c r="A9" s="39" t="s">
        <v>448</v>
      </c>
      <c r="B9" s="39" t="s">
        <v>536</v>
      </c>
      <c r="C9" s="39" t="s">
        <v>448</v>
      </c>
      <c r="D9" s="40" t="s">
        <v>545</v>
      </c>
      <c r="E9" s="13" t="s">
        <v>91</v>
      </c>
      <c r="F9" s="40" t="s">
        <v>73</v>
      </c>
      <c r="G9" s="40" t="s">
        <v>100</v>
      </c>
      <c r="H9" s="40" t="s">
        <v>75</v>
      </c>
      <c r="I9" s="13">
        <v>1</v>
      </c>
      <c r="J9" s="13">
        <v>7</v>
      </c>
      <c r="K9" s="13">
        <v>1</v>
      </c>
      <c r="L9" s="13">
        <v>3</v>
      </c>
      <c r="M9" s="20">
        <v>1</v>
      </c>
      <c r="N9" s="46">
        <v>38.85</v>
      </c>
      <c r="O9" s="46">
        <v>2.863</v>
      </c>
      <c r="P9" s="46">
        <v>29.48</v>
      </c>
    </row>
    <row r="10" spans="1:16" x14ac:dyDescent="0.25">
      <c r="A10" s="39" t="s">
        <v>449</v>
      </c>
      <c r="B10" s="39" t="s">
        <v>536</v>
      </c>
      <c r="C10" s="39" t="s">
        <v>449</v>
      </c>
      <c r="D10" s="40" t="s">
        <v>546</v>
      </c>
      <c r="E10" s="13" t="s">
        <v>88</v>
      </c>
      <c r="F10" s="40" t="s">
        <v>73</v>
      </c>
      <c r="G10" s="40" t="s">
        <v>74</v>
      </c>
      <c r="H10" s="40" t="s">
        <v>75</v>
      </c>
      <c r="I10" s="13">
        <v>1</v>
      </c>
      <c r="J10" s="13">
        <v>7</v>
      </c>
      <c r="K10" s="13">
        <v>1</v>
      </c>
      <c r="L10" s="13">
        <v>2</v>
      </c>
      <c r="M10" s="20">
        <v>1</v>
      </c>
      <c r="N10" s="46">
        <v>42.07</v>
      </c>
      <c r="O10" s="46">
        <v>2.863</v>
      </c>
      <c r="P10" s="46">
        <v>31.22</v>
      </c>
    </row>
    <row r="11" spans="1:16" x14ac:dyDescent="0.25">
      <c r="A11" s="39" t="s">
        <v>450</v>
      </c>
      <c r="B11" s="39" t="s">
        <v>536</v>
      </c>
      <c r="C11" s="39" t="s">
        <v>450</v>
      </c>
      <c r="D11" s="40" t="s">
        <v>547</v>
      </c>
      <c r="E11" s="13" t="s">
        <v>89</v>
      </c>
      <c r="F11" s="40" t="s">
        <v>73</v>
      </c>
      <c r="G11" s="40" t="s">
        <v>100</v>
      </c>
      <c r="H11" s="40" t="s">
        <v>75</v>
      </c>
      <c r="I11" s="13">
        <v>1</v>
      </c>
      <c r="J11" s="13">
        <v>7</v>
      </c>
      <c r="K11" s="13">
        <v>1</v>
      </c>
      <c r="L11" s="13">
        <v>3</v>
      </c>
      <c r="M11" s="20">
        <v>1</v>
      </c>
      <c r="N11" s="46">
        <v>46.48</v>
      </c>
      <c r="O11" s="46">
        <v>2.863</v>
      </c>
      <c r="P11" s="46">
        <v>37.14</v>
      </c>
    </row>
    <row r="12" spans="1:16" x14ac:dyDescent="0.25">
      <c r="A12" s="39" t="s">
        <v>451</v>
      </c>
      <c r="B12" s="39" t="s">
        <v>536</v>
      </c>
      <c r="C12" s="39" t="s">
        <v>451</v>
      </c>
      <c r="D12" s="40" t="s">
        <v>548</v>
      </c>
      <c r="E12" s="13" t="s">
        <v>89</v>
      </c>
      <c r="F12" s="40" t="s">
        <v>73</v>
      </c>
      <c r="G12" s="40" t="s">
        <v>100</v>
      </c>
      <c r="H12" s="40" t="s">
        <v>75</v>
      </c>
      <c r="I12" s="13">
        <v>1</v>
      </c>
      <c r="J12" s="13">
        <v>7</v>
      </c>
      <c r="K12" s="13">
        <v>1</v>
      </c>
      <c r="L12" s="13">
        <v>3</v>
      </c>
      <c r="M12" s="20">
        <v>1</v>
      </c>
      <c r="N12" s="46">
        <v>38.93</v>
      </c>
      <c r="O12" s="46">
        <v>2.863</v>
      </c>
      <c r="P12" s="46">
        <v>29.82</v>
      </c>
    </row>
    <row r="13" spans="1:16" x14ac:dyDescent="0.25">
      <c r="A13" s="39" t="s">
        <v>452</v>
      </c>
      <c r="B13" s="39" t="s">
        <v>536</v>
      </c>
      <c r="C13" s="39" t="s">
        <v>452</v>
      </c>
      <c r="D13" s="40" t="s">
        <v>549</v>
      </c>
      <c r="E13" s="13" t="s">
        <v>89</v>
      </c>
      <c r="F13" s="40" t="s">
        <v>73</v>
      </c>
      <c r="G13" s="40" t="s">
        <v>100</v>
      </c>
      <c r="H13" s="40" t="s">
        <v>75</v>
      </c>
      <c r="I13" s="13">
        <v>1</v>
      </c>
      <c r="J13" s="13">
        <v>7</v>
      </c>
      <c r="K13" s="13">
        <v>1</v>
      </c>
      <c r="L13" s="13">
        <v>3</v>
      </c>
      <c r="M13" s="20">
        <v>1</v>
      </c>
      <c r="N13" s="46">
        <v>38.79</v>
      </c>
      <c r="O13" s="46">
        <v>2.863</v>
      </c>
      <c r="P13" s="46">
        <v>29.68</v>
      </c>
    </row>
    <row r="14" spans="1:16" x14ac:dyDescent="0.25">
      <c r="A14" s="39" t="s">
        <v>453</v>
      </c>
      <c r="B14" s="39" t="s">
        <v>536</v>
      </c>
      <c r="C14" s="39" t="s">
        <v>453</v>
      </c>
      <c r="D14" s="40" t="s">
        <v>550</v>
      </c>
      <c r="E14" s="13" t="s">
        <v>90</v>
      </c>
      <c r="F14" s="40" t="s">
        <v>73</v>
      </c>
      <c r="G14" s="40" t="s">
        <v>74</v>
      </c>
      <c r="H14" s="40" t="s">
        <v>75</v>
      </c>
      <c r="I14" s="13">
        <v>1</v>
      </c>
      <c r="J14" s="13">
        <v>7</v>
      </c>
      <c r="K14" s="13">
        <v>1</v>
      </c>
      <c r="L14" s="13">
        <v>2</v>
      </c>
      <c r="M14" s="20">
        <v>1</v>
      </c>
      <c r="N14" s="46">
        <v>50.33</v>
      </c>
      <c r="O14" s="46">
        <v>2.863</v>
      </c>
      <c r="P14" s="46">
        <v>24.99</v>
      </c>
    </row>
    <row r="15" spans="1:16" x14ac:dyDescent="0.25">
      <c r="A15" s="39" t="s">
        <v>454</v>
      </c>
      <c r="B15" s="39" t="s">
        <v>536</v>
      </c>
      <c r="C15" s="39" t="s">
        <v>454</v>
      </c>
      <c r="D15" s="40" t="s">
        <v>551</v>
      </c>
      <c r="E15" s="13" t="s">
        <v>90</v>
      </c>
      <c r="F15" s="40" t="s">
        <v>73</v>
      </c>
      <c r="G15" s="40" t="s">
        <v>100</v>
      </c>
      <c r="H15" s="40" t="s">
        <v>75</v>
      </c>
      <c r="I15" s="13">
        <v>1</v>
      </c>
      <c r="J15" s="13">
        <v>7</v>
      </c>
      <c r="K15" s="13">
        <v>1</v>
      </c>
      <c r="L15" s="13">
        <v>3</v>
      </c>
      <c r="M15" s="20">
        <v>1</v>
      </c>
      <c r="N15" s="46">
        <v>38.130000000000003</v>
      </c>
      <c r="O15" s="46">
        <v>2.863</v>
      </c>
      <c r="P15" s="46">
        <v>27.89</v>
      </c>
    </row>
    <row r="16" spans="1:16" x14ac:dyDescent="0.25">
      <c r="A16" s="39" t="s">
        <v>455</v>
      </c>
      <c r="B16" s="39" t="s">
        <v>536</v>
      </c>
      <c r="C16" s="39" t="s">
        <v>455</v>
      </c>
      <c r="D16" s="40" t="s">
        <v>552</v>
      </c>
      <c r="E16" s="13" t="s">
        <v>90</v>
      </c>
      <c r="F16" s="40" t="s">
        <v>73</v>
      </c>
      <c r="G16" s="40" t="s">
        <v>74</v>
      </c>
      <c r="H16" s="40" t="s">
        <v>75</v>
      </c>
      <c r="I16" s="13">
        <v>1</v>
      </c>
      <c r="J16" s="13">
        <v>7</v>
      </c>
      <c r="K16" s="13">
        <v>1</v>
      </c>
      <c r="L16" s="13">
        <v>2</v>
      </c>
      <c r="M16" s="20">
        <v>1</v>
      </c>
      <c r="N16" s="46">
        <v>38.04</v>
      </c>
      <c r="O16" s="46">
        <v>2.863</v>
      </c>
      <c r="P16" s="46">
        <v>27.79</v>
      </c>
    </row>
    <row r="17" spans="1:16" x14ac:dyDescent="0.25">
      <c r="A17" s="39" t="s">
        <v>456</v>
      </c>
      <c r="B17" s="39" t="s">
        <v>536</v>
      </c>
      <c r="C17" s="39" t="s">
        <v>456</v>
      </c>
      <c r="D17" s="40" t="s">
        <v>553</v>
      </c>
      <c r="E17" s="13" t="s">
        <v>91</v>
      </c>
      <c r="F17" s="40" t="s">
        <v>73</v>
      </c>
      <c r="G17" s="40" t="s">
        <v>74</v>
      </c>
      <c r="H17" s="40" t="s">
        <v>75</v>
      </c>
      <c r="I17" s="13">
        <v>1</v>
      </c>
      <c r="J17" s="13">
        <v>7</v>
      </c>
      <c r="K17" s="13">
        <v>1</v>
      </c>
      <c r="L17" s="13">
        <v>2</v>
      </c>
      <c r="M17" s="20">
        <v>1</v>
      </c>
      <c r="N17" s="46">
        <v>50.26</v>
      </c>
      <c r="O17" s="46">
        <v>2.863</v>
      </c>
      <c r="P17" s="46">
        <v>22.6</v>
      </c>
    </row>
    <row r="18" spans="1:16" x14ac:dyDescent="0.25">
      <c r="A18" s="39" t="s">
        <v>457</v>
      </c>
      <c r="B18" s="39" t="s">
        <v>536</v>
      </c>
      <c r="C18" s="39" t="s">
        <v>457</v>
      </c>
      <c r="D18" s="40" t="s">
        <v>554</v>
      </c>
      <c r="E18" s="13" t="s">
        <v>90</v>
      </c>
      <c r="F18" s="40" t="s">
        <v>73</v>
      </c>
      <c r="G18" s="40" t="s">
        <v>74</v>
      </c>
      <c r="H18" s="40" t="s">
        <v>77</v>
      </c>
      <c r="I18" s="13">
        <v>1</v>
      </c>
      <c r="J18" s="13">
        <v>2</v>
      </c>
      <c r="K18" s="13">
        <v>1</v>
      </c>
      <c r="L18" s="13">
        <v>2</v>
      </c>
      <c r="M18" s="20">
        <v>1</v>
      </c>
      <c r="N18" s="46">
        <v>51.97</v>
      </c>
      <c r="O18" s="46">
        <v>2.96</v>
      </c>
      <c r="P18" s="46">
        <v>23.49</v>
      </c>
    </row>
    <row r="19" spans="1:16" x14ac:dyDescent="0.25">
      <c r="A19" s="39" t="s">
        <v>458</v>
      </c>
      <c r="B19" s="39" t="s">
        <v>536</v>
      </c>
      <c r="C19" s="39" t="s">
        <v>458</v>
      </c>
      <c r="D19" s="40" t="s">
        <v>555</v>
      </c>
      <c r="E19" s="13" t="s">
        <v>91</v>
      </c>
      <c r="F19" s="40" t="s">
        <v>73</v>
      </c>
      <c r="G19" s="40" t="s">
        <v>74</v>
      </c>
      <c r="H19" s="40" t="s">
        <v>77</v>
      </c>
      <c r="I19" s="13">
        <v>1</v>
      </c>
      <c r="J19" s="13">
        <v>2</v>
      </c>
      <c r="K19" s="13">
        <v>1</v>
      </c>
      <c r="L19" s="13">
        <v>2</v>
      </c>
      <c r="M19" s="20">
        <v>1</v>
      </c>
      <c r="N19" s="46">
        <v>50.4</v>
      </c>
      <c r="O19" s="46">
        <v>2.96</v>
      </c>
      <c r="P19" s="46">
        <v>22.67</v>
      </c>
    </row>
    <row r="20" spans="1:16" x14ac:dyDescent="0.25">
      <c r="A20" s="39" t="s">
        <v>459</v>
      </c>
      <c r="B20" s="39" t="s">
        <v>536</v>
      </c>
      <c r="C20" s="39" t="s">
        <v>459</v>
      </c>
      <c r="D20" s="40" t="s">
        <v>556</v>
      </c>
      <c r="E20" s="13" t="s">
        <v>90</v>
      </c>
      <c r="F20" s="40" t="s">
        <v>73</v>
      </c>
      <c r="G20" s="40" t="s">
        <v>100</v>
      </c>
      <c r="H20" s="40" t="s">
        <v>77</v>
      </c>
      <c r="I20" s="13">
        <v>1</v>
      </c>
      <c r="J20" s="13">
        <v>2</v>
      </c>
      <c r="K20" s="13">
        <v>1</v>
      </c>
      <c r="L20" s="13">
        <v>3</v>
      </c>
      <c r="M20" s="20">
        <v>1</v>
      </c>
      <c r="N20" s="46">
        <v>51.96</v>
      </c>
      <c r="O20" s="46">
        <v>2.96</v>
      </c>
      <c r="P20" s="46">
        <v>23.66</v>
      </c>
    </row>
    <row r="21" spans="1:16" x14ac:dyDescent="0.25">
      <c r="A21" s="39" t="s">
        <v>460</v>
      </c>
      <c r="B21" s="39" t="s">
        <v>536</v>
      </c>
      <c r="C21" s="39" t="s">
        <v>460</v>
      </c>
      <c r="D21" s="40" t="s">
        <v>557</v>
      </c>
      <c r="E21" s="13" t="s">
        <v>91</v>
      </c>
      <c r="F21" s="40" t="s">
        <v>73</v>
      </c>
      <c r="G21" s="40" t="s">
        <v>100</v>
      </c>
      <c r="H21" s="40" t="s">
        <v>77</v>
      </c>
      <c r="I21" s="13">
        <v>1</v>
      </c>
      <c r="J21" s="13">
        <v>2</v>
      </c>
      <c r="K21" s="13">
        <v>1</v>
      </c>
      <c r="L21" s="13">
        <v>3</v>
      </c>
      <c r="M21" s="20">
        <v>1</v>
      </c>
      <c r="N21" s="46">
        <v>50.4</v>
      </c>
      <c r="O21" s="46">
        <v>2.96</v>
      </c>
      <c r="P21" s="46">
        <v>22.67</v>
      </c>
    </row>
    <row r="22" spans="1:16" x14ac:dyDescent="0.25">
      <c r="A22" s="39" t="s">
        <v>461</v>
      </c>
      <c r="B22" s="39" t="s">
        <v>536</v>
      </c>
      <c r="C22" s="39" t="s">
        <v>461</v>
      </c>
      <c r="D22" s="40" t="s">
        <v>558</v>
      </c>
      <c r="E22" s="13" t="s">
        <v>90</v>
      </c>
      <c r="F22" s="40" t="s">
        <v>73</v>
      </c>
      <c r="G22" s="40" t="s">
        <v>100</v>
      </c>
      <c r="H22" s="40" t="s">
        <v>77</v>
      </c>
      <c r="I22" s="13">
        <v>1</v>
      </c>
      <c r="J22" s="13">
        <v>2</v>
      </c>
      <c r="K22" s="13">
        <v>1</v>
      </c>
      <c r="L22" s="13">
        <v>3</v>
      </c>
      <c r="M22" s="20">
        <v>1</v>
      </c>
      <c r="N22" s="46">
        <v>42.13</v>
      </c>
      <c r="O22" s="46">
        <v>2.96</v>
      </c>
      <c r="P22" s="46">
        <v>32.24</v>
      </c>
    </row>
    <row r="23" spans="1:16" x14ac:dyDescent="0.25">
      <c r="A23" s="39" t="s">
        <v>462</v>
      </c>
      <c r="B23" s="39" t="s">
        <v>536</v>
      </c>
      <c r="C23" s="39" t="s">
        <v>462</v>
      </c>
      <c r="D23" s="40" t="s">
        <v>559</v>
      </c>
      <c r="E23" s="13" t="s">
        <v>91</v>
      </c>
      <c r="F23" s="40" t="s">
        <v>73</v>
      </c>
      <c r="G23" s="40" t="s">
        <v>100</v>
      </c>
      <c r="H23" s="40" t="s">
        <v>77</v>
      </c>
      <c r="I23" s="13">
        <v>1</v>
      </c>
      <c r="J23" s="13">
        <v>2</v>
      </c>
      <c r="K23" s="13">
        <v>1</v>
      </c>
      <c r="L23" s="13">
        <v>3</v>
      </c>
      <c r="M23" s="20">
        <v>1</v>
      </c>
      <c r="N23" s="46">
        <v>41.46</v>
      </c>
      <c r="O23" s="46">
        <v>2.96</v>
      </c>
      <c r="P23" s="46">
        <v>31.42</v>
      </c>
    </row>
    <row r="24" spans="1:16" x14ac:dyDescent="0.25">
      <c r="A24" s="39" t="s">
        <v>463</v>
      </c>
      <c r="B24" s="39" t="s">
        <v>536</v>
      </c>
      <c r="C24" s="39" t="s">
        <v>463</v>
      </c>
      <c r="D24" s="40" t="s">
        <v>560</v>
      </c>
      <c r="E24" s="13" t="s">
        <v>91</v>
      </c>
      <c r="F24" s="40" t="s">
        <v>73</v>
      </c>
      <c r="G24" s="40" t="s">
        <v>100</v>
      </c>
      <c r="H24" s="40" t="s">
        <v>75</v>
      </c>
      <c r="I24" s="13">
        <v>1</v>
      </c>
      <c r="J24" s="13">
        <v>7</v>
      </c>
      <c r="K24" s="13">
        <v>1</v>
      </c>
      <c r="L24" s="13">
        <v>3</v>
      </c>
      <c r="M24" s="20">
        <v>1</v>
      </c>
      <c r="N24" s="46">
        <v>37.32</v>
      </c>
      <c r="O24" s="46">
        <v>2.96</v>
      </c>
      <c r="P24" s="46">
        <v>27.95</v>
      </c>
    </row>
    <row r="25" spans="1:16" x14ac:dyDescent="0.25">
      <c r="A25" s="39" t="s">
        <v>464</v>
      </c>
      <c r="B25" s="39" t="s">
        <v>536</v>
      </c>
      <c r="C25" s="39" t="s">
        <v>464</v>
      </c>
      <c r="D25" s="40" t="s">
        <v>561</v>
      </c>
      <c r="E25" s="13" t="s">
        <v>91</v>
      </c>
      <c r="F25" s="40" t="s">
        <v>73</v>
      </c>
      <c r="G25" s="40" t="s">
        <v>100</v>
      </c>
      <c r="H25" s="40" t="s">
        <v>75</v>
      </c>
      <c r="I25" s="13">
        <v>1</v>
      </c>
      <c r="J25" s="13">
        <v>7</v>
      </c>
      <c r="K25" s="13">
        <v>1</v>
      </c>
      <c r="L25" s="13">
        <v>3</v>
      </c>
      <c r="M25" s="20">
        <v>1</v>
      </c>
      <c r="N25" s="46">
        <v>38.85</v>
      </c>
      <c r="O25" s="46">
        <v>2.96</v>
      </c>
      <c r="P25" s="46">
        <v>29.5</v>
      </c>
    </row>
    <row r="26" spans="1:16" x14ac:dyDescent="0.25">
      <c r="A26" s="39" t="s">
        <v>465</v>
      </c>
      <c r="B26" s="39" t="s">
        <v>536</v>
      </c>
      <c r="C26" s="39" t="s">
        <v>465</v>
      </c>
      <c r="D26" s="40" t="s">
        <v>562</v>
      </c>
      <c r="E26" s="13" t="s">
        <v>88</v>
      </c>
      <c r="F26" s="40" t="s">
        <v>73</v>
      </c>
      <c r="G26" s="40" t="s">
        <v>74</v>
      </c>
      <c r="H26" s="40" t="s">
        <v>77</v>
      </c>
      <c r="I26" s="13">
        <v>1</v>
      </c>
      <c r="J26" s="13">
        <v>2</v>
      </c>
      <c r="K26" s="13">
        <v>1</v>
      </c>
      <c r="L26" s="13">
        <v>2</v>
      </c>
      <c r="M26" s="20">
        <v>1</v>
      </c>
      <c r="N26" s="46">
        <v>42.08</v>
      </c>
      <c r="O26" s="46">
        <v>2.96</v>
      </c>
      <c r="P26" s="46">
        <v>30.73</v>
      </c>
    </row>
    <row r="27" spans="1:16" x14ac:dyDescent="0.25">
      <c r="A27" s="39" t="s">
        <v>466</v>
      </c>
      <c r="B27" s="39" t="s">
        <v>536</v>
      </c>
      <c r="C27" s="39" t="s">
        <v>466</v>
      </c>
      <c r="D27" s="40" t="s">
        <v>563</v>
      </c>
      <c r="E27" s="13" t="s">
        <v>90</v>
      </c>
      <c r="F27" s="40" t="s">
        <v>73</v>
      </c>
      <c r="G27" s="40" t="s">
        <v>74</v>
      </c>
      <c r="H27" s="40" t="s">
        <v>77</v>
      </c>
      <c r="I27" s="13">
        <v>1</v>
      </c>
      <c r="J27" s="13">
        <v>2</v>
      </c>
      <c r="K27" s="13">
        <v>1</v>
      </c>
      <c r="L27" s="13">
        <v>2</v>
      </c>
      <c r="M27" s="20">
        <v>1</v>
      </c>
      <c r="N27" s="46">
        <v>57.25</v>
      </c>
      <c r="O27" s="46">
        <v>2.96</v>
      </c>
      <c r="P27" s="46">
        <v>33.15</v>
      </c>
    </row>
    <row r="28" spans="1:16" x14ac:dyDescent="0.25">
      <c r="A28" s="39" t="s">
        <v>467</v>
      </c>
      <c r="B28" s="39" t="s">
        <v>536</v>
      </c>
      <c r="C28" s="39" t="s">
        <v>467</v>
      </c>
      <c r="D28" s="40" t="s">
        <v>564</v>
      </c>
      <c r="E28" s="13" t="s">
        <v>88</v>
      </c>
      <c r="F28" s="40" t="s">
        <v>73</v>
      </c>
      <c r="G28" s="40" t="s">
        <v>100</v>
      </c>
      <c r="H28" s="40" t="s">
        <v>75</v>
      </c>
      <c r="I28" s="13">
        <v>1</v>
      </c>
      <c r="J28" s="13">
        <v>7</v>
      </c>
      <c r="K28" s="13">
        <v>1</v>
      </c>
      <c r="L28" s="13">
        <v>3</v>
      </c>
      <c r="M28" s="20">
        <v>1</v>
      </c>
      <c r="N28" s="46">
        <v>50.55</v>
      </c>
      <c r="O28" s="46">
        <v>2.96</v>
      </c>
      <c r="P28" s="46">
        <v>25.76</v>
      </c>
    </row>
    <row r="29" spans="1:16" x14ac:dyDescent="0.25">
      <c r="A29" s="39" t="s">
        <v>468</v>
      </c>
      <c r="B29" s="39" t="s">
        <v>536</v>
      </c>
      <c r="C29" s="39" t="s">
        <v>468</v>
      </c>
      <c r="D29" s="40" t="s">
        <v>565</v>
      </c>
      <c r="E29" s="13" t="s">
        <v>89</v>
      </c>
      <c r="F29" s="40" t="s">
        <v>73</v>
      </c>
      <c r="G29" s="40" t="s">
        <v>100</v>
      </c>
      <c r="H29" s="40" t="s">
        <v>75</v>
      </c>
      <c r="I29" s="13">
        <v>1</v>
      </c>
      <c r="J29" s="13">
        <v>7</v>
      </c>
      <c r="K29" s="13">
        <v>1</v>
      </c>
      <c r="L29" s="13">
        <v>3</v>
      </c>
      <c r="M29" s="20">
        <v>1</v>
      </c>
      <c r="N29" s="46">
        <v>46.49</v>
      </c>
      <c r="O29" s="46">
        <v>2.96</v>
      </c>
      <c r="P29" s="46">
        <v>37.15</v>
      </c>
    </row>
    <row r="30" spans="1:16" x14ac:dyDescent="0.25">
      <c r="A30" s="39" t="s">
        <v>469</v>
      </c>
      <c r="B30" s="39" t="s">
        <v>536</v>
      </c>
      <c r="C30" s="39" t="s">
        <v>469</v>
      </c>
      <c r="D30" s="40" t="s">
        <v>566</v>
      </c>
      <c r="E30" s="13" t="s">
        <v>89</v>
      </c>
      <c r="F30" s="40" t="s">
        <v>73</v>
      </c>
      <c r="G30" s="40" t="s">
        <v>100</v>
      </c>
      <c r="H30" s="40" t="s">
        <v>75</v>
      </c>
      <c r="I30" s="13">
        <v>1</v>
      </c>
      <c r="J30" s="13">
        <v>7</v>
      </c>
      <c r="K30" s="13">
        <v>1</v>
      </c>
      <c r="L30" s="13">
        <v>3</v>
      </c>
      <c r="M30" s="20">
        <v>1</v>
      </c>
      <c r="N30" s="46">
        <v>38.93</v>
      </c>
      <c r="O30" s="46">
        <v>2.96</v>
      </c>
      <c r="P30" s="46">
        <v>29.82</v>
      </c>
    </row>
    <row r="31" spans="1:16" x14ac:dyDescent="0.25">
      <c r="A31" s="39" t="s">
        <v>470</v>
      </c>
      <c r="B31" s="39" t="s">
        <v>536</v>
      </c>
      <c r="C31" s="39" t="s">
        <v>470</v>
      </c>
      <c r="D31" s="40" t="s">
        <v>567</v>
      </c>
      <c r="E31" s="13" t="s">
        <v>88</v>
      </c>
      <c r="F31" s="40" t="s">
        <v>73</v>
      </c>
      <c r="G31" s="40" t="s">
        <v>100</v>
      </c>
      <c r="H31" s="40" t="s">
        <v>75</v>
      </c>
      <c r="I31" s="13">
        <v>1</v>
      </c>
      <c r="J31" s="13">
        <v>7</v>
      </c>
      <c r="K31" s="13">
        <v>1</v>
      </c>
      <c r="L31" s="13">
        <v>3</v>
      </c>
      <c r="M31" s="20">
        <v>1</v>
      </c>
      <c r="N31" s="46">
        <v>41.03</v>
      </c>
      <c r="O31" s="46">
        <v>2.96</v>
      </c>
      <c r="P31" s="46">
        <v>31.93</v>
      </c>
    </row>
    <row r="32" spans="1:16" x14ac:dyDescent="0.25">
      <c r="A32" s="39" t="s">
        <v>471</v>
      </c>
      <c r="B32" s="39" t="s">
        <v>536</v>
      </c>
      <c r="C32" s="39" t="s">
        <v>471</v>
      </c>
      <c r="D32" s="40" t="s">
        <v>568</v>
      </c>
      <c r="E32" s="13" t="s">
        <v>89</v>
      </c>
      <c r="F32" s="40" t="s">
        <v>73</v>
      </c>
      <c r="G32" s="40" t="s">
        <v>100</v>
      </c>
      <c r="H32" s="40" t="s">
        <v>75</v>
      </c>
      <c r="I32" s="13">
        <v>1</v>
      </c>
      <c r="J32" s="13">
        <v>7</v>
      </c>
      <c r="K32" s="13">
        <v>1</v>
      </c>
      <c r="L32" s="13">
        <v>3</v>
      </c>
      <c r="M32" s="20">
        <v>1</v>
      </c>
      <c r="N32" s="46">
        <v>38.79</v>
      </c>
      <c r="O32" s="46">
        <v>2.96</v>
      </c>
      <c r="P32" s="46">
        <v>29.68</v>
      </c>
    </row>
    <row r="33" spans="1:16" x14ac:dyDescent="0.25">
      <c r="A33" s="39" t="s">
        <v>472</v>
      </c>
      <c r="B33" s="39" t="s">
        <v>536</v>
      </c>
      <c r="C33" s="39" t="s">
        <v>472</v>
      </c>
      <c r="D33" s="40" t="s">
        <v>569</v>
      </c>
      <c r="E33" s="13" t="s">
        <v>90</v>
      </c>
      <c r="F33" s="40" t="s">
        <v>73</v>
      </c>
      <c r="G33" s="40" t="s">
        <v>74</v>
      </c>
      <c r="H33" s="40" t="s">
        <v>75</v>
      </c>
      <c r="I33" s="13">
        <v>1</v>
      </c>
      <c r="J33" s="13">
        <v>7</v>
      </c>
      <c r="K33" s="13">
        <v>1</v>
      </c>
      <c r="L33" s="13">
        <v>2</v>
      </c>
      <c r="M33" s="20">
        <v>1</v>
      </c>
      <c r="N33" s="46">
        <v>50.33</v>
      </c>
      <c r="O33" s="46">
        <v>2.96</v>
      </c>
      <c r="P33" s="46">
        <v>24.99</v>
      </c>
    </row>
    <row r="34" spans="1:16" x14ac:dyDescent="0.25">
      <c r="A34" s="39" t="s">
        <v>473</v>
      </c>
      <c r="B34" s="39" t="s">
        <v>536</v>
      </c>
      <c r="C34" s="39" t="s">
        <v>473</v>
      </c>
      <c r="D34" s="40" t="s">
        <v>570</v>
      </c>
      <c r="E34" s="13" t="s">
        <v>90</v>
      </c>
      <c r="F34" s="40" t="s">
        <v>73</v>
      </c>
      <c r="G34" s="40" t="s">
        <v>100</v>
      </c>
      <c r="H34" s="40" t="s">
        <v>75</v>
      </c>
      <c r="I34" s="13">
        <v>1</v>
      </c>
      <c r="J34" s="13">
        <v>7</v>
      </c>
      <c r="K34" s="13">
        <v>1</v>
      </c>
      <c r="L34" s="13">
        <v>3</v>
      </c>
      <c r="M34" s="20">
        <v>1</v>
      </c>
      <c r="N34" s="46">
        <v>38.130000000000003</v>
      </c>
      <c r="O34" s="46">
        <v>2.96</v>
      </c>
      <c r="P34" s="46">
        <v>27.89</v>
      </c>
    </row>
    <row r="35" spans="1:16" x14ac:dyDescent="0.25">
      <c r="A35" s="39" t="s">
        <v>474</v>
      </c>
      <c r="B35" s="39" t="s">
        <v>536</v>
      </c>
      <c r="C35" s="39" t="s">
        <v>474</v>
      </c>
      <c r="D35" s="40" t="s">
        <v>571</v>
      </c>
      <c r="E35" s="13" t="s">
        <v>90</v>
      </c>
      <c r="F35" s="40" t="s">
        <v>73</v>
      </c>
      <c r="G35" s="40" t="s">
        <v>74</v>
      </c>
      <c r="H35" s="40" t="s">
        <v>75</v>
      </c>
      <c r="I35" s="13">
        <v>1</v>
      </c>
      <c r="J35" s="13">
        <v>7</v>
      </c>
      <c r="K35" s="13">
        <v>1</v>
      </c>
      <c r="L35" s="13">
        <v>2</v>
      </c>
      <c r="M35" s="20">
        <v>1</v>
      </c>
      <c r="N35" s="46">
        <v>38.04</v>
      </c>
      <c r="O35" s="46">
        <v>2.96</v>
      </c>
      <c r="P35" s="46">
        <v>27.79</v>
      </c>
    </row>
    <row r="36" spans="1:16" x14ac:dyDescent="0.25">
      <c r="A36" s="39" t="s">
        <v>475</v>
      </c>
      <c r="B36" s="39" t="s">
        <v>536</v>
      </c>
      <c r="C36" s="39" t="s">
        <v>475</v>
      </c>
      <c r="D36" s="40" t="s">
        <v>572</v>
      </c>
      <c r="E36" s="13" t="s">
        <v>91</v>
      </c>
      <c r="F36" s="40" t="s">
        <v>73</v>
      </c>
      <c r="G36" s="40" t="s">
        <v>74</v>
      </c>
      <c r="H36" s="40" t="s">
        <v>75</v>
      </c>
      <c r="I36" s="13">
        <v>1</v>
      </c>
      <c r="J36" s="13">
        <v>7</v>
      </c>
      <c r="K36" s="13">
        <v>1</v>
      </c>
      <c r="L36" s="13">
        <v>2</v>
      </c>
      <c r="M36" s="20">
        <v>1</v>
      </c>
      <c r="N36" s="46">
        <v>50.4</v>
      </c>
      <c r="O36" s="46">
        <v>2.96</v>
      </c>
      <c r="P36" s="46">
        <v>22.6</v>
      </c>
    </row>
    <row r="37" spans="1:16" x14ac:dyDescent="0.25">
      <c r="A37" s="39" t="s">
        <v>476</v>
      </c>
      <c r="B37" s="39" t="s">
        <v>536</v>
      </c>
      <c r="C37" s="39" t="s">
        <v>476</v>
      </c>
      <c r="D37" s="40" t="s">
        <v>573</v>
      </c>
      <c r="E37" s="13" t="s">
        <v>91</v>
      </c>
      <c r="F37" s="40" t="s">
        <v>73</v>
      </c>
      <c r="G37" s="40" t="s">
        <v>100</v>
      </c>
      <c r="H37" s="40" t="s">
        <v>75</v>
      </c>
      <c r="I37" s="13">
        <v>2</v>
      </c>
      <c r="J37" s="13">
        <v>7</v>
      </c>
      <c r="K37" s="13">
        <v>1</v>
      </c>
      <c r="L37" s="13">
        <v>3</v>
      </c>
      <c r="M37" s="20">
        <v>1</v>
      </c>
      <c r="N37" s="46">
        <v>37.33</v>
      </c>
      <c r="O37" s="46">
        <v>2.96</v>
      </c>
      <c r="P37" s="46">
        <v>27.96</v>
      </c>
    </row>
    <row r="38" spans="1:16" x14ac:dyDescent="0.25">
      <c r="A38" s="39" t="s">
        <v>477</v>
      </c>
      <c r="B38" s="39" t="s">
        <v>536</v>
      </c>
      <c r="C38" s="39" t="s">
        <v>477</v>
      </c>
      <c r="D38" s="40" t="s">
        <v>574</v>
      </c>
      <c r="E38" s="13" t="s">
        <v>91</v>
      </c>
      <c r="F38" s="40" t="s">
        <v>73</v>
      </c>
      <c r="G38" s="40" t="s">
        <v>74</v>
      </c>
      <c r="H38" s="40" t="s">
        <v>75</v>
      </c>
      <c r="I38" s="13">
        <v>2</v>
      </c>
      <c r="J38" s="13">
        <v>7</v>
      </c>
      <c r="K38" s="13">
        <v>1</v>
      </c>
      <c r="L38" s="13">
        <v>2</v>
      </c>
      <c r="M38" s="20">
        <v>1</v>
      </c>
      <c r="N38" s="46">
        <v>38.979999999999997</v>
      </c>
      <c r="O38" s="46">
        <v>2.96</v>
      </c>
      <c r="P38" s="46">
        <v>29.62</v>
      </c>
    </row>
    <row r="39" spans="1:16" x14ac:dyDescent="0.25">
      <c r="A39" s="39" t="s">
        <v>478</v>
      </c>
      <c r="B39" s="39" t="s">
        <v>536</v>
      </c>
      <c r="C39" s="39" t="s">
        <v>478</v>
      </c>
      <c r="D39" s="40" t="s">
        <v>575</v>
      </c>
      <c r="E39" s="13" t="s">
        <v>88</v>
      </c>
      <c r="F39" s="40" t="s">
        <v>73</v>
      </c>
      <c r="G39" s="40" t="s">
        <v>100</v>
      </c>
      <c r="H39" s="40" t="s">
        <v>75</v>
      </c>
      <c r="I39" s="13">
        <v>2</v>
      </c>
      <c r="J39" s="13">
        <v>7</v>
      </c>
      <c r="K39" s="13">
        <v>1</v>
      </c>
      <c r="L39" s="13">
        <v>3</v>
      </c>
      <c r="M39" s="20">
        <v>1</v>
      </c>
      <c r="N39" s="46">
        <v>37.03</v>
      </c>
      <c r="O39" s="46">
        <v>2.96</v>
      </c>
      <c r="P39" s="46">
        <v>28.02</v>
      </c>
    </row>
    <row r="40" spans="1:16" x14ac:dyDescent="0.25">
      <c r="A40" s="39" t="s">
        <v>479</v>
      </c>
      <c r="B40" s="39" t="s">
        <v>536</v>
      </c>
      <c r="C40" s="39" t="s">
        <v>479</v>
      </c>
      <c r="D40" s="40" t="s">
        <v>576</v>
      </c>
      <c r="E40" s="13" t="s">
        <v>89</v>
      </c>
      <c r="F40" s="40" t="s">
        <v>73</v>
      </c>
      <c r="G40" s="40" t="s">
        <v>100</v>
      </c>
      <c r="H40" s="40" t="s">
        <v>75</v>
      </c>
      <c r="I40" s="13">
        <v>2</v>
      </c>
      <c r="J40" s="13">
        <v>7</v>
      </c>
      <c r="K40" s="13">
        <v>1</v>
      </c>
      <c r="L40" s="13">
        <v>3</v>
      </c>
      <c r="M40" s="20">
        <v>1</v>
      </c>
      <c r="N40" s="46">
        <v>46.49</v>
      </c>
      <c r="O40" s="46">
        <v>2.96</v>
      </c>
      <c r="P40" s="46">
        <v>37.15</v>
      </c>
    </row>
    <row r="41" spans="1:16" x14ac:dyDescent="0.25">
      <c r="A41" s="39" t="s">
        <v>480</v>
      </c>
      <c r="B41" s="39" t="s">
        <v>536</v>
      </c>
      <c r="C41" s="39" t="s">
        <v>480</v>
      </c>
      <c r="D41" s="40" t="s">
        <v>577</v>
      </c>
      <c r="E41" s="13" t="s">
        <v>88</v>
      </c>
      <c r="F41" s="40" t="s">
        <v>73</v>
      </c>
      <c r="G41" s="40" t="s">
        <v>100</v>
      </c>
      <c r="H41" s="40" t="s">
        <v>75</v>
      </c>
      <c r="I41" s="13">
        <v>2</v>
      </c>
      <c r="J41" s="13">
        <v>7</v>
      </c>
      <c r="K41" s="13">
        <v>1</v>
      </c>
      <c r="L41" s="13">
        <v>3</v>
      </c>
      <c r="M41" s="20">
        <v>1</v>
      </c>
      <c r="N41" s="46">
        <v>39.26</v>
      </c>
      <c r="O41" s="46">
        <v>2.96</v>
      </c>
      <c r="P41" s="46">
        <v>30.25</v>
      </c>
    </row>
    <row r="42" spans="1:16" x14ac:dyDescent="0.25">
      <c r="A42" s="39" t="s">
        <v>481</v>
      </c>
      <c r="B42" s="39" t="s">
        <v>536</v>
      </c>
      <c r="C42" s="39" t="s">
        <v>481</v>
      </c>
      <c r="D42" s="40" t="s">
        <v>578</v>
      </c>
      <c r="E42" s="13" t="s">
        <v>89</v>
      </c>
      <c r="F42" s="40" t="s">
        <v>73</v>
      </c>
      <c r="G42" s="40" t="s">
        <v>100</v>
      </c>
      <c r="H42" s="40" t="s">
        <v>75</v>
      </c>
      <c r="I42" s="13">
        <v>2</v>
      </c>
      <c r="J42" s="13">
        <v>7</v>
      </c>
      <c r="K42" s="13">
        <v>1</v>
      </c>
      <c r="L42" s="13">
        <v>3</v>
      </c>
      <c r="M42" s="20">
        <v>1</v>
      </c>
      <c r="N42" s="46">
        <v>38.93</v>
      </c>
      <c r="O42" s="46">
        <v>2.96</v>
      </c>
      <c r="P42" s="46">
        <v>29.82</v>
      </c>
    </row>
    <row r="43" spans="1:16" x14ac:dyDescent="0.25">
      <c r="A43" s="39" t="s">
        <v>482</v>
      </c>
      <c r="B43" s="39" t="s">
        <v>536</v>
      </c>
      <c r="C43" s="39" t="s">
        <v>482</v>
      </c>
      <c r="D43" s="40" t="s">
        <v>579</v>
      </c>
      <c r="E43" s="13" t="s">
        <v>88</v>
      </c>
      <c r="F43" s="40" t="s">
        <v>73</v>
      </c>
      <c r="G43" s="40" t="s">
        <v>100</v>
      </c>
      <c r="H43" s="40" t="s">
        <v>75</v>
      </c>
      <c r="I43" s="13">
        <v>2</v>
      </c>
      <c r="J43" s="13">
        <v>7</v>
      </c>
      <c r="K43" s="13">
        <v>1</v>
      </c>
      <c r="L43" s="13">
        <v>3</v>
      </c>
      <c r="M43" s="20">
        <v>1</v>
      </c>
      <c r="N43" s="46">
        <v>45.51</v>
      </c>
      <c r="O43" s="46">
        <v>2.96</v>
      </c>
      <c r="P43" s="46">
        <v>30.02</v>
      </c>
    </row>
    <row r="44" spans="1:16" x14ac:dyDescent="0.25">
      <c r="A44" s="39" t="s">
        <v>483</v>
      </c>
      <c r="B44" s="39" t="s">
        <v>536</v>
      </c>
      <c r="C44" s="39" t="s">
        <v>483</v>
      </c>
      <c r="D44" s="40" t="s">
        <v>580</v>
      </c>
      <c r="E44" s="13" t="s">
        <v>89</v>
      </c>
      <c r="F44" s="40" t="s">
        <v>73</v>
      </c>
      <c r="G44" s="40" t="s">
        <v>100</v>
      </c>
      <c r="H44" s="40" t="s">
        <v>75</v>
      </c>
      <c r="I44" s="13">
        <v>2</v>
      </c>
      <c r="J44" s="13">
        <v>7</v>
      </c>
      <c r="K44" s="13">
        <v>1</v>
      </c>
      <c r="L44" s="13">
        <v>3</v>
      </c>
      <c r="M44" s="20">
        <v>1</v>
      </c>
      <c r="N44" s="46">
        <v>38.79</v>
      </c>
      <c r="O44" s="46">
        <v>2.96</v>
      </c>
      <c r="P44" s="46">
        <v>29.68</v>
      </c>
    </row>
    <row r="45" spans="1:16" x14ac:dyDescent="0.25">
      <c r="A45" s="39" t="s">
        <v>484</v>
      </c>
      <c r="B45" s="39" t="s">
        <v>536</v>
      </c>
      <c r="C45" s="39" t="s">
        <v>484</v>
      </c>
      <c r="D45" s="40" t="s">
        <v>581</v>
      </c>
      <c r="E45" s="13" t="s">
        <v>90</v>
      </c>
      <c r="F45" s="40" t="s">
        <v>73</v>
      </c>
      <c r="G45" s="40" t="s">
        <v>74</v>
      </c>
      <c r="H45" s="40" t="s">
        <v>75</v>
      </c>
      <c r="I45" s="13">
        <v>2</v>
      </c>
      <c r="J45" s="13">
        <v>7</v>
      </c>
      <c r="K45" s="13">
        <v>1</v>
      </c>
      <c r="L45" s="13">
        <v>2</v>
      </c>
      <c r="M45" s="20">
        <v>1</v>
      </c>
      <c r="N45" s="46">
        <v>50.33</v>
      </c>
      <c r="O45" s="46">
        <v>2.96</v>
      </c>
      <c r="P45" s="46">
        <v>24.99</v>
      </c>
    </row>
    <row r="46" spans="1:16" x14ac:dyDescent="0.25">
      <c r="A46" s="39" t="s">
        <v>485</v>
      </c>
      <c r="B46" s="39" t="s">
        <v>536</v>
      </c>
      <c r="C46" s="39" t="s">
        <v>485</v>
      </c>
      <c r="D46" s="40" t="s">
        <v>582</v>
      </c>
      <c r="E46" s="13" t="s">
        <v>90</v>
      </c>
      <c r="F46" s="40" t="s">
        <v>73</v>
      </c>
      <c r="G46" s="40" t="s">
        <v>100</v>
      </c>
      <c r="H46" s="40" t="s">
        <v>75</v>
      </c>
      <c r="I46" s="13">
        <v>2</v>
      </c>
      <c r="J46" s="13">
        <v>7</v>
      </c>
      <c r="K46" s="13">
        <v>1</v>
      </c>
      <c r="L46" s="13">
        <v>3</v>
      </c>
      <c r="M46" s="20">
        <v>1</v>
      </c>
      <c r="N46" s="46">
        <v>38.130000000000003</v>
      </c>
      <c r="O46" s="46">
        <v>2.96</v>
      </c>
      <c r="P46" s="46">
        <v>27.89</v>
      </c>
    </row>
    <row r="47" spans="1:16" x14ac:dyDescent="0.25">
      <c r="A47" s="39" t="s">
        <v>486</v>
      </c>
      <c r="B47" s="39" t="s">
        <v>536</v>
      </c>
      <c r="C47" s="39" t="s">
        <v>486</v>
      </c>
      <c r="D47" s="40" t="s">
        <v>583</v>
      </c>
      <c r="E47" s="13" t="s">
        <v>90</v>
      </c>
      <c r="F47" s="40" t="s">
        <v>73</v>
      </c>
      <c r="G47" s="40" t="s">
        <v>74</v>
      </c>
      <c r="H47" s="40" t="s">
        <v>75</v>
      </c>
      <c r="I47" s="13">
        <v>2</v>
      </c>
      <c r="J47" s="13">
        <v>7</v>
      </c>
      <c r="K47" s="13">
        <v>1</v>
      </c>
      <c r="L47" s="13">
        <v>2</v>
      </c>
      <c r="M47" s="20">
        <v>1</v>
      </c>
      <c r="N47" s="46">
        <v>38.04</v>
      </c>
      <c r="O47" s="46">
        <v>2.96</v>
      </c>
      <c r="P47" s="46">
        <v>27.79</v>
      </c>
    </row>
    <row r="48" spans="1:16" x14ac:dyDescent="0.25">
      <c r="A48" s="39" t="s">
        <v>487</v>
      </c>
      <c r="B48" s="39" t="s">
        <v>536</v>
      </c>
      <c r="C48" s="39" t="s">
        <v>487</v>
      </c>
      <c r="D48" s="40" t="s">
        <v>584</v>
      </c>
      <c r="E48" s="13" t="s">
        <v>91</v>
      </c>
      <c r="F48" s="40" t="s">
        <v>73</v>
      </c>
      <c r="G48" s="40" t="s">
        <v>74</v>
      </c>
      <c r="H48" s="40" t="s">
        <v>75</v>
      </c>
      <c r="I48" s="13">
        <v>2</v>
      </c>
      <c r="J48" s="13">
        <v>7</v>
      </c>
      <c r="K48" s="13">
        <v>1</v>
      </c>
      <c r="L48" s="13">
        <v>2</v>
      </c>
      <c r="M48" s="20">
        <v>1</v>
      </c>
      <c r="N48" s="46">
        <v>44.34</v>
      </c>
      <c r="O48" s="46">
        <v>2.96</v>
      </c>
      <c r="P48" s="46">
        <v>33.5</v>
      </c>
    </row>
    <row r="49" spans="1:16" x14ac:dyDescent="0.25">
      <c r="A49" s="39" t="s">
        <v>488</v>
      </c>
      <c r="B49" s="39" t="s">
        <v>536</v>
      </c>
      <c r="C49" s="39" t="s">
        <v>488</v>
      </c>
      <c r="D49" s="40" t="s">
        <v>585</v>
      </c>
      <c r="E49" s="13" t="s">
        <v>91</v>
      </c>
      <c r="F49" s="40" t="s">
        <v>73</v>
      </c>
      <c r="G49" s="40" t="s">
        <v>100</v>
      </c>
      <c r="H49" s="40" t="s">
        <v>75</v>
      </c>
      <c r="I49" s="13">
        <v>3</v>
      </c>
      <c r="J49" s="13">
        <v>7</v>
      </c>
      <c r="K49" s="13">
        <v>1</v>
      </c>
      <c r="L49" s="13">
        <v>3</v>
      </c>
      <c r="M49" s="20">
        <v>1</v>
      </c>
      <c r="N49" s="46">
        <v>37.33</v>
      </c>
      <c r="O49" s="46">
        <v>2.97</v>
      </c>
      <c r="P49" s="46">
        <v>27.9</v>
      </c>
    </row>
    <row r="50" spans="1:16" x14ac:dyDescent="0.25">
      <c r="A50" s="39" t="s">
        <v>489</v>
      </c>
      <c r="B50" s="39" t="s">
        <v>536</v>
      </c>
      <c r="C50" s="39" t="s">
        <v>489</v>
      </c>
      <c r="D50" s="40" t="s">
        <v>586</v>
      </c>
      <c r="E50" s="13" t="s">
        <v>91</v>
      </c>
      <c r="F50" s="40" t="s">
        <v>73</v>
      </c>
      <c r="G50" s="40" t="s">
        <v>74</v>
      </c>
      <c r="H50" s="40" t="s">
        <v>75</v>
      </c>
      <c r="I50" s="13">
        <v>3</v>
      </c>
      <c r="J50" s="13">
        <v>7</v>
      </c>
      <c r="K50" s="13">
        <v>1</v>
      </c>
      <c r="L50" s="13">
        <v>2</v>
      </c>
      <c r="M50" s="20">
        <v>1</v>
      </c>
      <c r="N50" s="46">
        <v>38.75</v>
      </c>
      <c r="O50" s="46">
        <v>2.97</v>
      </c>
      <c r="P50" s="46">
        <v>29.47</v>
      </c>
    </row>
    <row r="51" spans="1:16" x14ac:dyDescent="0.25">
      <c r="A51" s="39" t="s">
        <v>490</v>
      </c>
      <c r="B51" s="39" t="s">
        <v>536</v>
      </c>
      <c r="C51" s="39" t="s">
        <v>490</v>
      </c>
      <c r="D51" s="40" t="s">
        <v>587</v>
      </c>
      <c r="E51" s="13" t="s">
        <v>88</v>
      </c>
      <c r="F51" s="40" t="s">
        <v>73</v>
      </c>
      <c r="G51" s="40" t="s">
        <v>100</v>
      </c>
      <c r="H51" s="40" t="s">
        <v>75</v>
      </c>
      <c r="I51" s="13">
        <v>3</v>
      </c>
      <c r="J51" s="13">
        <v>7</v>
      </c>
      <c r="K51" s="13">
        <v>1</v>
      </c>
      <c r="L51" s="13">
        <v>3</v>
      </c>
      <c r="M51" s="20">
        <v>1</v>
      </c>
      <c r="N51" s="46">
        <v>37.03</v>
      </c>
      <c r="O51" s="46">
        <v>2.97</v>
      </c>
      <c r="P51" s="46">
        <v>28.02</v>
      </c>
    </row>
    <row r="52" spans="1:16" x14ac:dyDescent="0.25">
      <c r="A52" s="39" t="s">
        <v>491</v>
      </c>
      <c r="B52" s="39" t="s">
        <v>536</v>
      </c>
      <c r="C52" s="39" t="s">
        <v>491</v>
      </c>
      <c r="D52" s="40" t="s">
        <v>588</v>
      </c>
      <c r="E52" s="13" t="s">
        <v>89</v>
      </c>
      <c r="F52" s="40" t="s">
        <v>73</v>
      </c>
      <c r="G52" s="40" t="s">
        <v>100</v>
      </c>
      <c r="H52" s="40" t="s">
        <v>75</v>
      </c>
      <c r="I52" s="13">
        <v>3</v>
      </c>
      <c r="J52" s="13">
        <v>7</v>
      </c>
      <c r="K52" s="13">
        <v>1</v>
      </c>
      <c r="L52" s="13">
        <v>3</v>
      </c>
      <c r="M52" s="20">
        <v>1</v>
      </c>
      <c r="N52" s="46">
        <v>46.49</v>
      </c>
      <c r="O52" s="46">
        <v>2.97</v>
      </c>
      <c r="P52" s="46">
        <v>37.15</v>
      </c>
    </row>
    <row r="53" spans="1:16" x14ac:dyDescent="0.25">
      <c r="A53" s="39" t="s">
        <v>492</v>
      </c>
      <c r="B53" s="39" t="s">
        <v>536</v>
      </c>
      <c r="C53" s="39" t="s">
        <v>492</v>
      </c>
      <c r="D53" s="40" t="s">
        <v>589</v>
      </c>
      <c r="E53" s="13" t="s">
        <v>88</v>
      </c>
      <c r="F53" s="40" t="s">
        <v>73</v>
      </c>
      <c r="G53" s="40" t="s">
        <v>100</v>
      </c>
      <c r="H53" s="40" t="s">
        <v>75</v>
      </c>
      <c r="I53" s="13">
        <v>3</v>
      </c>
      <c r="J53" s="13">
        <v>7</v>
      </c>
      <c r="K53" s="13">
        <v>1</v>
      </c>
      <c r="L53" s="13">
        <v>3</v>
      </c>
      <c r="M53" s="20">
        <v>1</v>
      </c>
      <c r="N53" s="46">
        <v>39.26</v>
      </c>
      <c r="O53" s="46">
        <v>2.97</v>
      </c>
      <c r="P53" s="46">
        <v>30.25</v>
      </c>
    </row>
    <row r="54" spans="1:16" x14ac:dyDescent="0.25">
      <c r="A54" s="39" t="s">
        <v>493</v>
      </c>
      <c r="B54" s="39" t="s">
        <v>536</v>
      </c>
      <c r="C54" s="39" t="s">
        <v>493</v>
      </c>
      <c r="D54" s="40" t="s">
        <v>590</v>
      </c>
      <c r="E54" s="13" t="s">
        <v>89</v>
      </c>
      <c r="F54" s="40" t="s">
        <v>73</v>
      </c>
      <c r="G54" s="40" t="s">
        <v>100</v>
      </c>
      <c r="H54" s="40" t="s">
        <v>75</v>
      </c>
      <c r="I54" s="13">
        <v>3</v>
      </c>
      <c r="J54" s="13">
        <v>7</v>
      </c>
      <c r="K54" s="13">
        <v>1</v>
      </c>
      <c r="L54" s="13">
        <v>3</v>
      </c>
      <c r="M54" s="20">
        <v>1</v>
      </c>
      <c r="N54" s="46">
        <v>38.93</v>
      </c>
      <c r="O54" s="46">
        <v>2.97</v>
      </c>
      <c r="P54" s="46">
        <v>29.82</v>
      </c>
    </row>
    <row r="55" spans="1:16" x14ac:dyDescent="0.25">
      <c r="A55" s="39" t="s">
        <v>494</v>
      </c>
      <c r="B55" s="39" t="s">
        <v>536</v>
      </c>
      <c r="C55" s="39" t="s">
        <v>494</v>
      </c>
      <c r="D55" s="40" t="s">
        <v>591</v>
      </c>
      <c r="E55" s="13" t="s">
        <v>88</v>
      </c>
      <c r="F55" s="40" t="s">
        <v>73</v>
      </c>
      <c r="G55" s="40" t="s">
        <v>100</v>
      </c>
      <c r="H55" s="40" t="s">
        <v>75</v>
      </c>
      <c r="I55" s="13">
        <v>3</v>
      </c>
      <c r="J55" s="13">
        <v>7</v>
      </c>
      <c r="K55" s="13">
        <v>1</v>
      </c>
      <c r="L55" s="13">
        <v>3</v>
      </c>
      <c r="M55" s="20">
        <v>1</v>
      </c>
      <c r="N55" s="46">
        <v>45.51</v>
      </c>
      <c r="O55" s="46">
        <v>2.97</v>
      </c>
      <c r="P55" s="46">
        <v>30.01</v>
      </c>
    </row>
    <row r="56" spans="1:16" x14ac:dyDescent="0.25">
      <c r="A56" s="39" t="s">
        <v>495</v>
      </c>
      <c r="B56" s="39" t="s">
        <v>536</v>
      </c>
      <c r="C56" s="39" t="s">
        <v>495</v>
      </c>
      <c r="D56" s="40" t="s">
        <v>592</v>
      </c>
      <c r="E56" s="13" t="s">
        <v>89</v>
      </c>
      <c r="F56" s="40" t="s">
        <v>73</v>
      </c>
      <c r="G56" s="40" t="s">
        <v>100</v>
      </c>
      <c r="H56" s="40" t="s">
        <v>75</v>
      </c>
      <c r="I56" s="13">
        <v>3</v>
      </c>
      <c r="J56" s="13">
        <v>7</v>
      </c>
      <c r="K56" s="13">
        <v>1</v>
      </c>
      <c r="L56" s="13">
        <v>3</v>
      </c>
      <c r="M56" s="20">
        <v>1</v>
      </c>
      <c r="N56" s="46">
        <v>38.79</v>
      </c>
      <c r="O56" s="46">
        <v>2.97</v>
      </c>
      <c r="P56" s="46">
        <v>29.68</v>
      </c>
    </row>
    <row r="57" spans="1:16" x14ac:dyDescent="0.25">
      <c r="A57" s="39" t="s">
        <v>496</v>
      </c>
      <c r="B57" s="39" t="s">
        <v>536</v>
      </c>
      <c r="C57" s="39" t="s">
        <v>496</v>
      </c>
      <c r="D57" s="40" t="s">
        <v>593</v>
      </c>
      <c r="E57" s="13" t="s">
        <v>90</v>
      </c>
      <c r="F57" s="40" t="s">
        <v>73</v>
      </c>
      <c r="G57" s="40" t="s">
        <v>74</v>
      </c>
      <c r="H57" s="40" t="s">
        <v>75</v>
      </c>
      <c r="I57" s="13">
        <v>3</v>
      </c>
      <c r="J57" s="13">
        <v>7</v>
      </c>
      <c r="K57" s="13">
        <v>1</v>
      </c>
      <c r="L57" s="13">
        <v>2</v>
      </c>
      <c r="M57" s="20">
        <v>1</v>
      </c>
      <c r="N57" s="46">
        <v>50.33</v>
      </c>
      <c r="O57" s="46">
        <v>2.97</v>
      </c>
      <c r="P57" s="46">
        <v>24.99</v>
      </c>
    </row>
    <row r="58" spans="1:16" x14ac:dyDescent="0.25">
      <c r="A58" s="39" t="s">
        <v>497</v>
      </c>
      <c r="B58" s="39" t="s">
        <v>536</v>
      </c>
      <c r="C58" s="39" t="s">
        <v>497</v>
      </c>
      <c r="D58" s="40" t="s">
        <v>594</v>
      </c>
      <c r="E58" s="13" t="s">
        <v>90</v>
      </c>
      <c r="F58" s="40" t="s">
        <v>73</v>
      </c>
      <c r="G58" s="40" t="s">
        <v>100</v>
      </c>
      <c r="H58" s="40" t="s">
        <v>75</v>
      </c>
      <c r="I58" s="13">
        <v>3</v>
      </c>
      <c r="J58" s="13">
        <v>7</v>
      </c>
      <c r="K58" s="13">
        <v>1</v>
      </c>
      <c r="L58" s="13">
        <v>3</v>
      </c>
      <c r="M58" s="20">
        <v>1</v>
      </c>
      <c r="N58" s="46">
        <v>38.130000000000003</v>
      </c>
      <c r="O58" s="46">
        <v>2.97</v>
      </c>
      <c r="P58" s="46">
        <v>27.89</v>
      </c>
    </row>
    <row r="59" spans="1:16" x14ac:dyDescent="0.25">
      <c r="A59" s="39" t="s">
        <v>498</v>
      </c>
      <c r="B59" s="39" t="s">
        <v>536</v>
      </c>
      <c r="C59" s="39" t="s">
        <v>498</v>
      </c>
      <c r="D59" s="40" t="s">
        <v>595</v>
      </c>
      <c r="E59" s="13" t="s">
        <v>90</v>
      </c>
      <c r="F59" s="40" t="s">
        <v>73</v>
      </c>
      <c r="G59" s="40" t="s">
        <v>74</v>
      </c>
      <c r="H59" s="40" t="s">
        <v>75</v>
      </c>
      <c r="I59" s="13">
        <v>3</v>
      </c>
      <c r="J59" s="13">
        <v>7</v>
      </c>
      <c r="K59" s="13">
        <v>1</v>
      </c>
      <c r="L59" s="13">
        <v>2</v>
      </c>
      <c r="M59" s="20">
        <v>1</v>
      </c>
      <c r="N59" s="46">
        <v>38.04</v>
      </c>
      <c r="O59" s="46">
        <v>2.97</v>
      </c>
      <c r="P59" s="46">
        <v>27.79</v>
      </c>
    </row>
    <row r="60" spans="1:16" x14ac:dyDescent="0.25">
      <c r="A60" s="39" t="s">
        <v>499</v>
      </c>
      <c r="B60" s="39" t="s">
        <v>536</v>
      </c>
      <c r="C60" s="39" t="s">
        <v>499</v>
      </c>
      <c r="D60" s="40" t="s">
        <v>596</v>
      </c>
      <c r="E60" s="13" t="s">
        <v>91</v>
      </c>
      <c r="F60" s="40" t="s">
        <v>73</v>
      </c>
      <c r="G60" s="40" t="s">
        <v>74</v>
      </c>
      <c r="H60" s="40" t="s">
        <v>75</v>
      </c>
      <c r="I60" s="13">
        <v>3</v>
      </c>
      <c r="J60" s="13">
        <v>7</v>
      </c>
      <c r="K60" s="13">
        <v>1</v>
      </c>
      <c r="L60" s="13">
        <v>2</v>
      </c>
      <c r="M60" s="20">
        <v>1</v>
      </c>
      <c r="N60" s="46">
        <v>44.34</v>
      </c>
      <c r="O60" s="46">
        <v>2.97</v>
      </c>
      <c r="P60" s="46">
        <v>33.5</v>
      </c>
    </row>
    <row r="61" spans="1:16" x14ac:dyDescent="0.25">
      <c r="A61" s="39" t="s">
        <v>500</v>
      </c>
      <c r="B61" s="39" t="s">
        <v>536</v>
      </c>
      <c r="C61" s="39" t="s">
        <v>500</v>
      </c>
      <c r="D61" s="40" t="s">
        <v>597</v>
      </c>
      <c r="E61" s="13" t="s">
        <v>91</v>
      </c>
      <c r="F61" s="40" t="s">
        <v>73</v>
      </c>
      <c r="G61" s="40" t="s">
        <v>100</v>
      </c>
      <c r="H61" s="40" t="s">
        <v>75</v>
      </c>
      <c r="I61" s="13">
        <v>4</v>
      </c>
      <c r="J61" s="13">
        <v>7</v>
      </c>
      <c r="K61" s="13">
        <v>1</v>
      </c>
      <c r="L61" s="13">
        <v>3</v>
      </c>
      <c r="M61" s="20">
        <v>1</v>
      </c>
      <c r="N61" s="46">
        <v>37.33</v>
      </c>
      <c r="O61" s="46">
        <v>2.93</v>
      </c>
      <c r="P61" s="46">
        <v>27.9</v>
      </c>
    </row>
    <row r="62" spans="1:16" x14ac:dyDescent="0.25">
      <c r="A62" s="39" t="s">
        <v>501</v>
      </c>
      <c r="B62" s="39" t="s">
        <v>536</v>
      </c>
      <c r="C62" s="39" t="s">
        <v>501</v>
      </c>
      <c r="D62" s="40" t="s">
        <v>598</v>
      </c>
      <c r="E62" s="13" t="s">
        <v>91</v>
      </c>
      <c r="F62" s="40" t="s">
        <v>73</v>
      </c>
      <c r="G62" s="40" t="s">
        <v>74</v>
      </c>
      <c r="H62" s="40" t="s">
        <v>75</v>
      </c>
      <c r="I62" s="13">
        <v>4</v>
      </c>
      <c r="J62" s="13">
        <v>7</v>
      </c>
      <c r="K62" s="13">
        <v>1</v>
      </c>
      <c r="L62" s="13">
        <v>2</v>
      </c>
      <c r="M62" s="20">
        <v>1</v>
      </c>
      <c r="N62" s="46">
        <v>38.75</v>
      </c>
      <c r="O62" s="46">
        <v>2.93</v>
      </c>
      <c r="P62" s="46">
        <v>29.47</v>
      </c>
    </row>
    <row r="63" spans="1:16" x14ac:dyDescent="0.25">
      <c r="A63" s="39" t="s">
        <v>502</v>
      </c>
      <c r="B63" s="39" t="s">
        <v>536</v>
      </c>
      <c r="C63" s="39" t="s">
        <v>502</v>
      </c>
      <c r="D63" s="40" t="s">
        <v>599</v>
      </c>
      <c r="E63" s="13" t="s">
        <v>88</v>
      </c>
      <c r="F63" s="40" t="s">
        <v>73</v>
      </c>
      <c r="G63" s="40" t="s">
        <v>100</v>
      </c>
      <c r="H63" s="40" t="s">
        <v>75</v>
      </c>
      <c r="I63" s="13">
        <v>4</v>
      </c>
      <c r="J63" s="13">
        <v>7</v>
      </c>
      <c r="K63" s="13">
        <v>1</v>
      </c>
      <c r="L63" s="13">
        <v>3</v>
      </c>
      <c r="M63" s="20">
        <v>1</v>
      </c>
      <c r="N63" s="46">
        <v>37.03</v>
      </c>
      <c r="O63" s="46">
        <v>2.93</v>
      </c>
      <c r="P63" s="46">
        <v>28.02</v>
      </c>
    </row>
    <row r="64" spans="1:16" x14ac:dyDescent="0.25">
      <c r="A64" s="39" t="s">
        <v>503</v>
      </c>
      <c r="B64" s="39" t="s">
        <v>536</v>
      </c>
      <c r="C64" s="39" t="s">
        <v>503</v>
      </c>
      <c r="D64" s="40" t="s">
        <v>600</v>
      </c>
      <c r="E64" s="13" t="s">
        <v>89</v>
      </c>
      <c r="F64" s="40" t="s">
        <v>73</v>
      </c>
      <c r="G64" s="40" t="s">
        <v>100</v>
      </c>
      <c r="H64" s="40" t="s">
        <v>75</v>
      </c>
      <c r="I64" s="13">
        <v>4</v>
      </c>
      <c r="J64" s="13">
        <v>7</v>
      </c>
      <c r="K64" s="13">
        <v>1</v>
      </c>
      <c r="L64" s="13">
        <v>3</v>
      </c>
      <c r="M64" s="20">
        <v>1</v>
      </c>
      <c r="N64" s="46">
        <v>46.49</v>
      </c>
      <c r="O64" s="46">
        <v>2.93</v>
      </c>
      <c r="P64" s="46">
        <v>37.15</v>
      </c>
    </row>
    <row r="65" spans="1:16" x14ac:dyDescent="0.25">
      <c r="A65" s="39" t="s">
        <v>504</v>
      </c>
      <c r="B65" s="39" t="s">
        <v>536</v>
      </c>
      <c r="C65" s="39" t="s">
        <v>504</v>
      </c>
      <c r="D65" s="40" t="s">
        <v>601</v>
      </c>
      <c r="E65" s="13" t="s">
        <v>88</v>
      </c>
      <c r="F65" s="40" t="s">
        <v>73</v>
      </c>
      <c r="G65" s="40" t="s">
        <v>100</v>
      </c>
      <c r="H65" s="40" t="s">
        <v>75</v>
      </c>
      <c r="I65" s="13">
        <v>4</v>
      </c>
      <c r="J65" s="13">
        <v>7</v>
      </c>
      <c r="K65" s="13">
        <v>1</v>
      </c>
      <c r="L65" s="13">
        <v>3</v>
      </c>
      <c r="M65" s="20">
        <v>1</v>
      </c>
      <c r="N65" s="46">
        <v>39.26</v>
      </c>
      <c r="O65" s="46">
        <v>2.93</v>
      </c>
      <c r="P65" s="46">
        <v>30.25</v>
      </c>
    </row>
    <row r="66" spans="1:16" x14ac:dyDescent="0.25">
      <c r="A66" s="39" t="s">
        <v>505</v>
      </c>
      <c r="B66" s="39" t="s">
        <v>536</v>
      </c>
      <c r="C66" s="39" t="s">
        <v>505</v>
      </c>
      <c r="D66" s="40" t="s">
        <v>602</v>
      </c>
      <c r="E66" s="13" t="s">
        <v>89</v>
      </c>
      <c r="F66" s="40" t="s">
        <v>73</v>
      </c>
      <c r="G66" s="40" t="s">
        <v>100</v>
      </c>
      <c r="H66" s="40" t="s">
        <v>75</v>
      </c>
      <c r="I66" s="13">
        <v>4</v>
      </c>
      <c r="J66" s="13">
        <v>7</v>
      </c>
      <c r="K66" s="13">
        <v>1</v>
      </c>
      <c r="L66" s="13">
        <v>3</v>
      </c>
      <c r="M66" s="20">
        <v>1</v>
      </c>
      <c r="N66" s="46">
        <v>38.93</v>
      </c>
      <c r="O66" s="46">
        <v>2.93</v>
      </c>
      <c r="P66" s="46">
        <v>29.82</v>
      </c>
    </row>
    <row r="67" spans="1:16" x14ac:dyDescent="0.25">
      <c r="A67" s="39" t="s">
        <v>506</v>
      </c>
      <c r="B67" s="39" t="s">
        <v>536</v>
      </c>
      <c r="C67" s="39" t="s">
        <v>506</v>
      </c>
      <c r="D67" s="40" t="s">
        <v>603</v>
      </c>
      <c r="E67" s="13" t="s">
        <v>88</v>
      </c>
      <c r="F67" s="40" t="s">
        <v>73</v>
      </c>
      <c r="G67" s="40" t="s">
        <v>100</v>
      </c>
      <c r="H67" s="40" t="s">
        <v>75</v>
      </c>
      <c r="I67" s="13">
        <v>4</v>
      </c>
      <c r="J67" s="13">
        <v>7</v>
      </c>
      <c r="K67" s="13">
        <v>1</v>
      </c>
      <c r="L67" s="13">
        <v>3</v>
      </c>
      <c r="M67" s="20">
        <v>1</v>
      </c>
      <c r="N67" s="46">
        <v>45.51</v>
      </c>
      <c r="O67" s="46">
        <v>2.93</v>
      </c>
      <c r="P67" s="46">
        <v>30.01</v>
      </c>
    </row>
    <row r="68" spans="1:16" x14ac:dyDescent="0.25">
      <c r="A68" s="39" t="s">
        <v>507</v>
      </c>
      <c r="B68" s="39" t="s">
        <v>536</v>
      </c>
      <c r="C68" s="39" t="s">
        <v>507</v>
      </c>
      <c r="D68" s="40" t="s">
        <v>604</v>
      </c>
      <c r="E68" s="13" t="s">
        <v>89</v>
      </c>
      <c r="F68" s="40" t="s">
        <v>73</v>
      </c>
      <c r="G68" s="40" t="s">
        <v>100</v>
      </c>
      <c r="H68" s="40" t="s">
        <v>75</v>
      </c>
      <c r="I68" s="13">
        <v>4</v>
      </c>
      <c r="J68" s="13">
        <v>7</v>
      </c>
      <c r="K68" s="13">
        <v>1</v>
      </c>
      <c r="L68" s="13">
        <v>3</v>
      </c>
      <c r="M68" s="20">
        <v>1</v>
      </c>
      <c r="N68" s="46">
        <v>38.79</v>
      </c>
      <c r="O68" s="46">
        <v>2.93</v>
      </c>
      <c r="P68" s="46">
        <v>29.68</v>
      </c>
    </row>
    <row r="69" spans="1:16" x14ac:dyDescent="0.25">
      <c r="A69" s="39" t="s">
        <v>508</v>
      </c>
      <c r="B69" s="39" t="s">
        <v>536</v>
      </c>
      <c r="C69" s="39" t="s">
        <v>508</v>
      </c>
      <c r="D69" s="40" t="s">
        <v>605</v>
      </c>
      <c r="E69" s="13" t="s">
        <v>90</v>
      </c>
      <c r="F69" s="40" t="s">
        <v>73</v>
      </c>
      <c r="G69" s="40" t="s">
        <v>74</v>
      </c>
      <c r="H69" s="40" t="s">
        <v>75</v>
      </c>
      <c r="I69" s="13">
        <v>4</v>
      </c>
      <c r="J69" s="13">
        <v>7</v>
      </c>
      <c r="K69" s="13">
        <v>1</v>
      </c>
      <c r="L69" s="13">
        <v>2</v>
      </c>
      <c r="M69" s="20">
        <v>1</v>
      </c>
      <c r="N69" s="46">
        <v>50.33</v>
      </c>
      <c r="O69" s="46">
        <v>2.93</v>
      </c>
      <c r="P69" s="46">
        <v>24.99</v>
      </c>
    </row>
    <row r="70" spans="1:16" x14ac:dyDescent="0.25">
      <c r="A70" s="39" t="s">
        <v>509</v>
      </c>
      <c r="B70" s="39" t="s">
        <v>536</v>
      </c>
      <c r="C70" s="39" t="s">
        <v>509</v>
      </c>
      <c r="D70" s="40" t="s">
        <v>606</v>
      </c>
      <c r="E70" s="13" t="s">
        <v>90</v>
      </c>
      <c r="F70" s="40" t="s">
        <v>73</v>
      </c>
      <c r="G70" s="40" t="s">
        <v>100</v>
      </c>
      <c r="H70" s="40" t="s">
        <v>75</v>
      </c>
      <c r="I70" s="13">
        <v>4</v>
      </c>
      <c r="J70" s="13">
        <v>7</v>
      </c>
      <c r="K70" s="13">
        <v>1</v>
      </c>
      <c r="L70" s="13">
        <v>3</v>
      </c>
      <c r="M70" s="20">
        <v>1</v>
      </c>
      <c r="N70" s="46">
        <v>38.130000000000003</v>
      </c>
      <c r="O70" s="46">
        <v>2.93</v>
      </c>
      <c r="P70" s="46">
        <v>27.89</v>
      </c>
    </row>
    <row r="71" spans="1:16" x14ac:dyDescent="0.25">
      <c r="A71" s="39" t="s">
        <v>510</v>
      </c>
      <c r="B71" s="39" t="s">
        <v>536</v>
      </c>
      <c r="C71" s="39" t="s">
        <v>510</v>
      </c>
      <c r="D71" s="40" t="s">
        <v>607</v>
      </c>
      <c r="E71" s="13" t="s">
        <v>90</v>
      </c>
      <c r="F71" s="40" t="s">
        <v>73</v>
      </c>
      <c r="G71" s="40" t="s">
        <v>74</v>
      </c>
      <c r="H71" s="40" t="s">
        <v>75</v>
      </c>
      <c r="I71" s="13">
        <v>4</v>
      </c>
      <c r="J71" s="13">
        <v>7</v>
      </c>
      <c r="K71" s="13">
        <v>1</v>
      </c>
      <c r="L71" s="13">
        <v>2</v>
      </c>
      <c r="M71" s="20">
        <v>1</v>
      </c>
      <c r="N71" s="46">
        <v>38.04</v>
      </c>
      <c r="O71" s="46">
        <v>2.93</v>
      </c>
      <c r="P71" s="46">
        <v>27.79</v>
      </c>
    </row>
    <row r="72" spans="1:16" x14ac:dyDescent="0.25">
      <c r="A72" s="39" t="s">
        <v>511</v>
      </c>
      <c r="B72" s="39" t="s">
        <v>536</v>
      </c>
      <c r="C72" s="39" t="s">
        <v>511</v>
      </c>
      <c r="D72" s="40" t="s">
        <v>608</v>
      </c>
      <c r="E72" s="13" t="s">
        <v>91</v>
      </c>
      <c r="F72" s="40" t="s">
        <v>73</v>
      </c>
      <c r="G72" s="40" t="s">
        <v>74</v>
      </c>
      <c r="H72" s="40" t="s">
        <v>75</v>
      </c>
      <c r="I72" s="13">
        <v>4</v>
      </c>
      <c r="J72" s="13">
        <v>7</v>
      </c>
      <c r="K72" s="13">
        <v>1</v>
      </c>
      <c r="L72" s="13">
        <v>2</v>
      </c>
      <c r="M72" s="20">
        <v>1</v>
      </c>
      <c r="N72" s="46">
        <v>44.34</v>
      </c>
      <c r="O72" s="46">
        <v>2.93</v>
      </c>
      <c r="P72" s="46">
        <v>33.5</v>
      </c>
    </row>
    <row r="73" spans="1:16" x14ac:dyDescent="0.25">
      <c r="A73" s="39" t="s">
        <v>512</v>
      </c>
      <c r="B73" s="39" t="s">
        <v>536</v>
      </c>
      <c r="C73" s="39" t="s">
        <v>512</v>
      </c>
      <c r="D73" s="40" t="s">
        <v>609</v>
      </c>
      <c r="E73" s="13" t="s">
        <v>91</v>
      </c>
      <c r="F73" s="40" t="s">
        <v>73</v>
      </c>
      <c r="G73" s="40" t="s">
        <v>100</v>
      </c>
      <c r="H73" s="40" t="s">
        <v>75</v>
      </c>
      <c r="I73" s="13">
        <v>5</v>
      </c>
      <c r="J73" s="13">
        <v>7</v>
      </c>
      <c r="K73" s="13">
        <v>1</v>
      </c>
      <c r="L73" s="13">
        <v>3</v>
      </c>
      <c r="M73" s="20">
        <v>1</v>
      </c>
      <c r="N73" s="46">
        <v>37.33</v>
      </c>
      <c r="O73" s="46">
        <v>2.98</v>
      </c>
      <c r="P73" s="46">
        <v>27.9</v>
      </c>
    </row>
    <row r="74" spans="1:16" x14ac:dyDescent="0.25">
      <c r="A74" s="39" t="s">
        <v>513</v>
      </c>
      <c r="B74" s="39" t="s">
        <v>536</v>
      </c>
      <c r="C74" s="39" t="s">
        <v>513</v>
      </c>
      <c r="D74" s="40" t="s">
        <v>610</v>
      </c>
      <c r="E74" s="13" t="s">
        <v>91</v>
      </c>
      <c r="F74" s="40" t="s">
        <v>73</v>
      </c>
      <c r="G74" s="40" t="s">
        <v>74</v>
      </c>
      <c r="H74" s="40" t="s">
        <v>75</v>
      </c>
      <c r="I74" s="13">
        <v>5</v>
      </c>
      <c r="J74" s="13">
        <v>7</v>
      </c>
      <c r="K74" s="13">
        <v>1</v>
      </c>
      <c r="L74" s="13">
        <v>2</v>
      </c>
      <c r="M74" s="20">
        <v>1</v>
      </c>
      <c r="N74" s="46">
        <v>38.75</v>
      </c>
      <c r="O74" s="46">
        <v>2.98</v>
      </c>
      <c r="P74" s="46">
        <v>29.47</v>
      </c>
    </row>
    <row r="75" spans="1:16" x14ac:dyDescent="0.25">
      <c r="A75" s="39" t="s">
        <v>514</v>
      </c>
      <c r="B75" s="39" t="s">
        <v>536</v>
      </c>
      <c r="C75" s="39" t="s">
        <v>514</v>
      </c>
      <c r="D75" s="40" t="s">
        <v>611</v>
      </c>
      <c r="E75" s="13" t="s">
        <v>88</v>
      </c>
      <c r="F75" s="40" t="s">
        <v>73</v>
      </c>
      <c r="G75" s="40" t="s">
        <v>100</v>
      </c>
      <c r="H75" s="40" t="s">
        <v>75</v>
      </c>
      <c r="I75" s="13">
        <v>5</v>
      </c>
      <c r="J75" s="13">
        <v>7</v>
      </c>
      <c r="K75" s="13">
        <v>1</v>
      </c>
      <c r="L75" s="13">
        <v>3</v>
      </c>
      <c r="M75" s="20">
        <v>1</v>
      </c>
      <c r="N75" s="46">
        <v>37.03</v>
      </c>
      <c r="O75" s="46">
        <v>2.98</v>
      </c>
      <c r="P75" s="46">
        <v>28.02</v>
      </c>
    </row>
    <row r="76" spans="1:16" x14ac:dyDescent="0.25">
      <c r="A76" s="39" t="s">
        <v>515</v>
      </c>
      <c r="B76" s="39" t="s">
        <v>536</v>
      </c>
      <c r="C76" s="39" t="s">
        <v>515</v>
      </c>
      <c r="D76" s="40" t="s">
        <v>612</v>
      </c>
      <c r="E76" s="13" t="s">
        <v>89</v>
      </c>
      <c r="F76" s="40" t="s">
        <v>73</v>
      </c>
      <c r="G76" s="40" t="s">
        <v>100</v>
      </c>
      <c r="H76" s="40" t="s">
        <v>75</v>
      </c>
      <c r="I76" s="13">
        <v>5</v>
      </c>
      <c r="J76" s="13">
        <v>7</v>
      </c>
      <c r="K76" s="13">
        <v>1</v>
      </c>
      <c r="L76" s="13">
        <v>3</v>
      </c>
      <c r="M76" s="20">
        <v>1</v>
      </c>
      <c r="N76" s="46">
        <v>46.49</v>
      </c>
      <c r="O76" s="46">
        <v>2.98</v>
      </c>
      <c r="P76" s="46">
        <v>37.15</v>
      </c>
    </row>
    <row r="77" spans="1:16" x14ac:dyDescent="0.25">
      <c r="A77" s="39" t="s">
        <v>516</v>
      </c>
      <c r="B77" s="39" t="s">
        <v>536</v>
      </c>
      <c r="C77" s="39" t="s">
        <v>516</v>
      </c>
      <c r="D77" s="40" t="s">
        <v>613</v>
      </c>
      <c r="E77" s="13" t="s">
        <v>88</v>
      </c>
      <c r="F77" s="40" t="s">
        <v>73</v>
      </c>
      <c r="G77" s="40" t="s">
        <v>100</v>
      </c>
      <c r="H77" s="40" t="s">
        <v>75</v>
      </c>
      <c r="I77" s="13">
        <v>5</v>
      </c>
      <c r="J77" s="13">
        <v>7</v>
      </c>
      <c r="K77" s="13">
        <v>1</v>
      </c>
      <c r="L77" s="13">
        <v>3</v>
      </c>
      <c r="M77" s="20">
        <v>1</v>
      </c>
      <c r="N77" s="46">
        <v>39.26</v>
      </c>
      <c r="O77" s="46">
        <v>2.98</v>
      </c>
      <c r="P77" s="46">
        <v>30.25</v>
      </c>
    </row>
    <row r="78" spans="1:16" x14ac:dyDescent="0.25">
      <c r="A78" s="39" t="s">
        <v>517</v>
      </c>
      <c r="B78" s="39" t="s">
        <v>536</v>
      </c>
      <c r="C78" s="39" t="s">
        <v>517</v>
      </c>
      <c r="D78" s="40" t="s">
        <v>614</v>
      </c>
      <c r="E78" s="13" t="s">
        <v>89</v>
      </c>
      <c r="F78" s="40" t="s">
        <v>73</v>
      </c>
      <c r="G78" s="40" t="s">
        <v>100</v>
      </c>
      <c r="H78" s="40" t="s">
        <v>75</v>
      </c>
      <c r="I78" s="13">
        <v>5</v>
      </c>
      <c r="J78" s="13">
        <v>7</v>
      </c>
      <c r="K78" s="13">
        <v>1</v>
      </c>
      <c r="L78" s="13">
        <v>3</v>
      </c>
      <c r="M78" s="20">
        <v>1</v>
      </c>
      <c r="N78" s="46">
        <v>38.93</v>
      </c>
      <c r="O78" s="46">
        <v>2.98</v>
      </c>
      <c r="P78" s="46">
        <v>29.82</v>
      </c>
    </row>
    <row r="79" spans="1:16" x14ac:dyDescent="0.25">
      <c r="A79" s="39" t="s">
        <v>518</v>
      </c>
      <c r="B79" s="39" t="s">
        <v>536</v>
      </c>
      <c r="C79" s="39" t="s">
        <v>518</v>
      </c>
      <c r="D79" s="40" t="s">
        <v>615</v>
      </c>
      <c r="E79" s="13" t="s">
        <v>88</v>
      </c>
      <c r="F79" s="40" t="s">
        <v>73</v>
      </c>
      <c r="G79" s="40" t="s">
        <v>100</v>
      </c>
      <c r="H79" s="40" t="s">
        <v>75</v>
      </c>
      <c r="I79" s="13">
        <v>5</v>
      </c>
      <c r="J79" s="13">
        <v>7</v>
      </c>
      <c r="K79" s="13">
        <v>1</v>
      </c>
      <c r="L79" s="13">
        <v>3</v>
      </c>
      <c r="M79" s="20">
        <v>1</v>
      </c>
      <c r="N79" s="46">
        <v>45.51</v>
      </c>
      <c r="O79" s="46">
        <v>2.98</v>
      </c>
      <c r="P79" s="46">
        <v>30.01</v>
      </c>
    </row>
    <row r="80" spans="1:16" x14ac:dyDescent="0.25">
      <c r="A80" s="39" t="s">
        <v>519</v>
      </c>
      <c r="B80" s="39" t="s">
        <v>536</v>
      </c>
      <c r="C80" s="39" t="s">
        <v>519</v>
      </c>
      <c r="D80" s="40" t="s">
        <v>616</v>
      </c>
      <c r="E80" s="13" t="s">
        <v>89</v>
      </c>
      <c r="F80" s="40" t="s">
        <v>73</v>
      </c>
      <c r="G80" s="40" t="s">
        <v>100</v>
      </c>
      <c r="H80" s="40" t="s">
        <v>75</v>
      </c>
      <c r="I80" s="13">
        <v>5</v>
      </c>
      <c r="J80" s="13">
        <v>7</v>
      </c>
      <c r="K80" s="13">
        <v>1</v>
      </c>
      <c r="L80" s="13">
        <v>3</v>
      </c>
      <c r="M80" s="20">
        <v>1</v>
      </c>
      <c r="N80" s="46">
        <v>38.79</v>
      </c>
      <c r="O80" s="46">
        <v>2.98</v>
      </c>
      <c r="P80" s="46">
        <v>29.68</v>
      </c>
    </row>
    <row r="81" spans="1:16" x14ac:dyDescent="0.25">
      <c r="A81" s="39" t="s">
        <v>520</v>
      </c>
      <c r="B81" s="39" t="s">
        <v>536</v>
      </c>
      <c r="C81" s="39" t="s">
        <v>520</v>
      </c>
      <c r="D81" s="40" t="s">
        <v>617</v>
      </c>
      <c r="E81" s="13" t="s">
        <v>90</v>
      </c>
      <c r="F81" s="40" t="s">
        <v>73</v>
      </c>
      <c r="G81" s="40" t="s">
        <v>74</v>
      </c>
      <c r="H81" s="40" t="s">
        <v>75</v>
      </c>
      <c r="I81" s="13">
        <v>5</v>
      </c>
      <c r="J81" s="13">
        <v>7</v>
      </c>
      <c r="K81" s="13">
        <v>1</v>
      </c>
      <c r="L81" s="13">
        <v>2</v>
      </c>
      <c r="M81" s="20">
        <v>1</v>
      </c>
      <c r="N81" s="46">
        <v>50.33</v>
      </c>
      <c r="O81" s="46">
        <v>2.98</v>
      </c>
      <c r="P81" s="46">
        <v>24.99</v>
      </c>
    </row>
    <row r="82" spans="1:16" x14ac:dyDescent="0.25">
      <c r="A82" s="39" t="s">
        <v>521</v>
      </c>
      <c r="B82" s="39" t="s">
        <v>536</v>
      </c>
      <c r="C82" s="39" t="s">
        <v>521</v>
      </c>
      <c r="D82" s="40" t="s">
        <v>618</v>
      </c>
      <c r="E82" s="13" t="s">
        <v>90</v>
      </c>
      <c r="F82" s="40" t="s">
        <v>73</v>
      </c>
      <c r="G82" s="40" t="s">
        <v>100</v>
      </c>
      <c r="H82" s="40" t="s">
        <v>75</v>
      </c>
      <c r="I82" s="13">
        <v>5</v>
      </c>
      <c r="J82" s="13">
        <v>7</v>
      </c>
      <c r="K82" s="13">
        <v>1</v>
      </c>
      <c r="L82" s="13">
        <v>3</v>
      </c>
      <c r="M82" s="20">
        <v>1</v>
      </c>
      <c r="N82" s="46">
        <v>38.130000000000003</v>
      </c>
      <c r="O82" s="46">
        <v>2.98</v>
      </c>
      <c r="P82" s="46">
        <v>27.89</v>
      </c>
    </row>
    <row r="83" spans="1:16" x14ac:dyDescent="0.25">
      <c r="A83" s="39" t="s">
        <v>522</v>
      </c>
      <c r="B83" s="39" t="s">
        <v>536</v>
      </c>
      <c r="C83" s="39" t="s">
        <v>522</v>
      </c>
      <c r="D83" s="40" t="s">
        <v>619</v>
      </c>
      <c r="E83" s="13" t="s">
        <v>90</v>
      </c>
      <c r="F83" s="40" t="s">
        <v>73</v>
      </c>
      <c r="G83" s="40" t="s">
        <v>74</v>
      </c>
      <c r="H83" s="40" t="s">
        <v>75</v>
      </c>
      <c r="I83" s="13">
        <v>5</v>
      </c>
      <c r="J83" s="13">
        <v>7</v>
      </c>
      <c r="K83" s="13">
        <v>1</v>
      </c>
      <c r="L83" s="13">
        <v>2</v>
      </c>
      <c r="M83" s="20">
        <v>1</v>
      </c>
      <c r="N83" s="46">
        <v>38.04</v>
      </c>
      <c r="O83" s="46">
        <v>2.98</v>
      </c>
      <c r="P83" s="46">
        <v>27.79</v>
      </c>
    </row>
    <row r="84" spans="1:16" x14ac:dyDescent="0.25">
      <c r="A84" s="39" t="s">
        <v>523</v>
      </c>
      <c r="B84" s="39" t="s">
        <v>536</v>
      </c>
      <c r="C84" s="39" t="s">
        <v>523</v>
      </c>
      <c r="D84" s="40" t="s">
        <v>620</v>
      </c>
      <c r="E84" s="13" t="s">
        <v>91</v>
      </c>
      <c r="F84" s="40" t="s">
        <v>73</v>
      </c>
      <c r="G84" s="40" t="s">
        <v>74</v>
      </c>
      <c r="H84" s="40" t="s">
        <v>75</v>
      </c>
      <c r="I84" s="13">
        <v>5</v>
      </c>
      <c r="J84" s="13">
        <v>7</v>
      </c>
      <c r="K84" s="13">
        <v>1</v>
      </c>
      <c r="L84" s="13">
        <v>2</v>
      </c>
      <c r="M84" s="20">
        <v>1</v>
      </c>
      <c r="N84" s="46">
        <v>44.34</v>
      </c>
      <c r="O84" s="46">
        <v>2.98</v>
      </c>
      <c r="P84" s="46">
        <v>33.5</v>
      </c>
    </row>
    <row r="85" spans="1:16" x14ac:dyDescent="0.25">
      <c r="A85" s="39" t="s">
        <v>524</v>
      </c>
      <c r="B85" s="39" t="s">
        <v>536</v>
      </c>
      <c r="C85" s="39" t="s">
        <v>524</v>
      </c>
      <c r="D85" s="40" t="s">
        <v>621</v>
      </c>
      <c r="E85" s="13" t="s">
        <v>91</v>
      </c>
      <c r="F85" s="40" t="s">
        <v>73</v>
      </c>
      <c r="G85" s="40" t="s">
        <v>100</v>
      </c>
      <c r="H85" s="40" t="s">
        <v>77</v>
      </c>
      <c r="I85" s="13">
        <v>6</v>
      </c>
      <c r="J85" s="13">
        <v>7</v>
      </c>
      <c r="K85" s="13">
        <v>1</v>
      </c>
      <c r="L85" s="13">
        <v>3</v>
      </c>
      <c r="M85" s="20">
        <v>1</v>
      </c>
      <c r="N85" s="46">
        <v>37.33</v>
      </c>
      <c r="O85" s="46">
        <v>3.24</v>
      </c>
      <c r="P85" s="46">
        <v>27.9</v>
      </c>
    </row>
    <row r="86" spans="1:16" x14ac:dyDescent="0.25">
      <c r="A86" s="39" t="s">
        <v>525</v>
      </c>
      <c r="B86" s="39" t="s">
        <v>536</v>
      </c>
      <c r="C86" s="39" t="s">
        <v>525</v>
      </c>
      <c r="D86" s="40" t="s">
        <v>622</v>
      </c>
      <c r="E86" s="13" t="s">
        <v>91</v>
      </c>
      <c r="F86" s="40" t="s">
        <v>73</v>
      </c>
      <c r="G86" s="40" t="s">
        <v>74</v>
      </c>
      <c r="H86" s="40" t="s">
        <v>77</v>
      </c>
      <c r="I86" s="13">
        <v>6</v>
      </c>
      <c r="J86" s="13">
        <v>7</v>
      </c>
      <c r="K86" s="13">
        <v>1</v>
      </c>
      <c r="L86" s="13">
        <v>2</v>
      </c>
      <c r="M86" s="20">
        <v>1</v>
      </c>
      <c r="N86" s="46">
        <v>38.75</v>
      </c>
      <c r="O86" s="46">
        <v>3.24</v>
      </c>
      <c r="P86" s="46">
        <v>29.47</v>
      </c>
    </row>
    <row r="87" spans="1:16" x14ac:dyDescent="0.25">
      <c r="A87" s="39" t="s">
        <v>526</v>
      </c>
      <c r="B87" s="39" t="s">
        <v>536</v>
      </c>
      <c r="C87" s="39" t="s">
        <v>526</v>
      </c>
      <c r="D87" s="40" t="s">
        <v>623</v>
      </c>
      <c r="E87" s="13" t="s">
        <v>88</v>
      </c>
      <c r="F87" s="40" t="s">
        <v>73</v>
      </c>
      <c r="G87" s="40" t="s">
        <v>100</v>
      </c>
      <c r="H87" s="40" t="s">
        <v>77</v>
      </c>
      <c r="I87" s="13">
        <v>6</v>
      </c>
      <c r="J87" s="13">
        <v>7</v>
      </c>
      <c r="K87" s="13">
        <v>1</v>
      </c>
      <c r="L87" s="13">
        <v>3</v>
      </c>
      <c r="M87" s="20">
        <v>1</v>
      </c>
      <c r="N87" s="46">
        <v>37.03</v>
      </c>
      <c r="O87" s="46">
        <v>3.24</v>
      </c>
      <c r="P87" s="46">
        <v>28.02</v>
      </c>
    </row>
    <row r="88" spans="1:16" x14ac:dyDescent="0.25">
      <c r="A88" s="39" t="s">
        <v>527</v>
      </c>
      <c r="B88" s="39" t="s">
        <v>536</v>
      </c>
      <c r="C88" s="39" t="s">
        <v>527</v>
      </c>
      <c r="D88" s="40" t="s">
        <v>624</v>
      </c>
      <c r="E88" s="13" t="s">
        <v>89</v>
      </c>
      <c r="F88" s="40" t="s">
        <v>73</v>
      </c>
      <c r="G88" s="40" t="s">
        <v>100</v>
      </c>
      <c r="H88" s="40" t="s">
        <v>77</v>
      </c>
      <c r="I88" s="13">
        <v>6</v>
      </c>
      <c r="J88" s="13">
        <v>7</v>
      </c>
      <c r="K88" s="13">
        <v>1</v>
      </c>
      <c r="L88" s="13">
        <v>3</v>
      </c>
      <c r="M88" s="20">
        <v>1</v>
      </c>
      <c r="N88" s="46">
        <v>46.49</v>
      </c>
      <c r="O88" s="46">
        <v>3.24</v>
      </c>
      <c r="P88" s="46">
        <v>37.15</v>
      </c>
    </row>
    <row r="89" spans="1:16" x14ac:dyDescent="0.25">
      <c r="A89" s="39" t="s">
        <v>528</v>
      </c>
      <c r="B89" s="39" t="s">
        <v>536</v>
      </c>
      <c r="C89" s="39" t="s">
        <v>528</v>
      </c>
      <c r="D89" s="40" t="s">
        <v>625</v>
      </c>
      <c r="E89" s="13" t="s">
        <v>88</v>
      </c>
      <c r="F89" s="40" t="s">
        <v>73</v>
      </c>
      <c r="G89" s="40" t="s">
        <v>100</v>
      </c>
      <c r="H89" s="40" t="s">
        <v>77</v>
      </c>
      <c r="I89" s="13">
        <v>6</v>
      </c>
      <c r="J89" s="13">
        <v>7</v>
      </c>
      <c r="K89" s="13">
        <v>1</v>
      </c>
      <c r="L89" s="13">
        <v>3</v>
      </c>
      <c r="M89" s="20">
        <v>1</v>
      </c>
      <c r="N89" s="46">
        <v>39.26</v>
      </c>
      <c r="O89" s="46">
        <v>3.24</v>
      </c>
      <c r="P89" s="46">
        <v>30.25</v>
      </c>
    </row>
    <row r="90" spans="1:16" x14ac:dyDescent="0.25">
      <c r="A90" s="39" t="s">
        <v>529</v>
      </c>
      <c r="B90" s="39" t="s">
        <v>536</v>
      </c>
      <c r="C90" s="39" t="s">
        <v>529</v>
      </c>
      <c r="D90" s="40" t="s">
        <v>626</v>
      </c>
      <c r="E90" s="13" t="s">
        <v>89</v>
      </c>
      <c r="F90" s="40" t="s">
        <v>73</v>
      </c>
      <c r="G90" s="40" t="s">
        <v>100</v>
      </c>
      <c r="H90" s="40" t="s">
        <v>77</v>
      </c>
      <c r="I90" s="13">
        <v>6</v>
      </c>
      <c r="J90" s="13">
        <v>7</v>
      </c>
      <c r="K90" s="13">
        <v>1</v>
      </c>
      <c r="L90" s="13">
        <v>3</v>
      </c>
      <c r="M90" s="20">
        <v>1</v>
      </c>
      <c r="N90" s="46">
        <v>38.93</v>
      </c>
      <c r="O90" s="46">
        <v>3.24</v>
      </c>
      <c r="P90" s="46">
        <v>29.82</v>
      </c>
    </row>
    <row r="91" spans="1:16" x14ac:dyDescent="0.25">
      <c r="A91" s="39" t="s">
        <v>530</v>
      </c>
      <c r="B91" s="39" t="s">
        <v>536</v>
      </c>
      <c r="C91" s="39" t="s">
        <v>530</v>
      </c>
      <c r="D91" s="40" t="s">
        <v>627</v>
      </c>
      <c r="E91" s="13" t="s">
        <v>88</v>
      </c>
      <c r="F91" s="40" t="s">
        <v>73</v>
      </c>
      <c r="G91" s="40" t="s">
        <v>100</v>
      </c>
      <c r="H91" s="40" t="s">
        <v>77</v>
      </c>
      <c r="I91" s="13">
        <v>6</v>
      </c>
      <c r="J91" s="13">
        <v>7</v>
      </c>
      <c r="K91" s="13">
        <v>1</v>
      </c>
      <c r="L91" s="13">
        <v>3</v>
      </c>
      <c r="M91" s="20">
        <v>1</v>
      </c>
      <c r="N91" s="46">
        <v>45.51</v>
      </c>
      <c r="O91" s="46">
        <v>3.24</v>
      </c>
      <c r="P91" s="46">
        <v>30.01</v>
      </c>
    </row>
    <row r="92" spans="1:16" x14ac:dyDescent="0.25">
      <c r="A92" s="39" t="s">
        <v>531</v>
      </c>
      <c r="B92" s="39" t="s">
        <v>536</v>
      </c>
      <c r="C92" s="39" t="s">
        <v>531</v>
      </c>
      <c r="D92" s="40" t="s">
        <v>628</v>
      </c>
      <c r="E92" s="13" t="s">
        <v>89</v>
      </c>
      <c r="F92" s="40" t="s">
        <v>73</v>
      </c>
      <c r="G92" s="40" t="s">
        <v>100</v>
      </c>
      <c r="H92" s="40" t="s">
        <v>77</v>
      </c>
      <c r="I92" s="13">
        <v>6</v>
      </c>
      <c r="J92" s="13">
        <v>7</v>
      </c>
      <c r="K92" s="13">
        <v>1</v>
      </c>
      <c r="L92" s="13">
        <v>3</v>
      </c>
      <c r="M92" s="20">
        <v>1</v>
      </c>
      <c r="N92" s="46">
        <v>38.79</v>
      </c>
      <c r="O92" s="46">
        <v>3.24</v>
      </c>
      <c r="P92" s="46">
        <v>29.68</v>
      </c>
    </row>
    <row r="93" spans="1:16" x14ac:dyDescent="0.25">
      <c r="A93" s="39" t="s">
        <v>532</v>
      </c>
      <c r="B93" s="39" t="s">
        <v>536</v>
      </c>
      <c r="C93" s="39" t="s">
        <v>532</v>
      </c>
      <c r="D93" s="40" t="s">
        <v>629</v>
      </c>
      <c r="E93" s="13" t="s">
        <v>90</v>
      </c>
      <c r="F93" s="40" t="s">
        <v>73</v>
      </c>
      <c r="G93" s="40" t="s">
        <v>74</v>
      </c>
      <c r="H93" s="40" t="s">
        <v>77</v>
      </c>
      <c r="I93" s="13">
        <v>6</v>
      </c>
      <c r="J93" s="13">
        <v>7</v>
      </c>
      <c r="K93" s="13">
        <v>1</v>
      </c>
      <c r="L93" s="13">
        <v>2</v>
      </c>
      <c r="M93" s="20">
        <v>1</v>
      </c>
      <c r="N93" s="46">
        <v>50.33</v>
      </c>
      <c r="O93" s="46">
        <v>3.24</v>
      </c>
      <c r="P93" s="46">
        <v>24.99</v>
      </c>
    </row>
    <row r="94" spans="1:16" x14ac:dyDescent="0.25">
      <c r="A94" s="39" t="s">
        <v>533</v>
      </c>
      <c r="B94" s="39" t="s">
        <v>536</v>
      </c>
      <c r="C94" s="39" t="s">
        <v>533</v>
      </c>
      <c r="D94" s="40" t="s">
        <v>630</v>
      </c>
      <c r="E94" s="13" t="s">
        <v>90</v>
      </c>
      <c r="F94" s="40" t="s">
        <v>73</v>
      </c>
      <c r="G94" s="40" t="s">
        <v>100</v>
      </c>
      <c r="H94" s="40" t="s">
        <v>77</v>
      </c>
      <c r="I94" s="13">
        <v>6</v>
      </c>
      <c r="J94" s="13">
        <v>7</v>
      </c>
      <c r="K94" s="13">
        <v>1</v>
      </c>
      <c r="L94" s="13">
        <v>3</v>
      </c>
      <c r="M94" s="20">
        <v>1</v>
      </c>
      <c r="N94" s="46">
        <v>38.130000000000003</v>
      </c>
      <c r="O94" s="46">
        <v>3.24</v>
      </c>
      <c r="P94" s="46">
        <v>27.89</v>
      </c>
    </row>
    <row r="95" spans="1:16" x14ac:dyDescent="0.25">
      <c r="A95" s="39" t="s">
        <v>534</v>
      </c>
      <c r="B95" s="39" t="s">
        <v>536</v>
      </c>
      <c r="C95" s="39" t="s">
        <v>534</v>
      </c>
      <c r="D95" s="40" t="s">
        <v>631</v>
      </c>
      <c r="E95" s="13" t="s">
        <v>90</v>
      </c>
      <c r="F95" s="40" t="s">
        <v>73</v>
      </c>
      <c r="G95" s="40" t="s">
        <v>74</v>
      </c>
      <c r="H95" s="40" t="s">
        <v>77</v>
      </c>
      <c r="I95" s="13">
        <v>6</v>
      </c>
      <c r="J95" s="13">
        <v>7</v>
      </c>
      <c r="K95" s="13">
        <v>1</v>
      </c>
      <c r="L95" s="13">
        <v>2</v>
      </c>
      <c r="M95" s="20">
        <v>1</v>
      </c>
      <c r="N95" s="46">
        <v>38.04</v>
      </c>
      <c r="O95" s="46">
        <v>3.24</v>
      </c>
      <c r="P95" s="46">
        <v>27.79</v>
      </c>
    </row>
    <row r="96" spans="1:16" x14ac:dyDescent="0.25">
      <c r="A96" s="39" t="s">
        <v>535</v>
      </c>
      <c r="B96" s="39" t="s">
        <v>536</v>
      </c>
      <c r="C96" s="39" t="s">
        <v>535</v>
      </c>
      <c r="D96" s="40" t="s">
        <v>632</v>
      </c>
      <c r="E96" s="13" t="s">
        <v>91</v>
      </c>
      <c r="F96" s="40" t="s">
        <v>73</v>
      </c>
      <c r="G96" s="40" t="s">
        <v>74</v>
      </c>
      <c r="H96" s="40" t="s">
        <v>77</v>
      </c>
      <c r="I96" s="13">
        <v>6</v>
      </c>
      <c r="J96" s="13">
        <v>7</v>
      </c>
      <c r="K96" s="13">
        <v>1</v>
      </c>
      <c r="L96" s="13">
        <v>2</v>
      </c>
      <c r="M96" s="20">
        <v>1</v>
      </c>
      <c r="N96" s="46">
        <v>44.34</v>
      </c>
      <c r="O96" s="46">
        <v>3.24</v>
      </c>
      <c r="P96" s="46">
        <v>33.5</v>
      </c>
    </row>
    <row r="97" spans="14:16" x14ac:dyDescent="0.25">
      <c r="N97" s="50"/>
      <c r="O97" s="50"/>
      <c r="P97" s="50"/>
    </row>
  </sheetData>
  <conditionalFormatting sqref="I2:L96">
    <cfRule type="cellIs" dxfId="246" priority="48" operator="equal">
      <formula>0</formula>
    </cfRule>
    <cfRule type="cellIs" dxfId="245" priority="49" operator="equal">
      <formula>1</formula>
    </cfRule>
    <cfRule type="cellIs" dxfId="244" priority="50" operator="equal">
      <formula>2</formula>
    </cfRule>
    <cfRule type="cellIs" dxfId="243" priority="51" operator="equal">
      <formula>3</formula>
    </cfRule>
    <cfRule type="cellIs" dxfId="242" priority="52" operator="equal">
      <formula>4</formula>
    </cfRule>
    <cfRule type="cellIs" dxfId="241" priority="53" operator="equal">
      <formula>5</formula>
    </cfRule>
    <cfRule type="cellIs" dxfId="240" priority="54" operator="equal">
      <formula>6</formula>
    </cfRule>
    <cfRule type="cellIs" dxfId="239" priority="55" operator="equal">
      <formula>7</formula>
    </cfRule>
    <cfRule type="cellIs" dxfId="238" priority="56" operator="equal">
      <formula>8</formula>
    </cfRule>
    <cfRule type="cellIs" dxfId="237" priority="57" operator="equal">
      <formula>9</formula>
    </cfRule>
    <cfRule type="cellIs" dxfId="236" priority="58" operator="equal">
      <formula>10</formula>
    </cfRule>
    <cfRule type="cellIs" dxfId="235" priority="59" operator="equal">
      <formula>11</formula>
    </cfRule>
    <cfRule type="cellIs" dxfId="234" priority="60" operator="equal">
      <formula>12</formula>
    </cfRule>
    <cfRule type="cellIs" dxfId="233" priority="61" operator="equal">
      <formula>13</formula>
    </cfRule>
    <cfRule type="cellIs" dxfId="232" priority="62" operator="equal">
      <formula>14</formula>
    </cfRule>
    <cfRule type="cellIs" dxfId="231" priority="63" operator="equal">
      <formula>15</formula>
    </cfRule>
    <cfRule type="cellIs" dxfId="230" priority="64" operator="equal">
      <formula>16</formula>
    </cfRule>
    <cfRule type="cellIs" dxfId="229" priority="65" operator="equal">
      <formula>17</formula>
    </cfRule>
    <cfRule type="cellIs" dxfId="228" priority="66" operator="equal">
      <formula>18</formula>
    </cfRule>
    <cfRule type="cellIs" dxfId="227" priority="67" operator="equal">
      <formula>19</formula>
    </cfRule>
    <cfRule type="cellIs" dxfId="226" priority="68" operator="equal">
      <formula>20</formula>
    </cfRule>
    <cfRule type="cellIs" dxfId="225" priority="69" operator="equal">
      <formula>21</formula>
    </cfRule>
    <cfRule type="cellIs" dxfId="224" priority="70" operator="equal">
      <formula>22</formula>
    </cfRule>
    <cfRule type="cellIs" dxfId="223" priority="71" operator="equal">
      <formula>23</formula>
    </cfRule>
    <cfRule type="cellIs" dxfId="222" priority="72" operator="equal">
      <formula>24</formula>
    </cfRule>
    <cfRule type="cellIs" dxfId="221" priority="73" operator="equal">
      <formula>25</formula>
    </cfRule>
    <cfRule type="cellIs" dxfId="220" priority="74" operator="equal">
      <formula>26</formula>
    </cfRule>
    <cfRule type="cellIs" dxfId="219" priority="75" operator="equal">
      <formula>27</formula>
    </cfRule>
    <cfRule type="cellIs" dxfId="218" priority="76" operator="equal">
      <formula>28</formula>
    </cfRule>
    <cfRule type="cellIs" dxfId="217" priority="77" operator="equal">
      <formula>29</formula>
    </cfRule>
    <cfRule type="cellIs" dxfId="216" priority="78" operator="equal">
      <formula>30</formula>
    </cfRule>
    <cfRule type="cellIs" dxfId="215" priority="79" operator="equal">
      <formula>31</formula>
    </cfRule>
    <cfRule type="cellIs" dxfId="214" priority="80" operator="equal">
      <formula>32</formula>
    </cfRule>
    <cfRule type="cellIs" dxfId="213" priority="81" operator="equal">
      <formula>33</formula>
    </cfRule>
    <cfRule type="cellIs" dxfId="212" priority="82" operator="equal">
      <formula>34</formula>
    </cfRule>
  </conditionalFormatting>
  <conditionalFormatting sqref="G2:G96">
    <cfRule type="cellIs" dxfId="211" priority="14" operator="equal">
      <formula>"EndTerrace"</formula>
    </cfRule>
    <cfRule type="cellIs" dxfId="210" priority="16" operator="equal">
      <formula>"MidTerrace"</formula>
    </cfRule>
  </conditionalFormatting>
  <conditionalFormatting sqref="H2:H96">
    <cfRule type="cellIs" dxfId="209" priority="13" operator="equal">
      <formula>"MidFloorFlat"</formula>
    </cfRule>
    <cfRule type="cellIs" dxfId="208" priority="25" operator="equal">
      <formula>"TopFloorFlat"</formula>
    </cfRule>
  </conditionalFormatting>
  <conditionalFormatting sqref="E2:E96">
    <cfRule type="cellIs" dxfId="207" priority="1" operator="equal">
      <formula>"H"</formula>
    </cfRule>
    <cfRule type="cellIs" dxfId="206" priority="2" operator="equal">
      <formula>"N/A"</formula>
    </cfRule>
    <cfRule type="cellIs" dxfId="205" priority="3" operator="equal">
      <formula>"North"</formula>
    </cfRule>
    <cfRule type="cellIs" dxfId="204" priority="4" operator="equal">
      <formula>"Northeast"</formula>
    </cfRule>
    <cfRule type="cellIs" dxfId="203" priority="5" operator="equal">
      <formula>"East"</formula>
    </cfRule>
    <cfRule type="cellIs" dxfId="202" priority="6" operator="equal">
      <formula>"Southeast"</formula>
    </cfRule>
    <cfRule type="cellIs" dxfId="201" priority="7" operator="equal">
      <formula>"South"</formula>
    </cfRule>
    <cfRule type="cellIs" dxfId="200" priority="8" operator="equal">
      <formula>"West"</formula>
    </cfRule>
    <cfRule type="cellIs" dxfId="199" priority="9" operator="equal">
      <formula>"Northwest"</formula>
    </cfRule>
    <cfRule type="cellIs" dxfId="198" priority="10" operator="equal">
      <formula>"Southwest"</formula>
    </cfRule>
  </conditionalFormatting>
  <conditionalFormatting sqref="E2:P100 AD2:BO100">
    <cfRule type="cellIs" dxfId="197" priority="11" operator="equal">
      <formula>"Gross"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B699-8044-4377-9D90-C89D6DCA5E16}">
  <sheetPr codeName="Sheet13">
    <tabColor theme="8" tint="0.79998168889431442"/>
  </sheetPr>
  <dimension ref="B3:D63"/>
  <sheetViews>
    <sheetView showGridLines="0" topLeftCell="A18" workbookViewId="0">
      <selection activeCell="B52" sqref="B52:B63"/>
    </sheetView>
  </sheetViews>
  <sheetFormatPr defaultRowHeight="13.8" x14ac:dyDescent="0.25"/>
  <cols>
    <col min="2" max="2" width="22.3984375" customWidth="1"/>
    <col min="3" max="3" width="7.3984375" customWidth="1"/>
    <col min="4" max="4" width="24.69921875" customWidth="1"/>
  </cols>
  <sheetData>
    <row r="3" spans="2:4" x14ac:dyDescent="0.25">
      <c r="B3" s="28" t="s">
        <v>258</v>
      </c>
      <c r="C3" s="7"/>
      <c r="D3" s="7"/>
    </row>
    <row r="4" spans="2:4" x14ac:dyDescent="0.25">
      <c r="B4" s="7"/>
      <c r="C4" s="7"/>
      <c r="D4" s="7"/>
    </row>
    <row r="5" spans="2:4" ht="22.8" x14ac:dyDescent="0.25">
      <c r="B5" s="27" t="s">
        <v>252</v>
      </c>
      <c r="C5" s="26" t="s">
        <v>262</v>
      </c>
      <c r="D5" s="27" t="s">
        <v>254</v>
      </c>
    </row>
    <row r="6" spans="2:4" x14ac:dyDescent="0.25">
      <c r="B6" s="31" t="s">
        <v>221</v>
      </c>
      <c r="C6" s="40"/>
      <c r="D6" s="40"/>
    </row>
    <row r="7" spans="2:4" x14ac:dyDescent="0.25">
      <c r="B7" s="31" t="s">
        <v>270</v>
      </c>
      <c r="C7" s="46" t="s">
        <v>256</v>
      </c>
      <c r="D7" s="40"/>
    </row>
    <row r="8" spans="2:4" x14ac:dyDescent="0.25">
      <c r="B8" s="31" t="s">
        <v>223</v>
      </c>
      <c r="C8" s="40"/>
      <c r="D8" s="40"/>
    </row>
    <row r="9" spans="2:4" x14ac:dyDescent="0.25">
      <c r="B9" s="31" t="s">
        <v>224</v>
      </c>
      <c r="C9" s="40"/>
      <c r="D9" s="40"/>
    </row>
    <row r="10" spans="2:4" x14ac:dyDescent="0.25">
      <c r="B10" s="31" t="s">
        <v>271</v>
      </c>
      <c r="C10" s="46" t="s">
        <v>256</v>
      </c>
      <c r="D10" s="40"/>
    </row>
    <row r="11" spans="2:4" x14ac:dyDescent="0.25">
      <c r="B11" s="31" t="s">
        <v>226</v>
      </c>
      <c r="C11" s="40"/>
      <c r="D11" s="40"/>
    </row>
    <row r="12" spans="2:4" x14ac:dyDescent="0.25">
      <c r="B12" s="31" t="s">
        <v>272</v>
      </c>
      <c r="C12" s="40"/>
      <c r="D12" s="40"/>
    </row>
    <row r="13" spans="2:4" x14ac:dyDescent="0.25">
      <c r="B13" s="31" t="s">
        <v>273</v>
      </c>
      <c r="C13" s="46" t="s">
        <v>256</v>
      </c>
      <c r="D13" s="40"/>
    </row>
    <row r="14" spans="2:4" x14ac:dyDescent="0.25">
      <c r="B14" s="31" t="s">
        <v>274</v>
      </c>
      <c r="C14" s="40"/>
      <c r="D14" s="40"/>
    </row>
    <row r="15" spans="2:4" x14ac:dyDescent="0.25">
      <c r="B15" s="31" t="s">
        <v>275</v>
      </c>
      <c r="C15" s="40"/>
      <c r="D15" s="40"/>
    </row>
    <row r="16" spans="2:4" x14ac:dyDescent="0.25">
      <c r="B16" s="31" t="s">
        <v>276</v>
      </c>
      <c r="C16" s="46" t="s">
        <v>256</v>
      </c>
      <c r="D16" s="40"/>
    </row>
    <row r="17" spans="2:4" x14ac:dyDescent="0.25">
      <c r="B17" s="31" t="s">
        <v>277</v>
      </c>
      <c r="C17" s="40"/>
      <c r="D17" s="40"/>
    </row>
    <row r="18" spans="2:4" x14ac:dyDescent="0.25">
      <c r="B18" s="31" t="s">
        <v>278</v>
      </c>
      <c r="C18" s="40"/>
      <c r="D18" s="40"/>
    </row>
    <row r="19" spans="2:4" x14ac:dyDescent="0.25">
      <c r="B19" s="31" t="s">
        <v>279</v>
      </c>
      <c r="C19" s="40"/>
      <c r="D19" s="40"/>
    </row>
    <row r="20" spans="2:4" x14ac:dyDescent="0.25">
      <c r="B20" s="31" t="s">
        <v>280</v>
      </c>
      <c r="C20" s="40"/>
      <c r="D20" s="40"/>
    </row>
    <row r="21" spans="2:4" x14ac:dyDescent="0.25">
      <c r="B21" s="32" t="s">
        <v>281</v>
      </c>
      <c r="C21" s="40"/>
      <c r="D21" s="40"/>
    </row>
    <row r="22" spans="2:4" x14ac:dyDescent="0.25">
      <c r="B22" s="32" t="s">
        <v>282</v>
      </c>
      <c r="C22" s="46" t="s">
        <v>256</v>
      </c>
      <c r="D22" s="40"/>
    </row>
    <row r="23" spans="2:4" x14ac:dyDescent="0.25">
      <c r="B23" s="32" t="s">
        <v>283</v>
      </c>
      <c r="C23" s="40"/>
      <c r="D23" s="40"/>
    </row>
    <row r="24" spans="2:4" x14ac:dyDescent="0.25">
      <c r="B24" s="32" t="s">
        <v>284</v>
      </c>
      <c r="C24" s="46" t="s">
        <v>256</v>
      </c>
      <c r="D24" s="40"/>
    </row>
    <row r="25" spans="2:4" x14ac:dyDescent="0.25">
      <c r="B25" s="32" t="s">
        <v>285</v>
      </c>
      <c r="C25" s="40"/>
      <c r="D25" s="40"/>
    </row>
    <row r="26" spans="2:4" x14ac:dyDescent="0.25">
      <c r="B26" s="32" t="s">
        <v>286</v>
      </c>
      <c r="C26" s="40"/>
      <c r="D26" s="40"/>
    </row>
    <row r="27" spans="2:4" x14ac:dyDescent="0.25">
      <c r="B27" s="32" t="s">
        <v>287</v>
      </c>
      <c r="C27" s="40"/>
      <c r="D27" s="40"/>
    </row>
    <row r="28" spans="2:4" x14ac:dyDescent="0.25">
      <c r="B28" s="32" t="s">
        <v>288</v>
      </c>
      <c r="C28" s="40"/>
      <c r="D28" s="40"/>
    </row>
    <row r="29" spans="2:4" x14ac:dyDescent="0.25">
      <c r="B29" s="32" t="s">
        <v>289</v>
      </c>
      <c r="C29" s="40"/>
      <c r="D29" s="40"/>
    </row>
    <row r="30" spans="2:4" x14ac:dyDescent="0.25">
      <c r="B30" s="32" t="s">
        <v>290</v>
      </c>
      <c r="C30" s="40"/>
      <c r="D30" s="40"/>
    </row>
    <row r="31" spans="2:4" x14ac:dyDescent="0.25">
      <c r="B31" s="65" t="s">
        <v>291</v>
      </c>
      <c r="C31" s="40"/>
      <c r="D31" s="40"/>
    </row>
    <row r="32" spans="2:4" x14ac:dyDescent="0.25">
      <c r="B32" s="65" t="s">
        <v>292</v>
      </c>
      <c r="C32" s="46" t="s">
        <v>256</v>
      </c>
      <c r="D32" s="40"/>
    </row>
    <row r="33" spans="2:4" x14ac:dyDescent="0.25">
      <c r="B33" s="65" t="s">
        <v>293</v>
      </c>
      <c r="C33" s="40"/>
      <c r="D33" s="40"/>
    </row>
    <row r="34" spans="2:4" x14ac:dyDescent="0.25">
      <c r="B34" s="65" t="s">
        <v>294</v>
      </c>
      <c r="C34" s="40"/>
      <c r="D34" s="40"/>
    </row>
    <row r="35" spans="2:4" x14ac:dyDescent="0.25">
      <c r="B35" s="65" t="s">
        <v>295</v>
      </c>
      <c r="C35" s="40"/>
      <c r="D35" s="40"/>
    </row>
    <row r="36" spans="2:4" x14ac:dyDescent="0.25">
      <c r="B36" s="65" t="s">
        <v>296</v>
      </c>
      <c r="C36" s="40"/>
      <c r="D36" s="40"/>
    </row>
    <row r="37" spans="2:4" x14ac:dyDescent="0.25">
      <c r="B37" s="31" t="s">
        <v>297</v>
      </c>
      <c r="C37" s="40"/>
      <c r="D37" s="40"/>
    </row>
    <row r="38" spans="2:4" x14ac:dyDescent="0.25">
      <c r="B38" s="66" t="s">
        <v>298</v>
      </c>
      <c r="C38" s="46" t="s">
        <v>256</v>
      </c>
      <c r="D38" s="40"/>
    </row>
    <row r="39" spans="2:4" x14ac:dyDescent="0.25">
      <c r="B39" s="66" t="s">
        <v>299</v>
      </c>
      <c r="C39" s="40"/>
      <c r="D39" s="40"/>
    </row>
    <row r="40" spans="2:4" x14ac:dyDescent="0.25">
      <c r="B40" s="66" t="s">
        <v>300</v>
      </c>
      <c r="C40" s="40"/>
      <c r="D40" s="40"/>
    </row>
    <row r="41" spans="2:4" x14ac:dyDescent="0.25">
      <c r="B41" s="66" t="s">
        <v>301</v>
      </c>
      <c r="C41" s="40"/>
      <c r="D41" s="40"/>
    </row>
    <row r="42" spans="2:4" x14ac:dyDescent="0.25">
      <c r="B42" s="66" t="s">
        <v>302</v>
      </c>
      <c r="C42" s="40"/>
      <c r="D42" s="40"/>
    </row>
    <row r="43" spans="2:4" x14ac:dyDescent="0.25">
      <c r="B43" s="66" t="s">
        <v>303</v>
      </c>
      <c r="C43" s="40"/>
      <c r="D43" s="40"/>
    </row>
    <row r="44" spans="2:4" x14ac:dyDescent="0.25">
      <c r="B44" s="66" t="s">
        <v>304</v>
      </c>
      <c r="C44" s="40"/>
      <c r="D44" s="40"/>
    </row>
    <row r="45" spans="2:4" x14ac:dyDescent="0.25">
      <c r="B45" s="66" t="s">
        <v>305</v>
      </c>
      <c r="C45" s="40"/>
      <c r="D45" s="40"/>
    </row>
    <row r="46" spans="2:4" x14ac:dyDescent="0.25">
      <c r="B46" s="66" t="s">
        <v>306</v>
      </c>
      <c r="C46" s="40"/>
      <c r="D46" s="40"/>
    </row>
    <row r="47" spans="2:4" x14ac:dyDescent="0.25">
      <c r="B47" s="66" t="s">
        <v>307</v>
      </c>
      <c r="C47" s="40"/>
      <c r="D47" s="40"/>
    </row>
    <row r="48" spans="2:4" x14ac:dyDescent="0.25">
      <c r="B48" s="66" t="s">
        <v>308</v>
      </c>
      <c r="C48" s="40"/>
      <c r="D48" s="40"/>
    </row>
    <row r="49" spans="2:4" x14ac:dyDescent="0.25">
      <c r="B49" s="66" t="s">
        <v>309</v>
      </c>
      <c r="C49" s="40"/>
      <c r="D49" s="40"/>
    </row>
    <row r="50" spans="2:4" x14ac:dyDescent="0.25">
      <c r="B50" s="66" t="s">
        <v>310</v>
      </c>
      <c r="C50" s="40"/>
      <c r="D50" s="40"/>
    </row>
    <row r="51" spans="2:4" x14ac:dyDescent="0.25">
      <c r="B51" s="66" t="s">
        <v>311</v>
      </c>
      <c r="C51" s="40"/>
      <c r="D51" s="40"/>
    </row>
    <row r="52" spans="2:4" x14ac:dyDescent="0.25">
      <c r="B52" s="67" t="s">
        <v>312</v>
      </c>
      <c r="C52" s="46" t="s">
        <v>256</v>
      </c>
      <c r="D52" s="40"/>
    </row>
    <row r="53" spans="2:4" x14ac:dyDescent="0.25">
      <c r="B53" s="68" t="s">
        <v>313</v>
      </c>
      <c r="C53" s="40"/>
      <c r="D53" s="40"/>
    </row>
    <row r="54" spans="2:4" x14ac:dyDescent="0.25">
      <c r="B54" s="68" t="s">
        <v>7</v>
      </c>
      <c r="C54" s="46" t="s">
        <v>256</v>
      </c>
      <c r="D54" s="40"/>
    </row>
    <row r="55" spans="2:4" x14ac:dyDescent="0.25">
      <c r="B55" s="68" t="s">
        <v>314</v>
      </c>
      <c r="C55" s="40"/>
      <c r="D55" s="40"/>
    </row>
    <row r="56" spans="2:4" x14ac:dyDescent="0.25">
      <c r="B56" s="68" t="s">
        <v>315</v>
      </c>
      <c r="C56" s="40"/>
      <c r="D56" s="40"/>
    </row>
    <row r="57" spans="2:4" x14ac:dyDescent="0.25">
      <c r="B57" s="68" t="s">
        <v>316</v>
      </c>
      <c r="C57" s="40"/>
      <c r="D57" s="40"/>
    </row>
    <row r="58" spans="2:4" x14ac:dyDescent="0.25">
      <c r="B58" s="68" t="s">
        <v>317</v>
      </c>
      <c r="C58" s="40"/>
      <c r="D58" s="40"/>
    </row>
    <row r="59" spans="2:4" x14ac:dyDescent="0.25">
      <c r="B59" s="68" t="s">
        <v>318</v>
      </c>
      <c r="C59" s="40"/>
      <c r="D59" s="40"/>
    </row>
    <row r="60" spans="2:4" x14ac:dyDescent="0.25">
      <c r="B60" s="68" t="s">
        <v>319</v>
      </c>
      <c r="C60" s="40"/>
      <c r="D60" s="40"/>
    </row>
    <row r="61" spans="2:4" x14ac:dyDescent="0.25">
      <c r="B61" s="68" t="s">
        <v>320</v>
      </c>
      <c r="C61" s="40"/>
      <c r="D61" s="40"/>
    </row>
    <row r="62" spans="2:4" x14ac:dyDescent="0.25">
      <c r="B62" s="68" t="s">
        <v>321</v>
      </c>
      <c r="C62" s="40"/>
      <c r="D62" s="40"/>
    </row>
    <row r="63" spans="2:4" x14ac:dyDescent="0.25">
      <c r="B63" s="69" t="s">
        <v>9</v>
      </c>
      <c r="C63" s="46" t="s">
        <v>256</v>
      </c>
      <c r="D63" s="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A1AC-A65C-4498-80C0-FCD2682506B3}">
  <sheetPr codeName="Sheet12">
    <tabColor theme="7" tint="0.79998168889431442"/>
  </sheetPr>
  <dimension ref="A1:BJ100"/>
  <sheetViews>
    <sheetView topLeftCell="T1" workbookViewId="0">
      <selection activeCell="K10" sqref="K10"/>
    </sheetView>
  </sheetViews>
  <sheetFormatPr defaultRowHeight="11.4" x14ac:dyDescent="0.2"/>
  <cols>
    <col min="1" max="1" width="7.69921875" style="38" customWidth="1"/>
    <col min="2" max="2" width="8.796875" style="38"/>
    <col min="3" max="3" width="6.69921875" style="38" customWidth="1"/>
    <col min="4" max="4" width="8.796875" style="38"/>
    <col min="5" max="5" width="10.3984375" style="38" customWidth="1"/>
    <col min="6" max="6" width="5.19921875" style="38" bestFit="1" customWidth="1"/>
    <col min="7" max="7" width="4.5" style="38" bestFit="1" customWidth="1"/>
    <col min="8" max="8" width="8.796875" style="38"/>
    <col min="9" max="10" width="4.5" style="38" bestFit="1" customWidth="1"/>
    <col min="11" max="11" width="14.09765625" style="38" bestFit="1" customWidth="1"/>
    <col min="12" max="13" width="4.5" style="38" bestFit="1" customWidth="1"/>
    <col min="14" max="14" width="15.69921875" style="38" bestFit="1" customWidth="1"/>
    <col min="15" max="15" width="5.19921875" style="38" bestFit="1" customWidth="1"/>
    <col min="16" max="19" width="4.5" style="38" bestFit="1" customWidth="1"/>
    <col min="20" max="20" width="15.09765625" style="38" bestFit="1" customWidth="1"/>
    <col min="21" max="21" width="4.5" style="38" bestFit="1" customWidth="1"/>
    <col min="22" max="22" width="20.19921875" style="38" bestFit="1" customWidth="1"/>
    <col min="23" max="29" width="4.5" style="38" bestFit="1" customWidth="1"/>
    <col min="30" max="30" width="13" style="38" bestFit="1" customWidth="1"/>
    <col min="31" max="31" width="6.09765625" style="38" bestFit="1" customWidth="1"/>
    <col min="32" max="35" width="4.5" style="38" bestFit="1" customWidth="1"/>
    <col min="36" max="36" width="11.19921875" style="38" bestFit="1" customWidth="1"/>
    <col min="37" max="50" width="4.5" style="62" bestFit="1" customWidth="1"/>
    <col min="51" max="51" width="5.19921875" style="62" bestFit="1" customWidth="1"/>
    <col min="52" max="52" width="6" style="62" bestFit="1" customWidth="1"/>
    <col min="53" max="61" width="4.5" style="62" bestFit="1" customWidth="1"/>
    <col min="62" max="62" width="3.59765625" style="62" customWidth="1"/>
    <col min="63" max="16384" width="8.796875" style="38"/>
  </cols>
  <sheetData>
    <row r="1" spans="1:62" ht="71.400000000000006" customHeight="1" x14ac:dyDescent="0.2">
      <c r="A1" s="35" t="s">
        <v>93</v>
      </c>
      <c r="B1" s="35" t="s">
        <v>92</v>
      </c>
      <c r="C1" s="35" t="s">
        <v>0</v>
      </c>
      <c r="D1" s="35" t="s">
        <v>8</v>
      </c>
      <c r="E1" s="48" t="s">
        <v>221</v>
      </c>
      <c r="F1" s="48" t="s">
        <v>270</v>
      </c>
      <c r="G1" s="48" t="s">
        <v>223</v>
      </c>
      <c r="H1" s="48" t="s">
        <v>224</v>
      </c>
      <c r="I1" s="48" t="s">
        <v>271</v>
      </c>
      <c r="J1" s="48" t="s">
        <v>226</v>
      </c>
      <c r="K1" s="48" t="s">
        <v>272</v>
      </c>
      <c r="L1" s="48" t="s">
        <v>273</v>
      </c>
      <c r="M1" s="48" t="s">
        <v>274</v>
      </c>
      <c r="N1" s="48" t="s">
        <v>275</v>
      </c>
      <c r="O1" s="48" t="s">
        <v>276</v>
      </c>
      <c r="P1" s="48" t="s">
        <v>277</v>
      </c>
      <c r="Q1" s="48" t="s">
        <v>278</v>
      </c>
      <c r="R1" s="48" t="s">
        <v>279</v>
      </c>
      <c r="S1" s="48" t="s">
        <v>280</v>
      </c>
      <c r="T1" s="49" t="s">
        <v>281</v>
      </c>
      <c r="U1" s="49" t="s">
        <v>282</v>
      </c>
      <c r="V1" s="49" t="s">
        <v>283</v>
      </c>
      <c r="W1" s="49" t="s">
        <v>284</v>
      </c>
      <c r="X1" s="49" t="s">
        <v>285</v>
      </c>
      <c r="Y1" s="49" t="s">
        <v>286</v>
      </c>
      <c r="Z1" s="49" t="s">
        <v>287</v>
      </c>
      <c r="AA1" s="49" t="s">
        <v>288</v>
      </c>
      <c r="AB1" s="49" t="s">
        <v>289</v>
      </c>
      <c r="AC1" s="49" t="s">
        <v>290</v>
      </c>
      <c r="AD1" s="57" t="s">
        <v>291</v>
      </c>
      <c r="AE1" s="57" t="s">
        <v>292</v>
      </c>
      <c r="AF1" s="57" t="s">
        <v>293</v>
      </c>
      <c r="AG1" s="57" t="s">
        <v>294</v>
      </c>
      <c r="AH1" s="57" t="s">
        <v>295</v>
      </c>
      <c r="AI1" s="57" t="s">
        <v>296</v>
      </c>
      <c r="AJ1" s="48" t="s">
        <v>297</v>
      </c>
      <c r="AK1" s="58" t="s">
        <v>298</v>
      </c>
      <c r="AL1" s="58" t="s">
        <v>299</v>
      </c>
      <c r="AM1" s="58" t="s">
        <v>300</v>
      </c>
      <c r="AN1" s="58" t="s">
        <v>301</v>
      </c>
      <c r="AO1" s="58" t="s">
        <v>302</v>
      </c>
      <c r="AP1" s="58" t="s">
        <v>303</v>
      </c>
      <c r="AQ1" s="58" t="s">
        <v>304</v>
      </c>
      <c r="AR1" s="58" t="s">
        <v>305</v>
      </c>
      <c r="AS1" s="58" t="s">
        <v>306</v>
      </c>
      <c r="AT1" s="58" t="s">
        <v>307</v>
      </c>
      <c r="AU1" s="58" t="s">
        <v>308</v>
      </c>
      <c r="AV1" s="58" t="s">
        <v>309</v>
      </c>
      <c r="AW1" s="58" t="s">
        <v>310</v>
      </c>
      <c r="AX1" s="58" t="s">
        <v>311</v>
      </c>
      <c r="AY1" s="59" t="s">
        <v>312</v>
      </c>
      <c r="AZ1" s="60" t="s">
        <v>313</v>
      </c>
      <c r="BA1" s="60" t="s">
        <v>7</v>
      </c>
      <c r="BB1" s="60" t="s">
        <v>314</v>
      </c>
      <c r="BC1" s="60" t="s">
        <v>315</v>
      </c>
      <c r="BD1" s="60" t="s">
        <v>316</v>
      </c>
      <c r="BE1" s="60" t="s">
        <v>317</v>
      </c>
      <c r="BF1" s="60" t="s">
        <v>318</v>
      </c>
      <c r="BG1" s="60" t="s">
        <v>319</v>
      </c>
      <c r="BH1" s="60" t="s">
        <v>320</v>
      </c>
      <c r="BI1" s="60" t="s">
        <v>321</v>
      </c>
      <c r="BJ1" s="61" t="s">
        <v>9</v>
      </c>
    </row>
    <row r="2" spans="1:62" x14ac:dyDescent="0.2">
      <c r="A2" s="39" t="s">
        <v>441</v>
      </c>
      <c r="B2" s="39" t="s">
        <v>536</v>
      </c>
      <c r="C2" s="39" t="s">
        <v>441</v>
      </c>
      <c r="D2" s="40" t="s">
        <v>537</v>
      </c>
      <c r="E2" s="40" t="s">
        <v>346</v>
      </c>
      <c r="F2" s="40">
        <v>33.67</v>
      </c>
      <c r="G2" s="40" t="s">
        <v>12</v>
      </c>
      <c r="H2" s="40" t="s">
        <v>64</v>
      </c>
      <c r="I2" s="40" t="s">
        <v>64</v>
      </c>
      <c r="J2" s="40" t="s">
        <v>64</v>
      </c>
      <c r="K2" s="40" t="s">
        <v>64</v>
      </c>
      <c r="L2" s="40" t="s">
        <v>64</v>
      </c>
      <c r="M2" s="40" t="s">
        <v>64</v>
      </c>
      <c r="N2" s="40" t="s">
        <v>64</v>
      </c>
      <c r="O2" s="40" t="s">
        <v>64</v>
      </c>
      <c r="P2" s="40" t="s">
        <v>64</v>
      </c>
      <c r="Q2" s="40" t="s">
        <v>64</v>
      </c>
      <c r="R2" s="40" t="s">
        <v>64</v>
      </c>
      <c r="S2" s="40" t="s">
        <v>64</v>
      </c>
      <c r="T2" s="40" t="s">
        <v>438</v>
      </c>
      <c r="U2" s="40">
        <v>19.37</v>
      </c>
      <c r="V2" s="40" t="s">
        <v>439</v>
      </c>
      <c r="W2" s="40">
        <v>44.2</v>
      </c>
      <c r="X2" s="40" t="s">
        <v>64</v>
      </c>
      <c r="Y2" s="40" t="s">
        <v>64</v>
      </c>
      <c r="Z2" s="40" t="s">
        <v>64</v>
      </c>
      <c r="AA2" s="40" t="s">
        <v>64</v>
      </c>
      <c r="AB2" s="40" t="s">
        <v>64</v>
      </c>
      <c r="AC2" s="40" t="s">
        <v>64</v>
      </c>
      <c r="AD2" s="40" t="s">
        <v>440</v>
      </c>
      <c r="AE2" s="40">
        <v>109.4</v>
      </c>
      <c r="AF2" s="40" t="s">
        <v>64</v>
      </c>
      <c r="AG2" s="40" t="s">
        <v>64</v>
      </c>
      <c r="AH2" s="40" t="s">
        <v>64</v>
      </c>
      <c r="AI2" s="40" t="s">
        <v>64</v>
      </c>
      <c r="AJ2" s="40" t="s">
        <v>64</v>
      </c>
      <c r="AK2" s="46" t="s">
        <v>64</v>
      </c>
      <c r="AL2" s="46" t="s">
        <v>64</v>
      </c>
      <c r="AM2" s="46" t="s">
        <v>64</v>
      </c>
      <c r="AN2" s="46" t="s">
        <v>64</v>
      </c>
      <c r="AO2" s="46" t="s">
        <v>64</v>
      </c>
      <c r="AP2" s="46" t="s">
        <v>64</v>
      </c>
      <c r="AQ2" s="46" t="s">
        <v>64</v>
      </c>
      <c r="AR2" s="46" t="s">
        <v>64</v>
      </c>
      <c r="AS2" s="46" t="s">
        <v>64</v>
      </c>
      <c r="AT2" s="46" t="s">
        <v>64</v>
      </c>
      <c r="AU2" s="46" t="s">
        <v>64</v>
      </c>
      <c r="AV2" s="46" t="s">
        <v>64</v>
      </c>
      <c r="AW2" s="46" t="s">
        <v>64</v>
      </c>
      <c r="AX2" s="46" t="s">
        <v>64</v>
      </c>
      <c r="AY2" s="46">
        <v>51.97</v>
      </c>
      <c r="AZ2" s="46" t="s">
        <v>64</v>
      </c>
      <c r="BA2" s="46" t="s">
        <v>64</v>
      </c>
      <c r="BB2" s="46" t="s">
        <v>64</v>
      </c>
      <c r="BC2" s="46" t="s">
        <v>64</v>
      </c>
      <c r="BD2" s="46" t="s">
        <v>64</v>
      </c>
      <c r="BE2" s="46" t="s">
        <v>64</v>
      </c>
      <c r="BF2" s="46" t="s">
        <v>64</v>
      </c>
      <c r="BG2" s="46" t="s">
        <v>64</v>
      </c>
      <c r="BH2" s="46" t="s">
        <v>64</v>
      </c>
      <c r="BI2" s="46" t="s">
        <v>64</v>
      </c>
      <c r="BJ2" s="46">
        <v>51.97</v>
      </c>
    </row>
    <row r="3" spans="1:62" x14ac:dyDescent="0.2">
      <c r="A3" s="39" t="s">
        <v>442</v>
      </c>
      <c r="B3" s="39" t="s">
        <v>536</v>
      </c>
      <c r="C3" s="39" t="s">
        <v>442</v>
      </c>
      <c r="D3" s="40" t="s">
        <v>539</v>
      </c>
      <c r="E3" s="40" t="s">
        <v>346</v>
      </c>
      <c r="F3" s="40">
        <v>33.08</v>
      </c>
      <c r="G3" s="40" t="s">
        <v>12</v>
      </c>
      <c r="H3" s="40" t="s">
        <v>64</v>
      </c>
      <c r="I3" s="40" t="s">
        <v>64</v>
      </c>
      <c r="J3" s="40" t="s">
        <v>64</v>
      </c>
      <c r="K3" s="40" t="s">
        <v>64</v>
      </c>
      <c r="L3" s="40" t="s">
        <v>64</v>
      </c>
      <c r="M3" s="40" t="s">
        <v>64</v>
      </c>
      <c r="N3" s="40" t="s">
        <v>64</v>
      </c>
      <c r="O3" s="40" t="s">
        <v>64</v>
      </c>
      <c r="P3" s="40" t="s">
        <v>64</v>
      </c>
      <c r="Q3" s="40" t="s">
        <v>64</v>
      </c>
      <c r="R3" s="40" t="s">
        <v>64</v>
      </c>
      <c r="S3" s="40" t="s">
        <v>64</v>
      </c>
      <c r="T3" s="40" t="s">
        <v>438</v>
      </c>
      <c r="U3" s="40">
        <v>18.78</v>
      </c>
      <c r="V3" s="40" t="s">
        <v>439</v>
      </c>
      <c r="W3" s="40">
        <v>44.2</v>
      </c>
      <c r="X3" s="40" t="s">
        <v>64</v>
      </c>
      <c r="Y3" s="40" t="s">
        <v>64</v>
      </c>
      <c r="Z3" s="40" t="s">
        <v>64</v>
      </c>
      <c r="AA3" s="40" t="s">
        <v>64</v>
      </c>
      <c r="AB3" s="40" t="s">
        <v>64</v>
      </c>
      <c r="AC3" s="40" t="s">
        <v>64</v>
      </c>
      <c r="AD3" s="40" t="s">
        <v>440</v>
      </c>
      <c r="AE3" s="40">
        <v>108.2</v>
      </c>
      <c r="AF3" s="40" t="s">
        <v>64</v>
      </c>
      <c r="AG3" s="40" t="s">
        <v>64</v>
      </c>
      <c r="AH3" s="40" t="s">
        <v>64</v>
      </c>
      <c r="AI3" s="40" t="s">
        <v>64</v>
      </c>
      <c r="AJ3" s="40" t="s">
        <v>64</v>
      </c>
      <c r="AK3" s="46" t="s">
        <v>64</v>
      </c>
      <c r="AL3" s="46" t="s">
        <v>64</v>
      </c>
      <c r="AM3" s="46" t="s">
        <v>64</v>
      </c>
      <c r="AN3" s="46" t="s">
        <v>64</v>
      </c>
      <c r="AO3" s="46" t="s">
        <v>64</v>
      </c>
      <c r="AP3" s="46" t="s">
        <v>64</v>
      </c>
      <c r="AQ3" s="46" t="s">
        <v>64</v>
      </c>
      <c r="AR3" s="46" t="s">
        <v>64</v>
      </c>
      <c r="AS3" s="46" t="s">
        <v>64</v>
      </c>
      <c r="AT3" s="46" t="s">
        <v>64</v>
      </c>
      <c r="AU3" s="46" t="s">
        <v>64</v>
      </c>
      <c r="AV3" s="46" t="s">
        <v>64</v>
      </c>
      <c r="AW3" s="46" t="s">
        <v>64</v>
      </c>
      <c r="AX3" s="46" t="s">
        <v>64</v>
      </c>
      <c r="AY3" s="46">
        <v>50.4</v>
      </c>
      <c r="AZ3" s="46" t="s">
        <v>64</v>
      </c>
      <c r="BA3" s="46" t="s">
        <v>64</v>
      </c>
      <c r="BB3" s="46" t="s">
        <v>64</v>
      </c>
      <c r="BC3" s="46" t="s">
        <v>64</v>
      </c>
      <c r="BD3" s="46" t="s">
        <v>64</v>
      </c>
      <c r="BE3" s="46" t="s">
        <v>64</v>
      </c>
      <c r="BF3" s="46" t="s">
        <v>64</v>
      </c>
      <c r="BG3" s="46" t="s">
        <v>64</v>
      </c>
      <c r="BH3" s="46" t="s">
        <v>64</v>
      </c>
      <c r="BI3" s="46" t="s">
        <v>64</v>
      </c>
      <c r="BJ3" s="46">
        <v>50.4</v>
      </c>
    </row>
    <row r="4" spans="1:62" x14ac:dyDescent="0.2">
      <c r="A4" s="39" t="s">
        <v>443</v>
      </c>
      <c r="B4" s="39" t="s">
        <v>536</v>
      </c>
      <c r="C4" s="39" t="s">
        <v>443</v>
      </c>
      <c r="D4" s="40" t="s">
        <v>540</v>
      </c>
      <c r="E4" s="40" t="s">
        <v>346</v>
      </c>
      <c r="F4" s="40">
        <v>16.899999999999999</v>
      </c>
      <c r="G4" s="40" t="s">
        <v>12</v>
      </c>
      <c r="H4" s="40" t="s">
        <v>64</v>
      </c>
      <c r="I4" s="40" t="s">
        <v>64</v>
      </c>
      <c r="J4" s="40" t="s">
        <v>64</v>
      </c>
      <c r="K4" s="40" t="s">
        <v>64</v>
      </c>
      <c r="L4" s="40" t="s">
        <v>64</v>
      </c>
      <c r="M4" s="40" t="s">
        <v>64</v>
      </c>
      <c r="N4" s="40" t="s">
        <v>64</v>
      </c>
      <c r="O4" s="40" t="s">
        <v>64</v>
      </c>
      <c r="P4" s="40" t="s">
        <v>64</v>
      </c>
      <c r="Q4" s="40" t="s">
        <v>64</v>
      </c>
      <c r="R4" s="40" t="s">
        <v>64</v>
      </c>
      <c r="S4" s="40" t="s">
        <v>64</v>
      </c>
      <c r="T4" s="40" t="s">
        <v>438</v>
      </c>
      <c r="U4" s="40">
        <v>38.74</v>
      </c>
      <c r="V4" s="40" t="s">
        <v>439</v>
      </c>
      <c r="W4" s="40">
        <v>44.2</v>
      </c>
      <c r="X4" s="40" t="s">
        <v>64</v>
      </c>
      <c r="Y4" s="40" t="s">
        <v>64</v>
      </c>
      <c r="Z4" s="40" t="s">
        <v>64</v>
      </c>
      <c r="AA4" s="40" t="s">
        <v>64</v>
      </c>
      <c r="AB4" s="40" t="s">
        <v>64</v>
      </c>
      <c r="AC4" s="40" t="s">
        <v>64</v>
      </c>
      <c r="AD4" s="40" t="s">
        <v>440</v>
      </c>
      <c r="AE4" s="40">
        <v>109.28</v>
      </c>
      <c r="AF4" s="40" t="s">
        <v>64</v>
      </c>
      <c r="AG4" s="40" t="s">
        <v>64</v>
      </c>
      <c r="AH4" s="40" t="s">
        <v>64</v>
      </c>
      <c r="AI4" s="40" t="s">
        <v>64</v>
      </c>
      <c r="AJ4" s="40" t="s">
        <v>64</v>
      </c>
      <c r="AK4" s="46" t="s">
        <v>64</v>
      </c>
      <c r="AL4" s="46" t="s">
        <v>64</v>
      </c>
      <c r="AM4" s="46" t="s">
        <v>64</v>
      </c>
      <c r="AN4" s="46" t="s">
        <v>64</v>
      </c>
      <c r="AO4" s="46" t="s">
        <v>64</v>
      </c>
      <c r="AP4" s="46" t="s">
        <v>64</v>
      </c>
      <c r="AQ4" s="46" t="s">
        <v>64</v>
      </c>
      <c r="AR4" s="46" t="s">
        <v>64</v>
      </c>
      <c r="AS4" s="46" t="s">
        <v>64</v>
      </c>
      <c r="AT4" s="46" t="s">
        <v>64</v>
      </c>
      <c r="AU4" s="46" t="s">
        <v>64</v>
      </c>
      <c r="AV4" s="46" t="s">
        <v>64</v>
      </c>
      <c r="AW4" s="46" t="s">
        <v>64</v>
      </c>
      <c r="AX4" s="46" t="s">
        <v>64</v>
      </c>
      <c r="AY4" s="46">
        <v>51.97</v>
      </c>
      <c r="AZ4" s="46" t="s">
        <v>64</v>
      </c>
      <c r="BA4" s="46" t="s">
        <v>64</v>
      </c>
      <c r="BB4" s="46" t="s">
        <v>64</v>
      </c>
      <c r="BC4" s="46" t="s">
        <v>64</v>
      </c>
      <c r="BD4" s="46" t="s">
        <v>64</v>
      </c>
      <c r="BE4" s="46" t="s">
        <v>64</v>
      </c>
      <c r="BF4" s="46" t="s">
        <v>64</v>
      </c>
      <c r="BG4" s="46" t="s">
        <v>64</v>
      </c>
      <c r="BH4" s="46" t="s">
        <v>64</v>
      </c>
      <c r="BI4" s="46" t="s">
        <v>64</v>
      </c>
      <c r="BJ4" s="46">
        <v>51.96</v>
      </c>
    </row>
    <row r="5" spans="1:62" x14ac:dyDescent="0.2">
      <c r="A5" s="39" t="s">
        <v>444</v>
      </c>
      <c r="B5" s="39" t="s">
        <v>536</v>
      </c>
      <c r="C5" s="39" t="s">
        <v>444</v>
      </c>
      <c r="D5" s="40" t="s">
        <v>541</v>
      </c>
      <c r="E5" s="40" t="s">
        <v>346</v>
      </c>
      <c r="F5" s="40">
        <v>16.899999999999999</v>
      </c>
      <c r="G5" s="40" t="s">
        <v>12</v>
      </c>
      <c r="H5" s="40" t="s">
        <v>64</v>
      </c>
      <c r="I5" s="40" t="s">
        <v>64</v>
      </c>
      <c r="J5" s="40" t="s">
        <v>64</v>
      </c>
      <c r="K5" s="40" t="s">
        <v>64</v>
      </c>
      <c r="L5" s="40" t="s">
        <v>64</v>
      </c>
      <c r="M5" s="40" t="s">
        <v>64</v>
      </c>
      <c r="N5" s="40" t="s">
        <v>64</v>
      </c>
      <c r="O5" s="40" t="s">
        <v>64</v>
      </c>
      <c r="P5" s="40" t="s">
        <v>64</v>
      </c>
      <c r="Q5" s="40" t="s">
        <v>64</v>
      </c>
      <c r="R5" s="40" t="s">
        <v>64</v>
      </c>
      <c r="S5" s="40" t="s">
        <v>64</v>
      </c>
      <c r="T5" s="40" t="s">
        <v>438</v>
      </c>
      <c r="U5" s="40">
        <v>37.58</v>
      </c>
      <c r="V5" s="40" t="s">
        <v>439</v>
      </c>
      <c r="W5" s="40">
        <v>44.2</v>
      </c>
      <c r="X5" s="40" t="s">
        <v>64</v>
      </c>
      <c r="Y5" s="40" t="s">
        <v>64</v>
      </c>
      <c r="Z5" s="40" t="s">
        <v>64</v>
      </c>
      <c r="AA5" s="40" t="s">
        <v>64</v>
      </c>
      <c r="AB5" s="40" t="s">
        <v>64</v>
      </c>
      <c r="AC5" s="40" t="s">
        <v>64</v>
      </c>
      <c r="AD5" s="40" t="s">
        <v>440</v>
      </c>
      <c r="AE5" s="40">
        <v>108.22</v>
      </c>
      <c r="AF5" s="40" t="s">
        <v>64</v>
      </c>
      <c r="AG5" s="40" t="s">
        <v>64</v>
      </c>
      <c r="AH5" s="40" t="s">
        <v>64</v>
      </c>
      <c r="AI5" s="40" t="s">
        <v>64</v>
      </c>
      <c r="AJ5" s="40" t="s">
        <v>64</v>
      </c>
      <c r="AK5" s="46" t="s">
        <v>64</v>
      </c>
      <c r="AL5" s="46" t="s">
        <v>64</v>
      </c>
      <c r="AM5" s="46" t="s">
        <v>64</v>
      </c>
      <c r="AN5" s="46" t="s">
        <v>64</v>
      </c>
      <c r="AO5" s="46" t="s">
        <v>64</v>
      </c>
      <c r="AP5" s="46" t="s">
        <v>64</v>
      </c>
      <c r="AQ5" s="46" t="s">
        <v>64</v>
      </c>
      <c r="AR5" s="46" t="s">
        <v>64</v>
      </c>
      <c r="AS5" s="46" t="s">
        <v>64</v>
      </c>
      <c r="AT5" s="46" t="s">
        <v>64</v>
      </c>
      <c r="AU5" s="46" t="s">
        <v>64</v>
      </c>
      <c r="AV5" s="46" t="s">
        <v>64</v>
      </c>
      <c r="AW5" s="46" t="s">
        <v>64</v>
      </c>
      <c r="AX5" s="46" t="s">
        <v>64</v>
      </c>
      <c r="AY5" s="46">
        <v>50.4</v>
      </c>
      <c r="AZ5" s="46" t="s">
        <v>64</v>
      </c>
      <c r="BA5" s="46" t="s">
        <v>64</v>
      </c>
      <c r="BB5" s="46" t="s">
        <v>64</v>
      </c>
      <c r="BC5" s="46" t="s">
        <v>64</v>
      </c>
      <c r="BD5" s="46" t="s">
        <v>64</v>
      </c>
      <c r="BE5" s="46" t="s">
        <v>64</v>
      </c>
      <c r="BF5" s="46" t="s">
        <v>64</v>
      </c>
      <c r="BG5" s="46" t="s">
        <v>64</v>
      </c>
      <c r="BH5" s="46" t="s">
        <v>64</v>
      </c>
      <c r="BI5" s="46" t="s">
        <v>64</v>
      </c>
      <c r="BJ5" s="46">
        <v>50.4</v>
      </c>
    </row>
    <row r="6" spans="1:62" x14ac:dyDescent="0.2">
      <c r="A6" s="39" t="s">
        <v>445</v>
      </c>
      <c r="B6" s="39" t="s">
        <v>536</v>
      </c>
      <c r="C6" s="39" t="s">
        <v>445</v>
      </c>
      <c r="D6" s="40" t="s">
        <v>542</v>
      </c>
      <c r="E6" s="40" t="s">
        <v>346</v>
      </c>
      <c r="F6" s="40">
        <v>18.2</v>
      </c>
      <c r="G6" s="40" t="s">
        <v>12</v>
      </c>
      <c r="H6" s="40" t="s">
        <v>64</v>
      </c>
      <c r="I6" s="40" t="s">
        <v>64</v>
      </c>
      <c r="J6" s="40" t="s">
        <v>64</v>
      </c>
      <c r="K6" s="40" t="s">
        <v>64</v>
      </c>
      <c r="L6" s="40" t="s">
        <v>64</v>
      </c>
      <c r="M6" s="40" t="s">
        <v>64</v>
      </c>
      <c r="N6" s="40" t="s">
        <v>64</v>
      </c>
      <c r="O6" s="40" t="s">
        <v>64</v>
      </c>
      <c r="P6" s="40" t="s">
        <v>64</v>
      </c>
      <c r="Q6" s="40" t="s">
        <v>64</v>
      </c>
      <c r="R6" s="40" t="s">
        <v>64</v>
      </c>
      <c r="S6" s="40" t="s">
        <v>64</v>
      </c>
      <c r="T6" s="40" t="s">
        <v>438</v>
      </c>
      <c r="U6" s="40">
        <v>19.37</v>
      </c>
      <c r="V6" s="40" t="s">
        <v>439</v>
      </c>
      <c r="W6" s="40">
        <v>49.73</v>
      </c>
      <c r="X6" s="40" t="s">
        <v>64</v>
      </c>
      <c r="Y6" s="40" t="s">
        <v>64</v>
      </c>
      <c r="Z6" s="40" t="s">
        <v>64</v>
      </c>
      <c r="AA6" s="40" t="s">
        <v>64</v>
      </c>
      <c r="AB6" s="40" t="s">
        <v>64</v>
      </c>
      <c r="AC6" s="40" t="s">
        <v>64</v>
      </c>
      <c r="AD6" s="40" t="s">
        <v>440</v>
      </c>
      <c r="AE6" s="40">
        <v>63.34</v>
      </c>
      <c r="AF6" s="40" t="s">
        <v>64</v>
      </c>
      <c r="AG6" s="40" t="s">
        <v>64</v>
      </c>
      <c r="AH6" s="40" t="s">
        <v>64</v>
      </c>
      <c r="AI6" s="40" t="s">
        <v>64</v>
      </c>
      <c r="AJ6" s="40" t="s">
        <v>64</v>
      </c>
      <c r="AK6" s="46" t="s">
        <v>64</v>
      </c>
      <c r="AL6" s="46" t="s">
        <v>64</v>
      </c>
      <c r="AM6" s="46" t="s">
        <v>64</v>
      </c>
      <c r="AN6" s="46" t="s">
        <v>64</v>
      </c>
      <c r="AO6" s="46" t="s">
        <v>64</v>
      </c>
      <c r="AP6" s="46" t="s">
        <v>64</v>
      </c>
      <c r="AQ6" s="46" t="s">
        <v>64</v>
      </c>
      <c r="AR6" s="46" t="s">
        <v>64</v>
      </c>
      <c r="AS6" s="46" t="s">
        <v>64</v>
      </c>
      <c r="AT6" s="46" t="s">
        <v>64</v>
      </c>
      <c r="AU6" s="46" t="s">
        <v>64</v>
      </c>
      <c r="AV6" s="46" t="s">
        <v>64</v>
      </c>
      <c r="AW6" s="46" t="s">
        <v>64</v>
      </c>
      <c r="AX6" s="46" t="s">
        <v>64</v>
      </c>
      <c r="AY6" s="46">
        <v>42.14</v>
      </c>
      <c r="AZ6" s="46" t="s">
        <v>64</v>
      </c>
      <c r="BA6" s="46" t="s">
        <v>64</v>
      </c>
      <c r="BB6" s="46" t="s">
        <v>64</v>
      </c>
      <c r="BC6" s="46" t="s">
        <v>64</v>
      </c>
      <c r="BD6" s="46" t="s">
        <v>64</v>
      </c>
      <c r="BE6" s="46" t="s">
        <v>64</v>
      </c>
      <c r="BF6" s="46" t="s">
        <v>64</v>
      </c>
      <c r="BG6" s="46" t="s">
        <v>64</v>
      </c>
      <c r="BH6" s="46" t="s">
        <v>64</v>
      </c>
      <c r="BI6" s="46" t="s">
        <v>64</v>
      </c>
      <c r="BJ6" s="46">
        <v>42.13</v>
      </c>
    </row>
    <row r="7" spans="1:62" x14ac:dyDescent="0.2">
      <c r="A7" s="39" t="s">
        <v>446</v>
      </c>
      <c r="B7" s="39" t="s">
        <v>536</v>
      </c>
      <c r="C7" s="39" t="s">
        <v>446</v>
      </c>
      <c r="D7" s="40" t="s">
        <v>543</v>
      </c>
      <c r="E7" s="40" t="s">
        <v>346</v>
      </c>
      <c r="F7" s="40">
        <v>12.98</v>
      </c>
      <c r="G7" s="40" t="s">
        <v>12</v>
      </c>
      <c r="H7" s="40" t="s">
        <v>64</v>
      </c>
      <c r="I7" s="40" t="s">
        <v>64</v>
      </c>
      <c r="J7" s="40" t="s">
        <v>64</v>
      </c>
      <c r="K7" s="40" t="s">
        <v>64</v>
      </c>
      <c r="L7" s="40" t="s">
        <v>64</v>
      </c>
      <c r="M7" s="40" t="s">
        <v>64</v>
      </c>
      <c r="N7" s="40" t="s">
        <v>64</v>
      </c>
      <c r="O7" s="40" t="s">
        <v>64</v>
      </c>
      <c r="P7" s="40" t="s">
        <v>64</v>
      </c>
      <c r="Q7" s="40" t="s">
        <v>64</v>
      </c>
      <c r="R7" s="40" t="s">
        <v>64</v>
      </c>
      <c r="S7" s="40" t="s">
        <v>64</v>
      </c>
      <c r="T7" s="40" t="s">
        <v>438</v>
      </c>
      <c r="U7" s="40">
        <v>18.79</v>
      </c>
      <c r="V7" s="40" t="s">
        <v>439</v>
      </c>
      <c r="W7" s="40">
        <v>55.15</v>
      </c>
      <c r="X7" s="40" t="s">
        <v>64</v>
      </c>
      <c r="Y7" s="40" t="s">
        <v>64</v>
      </c>
      <c r="Z7" s="40" t="s">
        <v>64</v>
      </c>
      <c r="AA7" s="40" t="s">
        <v>64</v>
      </c>
      <c r="AB7" s="40" t="s">
        <v>64</v>
      </c>
      <c r="AC7" s="40" t="s">
        <v>64</v>
      </c>
      <c r="AD7" s="40" t="s">
        <v>440</v>
      </c>
      <c r="AE7" s="40">
        <v>64.3</v>
      </c>
      <c r="AF7" s="40" t="s">
        <v>64</v>
      </c>
      <c r="AG7" s="40" t="s">
        <v>64</v>
      </c>
      <c r="AH7" s="40" t="s">
        <v>64</v>
      </c>
      <c r="AI7" s="40" t="s">
        <v>64</v>
      </c>
      <c r="AJ7" s="40" t="s">
        <v>64</v>
      </c>
      <c r="AK7" s="46" t="s">
        <v>64</v>
      </c>
      <c r="AL7" s="40" t="s">
        <v>64</v>
      </c>
      <c r="AM7" s="46" t="s">
        <v>64</v>
      </c>
      <c r="AN7" s="46" t="s">
        <v>64</v>
      </c>
      <c r="AO7" s="46" t="s">
        <v>64</v>
      </c>
      <c r="AP7" s="46" t="s">
        <v>64</v>
      </c>
      <c r="AQ7" s="46" t="s">
        <v>64</v>
      </c>
      <c r="AR7" s="46" t="s">
        <v>64</v>
      </c>
      <c r="AS7" s="46" t="s">
        <v>64</v>
      </c>
      <c r="AT7" s="46" t="s">
        <v>64</v>
      </c>
      <c r="AU7" s="46" t="s">
        <v>64</v>
      </c>
      <c r="AV7" s="46" t="s">
        <v>64</v>
      </c>
      <c r="AW7" s="46" t="s">
        <v>64</v>
      </c>
      <c r="AX7" s="46" t="s">
        <v>64</v>
      </c>
      <c r="AY7" s="46">
        <v>41.46</v>
      </c>
      <c r="AZ7" s="46" t="s">
        <v>324</v>
      </c>
      <c r="BA7" s="46">
        <v>9.17</v>
      </c>
      <c r="BB7" s="46" t="s">
        <v>64</v>
      </c>
      <c r="BC7" s="46" t="s">
        <v>64</v>
      </c>
      <c r="BD7" s="46" t="s">
        <v>64</v>
      </c>
      <c r="BE7" s="46" t="s">
        <v>64</v>
      </c>
      <c r="BF7" s="46" t="s">
        <v>64</v>
      </c>
      <c r="BG7" s="46" t="s">
        <v>64</v>
      </c>
      <c r="BH7" s="46" t="s">
        <v>64</v>
      </c>
      <c r="BI7" s="46" t="s">
        <v>64</v>
      </c>
      <c r="BJ7" s="46">
        <v>32.299999999999997</v>
      </c>
    </row>
    <row r="8" spans="1:62" x14ac:dyDescent="0.2">
      <c r="A8" s="39" t="s">
        <v>447</v>
      </c>
      <c r="B8" s="39" t="s">
        <v>536</v>
      </c>
      <c r="C8" s="39" t="s">
        <v>447</v>
      </c>
      <c r="D8" s="40" t="s">
        <v>544</v>
      </c>
      <c r="E8" s="40" t="s">
        <v>346</v>
      </c>
      <c r="F8" s="40">
        <v>14.1</v>
      </c>
      <c r="G8" s="40" t="s">
        <v>12</v>
      </c>
      <c r="H8" s="40" t="s">
        <v>64</v>
      </c>
      <c r="I8" s="40" t="s">
        <v>64</v>
      </c>
      <c r="J8" s="40" t="s">
        <v>64</v>
      </c>
      <c r="K8" s="40" t="s">
        <v>64</v>
      </c>
      <c r="L8" s="40" t="s">
        <v>64</v>
      </c>
      <c r="M8" s="40" t="s">
        <v>64</v>
      </c>
      <c r="N8" s="40" t="s">
        <v>64</v>
      </c>
      <c r="O8" s="40" t="s">
        <v>64</v>
      </c>
      <c r="P8" s="40" t="s">
        <v>64</v>
      </c>
      <c r="Q8" s="40" t="s">
        <v>64</v>
      </c>
      <c r="R8" s="40" t="s">
        <v>64</v>
      </c>
      <c r="S8" s="40" t="s">
        <v>64</v>
      </c>
      <c r="T8" s="40" t="s">
        <v>438</v>
      </c>
      <c r="U8" s="40">
        <v>17.79</v>
      </c>
      <c r="V8" s="40" t="s">
        <v>439</v>
      </c>
      <c r="W8" s="40">
        <v>51.04</v>
      </c>
      <c r="X8" s="40" t="s">
        <v>64</v>
      </c>
      <c r="Y8" s="40" t="s">
        <v>64</v>
      </c>
      <c r="Z8" s="40" t="s">
        <v>64</v>
      </c>
      <c r="AA8" s="40" t="s">
        <v>64</v>
      </c>
      <c r="AB8" s="40" t="s">
        <v>64</v>
      </c>
      <c r="AC8" s="40" t="s">
        <v>64</v>
      </c>
      <c r="AD8" s="40" t="s">
        <v>440</v>
      </c>
      <c r="AE8" s="40">
        <v>66.86</v>
      </c>
      <c r="AF8" s="40" t="s">
        <v>64</v>
      </c>
      <c r="AG8" s="40" t="s">
        <v>64</v>
      </c>
      <c r="AH8" s="40" t="s">
        <v>64</v>
      </c>
      <c r="AI8" s="40" t="s">
        <v>64</v>
      </c>
      <c r="AJ8" s="40" t="s">
        <v>64</v>
      </c>
      <c r="AK8" s="46" t="s">
        <v>64</v>
      </c>
      <c r="AL8" s="40" t="s">
        <v>64</v>
      </c>
      <c r="AM8" s="46" t="s">
        <v>64</v>
      </c>
      <c r="AN8" s="46" t="s">
        <v>64</v>
      </c>
      <c r="AO8" s="46" t="s">
        <v>64</v>
      </c>
      <c r="AP8" s="46" t="s">
        <v>64</v>
      </c>
      <c r="AQ8" s="46" t="s">
        <v>64</v>
      </c>
      <c r="AR8" s="46" t="s">
        <v>64</v>
      </c>
      <c r="AS8" s="46" t="s">
        <v>64</v>
      </c>
      <c r="AT8" s="46" t="s">
        <v>64</v>
      </c>
      <c r="AU8" s="46" t="s">
        <v>64</v>
      </c>
      <c r="AV8" s="46" t="s">
        <v>64</v>
      </c>
      <c r="AW8" s="46" t="s">
        <v>64</v>
      </c>
      <c r="AX8" s="46" t="s">
        <v>64</v>
      </c>
      <c r="AY8" s="46">
        <v>37.32</v>
      </c>
      <c r="AZ8" s="46" t="s">
        <v>64</v>
      </c>
      <c r="BA8" s="46" t="s">
        <v>64</v>
      </c>
      <c r="BB8" s="46" t="s">
        <v>64</v>
      </c>
      <c r="BC8" s="46" t="s">
        <v>64</v>
      </c>
      <c r="BD8" s="46" t="s">
        <v>64</v>
      </c>
      <c r="BE8" s="46" t="s">
        <v>64</v>
      </c>
      <c r="BF8" s="46" t="s">
        <v>64</v>
      </c>
      <c r="BG8" s="46" t="s">
        <v>64</v>
      </c>
      <c r="BH8" s="46" t="s">
        <v>64</v>
      </c>
      <c r="BI8" s="46" t="s">
        <v>64</v>
      </c>
      <c r="BJ8" s="46">
        <v>37.33</v>
      </c>
    </row>
    <row r="9" spans="1:62" x14ac:dyDescent="0.2">
      <c r="A9" s="39" t="s">
        <v>448</v>
      </c>
      <c r="B9" s="39" t="s">
        <v>536</v>
      </c>
      <c r="C9" s="39" t="s">
        <v>448</v>
      </c>
      <c r="D9" s="40" t="s">
        <v>545</v>
      </c>
      <c r="E9" s="40" t="s">
        <v>346</v>
      </c>
      <c r="F9" s="40">
        <v>13.49</v>
      </c>
      <c r="G9" s="40" t="s">
        <v>12</v>
      </c>
      <c r="H9" s="40" t="s">
        <v>64</v>
      </c>
      <c r="I9" s="40" t="s">
        <v>64</v>
      </c>
      <c r="J9" s="40" t="s">
        <v>64</v>
      </c>
      <c r="K9" s="40" t="s">
        <v>64</v>
      </c>
      <c r="L9" s="40" t="s">
        <v>64</v>
      </c>
      <c r="M9" s="40" t="s">
        <v>64</v>
      </c>
      <c r="N9" s="40" t="s">
        <v>64</v>
      </c>
      <c r="O9" s="40" t="s">
        <v>64</v>
      </c>
      <c r="P9" s="40" t="s">
        <v>64</v>
      </c>
      <c r="Q9" s="40" t="s">
        <v>64</v>
      </c>
      <c r="R9" s="40" t="s">
        <v>64</v>
      </c>
      <c r="S9" s="40" t="s">
        <v>64</v>
      </c>
      <c r="T9" s="40" t="s">
        <v>438</v>
      </c>
      <c r="U9" s="40">
        <v>35.58</v>
      </c>
      <c r="V9" s="40" t="s">
        <v>439</v>
      </c>
      <c r="W9" s="40">
        <v>35.96</v>
      </c>
      <c r="X9" s="40" t="s">
        <v>64</v>
      </c>
      <c r="Y9" s="40" t="s">
        <v>64</v>
      </c>
      <c r="Z9" s="40" t="s">
        <v>64</v>
      </c>
      <c r="AA9" s="40" t="s">
        <v>64</v>
      </c>
      <c r="AB9" s="40" t="s">
        <v>64</v>
      </c>
      <c r="AC9" s="40" t="s">
        <v>64</v>
      </c>
      <c r="AD9" s="40" t="s">
        <v>440</v>
      </c>
      <c r="AE9" s="40">
        <v>66.540000000000006</v>
      </c>
      <c r="AF9" s="40" t="s">
        <v>64</v>
      </c>
      <c r="AG9" s="40" t="s">
        <v>64</v>
      </c>
      <c r="AH9" s="40" t="s">
        <v>64</v>
      </c>
      <c r="AI9" s="40" t="s">
        <v>64</v>
      </c>
      <c r="AJ9" s="40" t="s">
        <v>64</v>
      </c>
      <c r="AK9" s="46" t="s">
        <v>64</v>
      </c>
      <c r="AL9" s="40" t="s">
        <v>64</v>
      </c>
      <c r="AM9" s="46" t="s">
        <v>64</v>
      </c>
      <c r="AN9" s="46" t="s">
        <v>64</v>
      </c>
      <c r="AO9" s="46" t="s">
        <v>64</v>
      </c>
      <c r="AP9" s="46" t="s">
        <v>64</v>
      </c>
      <c r="AQ9" s="46" t="s">
        <v>64</v>
      </c>
      <c r="AR9" s="46" t="s">
        <v>64</v>
      </c>
      <c r="AS9" s="46" t="s">
        <v>64</v>
      </c>
      <c r="AT9" s="46" t="s">
        <v>64</v>
      </c>
      <c r="AU9" s="46" t="s">
        <v>64</v>
      </c>
      <c r="AV9" s="46" t="s">
        <v>64</v>
      </c>
      <c r="AW9" s="46" t="s">
        <v>64</v>
      </c>
      <c r="AX9" s="46" t="s">
        <v>64</v>
      </c>
      <c r="AY9" s="46">
        <v>38.85</v>
      </c>
      <c r="AZ9" s="46" t="s">
        <v>64</v>
      </c>
      <c r="BA9" s="46" t="s">
        <v>64</v>
      </c>
      <c r="BB9" s="46" t="s">
        <v>64</v>
      </c>
      <c r="BC9" s="46" t="s">
        <v>64</v>
      </c>
      <c r="BD9" s="46" t="s">
        <v>64</v>
      </c>
      <c r="BE9" s="46" t="s">
        <v>64</v>
      </c>
      <c r="BF9" s="46" t="s">
        <v>64</v>
      </c>
      <c r="BG9" s="46" t="s">
        <v>64</v>
      </c>
      <c r="BH9" s="46" t="s">
        <v>64</v>
      </c>
      <c r="BI9" s="46" t="s">
        <v>64</v>
      </c>
      <c r="BJ9" s="46">
        <v>38.85</v>
      </c>
    </row>
    <row r="10" spans="1:62" x14ac:dyDescent="0.2">
      <c r="A10" s="39" t="s">
        <v>449</v>
      </c>
      <c r="B10" s="39" t="s">
        <v>536</v>
      </c>
      <c r="C10" s="39" t="s">
        <v>449</v>
      </c>
      <c r="D10" s="40" t="s">
        <v>546</v>
      </c>
      <c r="E10" s="40" t="s">
        <v>346</v>
      </c>
      <c r="F10" s="40">
        <v>27.76</v>
      </c>
      <c r="G10" s="40" t="s">
        <v>12</v>
      </c>
      <c r="H10" s="40" t="s">
        <v>64</v>
      </c>
      <c r="I10" s="40" t="s">
        <v>64</v>
      </c>
      <c r="J10" s="40" t="s">
        <v>64</v>
      </c>
      <c r="K10" s="40" t="s">
        <v>64</v>
      </c>
      <c r="L10" s="40" t="s">
        <v>64</v>
      </c>
      <c r="M10" s="40" t="s">
        <v>64</v>
      </c>
      <c r="N10" s="40" t="s">
        <v>64</v>
      </c>
      <c r="O10" s="40" t="s">
        <v>64</v>
      </c>
      <c r="P10" s="40" t="s">
        <v>64</v>
      </c>
      <c r="Q10" s="40" t="s">
        <v>64</v>
      </c>
      <c r="R10" s="40" t="s">
        <v>64</v>
      </c>
      <c r="S10" s="40" t="s">
        <v>64</v>
      </c>
      <c r="T10" s="40" t="s">
        <v>438</v>
      </c>
      <c r="U10" s="40">
        <v>18.07</v>
      </c>
      <c r="V10" s="40" t="s">
        <v>439</v>
      </c>
      <c r="W10" s="40">
        <v>27.08</v>
      </c>
      <c r="X10" s="40" t="s">
        <v>64</v>
      </c>
      <c r="Y10" s="40" t="s">
        <v>64</v>
      </c>
      <c r="Z10" s="40" t="s">
        <v>64</v>
      </c>
      <c r="AA10" s="40" t="s">
        <v>64</v>
      </c>
      <c r="AB10" s="40" t="s">
        <v>64</v>
      </c>
      <c r="AC10" s="40" t="s">
        <v>64</v>
      </c>
      <c r="AD10" s="40" t="s">
        <v>440</v>
      </c>
      <c r="AE10" s="40">
        <v>64.64</v>
      </c>
      <c r="AF10" s="40" t="s">
        <v>64</v>
      </c>
      <c r="AG10" s="40" t="s">
        <v>64</v>
      </c>
      <c r="AH10" s="40" t="s">
        <v>64</v>
      </c>
      <c r="AI10" s="40" t="s">
        <v>64</v>
      </c>
      <c r="AJ10" s="40" t="s">
        <v>64</v>
      </c>
      <c r="AK10" s="46" t="s">
        <v>64</v>
      </c>
      <c r="AL10" s="46" t="s">
        <v>64</v>
      </c>
      <c r="AM10" s="46" t="s">
        <v>64</v>
      </c>
      <c r="AN10" s="46" t="s">
        <v>64</v>
      </c>
      <c r="AO10" s="46" t="s">
        <v>64</v>
      </c>
      <c r="AP10" s="46" t="s">
        <v>64</v>
      </c>
      <c r="AQ10" s="46" t="s">
        <v>64</v>
      </c>
      <c r="AR10" s="46" t="s">
        <v>64</v>
      </c>
      <c r="AS10" s="46" t="s">
        <v>64</v>
      </c>
      <c r="AT10" s="46" t="s">
        <v>64</v>
      </c>
      <c r="AU10" s="46" t="s">
        <v>64</v>
      </c>
      <c r="AV10" s="46" t="s">
        <v>64</v>
      </c>
      <c r="AW10" s="46" t="s">
        <v>64</v>
      </c>
      <c r="AX10" s="46" t="s">
        <v>64</v>
      </c>
      <c r="AY10" s="46">
        <v>42.08</v>
      </c>
      <c r="AZ10" s="46" t="s">
        <v>64</v>
      </c>
      <c r="BA10" s="46" t="s">
        <v>64</v>
      </c>
      <c r="BB10" s="46" t="s">
        <v>64</v>
      </c>
      <c r="BC10" s="46" t="s">
        <v>64</v>
      </c>
      <c r="BD10" s="46" t="s">
        <v>64</v>
      </c>
      <c r="BE10" s="46" t="s">
        <v>64</v>
      </c>
      <c r="BF10" s="46" t="s">
        <v>64</v>
      </c>
      <c r="BG10" s="46" t="s">
        <v>64</v>
      </c>
      <c r="BH10" s="46" t="s">
        <v>64</v>
      </c>
      <c r="BI10" s="46" t="s">
        <v>64</v>
      </c>
      <c r="BJ10" s="46">
        <v>42.07</v>
      </c>
    </row>
    <row r="11" spans="1:62" x14ac:dyDescent="0.2">
      <c r="A11" s="39" t="s">
        <v>450</v>
      </c>
      <c r="B11" s="39" t="s">
        <v>536</v>
      </c>
      <c r="C11" s="39" t="s">
        <v>450</v>
      </c>
      <c r="D11" s="40" t="s">
        <v>547</v>
      </c>
      <c r="E11" s="40" t="s">
        <v>346</v>
      </c>
      <c r="F11" s="40">
        <v>12.32</v>
      </c>
      <c r="G11" s="40" t="s">
        <v>12</v>
      </c>
      <c r="H11" s="40" t="s">
        <v>64</v>
      </c>
      <c r="I11" s="40" t="s">
        <v>64</v>
      </c>
      <c r="J11" s="40" t="s">
        <v>64</v>
      </c>
      <c r="K11" s="40" t="s">
        <v>64</v>
      </c>
      <c r="L11" s="40" t="s">
        <v>64</v>
      </c>
      <c r="M11" s="40" t="s">
        <v>64</v>
      </c>
      <c r="N11" s="40" t="s">
        <v>64</v>
      </c>
      <c r="O11" s="40" t="s">
        <v>64</v>
      </c>
      <c r="P11" s="40" t="s">
        <v>64</v>
      </c>
      <c r="Q11" s="40" t="s">
        <v>64</v>
      </c>
      <c r="R11" s="40" t="s">
        <v>64</v>
      </c>
      <c r="S11" s="40" t="s">
        <v>64</v>
      </c>
      <c r="T11" s="40" t="s">
        <v>438</v>
      </c>
      <c r="U11" s="40">
        <v>16.09</v>
      </c>
      <c r="V11" s="40" t="s">
        <v>439</v>
      </c>
      <c r="W11" s="40">
        <v>76.36</v>
      </c>
      <c r="X11" s="40" t="s">
        <v>64</v>
      </c>
      <c r="Y11" s="40" t="s">
        <v>64</v>
      </c>
      <c r="Z11" s="40" t="s">
        <v>64</v>
      </c>
      <c r="AA11" s="40" t="s">
        <v>64</v>
      </c>
      <c r="AB11" s="40" t="s">
        <v>64</v>
      </c>
      <c r="AC11" s="40" t="s">
        <v>64</v>
      </c>
      <c r="AD11" s="40" t="s">
        <v>440</v>
      </c>
      <c r="AE11" s="40">
        <v>61.38</v>
      </c>
      <c r="AF11" s="40" t="s">
        <v>64</v>
      </c>
      <c r="AG11" s="40" t="s">
        <v>64</v>
      </c>
      <c r="AH11" s="40" t="s">
        <v>64</v>
      </c>
      <c r="AI11" s="40" t="s">
        <v>64</v>
      </c>
      <c r="AJ11" s="40" t="s">
        <v>64</v>
      </c>
      <c r="AK11" s="46" t="s">
        <v>64</v>
      </c>
      <c r="AL11" s="46" t="s">
        <v>64</v>
      </c>
      <c r="AM11" s="46" t="s">
        <v>64</v>
      </c>
      <c r="AN11" s="46" t="s">
        <v>64</v>
      </c>
      <c r="AO11" s="46" t="s">
        <v>64</v>
      </c>
      <c r="AP11" s="46" t="s">
        <v>64</v>
      </c>
      <c r="AQ11" s="46" t="s">
        <v>64</v>
      </c>
      <c r="AR11" s="46" t="s">
        <v>64</v>
      </c>
      <c r="AS11" s="46" t="s">
        <v>64</v>
      </c>
      <c r="AT11" s="46" t="s">
        <v>64</v>
      </c>
      <c r="AU11" s="46" t="s">
        <v>64</v>
      </c>
      <c r="AV11" s="46" t="s">
        <v>64</v>
      </c>
      <c r="AW11" s="46" t="s">
        <v>64</v>
      </c>
      <c r="AX11" s="46" t="s">
        <v>64</v>
      </c>
      <c r="AY11" s="46">
        <v>46.48</v>
      </c>
      <c r="AZ11" s="46" t="s">
        <v>324</v>
      </c>
      <c r="BA11" s="46">
        <v>14.69</v>
      </c>
      <c r="BB11" s="46" t="s">
        <v>64</v>
      </c>
      <c r="BC11" s="46" t="s">
        <v>64</v>
      </c>
      <c r="BD11" s="46" t="s">
        <v>64</v>
      </c>
      <c r="BE11" s="46" t="s">
        <v>64</v>
      </c>
      <c r="BF11" s="46" t="s">
        <v>64</v>
      </c>
      <c r="BG11" s="46" t="s">
        <v>64</v>
      </c>
      <c r="BH11" s="46" t="s">
        <v>64</v>
      </c>
      <c r="BI11" s="46" t="s">
        <v>64</v>
      </c>
      <c r="BJ11" s="46">
        <v>31.79</v>
      </c>
    </row>
    <row r="12" spans="1:62" x14ac:dyDescent="0.2">
      <c r="A12" s="39" t="s">
        <v>451</v>
      </c>
      <c r="B12" s="39" t="s">
        <v>536</v>
      </c>
      <c r="C12" s="39" t="s">
        <v>451</v>
      </c>
      <c r="D12" s="40" t="s">
        <v>548</v>
      </c>
      <c r="E12" s="40" t="s">
        <v>346</v>
      </c>
      <c r="F12" s="40">
        <v>14.73</v>
      </c>
      <c r="G12" s="40" t="s">
        <v>12</v>
      </c>
      <c r="H12" s="40" t="s">
        <v>64</v>
      </c>
      <c r="I12" s="40" t="s">
        <v>64</v>
      </c>
      <c r="J12" s="40" t="s">
        <v>64</v>
      </c>
      <c r="K12" s="40" t="s">
        <v>64</v>
      </c>
      <c r="L12" s="40" t="s">
        <v>64</v>
      </c>
      <c r="M12" s="40" t="s">
        <v>64</v>
      </c>
      <c r="N12" s="40" t="s">
        <v>64</v>
      </c>
      <c r="O12" s="40" t="s">
        <v>64</v>
      </c>
      <c r="P12" s="40" t="s">
        <v>64</v>
      </c>
      <c r="Q12" s="40" t="s">
        <v>64</v>
      </c>
      <c r="R12" s="40" t="s">
        <v>64</v>
      </c>
      <c r="S12" s="40" t="s">
        <v>64</v>
      </c>
      <c r="T12" s="40" t="s">
        <v>438</v>
      </c>
      <c r="U12" s="40">
        <v>32.18</v>
      </c>
      <c r="V12" s="40" t="s">
        <v>439</v>
      </c>
      <c r="W12" s="40">
        <v>39.86</v>
      </c>
      <c r="X12" s="40" t="s">
        <v>64</v>
      </c>
      <c r="Y12" s="40" t="s">
        <v>64</v>
      </c>
      <c r="Z12" s="40" t="s">
        <v>64</v>
      </c>
      <c r="AA12" s="40" t="s">
        <v>64</v>
      </c>
      <c r="AB12" s="40" t="s">
        <v>64</v>
      </c>
      <c r="AC12" s="40" t="s">
        <v>64</v>
      </c>
      <c r="AD12" s="40" t="s">
        <v>440</v>
      </c>
      <c r="AE12" s="40">
        <v>65.98</v>
      </c>
      <c r="AF12" s="40" t="s">
        <v>64</v>
      </c>
      <c r="AG12" s="40" t="s">
        <v>64</v>
      </c>
      <c r="AH12" s="40" t="s">
        <v>64</v>
      </c>
      <c r="AI12" s="40" t="s">
        <v>64</v>
      </c>
      <c r="AJ12" s="40" t="s">
        <v>64</v>
      </c>
      <c r="AK12" s="46" t="s">
        <v>64</v>
      </c>
      <c r="AL12" s="46" t="s">
        <v>64</v>
      </c>
      <c r="AM12" s="46" t="s">
        <v>64</v>
      </c>
      <c r="AN12" s="46" t="s">
        <v>64</v>
      </c>
      <c r="AO12" s="46" t="s">
        <v>64</v>
      </c>
      <c r="AP12" s="46" t="s">
        <v>64</v>
      </c>
      <c r="AQ12" s="46" t="s">
        <v>64</v>
      </c>
      <c r="AR12" s="46" t="s">
        <v>64</v>
      </c>
      <c r="AS12" s="46" t="s">
        <v>64</v>
      </c>
      <c r="AT12" s="46" t="s">
        <v>64</v>
      </c>
      <c r="AU12" s="46" t="s">
        <v>64</v>
      </c>
      <c r="AV12" s="46" t="s">
        <v>64</v>
      </c>
      <c r="AW12" s="46" t="s">
        <v>64</v>
      </c>
      <c r="AX12" s="46" t="s">
        <v>64</v>
      </c>
      <c r="AY12" s="46">
        <v>38.93</v>
      </c>
      <c r="AZ12" s="46" t="s">
        <v>324</v>
      </c>
      <c r="BA12" s="46">
        <v>38.93</v>
      </c>
      <c r="BB12" s="46" t="s">
        <v>64</v>
      </c>
      <c r="BC12" s="46" t="s">
        <v>64</v>
      </c>
      <c r="BD12" s="46" t="s">
        <v>64</v>
      </c>
      <c r="BE12" s="46" t="s">
        <v>64</v>
      </c>
      <c r="BF12" s="46" t="s">
        <v>64</v>
      </c>
      <c r="BG12" s="46" t="s">
        <v>64</v>
      </c>
      <c r="BH12" s="46" t="s">
        <v>64</v>
      </c>
      <c r="BI12" s="46" t="s">
        <v>64</v>
      </c>
      <c r="BJ12" s="46" t="s">
        <v>64</v>
      </c>
    </row>
    <row r="13" spans="1:62" x14ac:dyDescent="0.2">
      <c r="A13" s="39" t="s">
        <v>452</v>
      </c>
      <c r="B13" s="39" t="s">
        <v>536</v>
      </c>
      <c r="C13" s="39" t="s">
        <v>452</v>
      </c>
      <c r="D13" s="40" t="s">
        <v>549</v>
      </c>
      <c r="E13" s="40" t="s">
        <v>346</v>
      </c>
      <c r="F13" s="40">
        <v>14.66</v>
      </c>
      <c r="G13" s="40" t="s">
        <v>12</v>
      </c>
      <c r="H13" s="40" t="s">
        <v>64</v>
      </c>
      <c r="I13" s="40" t="s">
        <v>64</v>
      </c>
      <c r="J13" s="40" t="s">
        <v>64</v>
      </c>
      <c r="K13" s="40" t="s">
        <v>64</v>
      </c>
      <c r="L13" s="40" t="s">
        <v>64</v>
      </c>
      <c r="M13" s="40" t="s">
        <v>64</v>
      </c>
      <c r="N13" s="40" t="s">
        <v>64</v>
      </c>
      <c r="O13" s="40" t="s">
        <v>64</v>
      </c>
      <c r="P13" s="40" t="s">
        <v>64</v>
      </c>
      <c r="Q13" s="40" t="s">
        <v>64</v>
      </c>
      <c r="R13" s="40" t="s">
        <v>64</v>
      </c>
      <c r="S13" s="40" t="s">
        <v>64</v>
      </c>
      <c r="T13" s="40" t="s">
        <v>438</v>
      </c>
      <c r="U13" s="40">
        <v>32.18</v>
      </c>
      <c r="V13" s="40" t="s">
        <v>439</v>
      </c>
      <c r="W13" s="40">
        <v>39.72</v>
      </c>
      <c r="X13" s="40" t="s">
        <v>64</v>
      </c>
      <c r="Y13" s="40" t="s">
        <v>64</v>
      </c>
      <c r="Z13" s="40" t="s">
        <v>64</v>
      </c>
      <c r="AA13" s="40" t="s">
        <v>64</v>
      </c>
      <c r="AB13" s="40" t="s">
        <v>64</v>
      </c>
      <c r="AC13" s="40" t="s">
        <v>64</v>
      </c>
      <c r="AD13" s="40" t="s">
        <v>440</v>
      </c>
      <c r="AE13" s="40">
        <v>65.98</v>
      </c>
      <c r="AF13" s="40" t="s">
        <v>64</v>
      </c>
      <c r="AG13" s="40" t="s">
        <v>64</v>
      </c>
      <c r="AH13" s="40" t="s">
        <v>64</v>
      </c>
      <c r="AI13" s="40" t="s">
        <v>64</v>
      </c>
      <c r="AJ13" s="40" t="s">
        <v>64</v>
      </c>
      <c r="AK13" s="46" t="s">
        <v>64</v>
      </c>
      <c r="AL13" s="46" t="s">
        <v>64</v>
      </c>
      <c r="AM13" s="46" t="s">
        <v>64</v>
      </c>
      <c r="AN13" s="46" t="s">
        <v>64</v>
      </c>
      <c r="AO13" s="46" t="s">
        <v>64</v>
      </c>
      <c r="AP13" s="46" t="s">
        <v>64</v>
      </c>
      <c r="AQ13" s="46" t="s">
        <v>64</v>
      </c>
      <c r="AR13" s="46" t="s">
        <v>64</v>
      </c>
      <c r="AS13" s="46" t="s">
        <v>64</v>
      </c>
      <c r="AT13" s="46" t="s">
        <v>64</v>
      </c>
      <c r="AU13" s="46" t="s">
        <v>64</v>
      </c>
      <c r="AV13" s="46" t="s">
        <v>64</v>
      </c>
      <c r="AW13" s="46" t="s">
        <v>64</v>
      </c>
      <c r="AX13" s="46" t="s">
        <v>64</v>
      </c>
      <c r="AY13" s="46">
        <v>38.799999999999997</v>
      </c>
      <c r="AZ13" s="46" t="s">
        <v>324</v>
      </c>
      <c r="BA13" s="46">
        <v>38.79</v>
      </c>
      <c r="BB13" s="46" t="s">
        <v>64</v>
      </c>
      <c r="BC13" s="46" t="s">
        <v>64</v>
      </c>
      <c r="BD13" s="46" t="s">
        <v>64</v>
      </c>
      <c r="BE13" s="46" t="s">
        <v>64</v>
      </c>
      <c r="BF13" s="46" t="s">
        <v>64</v>
      </c>
      <c r="BG13" s="46" t="s">
        <v>64</v>
      </c>
      <c r="BH13" s="46" t="s">
        <v>64</v>
      </c>
      <c r="BI13" s="46" t="s">
        <v>64</v>
      </c>
      <c r="BJ13" s="46" t="s">
        <v>64</v>
      </c>
    </row>
    <row r="14" spans="1:62" x14ac:dyDescent="0.2">
      <c r="A14" s="39" t="s">
        <v>453</v>
      </c>
      <c r="B14" s="39" t="s">
        <v>536</v>
      </c>
      <c r="C14" s="39" t="s">
        <v>453</v>
      </c>
      <c r="D14" s="40" t="s">
        <v>550</v>
      </c>
      <c r="E14" s="40" t="s">
        <v>346</v>
      </c>
      <c r="F14" s="40">
        <v>34.770000000000003</v>
      </c>
      <c r="G14" s="40" t="s">
        <v>12</v>
      </c>
      <c r="H14" s="40" t="s">
        <v>64</v>
      </c>
      <c r="I14" s="40" t="s">
        <v>64</v>
      </c>
      <c r="J14" s="40" t="s">
        <v>64</v>
      </c>
      <c r="K14" s="40" t="s">
        <v>64</v>
      </c>
      <c r="L14" s="40" t="s">
        <v>64</v>
      </c>
      <c r="M14" s="40" t="s">
        <v>64</v>
      </c>
      <c r="N14" s="40" t="s">
        <v>64</v>
      </c>
      <c r="O14" s="40" t="s">
        <v>64</v>
      </c>
      <c r="P14" s="40" t="s">
        <v>64</v>
      </c>
      <c r="Q14" s="40" t="s">
        <v>64</v>
      </c>
      <c r="R14" s="40" t="s">
        <v>64</v>
      </c>
      <c r="S14" s="40" t="s">
        <v>64</v>
      </c>
      <c r="T14" s="40" t="s">
        <v>438</v>
      </c>
      <c r="U14" s="40">
        <v>31.17</v>
      </c>
      <c r="V14" s="40" t="s">
        <v>439</v>
      </c>
      <c r="W14" s="40">
        <v>22.8</v>
      </c>
      <c r="X14" s="40" t="s">
        <v>64</v>
      </c>
      <c r="Y14" s="40" t="s">
        <v>64</v>
      </c>
      <c r="Z14" s="40" t="s">
        <v>64</v>
      </c>
      <c r="AA14" s="40" t="s">
        <v>64</v>
      </c>
      <c r="AB14" s="40" t="s">
        <v>64</v>
      </c>
      <c r="AC14" s="40" t="s">
        <v>64</v>
      </c>
      <c r="AD14" s="40" t="s">
        <v>440</v>
      </c>
      <c r="AE14" s="40">
        <v>101.86</v>
      </c>
      <c r="AF14" s="40" t="s">
        <v>64</v>
      </c>
      <c r="AG14" s="40" t="s">
        <v>64</v>
      </c>
      <c r="AH14" s="40" t="s">
        <v>64</v>
      </c>
      <c r="AI14" s="40" t="s">
        <v>64</v>
      </c>
      <c r="AJ14" s="40" t="s">
        <v>64</v>
      </c>
      <c r="AK14" s="46" t="s">
        <v>64</v>
      </c>
      <c r="AL14" s="46" t="s">
        <v>64</v>
      </c>
      <c r="AM14" s="46" t="s">
        <v>64</v>
      </c>
      <c r="AN14" s="46" t="s">
        <v>64</v>
      </c>
      <c r="AO14" s="46" t="s">
        <v>64</v>
      </c>
      <c r="AP14" s="46" t="s">
        <v>64</v>
      </c>
      <c r="AQ14" s="46" t="s">
        <v>64</v>
      </c>
      <c r="AR14" s="46" t="s">
        <v>64</v>
      </c>
      <c r="AS14" s="46" t="s">
        <v>64</v>
      </c>
      <c r="AT14" s="46" t="s">
        <v>64</v>
      </c>
      <c r="AU14" s="46" t="s">
        <v>64</v>
      </c>
      <c r="AV14" s="46" t="s">
        <v>64</v>
      </c>
      <c r="AW14" s="46" t="s">
        <v>64</v>
      </c>
      <c r="AX14" s="46" t="s">
        <v>64</v>
      </c>
      <c r="AY14" s="46">
        <v>50.33</v>
      </c>
      <c r="AZ14" s="46" t="s">
        <v>324</v>
      </c>
      <c r="BA14" s="46">
        <v>50.33</v>
      </c>
      <c r="BB14" s="46" t="s">
        <v>64</v>
      </c>
      <c r="BC14" s="46" t="s">
        <v>64</v>
      </c>
      <c r="BD14" s="46" t="s">
        <v>64</v>
      </c>
      <c r="BE14" s="46" t="s">
        <v>64</v>
      </c>
      <c r="BF14" s="46" t="s">
        <v>64</v>
      </c>
      <c r="BG14" s="46" t="s">
        <v>64</v>
      </c>
      <c r="BH14" s="46" t="s">
        <v>64</v>
      </c>
      <c r="BI14" s="46" t="s">
        <v>64</v>
      </c>
      <c r="BJ14" s="46" t="s">
        <v>64</v>
      </c>
    </row>
    <row r="15" spans="1:62" x14ac:dyDescent="0.2">
      <c r="A15" s="39" t="s">
        <v>454</v>
      </c>
      <c r="B15" s="39" t="s">
        <v>536</v>
      </c>
      <c r="C15" s="39" t="s">
        <v>454</v>
      </c>
      <c r="D15" s="40" t="s">
        <v>551</v>
      </c>
      <c r="E15" s="40" t="s">
        <v>346</v>
      </c>
      <c r="F15" s="40">
        <v>15.62</v>
      </c>
      <c r="G15" s="40" t="s">
        <v>12</v>
      </c>
      <c r="H15" s="40" t="s">
        <v>64</v>
      </c>
      <c r="I15" s="40" t="s">
        <v>64</v>
      </c>
      <c r="J15" s="40" t="s">
        <v>64</v>
      </c>
      <c r="K15" s="40" t="s">
        <v>64</v>
      </c>
      <c r="L15" s="40" t="s">
        <v>64</v>
      </c>
      <c r="M15" s="40" t="s">
        <v>64</v>
      </c>
      <c r="N15" s="40" t="s">
        <v>64</v>
      </c>
      <c r="O15" s="40" t="s">
        <v>64</v>
      </c>
      <c r="P15" s="40" t="s">
        <v>64</v>
      </c>
      <c r="Q15" s="40" t="s">
        <v>64</v>
      </c>
      <c r="R15" s="40" t="s">
        <v>64</v>
      </c>
      <c r="S15" s="40" t="s">
        <v>64</v>
      </c>
      <c r="T15" s="40" t="s">
        <v>438</v>
      </c>
      <c r="U15" s="40">
        <v>30.16</v>
      </c>
      <c r="V15" s="40" t="s">
        <v>439</v>
      </c>
      <c r="W15" s="40">
        <v>41.64</v>
      </c>
      <c r="X15" s="40" t="s">
        <v>64</v>
      </c>
      <c r="Y15" s="40" t="s">
        <v>64</v>
      </c>
      <c r="Z15" s="40" t="s">
        <v>64</v>
      </c>
      <c r="AA15" s="40" t="s">
        <v>64</v>
      </c>
      <c r="AB15" s="40" t="s">
        <v>64</v>
      </c>
      <c r="AC15" s="40" t="s">
        <v>64</v>
      </c>
      <c r="AD15" s="40" t="s">
        <v>440</v>
      </c>
      <c r="AE15" s="40">
        <v>68.86</v>
      </c>
      <c r="AF15" s="40" t="s">
        <v>64</v>
      </c>
      <c r="AG15" s="40" t="s">
        <v>64</v>
      </c>
      <c r="AH15" s="40" t="s">
        <v>64</v>
      </c>
      <c r="AI15" s="40" t="s">
        <v>64</v>
      </c>
      <c r="AJ15" s="40" t="s">
        <v>64</v>
      </c>
      <c r="AK15" s="46" t="s">
        <v>64</v>
      </c>
      <c r="AL15" s="40" t="s">
        <v>64</v>
      </c>
      <c r="AM15" s="46" t="s">
        <v>64</v>
      </c>
      <c r="AN15" s="46" t="s">
        <v>64</v>
      </c>
      <c r="AO15" s="46" t="s">
        <v>64</v>
      </c>
      <c r="AP15" s="46" t="s">
        <v>64</v>
      </c>
      <c r="AQ15" s="46" t="s">
        <v>64</v>
      </c>
      <c r="AR15" s="46" t="s">
        <v>64</v>
      </c>
      <c r="AS15" s="46" t="s">
        <v>64</v>
      </c>
      <c r="AT15" s="46" t="s">
        <v>64</v>
      </c>
      <c r="AU15" s="46" t="s">
        <v>64</v>
      </c>
      <c r="AV15" s="46" t="s">
        <v>64</v>
      </c>
      <c r="AW15" s="46" t="s">
        <v>64</v>
      </c>
      <c r="AX15" s="46" t="s">
        <v>64</v>
      </c>
      <c r="AY15" s="46">
        <v>38.130000000000003</v>
      </c>
      <c r="AZ15" s="46" t="s">
        <v>324</v>
      </c>
      <c r="BA15" s="46">
        <v>38.130000000000003</v>
      </c>
      <c r="BB15" s="46" t="s">
        <v>64</v>
      </c>
      <c r="BC15" s="46" t="s">
        <v>64</v>
      </c>
      <c r="BD15" s="46" t="s">
        <v>64</v>
      </c>
      <c r="BE15" s="46" t="s">
        <v>64</v>
      </c>
      <c r="BF15" s="46" t="s">
        <v>64</v>
      </c>
      <c r="BG15" s="46" t="s">
        <v>64</v>
      </c>
      <c r="BH15" s="46" t="s">
        <v>64</v>
      </c>
      <c r="BI15" s="46" t="s">
        <v>64</v>
      </c>
      <c r="BJ15" s="46" t="s">
        <v>64</v>
      </c>
    </row>
    <row r="16" spans="1:62" x14ac:dyDescent="0.2">
      <c r="A16" s="39" t="s">
        <v>455</v>
      </c>
      <c r="B16" s="39" t="s">
        <v>536</v>
      </c>
      <c r="C16" s="39" t="s">
        <v>455</v>
      </c>
      <c r="D16" s="40" t="s">
        <v>552</v>
      </c>
      <c r="E16" s="40" t="s">
        <v>346</v>
      </c>
      <c r="F16" s="40">
        <v>28.06</v>
      </c>
      <c r="G16" s="40" t="s">
        <v>12</v>
      </c>
      <c r="H16" s="40" t="s">
        <v>64</v>
      </c>
      <c r="I16" s="40" t="s">
        <v>64</v>
      </c>
      <c r="J16" s="40" t="s">
        <v>64</v>
      </c>
      <c r="K16" s="40" t="s">
        <v>64</v>
      </c>
      <c r="L16" s="40" t="s">
        <v>64</v>
      </c>
      <c r="M16" s="40" t="s">
        <v>64</v>
      </c>
      <c r="N16" s="40" t="s">
        <v>64</v>
      </c>
      <c r="O16" s="40" t="s">
        <v>64</v>
      </c>
      <c r="P16" s="40" t="s">
        <v>64</v>
      </c>
      <c r="Q16" s="40" t="s">
        <v>64</v>
      </c>
      <c r="R16" s="40" t="s">
        <v>64</v>
      </c>
      <c r="S16" s="40" t="s">
        <v>64</v>
      </c>
      <c r="T16" s="40" t="s">
        <v>438</v>
      </c>
      <c r="U16" s="40">
        <v>15.08</v>
      </c>
      <c r="V16" s="40" t="s">
        <v>439</v>
      </c>
      <c r="W16" s="40">
        <v>41.56</v>
      </c>
      <c r="X16" s="40" t="s">
        <v>64</v>
      </c>
      <c r="Y16" s="40" t="s">
        <v>64</v>
      </c>
      <c r="Z16" s="40" t="s">
        <v>64</v>
      </c>
      <c r="AA16" s="40" t="s">
        <v>64</v>
      </c>
      <c r="AB16" s="40" t="s">
        <v>64</v>
      </c>
      <c r="AC16" s="40" t="s">
        <v>64</v>
      </c>
      <c r="AD16" s="40" t="s">
        <v>440</v>
      </c>
      <c r="AE16" s="40">
        <v>68.760000000000005</v>
      </c>
      <c r="AF16" s="40" t="s">
        <v>64</v>
      </c>
      <c r="AG16" s="40" t="s">
        <v>64</v>
      </c>
      <c r="AH16" s="40" t="s">
        <v>64</v>
      </c>
      <c r="AI16" s="40" t="s">
        <v>64</v>
      </c>
      <c r="AJ16" s="40" t="s">
        <v>64</v>
      </c>
      <c r="AK16" s="46" t="s">
        <v>64</v>
      </c>
      <c r="AL16" s="40" t="s">
        <v>64</v>
      </c>
      <c r="AM16" s="46" t="s">
        <v>64</v>
      </c>
      <c r="AN16" s="46" t="s">
        <v>64</v>
      </c>
      <c r="AO16" s="46" t="s">
        <v>64</v>
      </c>
      <c r="AP16" s="46" t="s">
        <v>64</v>
      </c>
      <c r="AQ16" s="46" t="s">
        <v>64</v>
      </c>
      <c r="AR16" s="46" t="s">
        <v>64</v>
      </c>
      <c r="AS16" s="46" t="s">
        <v>64</v>
      </c>
      <c r="AT16" s="46" t="s">
        <v>64</v>
      </c>
      <c r="AU16" s="46" t="s">
        <v>64</v>
      </c>
      <c r="AV16" s="46" t="s">
        <v>64</v>
      </c>
      <c r="AW16" s="46" t="s">
        <v>64</v>
      </c>
      <c r="AX16" s="46" t="s">
        <v>64</v>
      </c>
      <c r="AY16" s="46">
        <v>38.049999999999997</v>
      </c>
      <c r="AZ16" s="46" t="s">
        <v>324</v>
      </c>
      <c r="BA16" s="46">
        <v>38.04</v>
      </c>
      <c r="BB16" s="46" t="s">
        <v>64</v>
      </c>
      <c r="BC16" s="46" t="s">
        <v>64</v>
      </c>
      <c r="BD16" s="46" t="s">
        <v>64</v>
      </c>
      <c r="BE16" s="46" t="s">
        <v>64</v>
      </c>
      <c r="BF16" s="46" t="s">
        <v>64</v>
      </c>
      <c r="BG16" s="46" t="s">
        <v>64</v>
      </c>
      <c r="BH16" s="46" t="s">
        <v>64</v>
      </c>
      <c r="BI16" s="46" t="s">
        <v>64</v>
      </c>
      <c r="BJ16" s="46" t="s">
        <v>64</v>
      </c>
    </row>
    <row r="17" spans="1:62" x14ac:dyDescent="0.2">
      <c r="A17" s="39" t="s">
        <v>456</v>
      </c>
      <c r="B17" s="39" t="s">
        <v>536</v>
      </c>
      <c r="C17" s="39" t="s">
        <v>456</v>
      </c>
      <c r="D17" s="40" t="s">
        <v>553</v>
      </c>
      <c r="E17" s="40" t="s">
        <v>346</v>
      </c>
      <c r="F17" s="40">
        <v>37.380000000000003</v>
      </c>
      <c r="G17" s="40" t="s">
        <v>12</v>
      </c>
      <c r="H17" s="40" t="s">
        <v>64</v>
      </c>
      <c r="I17" s="40" t="s">
        <v>64</v>
      </c>
      <c r="J17" s="40" t="s">
        <v>64</v>
      </c>
      <c r="K17" s="40" t="s">
        <v>64</v>
      </c>
      <c r="L17" s="40" t="s">
        <v>64</v>
      </c>
      <c r="M17" s="40" t="s">
        <v>64</v>
      </c>
      <c r="N17" s="40" t="s">
        <v>64</v>
      </c>
      <c r="O17" s="40" t="s">
        <v>64</v>
      </c>
      <c r="P17" s="40" t="s">
        <v>64</v>
      </c>
      <c r="Q17" s="40" t="s">
        <v>64</v>
      </c>
      <c r="R17" s="40" t="s">
        <v>64</v>
      </c>
      <c r="S17" s="40" t="s">
        <v>64</v>
      </c>
      <c r="T17" s="40" t="s">
        <v>439</v>
      </c>
      <c r="U17" s="40">
        <v>85.33</v>
      </c>
      <c r="V17" s="40" t="s">
        <v>64</v>
      </c>
      <c r="W17" s="40" t="s">
        <v>64</v>
      </c>
      <c r="X17" s="40" t="s">
        <v>64</v>
      </c>
      <c r="Y17" s="40" t="s">
        <v>64</v>
      </c>
      <c r="Z17" s="40" t="s">
        <v>64</v>
      </c>
      <c r="AA17" s="40" t="s">
        <v>64</v>
      </c>
      <c r="AB17" s="40" t="s">
        <v>64</v>
      </c>
      <c r="AC17" s="40" t="s">
        <v>64</v>
      </c>
      <c r="AD17" s="40" t="s">
        <v>440</v>
      </c>
      <c r="AE17" s="40">
        <v>87.08</v>
      </c>
      <c r="AF17" s="40" t="s">
        <v>64</v>
      </c>
      <c r="AG17" s="40" t="s">
        <v>64</v>
      </c>
      <c r="AH17" s="40" t="s">
        <v>64</v>
      </c>
      <c r="AI17" s="40" t="s">
        <v>64</v>
      </c>
      <c r="AJ17" s="40" t="s">
        <v>64</v>
      </c>
      <c r="AK17" s="46" t="s">
        <v>64</v>
      </c>
      <c r="AL17" s="40" t="s">
        <v>64</v>
      </c>
      <c r="AM17" s="46" t="s">
        <v>64</v>
      </c>
      <c r="AN17" s="46" t="s">
        <v>64</v>
      </c>
      <c r="AO17" s="46" t="s">
        <v>64</v>
      </c>
      <c r="AP17" s="46" t="s">
        <v>64</v>
      </c>
      <c r="AQ17" s="46" t="s">
        <v>64</v>
      </c>
      <c r="AR17" s="46" t="s">
        <v>64</v>
      </c>
      <c r="AS17" s="46" t="s">
        <v>64</v>
      </c>
      <c r="AT17" s="46" t="s">
        <v>64</v>
      </c>
      <c r="AU17" s="46" t="s">
        <v>64</v>
      </c>
      <c r="AV17" s="46" t="s">
        <v>64</v>
      </c>
      <c r="AW17" s="46" t="s">
        <v>64</v>
      </c>
      <c r="AX17" s="46" t="s">
        <v>64</v>
      </c>
      <c r="AY17" s="46">
        <v>50.27</v>
      </c>
      <c r="AZ17" s="46" t="s">
        <v>324</v>
      </c>
      <c r="BA17" s="46">
        <v>20.97</v>
      </c>
      <c r="BB17" s="46" t="s">
        <v>64</v>
      </c>
      <c r="BC17" s="46" t="s">
        <v>64</v>
      </c>
      <c r="BD17" s="46" t="s">
        <v>64</v>
      </c>
      <c r="BE17" s="46" t="s">
        <v>64</v>
      </c>
      <c r="BF17" s="46" t="s">
        <v>64</v>
      </c>
      <c r="BG17" s="46" t="s">
        <v>64</v>
      </c>
      <c r="BH17" s="46" t="s">
        <v>64</v>
      </c>
      <c r="BI17" s="46" t="s">
        <v>64</v>
      </c>
      <c r="BJ17" s="46">
        <v>29.29</v>
      </c>
    </row>
    <row r="18" spans="1:62" x14ac:dyDescent="0.2">
      <c r="A18" s="39" t="s">
        <v>457</v>
      </c>
      <c r="B18" s="39" t="s">
        <v>536</v>
      </c>
      <c r="C18" s="39" t="s">
        <v>457</v>
      </c>
      <c r="D18" s="40" t="s">
        <v>554</v>
      </c>
      <c r="E18" s="40" t="s">
        <v>346</v>
      </c>
      <c r="F18" s="40">
        <v>34.97</v>
      </c>
      <c r="G18" s="40" t="s">
        <v>12</v>
      </c>
      <c r="H18" s="40" t="s">
        <v>64</v>
      </c>
      <c r="I18" s="40" t="s">
        <v>64</v>
      </c>
      <c r="J18" s="40" t="s">
        <v>64</v>
      </c>
      <c r="K18" s="40" t="s">
        <v>64</v>
      </c>
      <c r="L18" s="40" t="s">
        <v>64</v>
      </c>
      <c r="M18" s="40" t="s">
        <v>64</v>
      </c>
      <c r="N18" s="40" t="s">
        <v>64</v>
      </c>
      <c r="O18" s="40" t="s">
        <v>64</v>
      </c>
      <c r="P18" s="40" t="s">
        <v>64</v>
      </c>
      <c r="Q18" s="40" t="s">
        <v>64</v>
      </c>
      <c r="R18" s="40" t="s">
        <v>64</v>
      </c>
      <c r="S18" s="40" t="s">
        <v>64</v>
      </c>
      <c r="T18" s="40" t="s">
        <v>438</v>
      </c>
      <c r="U18" s="40">
        <v>19.98</v>
      </c>
      <c r="V18" s="40" t="s">
        <v>439</v>
      </c>
      <c r="W18" s="40">
        <v>45.58</v>
      </c>
      <c r="X18" s="40" t="s">
        <v>64</v>
      </c>
      <c r="Y18" s="40" t="s">
        <v>64</v>
      </c>
      <c r="Z18" s="40" t="s">
        <v>64</v>
      </c>
      <c r="AA18" s="40" t="s">
        <v>64</v>
      </c>
      <c r="AB18" s="40" t="s">
        <v>64</v>
      </c>
      <c r="AC18" s="40" t="s">
        <v>64</v>
      </c>
      <c r="AD18" s="40" t="s">
        <v>440</v>
      </c>
      <c r="AE18" s="40">
        <v>113.88</v>
      </c>
      <c r="AF18" s="40" t="s">
        <v>64</v>
      </c>
      <c r="AG18" s="40" t="s">
        <v>64</v>
      </c>
      <c r="AH18" s="40" t="s">
        <v>64</v>
      </c>
      <c r="AI18" s="40" t="s">
        <v>64</v>
      </c>
      <c r="AJ18" s="40" t="s">
        <v>338</v>
      </c>
      <c r="AK18" s="46">
        <v>51.97</v>
      </c>
      <c r="AL18" s="40" t="s">
        <v>12</v>
      </c>
      <c r="AM18" s="46" t="s">
        <v>64</v>
      </c>
      <c r="AN18" s="46" t="s">
        <v>64</v>
      </c>
      <c r="AO18" s="46" t="s">
        <v>64</v>
      </c>
      <c r="AP18" s="46" t="s">
        <v>64</v>
      </c>
      <c r="AQ18" s="46" t="s">
        <v>64</v>
      </c>
      <c r="AR18" s="46" t="s">
        <v>64</v>
      </c>
      <c r="AS18" s="46" t="s">
        <v>64</v>
      </c>
      <c r="AT18" s="46" t="s">
        <v>64</v>
      </c>
      <c r="AU18" s="46" t="s">
        <v>64</v>
      </c>
      <c r="AV18" s="46" t="s">
        <v>64</v>
      </c>
      <c r="AW18" s="46" t="s">
        <v>64</v>
      </c>
      <c r="AX18" s="46" t="s">
        <v>64</v>
      </c>
      <c r="AY18" s="46" t="s">
        <v>64</v>
      </c>
      <c r="AZ18" s="46" t="s">
        <v>64</v>
      </c>
      <c r="BA18" s="46" t="s">
        <v>64</v>
      </c>
      <c r="BB18" s="46" t="s">
        <v>64</v>
      </c>
      <c r="BC18" s="46" t="s">
        <v>64</v>
      </c>
      <c r="BD18" s="46" t="s">
        <v>64</v>
      </c>
      <c r="BE18" s="46" t="s">
        <v>64</v>
      </c>
      <c r="BF18" s="46" t="s">
        <v>64</v>
      </c>
      <c r="BG18" s="46" t="s">
        <v>64</v>
      </c>
      <c r="BH18" s="46" t="s">
        <v>64</v>
      </c>
      <c r="BI18" s="46" t="s">
        <v>64</v>
      </c>
      <c r="BJ18" s="46">
        <v>51.97</v>
      </c>
    </row>
    <row r="19" spans="1:62" x14ac:dyDescent="0.2">
      <c r="A19" s="39" t="s">
        <v>458</v>
      </c>
      <c r="B19" s="39" t="s">
        <v>536</v>
      </c>
      <c r="C19" s="39" t="s">
        <v>458</v>
      </c>
      <c r="D19" s="40" t="s">
        <v>555</v>
      </c>
      <c r="E19" s="40" t="s">
        <v>346</v>
      </c>
      <c r="F19" s="40">
        <v>34.36</v>
      </c>
      <c r="G19" s="40" t="s">
        <v>12</v>
      </c>
      <c r="H19" s="40" t="s">
        <v>64</v>
      </c>
      <c r="I19" s="40" t="s">
        <v>64</v>
      </c>
      <c r="J19" s="40" t="s">
        <v>64</v>
      </c>
      <c r="K19" s="40" t="s">
        <v>64</v>
      </c>
      <c r="L19" s="40" t="s">
        <v>64</v>
      </c>
      <c r="M19" s="40" t="s">
        <v>64</v>
      </c>
      <c r="N19" s="40" t="s">
        <v>64</v>
      </c>
      <c r="O19" s="40" t="s">
        <v>64</v>
      </c>
      <c r="P19" s="40" t="s">
        <v>64</v>
      </c>
      <c r="Q19" s="40" t="s">
        <v>64</v>
      </c>
      <c r="R19" s="40" t="s">
        <v>64</v>
      </c>
      <c r="S19" s="40" t="s">
        <v>64</v>
      </c>
      <c r="T19" s="40" t="s">
        <v>438</v>
      </c>
      <c r="U19" s="40">
        <v>19.37</v>
      </c>
      <c r="V19" s="40" t="s">
        <v>439</v>
      </c>
      <c r="W19" s="40">
        <v>45.58</v>
      </c>
      <c r="X19" s="40" t="s">
        <v>64</v>
      </c>
      <c r="Y19" s="40" t="s">
        <v>64</v>
      </c>
      <c r="Z19" s="40" t="s">
        <v>64</v>
      </c>
      <c r="AA19" s="40" t="s">
        <v>64</v>
      </c>
      <c r="AB19" s="40" t="s">
        <v>64</v>
      </c>
      <c r="AC19" s="40" t="s">
        <v>64</v>
      </c>
      <c r="AD19" s="40" t="s">
        <v>440</v>
      </c>
      <c r="AE19" s="40">
        <v>111.64</v>
      </c>
      <c r="AF19" s="40" t="s">
        <v>64</v>
      </c>
      <c r="AG19" s="40" t="s">
        <v>64</v>
      </c>
      <c r="AH19" s="40" t="s">
        <v>64</v>
      </c>
      <c r="AI19" s="40" t="s">
        <v>64</v>
      </c>
      <c r="AJ19" s="40" t="s">
        <v>338</v>
      </c>
      <c r="AK19" s="46">
        <v>50.4</v>
      </c>
      <c r="AL19" s="40" t="s">
        <v>12</v>
      </c>
      <c r="AM19" s="46" t="s">
        <v>64</v>
      </c>
      <c r="AN19" s="46" t="s">
        <v>64</v>
      </c>
      <c r="AO19" s="46" t="s">
        <v>64</v>
      </c>
      <c r="AP19" s="46" t="s">
        <v>64</v>
      </c>
      <c r="AQ19" s="46" t="s">
        <v>64</v>
      </c>
      <c r="AR19" s="46" t="s">
        <v>64</v>
      </c>
      <c r="AS19" s="46" t="s">
        <v>64</v>
      </c>
      <c r="AT19" s="46" t="s">
        <v>64</v>
      </c>
      <c r="AU19" s="46" t="s">
        <v>64</v>
      </c>
      <c r="AV19" s="46" t="s">
        <v>64</v>
      </c>
      <c r="AW19" s="46" t="s">
        <v>64</v>
      </c>
      <c r="AX19" s="46" t="s">
        <v>64</v>
      </c>
      <c r="AY19" s="46" t="s">
        <v>64</v>
      </c>
      <c r="AZ19" s="46" t="s">
        <v>64</v>
      </c>
      <c r="BA19" s="46" t="s">
        <v>64</v>
      </c>
      <c r="BB19" s="46" t="s">
        <v>64</v>
      </c>
      <c r="BC19" s="46" t="s">
        <v>64</v>
      </c>
      <c r="BD19" s="46" t="s">
        <v>64</v>
      </c>
      <c r="BE19" s="46" t="s">
        <v>64</v>
      </c>
      <c r="BF19" s="46" t="s">
        <v>64</v>
      </c>
      <c r="BG19" s="46" t="s">
        <v>64</v>
      </c>
      <c r="BH19" s="46" t="s">
        <v>64</v>
      </c>
      <c r="BI19" s="46" t="s">
        <v>64</v>
      </c>
      <c r="BJ19" s="46">
        <v>50.4</v>
      </c>
    </row>
    <row r="20" spans="1:62" x14ac:dyDescent="0.2">
      <c r="A20" s="39" t="s">
        <v>459</v>
      </c>
      <c r="B20" s="39" t="s">
        <v>536</v>
      </c>
      <c r="C20" s="39" t="s">
        <v>459</v>
      </c>
      <c r="D20" s="40" t="s">
        <v>556</v>
      </c>
      <c r="E20" s="40" t="s">
        <v>346</v>
      </c>
      <c r="F20" s="40">
        <v>17.59</v>
      </c>
      <c r="G20" s="40" t="s">
        <v>12</v>
      </c>
      <c r="H20" s="40" t="s">
        <v>64</v>
      </c>
      <c r="I20" s="40" t="s">
        <v>64</v>
      </c>
      <c r="J20" s="40" t="s">
        <v>64</v>
      </c>
      <c r="K20" s="40" t="s">
        <v>64</v>
      </c>
      <c r="L20" s="40" t="s">
        <v>64</v>
      </c>
      <c r="M20" s="40" t="s">
        <v>64</v>
      </c>
      <c r="N20" s="40" t="s">
        <v>64</v>
      </c>
      <c r="O20" s="40" t="s">
        <v>64</v>
      </c>
      <c r="P20" s="40" t="s">
        <v>64</v>
      </c>
      <c r="Q20" s="40" t="s">
        <v>64</v>
      </c>
      <c r="R20" s="40" t="s">
        <v>64</v>
      </c>
      <c r="S20" s="40" t="s">
        <v>64</v>
      </c>
      <c r="T20" s="40" t="s">
        <v>438</v>
      </c>
      <c r="U20" s="40">
        <v>39.96</v>
      </c>
      <c r="V20" s="40" t="s">
        <v>439</v>
      </c>
      <c r="W20" s="40">
        <v>45.58</v>
      </c>
      <c r="X20" s="40" t="s">
        <v>64</v>
      </c>
      <c r="Y20" s="40" t="s">
        <v>64</v>
      </c>
      <c r="Z20" s="40" t="s">
        <v>64</v>
      </c>
      <c r="AA20" s="40" t="s">
        <v>64</v>
      </c>
      <c r="AB20" s="40" t="s">
        <v>64</v>
      </c>
      <c r="AC20" s="40" t="s">
        <v>64</v>
      </c>
      <c r="AD20" s="40" t="s">
        <v>440</v>
      </c>
      <c r="AE20" s="40">
        <v>112.7</v>
      </c>
      <c r="AF20" s="40" t="s">
        <v>64</v>
      </c>
      <c r="AG20" s="40" t="s">
        <v>64</v>
      </c>
      <c r="AH20" s="40" t="s">
        <v>64</v>
      </c>
      <c r="AI20" s="40" t="s">
        <v>64</v>
      </c>
      <c r="AJ20" s="40" t="s">
        <v>338</v>
      </c>
      <c r="AK20" s="46">
        <v>51.97</v>
      </c>
      <c r="AL20" s="40" t="s">
        <v>12</v>
      </c>
      <c r="AM20" s="46" t="s">
        <v>64</v>
      </c>
      <c r="AN20" s="46" t="s">
        <v>64</v>
      </c>
      <c r="AO20" s="46" t="s">
        <v>64</v>
      </c>
      <c r="AP20" s="46" t="s">
        <v>64</v>
      </c>
      <c r="AQ20" s="46" t="s">
        <v>64</v>
      </c>
      <c r="AR20" s="46" t="s">
        <v>64</v>
      </c>
      <c r="AS20" s="46" t="s">
        <v>64</v>
      </c>
      <c r="AT20" s="46" t="s">
        <v>64</v>
      </c>
      <c r="AU20" s="46" t="s">
        <v>64</v>
      </c>
      <c r="AV20" s="46" t="s">
        <v>64</v>
      </c>
      <c r="AW20" s="46" t="s">
        <v>64</v>
      </c>
      <c r="AX20" s="46" t="s">
        <v>64</v>
      </c>
      <c r="AY20" s="46" t="s">
        <v>64</v>
      </c>
      <c r="AZ20" s="46" t="s">
        <v>64</v>
      </c>
      <c r="BA20" s="46" t="s">
        <v>64</v>
      </c>
      <c r="BB20" s="46" t="s">
        <v>64</v>
      </c>
      <c r="BC20" s="46" t="s">
        <v>64</v>
      </c>
      <c r="BD20" s="46" t="s">
        <v>64</v>
      </c>
      <c r="BE20" s="46" t="s">
        <v>64</v>
      </c>
      <c r="BF20" s="46" t="s">
        <v>64</v>
      </c>
      <c r="BG20" s="46" t="s">
        <v>64</v>
      </c>
      <c r="BH20" s="46" t="s">
        <v>64</v>
      </c>
      <c r="BI20" s="46" t="s">
        <v>64</v>
      </c>
      <c r="BJ20" s="46">
        <v>51.96</v>
      </c>
    </row>
    <row r="21" spans="1:62" x14ac:dyDescent="0.2">
      <c r="A21" s="39" t="s">
        <v>460</v>
      </c>
      <c r="B21" s="39" t="s">
        <v>536</v>
      </c>
      <c r="C21" s="39" t="s">
        <v>460</v>
      </c>
      <c r="D21" s="40" t="s">
        <v>557</v>
      </c>
      <c r="E21" s="40" t="s">
        <v>346</v>
      </c>
      <c r="F21" s="40">
        <v>17.59</v>
      </c>
      <c r="G21" s="40" t="s">
        <v>12</v>
      </c>
      <c r="H21" s="40" t="s">
        <v>64</v>
      </c>
      <c r="I21" s="40" t="s">
        <v>64</v>
      </c>
      <c r="J21" s="40" t="s">
        <v>64</v>
      </c>
      <c r="K21" s="40" t="s">
        <v>64</v>
      </c>
      <c r="L21" s="40" t="s">
        <v>64</v>
      </c>
      <c r="M21" s="40" t="s">
        <v>64</v>
      </c>
      <c r="N21" s="40" t="s">
        <v>64</v>
      </c>
      <c r="O21" s="40" t="s">
        <v>64</v>
      </c>
      <c r="P21" s="40" t="s">
        <v>64</v>
      </c>
      <c r="Q21" s="40" t="s">
        <v>64</v>
      </c>
      <c r="R21" s="40" t="s">
        <v>64</v>
      </c>
      <c r="S21" s="40" t="s">
        <v>64</v>
      </c>
      <c r="T21" s="40" t="s">
        <v>438</v>
      </c>
      <c r="U21" s="40">
        <v>38.74</v>
      </c>
      <c r="V21" s="40" t="s">
        <v>439</v>
      </c>
      <c r="W21" s="40">
        <v>45.58</v>
      </c>
      <c r="X21" s="40" t="s">
        <v>64</v>
      </c>
      <c r="Y21" s="40" t="s">
        <v>64</v>
      </c>
      <c r="Z21" s="40" t="s">
        <v>64</v>
      </c>
      <c r="AA21" s="40" t="s">
        <v>64</v>
      </c>
      <c r="AB21" s="40" t="s">
        <v>64</v>
      </c>
      <c r="AC21" s="40" t="s">
        <v>64</v>
      </c>
      <c r="AD21" s="40" t="s">
        <v>440</v>
      </c>
      <c r="AE21" s="40">
        <v>111.64</v>
      </c>
      <c r="AF21" s="40" t="s">
        <v>64</v>
      </c>
      <c r="AG21" s="40" t="s">
        <v>64</v>
      </c>
      <c r="AH21" s="40" t="s">
        <v>64</v>
      </c>
      <c r="AI21" s="40" t="s">
        <v>64</v>
      </c>
      <c r="AJ21" s="40" t="s">
        <v>338</v>
      </c>
      <c r="AK21" s="46">
        <v>50.4</v>
      </c>
      <c r="AL21" s="46" t="s">
        <v>12</v>
      </c>
      <c r="AM21" s="46" t="s">
        <v>64</v>
      </c>
      <c r="AN21" s="46" t="s">
        <v>64</v>
      </c>
      <c r="AO21" s="46" t="s">
        <v>64</v>
      </c>
      <c r="AP21" s="46" t="s">
        <v>64</v>
      </c>
      <c r="AQ21" s="46" t="s">
        <v>64</v>
      </c>
      <c r="AR21" s="46" t="s">
        <v>64</v>
      </c>
      <c r="AS21" s="46" t="s">
        <v>64</v>
      </c>
      <c r="AT21" s="46" t="s">
        <v>64</v>
      </c>
      <c r="AU21" s="46" t="s">
        <v>64</v>
      </c>
      <c r="AV21" s="46" t="s">
        <v>64</v>
      </c>
      <c r="AW21" s="46" t="s">
        <v>64</v>
      </c>
      <c r="AX21" s="46" t="s">
        <v>64</v>
      </c>
      <c r="AY21" s="46" t="s">
        <v>64</v>
      </c>
      <c r="AZ21" s="46" t="s">
        <v>64</v>
      </c>
      <c r="BA21" s="46" t="s">
        <v>64</v>
      </c>
      <c r="BB21" s="46" t="s">
        <v>64</v>
      </c>
      <c r="BC21" s="46" t="s">
        <v>64</v>
      </c>
      <c r="BD21" s="46" t="s">
        <v>64</v>
      </c>
      <c r="BE21" s="46" t="s">
        <v>64</v>
      </c>
      <c r="BF21" s="46" t="s">
        <v>64</v>
      </c>
      <c r="BG21" s="46" t="s">
        <v>64</v>
      </c>
      <c r="BH21" s="46" t="s">
        <v>64</v>
      </c>
      <c r="BI21" s="46" t="s">
        <v>64</v>
      </c>
      <c r="BJ21" s="46">
        <v>50.4</v>
      </c>
    </row>
    <row r="22" spans="1:62" x14ac:dyDescent="0.2">
      <c r="A22" s="39" t="s">
        <v>461</v>
      </c>
      <c r="B22" s="39" t="s">
        <v>536</v>
      </c>
      <c r="C22" s="39" t="s">
        <v>461</v>
      </c>
      <c r="D22" s="40" t="s">
        <v>558</v>
      </c>
      <c r="E22" s="40" t="s">
        <v>346</v>
      </c>
      <c r="F22" s="40">
        <v>18.93</v>
      </c>
      <c r="G22" s="40" t="s">
        <v>12</v>
      </c>
      <c r="H22" s="40" t="s">
        <v>64</v>
      </c>
      <c r="I22" s="40" t="s">
        <v>64</v>
      </c>
      <c r="J22" s="40" t="s">
        <v>64</v>
      </c>
      <c r="K22" s="40" t="s">
        <v>64</v>
      </c>
      <c r="L22" s="40" t="s">
        <v>64</v>
      </c>
      <c r="M22" s="40" t="s">
        <v>64</v>
      </c>
      <c r="N22" s="40" t="s">
        <v>64</v>
      </c>
      <c r="O22" s="40" t="s">
        <v>64</v>
      </c>
      <c r="P22" s="40" t="s">
        <v>64</v>
      </c>
      <c r="Q22" s="40" t="s">
        <v>64</v>
      </c>
      <c r="R22" s="40" t="s">
        <v>64</v>
      </c>
      <c r="S22" s="40" t="s">
        <v>64</v>
      </c>
      <c r="T22" s="40" t="s">
        <v>438</v>
      </c>
      <c r="U22" s="40">
        <v>19.98</v>
      </c>
      <c r="V22" s="40" t="s">
        <v>439</v>
      </c>
      <c r="W22" s="40">
        <v>51.29</v>
      </c>
      <c r="X22" s="40" t="s">
        <v>64</v>
      </c>
      <c r="Y22" s="40" t="s">
        <v>64</v>
      </c>
      <c r="Z22" s="40" t="s">
        <v>64</v>
      </c>
      <c r="AA22" s="40" t="s">
        <v>64</v>
      </c>
      <c r="AB22" s="40" t="s">
        <v>64</v>
      </c>
      <c r="AC22" s="40" t="s">
        <v>64</v>
      </c>
      <c r="AD22" s="40" t="s">
        <v>440</v>
      </c>
      <c r="AE22" s="40">
        <v>65.319999999999993</v>
      </c>
      <c r="AF22" s="40" t="s">
        <v>64</v>
      </c>
      <c r="AG22" s="40" t="s">
        <v>64</v>
      </c>
      <c r="AH22" s="40" t="s">
        <v>64</v>
      </c>
      <c r="AI22" s="40" t="s">
        <v>64</v>
      </c>
      <c r="AJ22" s="40" t="s">
        <v>338</v>
      </c>
      <c r="AK22" s="46">
        <v>42.14</v>
      </c>
      <c r="AL22" s="46" t="s">
        <v>12</v>
      </c>
      <c r="AM22" s="46" t="s">
        <v>64</v>
      </c>
      <c r="AN22" s="46" t="s">
        <v>64</v>
      </c>
      <c r="AO22" s="46" t="s">
        <v>64</v>
      </c>
      <c r="AP22" s="46" t="s">
        <v>64</v>
      </c>
      <c r="AQ22" s="46" t="s">
        <v>64</v>
      </c>
      <c r="AR22" s="46" t="s">
        <v>64</v>
      </c>
      <c r="AS22" s="46" t="s">
        <v>64</v>
      </c>
      <c r="AT22" s="46" t="s">
        <v>64</v>
      </c>
      <c r="AU22" s="46" t="s">
        <v>64</v>
      </c>
      <c r="AV22" s="46" t="s">
        <v>64</v>
      </c>
      <c r="AW22" s="46" t="s">
        <v>64</v>
      </c>
      <c r="AX22" s="46" t="s">
        <v>64</v>
      </c>
      <c r="AY22" s="46" t="s">
        <v>64</v>
      </c>
      <c r="AZ22" s="46" t="s">
        <v>64</v>
      </c>
      <c r="BA22" s="46" t="s">
        <v>64</v>
      </c>
      <c r="BB22" s="46" t="s">
        <v>64</v>
      </c>
      <c r="BC22" s="46" t="s">
        <v>64</v>
      </c>
      <c r="BD22" s="46" t="s">
        <v>64</v>
      </c>
      <c r="BE22" s="46" t="s">
        <v>64</v>
      </c>
      <c r="BF22" s="46" t="s">
        <v>64</v>
      </c>
      <c r="BG22" s="46" t="s">
        <v>64</v>
      </c>
      <c r="BH22" s="46" t="s">
        <v>64</v>
      </c>
      <c r="BI22" s="46" t="s">
        <v>64</v>
      </c>
      <c r="BJ22" s="46">
        <v>42.13</v>
      </c>
    </row>
    <row r="23" spans="1:62" x14ac:dyDescent="0.2">
      <c r="A23" s="39" t="s">
        <v>462</v>
      </c>
      <c r="B23" s="39" t="s">
        <v>536</v>
      </c>
      <c r="C23" s="39" t="s">
        <v>462</v>
      </c>
      <c r="D23" s="40" t="s">
        <v>559</v>
      </c>
      <c r="E23" s="40" t="s">
        <v>346</v>
      </c>
      <c r="F23" s="40">
        <v>13.55</v>
      </c>
      <c r="G23" s="40" t="s">
        <v>12</v>
      </c>
      <c r="H23" s="40" t="s">
        <v>64</v>
      </c>
      <c r="I23" s="40" t="s">
        <v>64</v>
      </c>
      <c r="J23" s="40" t="s">
        <v>64</v>
      </c>
      <c r="K23" s="40" t="s">
        <v>64</v>
      </c>
      <c r="L23" s="40" t="s">
        <v>64</v>
      </c>
      <c r="M23" s="40" t="s">
        <v>64</v>
      </c>
      <c r="N23" s="40" t="s">
        <v>64</v>
      </c>
      <c r="O23" s="40" t="s">
        <v>64</v>
      </c>
      <c r="P23" s="40" t="s">
        <v>64</v>
      </c>
      <c r="Q23" s="40" t="s">
        <v>64</v>
      </c>
      <c r="R23" s="40" t="s">
        <v>64</v>
      </c>
      <c r="S23" s="40" t="s">
        <v>64</v>
      </c>
      <c r="T23" s="40" t="s">
        <v>438</v>
      </c>
      <c r="U23" s="40">
        <v>19.38</v>
      </c>
      <c r="V23" s="40" t="s">
        <v>439</v>
      </c>
      <c r="W23" s="40">
        <v>56.88</v>
      </c>
      <c r="X23" s="40" t="s">
        <v>64</v>
      </c>
      <c r="Y23" s="40" t="s">
        <v>64</v>
      </c>
      <c r="Z23" s="40" t="s">
        <v>64</v>
      </c>
      <c r="AA23" s="40" t="s">
        <v>64</v>
      </c>
      <c r="AB23" s="40" t="s">
        <v>64</v>
      </c>
      <c r="AC23" s="40" t="s">
        <v>64</v>
      </c>
      <c r="AD23" s="40" t="s">
        <v>440</v>
      </c>
      <c r="AE23" s="40">
        <v>66.28</v>
      </c>
      <c r="AF23" s="40" t="s">
        <v>64</v>
      </c>
      <c r="AG23" s="40" t="s">
        <v>64</v>
      </c>
      <c r="AH23" s="40" t="s">
        <v>64</v>
      </c>
      <c r="AI23" s="40" t="s">
        <v>64</v>
      </c>
      <c r="AJ23" s="40" t="s">
        <v>338</v>
      </c>
      <c r="AK23" s="46">
        <v>41.46</v>
      </c>
      <c r="AL23" s="46" t="s">
        <v>12</v>
      </c>
      <c r="AM23" s="46" t="s">
        <v>64</v>
      </c>
      <c r="AN23" s="46" t="s">
        <v>64</v>
      </c>
      <c r="AO23" s="46" t="s">
        <v>64</v>
      </c>
      <c r="AP23" s="46" t="s">
        <v>64</v>
      </c>
      <c r="AQ23" s="46" t="s">
        <v>64</v>
      </c>
      <c r="AR23" s="46" t="s">
        <v>64</v>
      </c>
      <c r="AS23" s="46" t="s">
        <v>64</v>
      </c>
      <c r="AT23" s="46" t="s">
        <v>64</v>
      </c>
      <c r="AU23" s="46" t="s">
        <v>64</v>
      </c>
      <c r="AV23" s="46" t="s">
        <v>64</v>
      </c>
      <c r="AW23" s="46" t="s">
        <v>64</v>
      </c>
      <c r="AX23" s="46" t="s">
        <v>64</v>
      </c>
      <c r="AY23" s="46" t="s">
        <v>64</v>
      </c>
      <c r="AZ23" s="46" t="s">
        <v>64</v>
      </c>
      <c r="BA23" s="46" t="s">
        <v>64</v>
      </c>
      <c r="BB23" s="46" t="s">
        <v>64</v>
      </c>
      <c r="BC23" s="46" t="s">
        <v>64</v>
      </c>
      <c r="BD23" s="46" t="s">
        <v>64</v>
      </c>
      <c r="BE23" s="46" t="s">
        <v>64</v>
      </c>
      <c r="BF23" s="46" t="s">
        <v>64</v>
      </c>
      <c r="BG23" s="46" t="s">
        <v>64</v>
      </c>
      <c r="BH23" s="46" t="s">
        <v>64</v>
      </c>
      <c r="BI23" s="46" t="s">
        <v>64</v>
      </c>
      <c r="BJ23" s="46">
        <v>41.46</v>
      </c>
    </row>
    <row r="24" spans="1:62" x14ac:dyDescent="0.2">
      <c r="A24" s="39" t="s">
        <v>463</v>
      </c>
      <c r="B24" s="39" t="s">
        <v>536</v>
      </c>
      <c r="C24" s="39" t="s">
        <v>463</v>
      </c>
      <c r="D24" s="40" t="s">
        <v>560</v>
      </c>
      <c r="E24" s="40" t="s">
        <v>346</v>
      </c>
      <c r="F24" s="40">
        <v>14.69</v>
      </c>
      <c r="G24" s="40" t="s">
        <v>12</v>
      </c>
      <c r="H24" s="40" t="s">
        <v>64</v>
      </c>
      <c r="I24" s="40" t="s">
        <v>64</v>
      </c>
      <c r="J24" s="40" t="s">
        <v>64</v>
      </c>
      <c r="K24" s="40" t="s">
        <v>64</v>
      </c>
      <c r="L24" s="40" t="s">
        <v>64</v>
      </c>
      <c r="M24" s="40" t="s">
        <v>64</v>
      </c>
      <c r="N24" s="40" t="s">
        <v>64</v>
      </c>
      <c r="O24" s="40" t="s">
        <v>64</v>
      </c>
      <c r="P24" s="40" t="s">
        <v>64</v>
      </c>
      <c r="Q24" s="40" t="s">
        <v>64</v>
      </c>
      <c r="R24" s="40" t="s">
        <v>64</v>
      </c>
      <c r="S24" s="40" t="s">
        <v>64</v>
      </c>
      <c r="T24" s="40" t="s">
        <v>438</v>
      </c>
      <c r="U24" s="40">
        <v>18.350000000000001</v>
      </c>
      <c r="V24" s="40" t="s">
        <v>439</v>
      </c>
      <c r="W24" s="40">
        <v>52.63</v>
      </c>
      <c r="X24" s="40" t="s">
        <v>64</v>
      </c>
      <c r="Y24" s="40" t="s">
        <v>64</v>
      </c>
      <c r="Z24" s="40" t="s">
        <v>64</v>
      </c>
      <c r="AA24" s="40" t="s">
        <v>64</v>
      </c>
      <c r="AB24" s="40" t="s">
        <v>64</v>
      </c>
      <c r="AC24" s="40" t="s">
        <v>64</v>
      </c>
      <c r="AD24" s="40" t="s">
        <v>440</v>
      </c>
      <c r="AE24" s="40">
        <v>68.959999999999994</v>
      </c>
      <c r="AF24" s="40" t="s">
        <v>64</v>
      </c>
      <c r="AG24" s="40" t="s">
        <v>64</v>
      </c>
      <c r="AH24" s="40" t="s">
        <v>64</v>
      </c>
      <c r="AI24" s="40" t="s">
        <v>64</v>
      </c>
      <c r="AJ24" s="40" t="s">
        <v>64</v>
      </c>
      <c r="AK24" s="46" t="s">
        <v>64</v>
      </c>
      <c r="AL24" s="46" t="s">
        <v>64</v>
      </c>
      <c r="AM24" s="46" t="s">
        <v>64</v>
      </c>
      <c r="AN24" s="46" t="s">
        <v>64</v>
      </c>
      <c r="AO24" s="46" t="s">
        <v>64</v>
      </c>
      <c r="AP24" s="46" t="s">
        <v>64</v>
      </c>
      <c r="AQ24" s="46" t="s">
        <v>64</v>
      </c>
      <c r="AR24" s="46" t="s">
        <v>64</v>
      </c>
      <c r="AS24" s="46" t="s">
        <v>64</v>
      </c>
      <c r="AT24" s="46" t="s">
        <v>64</v>
      </c>
      <c r="AU24" s="46" t="s">
        <v>64</v>
      </c>
      <c r="AV24" s="46" t="s">
        <v>64</v>
      </c>
      <c r="AW24" s="46" t="s">
        <v>64</v>
      </c>
      <c r="AX24" s="46" t="s">
        <v>64</v>
      </c>
      <c r="AY24" s="46">
        <v>37.32</v>
      </c>
      <c r="AZ24" s="46" t="s">
        <v>64</v>
      </c>
      <c r="BA24" s="46" t="s">
        <v>64</v>
      </c>
      <c r="BB24" s="46" t="s">
        <v>64</v>
      </c>
      <c r="BC24" s="46" t="s">
        <v>64</v>
      </c>
      <c r="BD24" s="46" t="s">
        <v>64</v>
      </c>
      <c r="BE24" s="46" t="s">
        <v>64</v>
      </c>
      <c r="BF24" s="46" t="s">
        <v>64</v>
      </c>
      <c r="BG24" s="46" t="s">
        <v>64</v>
      </c>
      <c r="BH24" s="46" t="s">
        <v>64</v>
      </c>
      <c r="BI24" s="46" t="s">
        <v>64</v>
      </c>
      <c r="BJ24" s="46">
        <v>37.32</v>
      </c>
    </row>
    <row r="25" spans="1:62" x14ac:dyDescent="0.2">
      <c r="A25" s="39" t="s">
        <v>464</v>
      </c>
      <c r="B25" s="39" t="s">
        <v>536</v>
      </c>
      <c r="C25" s="39" t="s">
        <v>464</v>
      </c>
      <c r="D25" s="40" t="s">
        <v>561</v>
      </c>
      <c r="E25" s="40" t="s">
        <v>346</v>
      </c>
      <c r="F25" s="40">
        <v>14.05</v>
      </c>
      <c r="G25" s="40" t="s">
        <v>12</v>
      </c>
      <c r="H25" s="40" t="s">
        <v>64</v>
      </c>
      <c r="I25" s="40" t="s">
        <v>64</v>
      </c>
      <c r="J25" s="40" t="s">
        <v>64</v>
      </c>
      <c r="K25" s="40" t="s">
        <v>64</v>
      </c>
      <c r="L25" s="40" t="s">
        <v>64</v>
      </c>
      <c r="M25" s="40" t="s">
        <v>64</v>
      </c>
      <c r="N25" s="40" t="s">
        <v>64</v>
      </c>
      <c r="O25" s="40" t="s">
        <v>64</v>
      </c>
      <c r="P25" s="40" t="s">
        <v>64</v>
      </c>
      <c r="Q25" s="40" t="s">
        <v>64</v>
      </c>
      <c r="R25" s="40" t="s">
        <v>64</v>
      </c>
      <c r="S25" s="40" t="s">
        <v>64</v>
      </c>
      <c r="T25" s="40" t="s">
        <v>438</v>
      </c>
      <c r="U25" s="40">
        <v>36.700000000000003</v>
      </c>
      <c r="V25" s="40" t="s">
        <v>439</v>
      </c>
      <c r="W25" s="40">
        <v>37.1</v>
      </c>
      <c r="X25" s="40" t="s">
        <v>64</v>
      </c>
      <c r="Y25" s="40" t="s">
        <v>64</v>
      </c>
      <c r="Z25" s="40" t="s">
        <v>64</v>
      </c>
      <c r="AA25" s="40" t="s">
        <v>64</v>
      </c>
      <c r="AB25" s="40" t="s">
        <v>64</v>
      </c>
      <c r="AC25" s="40" t="s">
        <v>64</v>
      </c>
      <c r="AD25" s="40" t="s">
        <v>440</v>
      </c>
      <c r="AE25" s="40">
        <v>68.540000000000006</v>
      </c>
      <c r="AF25" s="40" t="s">
        <v>64</v>
      </c>
      <c r="AG25" s="40" t="s">
        <v>64</v>
      </c>
      <c r="AH25" s="40" t="s">
        <v>64</v>
      </c>
      <c r="AI25" s="40" t="s">
        <v>64</v>
      </c>
      <c r="AJ25" s="40" t="s">
        <v>64</v>
      </c>
      <c r="AK25" s="46" t="s">
        <v>64</v>
      </c>
      <c r="AL25" s="46" t="s">
        <v>64</v>
      </c>
      <c r="AM25" s="46" t="s">
        <v>64</v>
      </c>
      <c r="AN25" s="46" t="s">
        <v>64</v>
      </c>
      <c r="AO25" s="46" t="s">
        <v>64</v>
      </c>
      <c r="AP25" s="46" t="s">
        <v>64</v>
      </c>
      <c r="AQ25" s="46" t="s">
        <v>64</v>
      </c>
      <c r="AR25" s="46" t="s">
        <v>64</v>
      </c>
      <c r="AS25" s="46" t="s">
        <v>64</v>
      </c>
      <c r="AT25" s="46" t="s">
        <v>64</v>
      </c>
      <c r="AU25" s="46" t="s">
        <v>64</v>
      </c>
      <c r="AV25" s="46" t="s">
        <v>64</v>
      </c>
      <c r="AW25" s="46" t="s">
        <v>64</v>
      </c>
      <c r="AX25" s="46" t="s">
        <v>64</v>
      </c>
      <c r="AY25" s="46">
        <v>38.85</v>
      </c>
      <c r="AZ25" s="46" t="s">
        <v>64</v>
      </c>
      <c r="BA25" s="46" t="s">
        <v>64</v>
      </c>
      <c r="BB25" s="46" t="s">
        <v>64</v>
      </c>
      <c r="BC25" s="46" t="s">
        <v>64</v>
      </c>
      <c r="BD25" s="46" t="s">
        <v>64</v>
      </c>
      <c r="BE25" s="46" t="s">
        <v>64</v>
      </c>
      <c r="BF25" s="46" t="s">
        <v>64</v>
      </c>
      <c r="BG25" s="46" t="s">
        <v>64</v>
      </c>
      <c r="BH25" s="46" t="s">
        <v>64</v>
      </c>
      <c r="BI25" s="46" t="s">
        <v>64</v>
      </c>
      <c r="BJ25" s="46">
        <v>38.85</v>
      </c>
    </row>
    <row r="26" spans="1:62" x14ac:dyDescent="0.2">
      <c r="A26" s="39" t="s">
        <v>465</v>
      </c>
      <c r="B26" s="39" t="s">
        <v>536</v>
      </c>
      <c r="C26" s="39" t="s">
        <v>465</v>
      </c>
      <c r="D26" s="40" t="s">
        <v>562</v>
      </c>
      <c r="E26" s="40" t="s">
        <v>346</v>
      </c>
      <c r="F26" s="40">
        <v>28.89</v>
      </c>
      <c r="G26" s="40" t="s">
        <v>12</v>
      </c>
      <c r="H26" s="40" t="s">
        <v>64</v>
      </c>
      <c r="I26" s="40" t="s">
        <v>64</v>
      </c>
      <c r="J26" s="40" t="s">
        <v>64</v>
      </c>
      <c r="K26" s="40" t="s">
        <v>64</v>
      </c>
      <c r="L26" s="40" t="s">
        <v>64</v>
      </c>
      <c r="M26" s="40" t="s">
        <v>64</v>
      </c>
      <c r="N26" s="40" t="s">
        <v>64</v>
      </c>
      <c r="O26" s="40" t="s">
        <v>64</v>
      </c>
      <c r="P26" s="40" t="s">
        <v>64</v>
      </c>
      <c r="Q26" s="40" t="s">
        <v>64</v>
      </c>
      <c r="R26" s="40" t="s">
        <v>64</v>
      </c>
      <c r="S26" s="40" t="s">
        <v>64</v>
      </c>
      <c r="T26" s="40" t="s">
        <v>438</v>
      </c>
      <c r="U26" s="40">
        <v>38.86</v>
      </c>
      <c r="V26" s="40" t="s">
        <v>439</v>
      </c>
      <c r="W26" s="40">
        <v>8.3000000000000007</v>
      </c>
      <c r="X26" s="40" t="s">
        <v>64</v>
      </c>
      <c r="Y26" s="40" t="s">
        <v>64</v>
      </c>
      <c r="Z26" s="40" t="s">
        <v>64</v>
      </c>
      <c r="AA26" s="40" t="s">
        <v>64</v>
      </c>
      <c r="AB26" s="40" t="s">
        <v>64</v>
      </c>
      <c r="AC26" s="40" t="s">
        <v>64</v>
      </c>
      <c r="AD26" s="40" t="s">
        <v>440</v>
      </c>
      <c r="AE26" s="40">
        <v>68.040000000000006</v>
      </c>
      <c r="AF26" s="40" t="s">
        <v>64</v>
      </c>
      <c r="AG26" s="40" t="s">
        <v>64</v>
      </c>
      <c r="AH26" s="40" t="s">
        <v>64</v>
      </c>
      <c r="AI26" s="40" t="s">
        <v>64</v>
      </c>
      <c r="AJ26" s="40" t="s">
        <v>338</v>
      </c>
      <c r="AK26" s="46">
        <v>42.08</v>
      </c>
      <c r="AL26" s="46" t="s">
        <v>12</v>
      </c>
      <c r="AM26" s="46" t="s">
        <v>64</v>
      </c>
      <c r="AN26" s="46" t="s">
        <v>64</v>
      </c>
      <c r="AO26" s="46" t="s">
        <v>64</v>
      </c>
      <c r="AP26" s="46" t="s">
        <v>64</v>
      </c>
      <c r="AQ26" s="46" t="s">
        <v>64</v>
      </c>
      <c r="AR26" s="46" t="s">
        <v>64</v>
      </c>
      <c r="AS26" s="46" t="s">
        <v>64</v>
      </c>
      <c r="AT26" s="46" t="s">
        <v>64</v>
      </c>
      <c r="AU26" s="46" t="s">
        <v>64</v>
      </c>
      <c r="AV26" s="46" t="s">
        <v>64</v>
      </c>
      <c r="AW26" s="46" t="s">
        <v>64</v>
      </c>
      <c r="AX26" s="46" t="s">
        <v>64</v>
      </c>
      <c r="AY26" s="46" t="s">
        <v>64</v>
      </c>
      <c r="AZ26" s="46" t="s">
        <v>64</v>
      </c>
      <c r="BA26" s="46" t="s">
        <v>64</v>
      </c>
      <c r="BB26" s="46" t="s">
        <v>64</v>
      </c>
      <c r="BC26" s="46" t="s">
        <v>64</v>
      </c>
      <c r="BD26" s="46" t="s">
        <v>64</v>
      </c>
      <c r="BE26" s="46" t="s">
        <v>64</v>
      </c>
      <c r="BF26" s="46" t="s">
        <v>64</v>
      </c>
      <c r="BG26" s="46" t="s">
        <v>64</v>
      </c>
      <c r="BH26" s="46" t="s">
        <v>64</v>
      </c>
      <c r="BI26" s="46" t="s">
        <v>64</v>
      </c>
      <c r="BJ26" s="46">
        <v>42.08</v>
      </c>
    </row>
    <row r="27" spans="1:62" x14ac:dyDescent="0.2">
      <c r="A27" s="39" t="s">
        <v>466</v>
      </c>
      <c r="B27" s="39" t="s">
        <v>536</v>
      </c>
      <c r="C27" s="39" t="s">
        <v>466</v>
      </c>
      <c r="D27" s="40" t="s">
        <v>563</v>
      </c>
      <c r="E27" s="40" t="s">
        <v>346</v>
      </c>
      <c r="F27" s="40">
        <v>50.09</v>
      </c>
      <c r="G27" s="40" t="s">
        <v>12</v>
      </c>
      <c r="H27" s="40" t="s">
        <v>64</v>
      </c>
      <c r="I27" s="40" t="s">
        <v>64</v>
      </c>
      <c r="J27" s="40" t="s">
        <v>64</v>
      </c>
      <c r="K27" s="40" t="s">
        <v>64</v>
      </c>
      <c r="L27" s="40" t="s">
        <v>64</v>
      </c>
      <c r="M27" s="40" t="s">
        <v>64</v>
      </c>
      <c r="N27" s="40" t="s">
        <v>64</v>
      </c>
      <c r="O27" s="40" t="s">
        <v>64</v>
      </c>
      <c r="P27" s="40" t="s">
        <v>64</v>
      </c>
      <c r="Q27" s="40" t="s">
        <v>64</v>
      </c>
      <c r="R27" s="40" t="s">
        <v>64</v>
      </c>
      <c r="S27" s="40" t="s">
        <v>64</v>
      </c>
      <c r="T27" s="40" t="s">
        <v>438</v>
      </c>
      <c r="U27" s="40">
        <v>39.979999999999997</v>
      </c>
      <c r="V27" s="40" t="s">
        <v>439</v>
      </c>
      <c r="W27" s="40">
        <v>18.5</v>
      </c>
      <c r="X27" s="40" t="s">
        <v>64</v>
      </c>
      <c r="Y27" s="40" t="s">
        <v>64</v>
      </c>
      <c r="Z27" s="40" t="s">
        <v>64</v>
      </c>
      <c r="AA27" s="40" t="s">
        <v>64</v>
      </c>
      <c r="AB27" s="40" t="s">
        <v>64</v>
      </c>
      <c r="AC27" s="40" t="s">
        <v>64</v>
      </c>
      <c r="AD27" s="40" t="s">
        <v>440</v>
      </c>
      <c r="AE27" s="40">
        <v>105.64</v>
      </c>
      <c r="AF27" s="40" t="s">
        <v>64</v>
      </c>
      <c r="AG27" s="40" t="s">
        <v>64</v>
      </c>
      <c r="AH27" s="40" t="s">
        <v>64</v>
      </c>
      <c r="AI27" s="40" t="s">
        <v>64</v>
      </c>
      <c r="AJ27" s="40" t="s">
        <v>338</v>
      </c>
      <c r="AK27" s="46">
        <v>47.06</v>
      </c>
      <c r="AL27" s="46" t="s">
        <v>12</v>
      </c>
      <c r="AM27" s="46" t="s">
        <v>64</v>
      </c>
      <c r="AN27" s="46" t="s">
        <v>64</v>
      </c>
      <c r="AO27" s="46" t="s">
        <v>64</v>
      </c>
      <c r="AP27" s="46" t="s">
        <v>64</v>
      </c>
      <c r="AQ27" s="46" t="s">
        <v>64</v>
      </c>
      <c r="AR27" s="46" t="s">
        <v>64</v>
      </c>
      <c r="AS27" s="46" t="s">
        <v>64</v>
      </c>
      <c r="AT27" s="46" t="s">
        <v>64</v>
      </c>
      <c r="AU27" s="46" t="s">
        <v>64</v>
      </c>
      <c r="AV27" s="46" t="s">
        <v>64</v>
      </c>
      <c r="AW27" s="46" t="s">
        <v>64</v>
      </c>
      <c r="AX27" s="46" t="s">
        <v>64</v>
      </c>
      <c r="AY27" s="46">
        <v>10.19</v>
      </c>
      <c r="AZ27" s="46" t="s">
        <v>64</v>
      </c>
      <c r="BA27" s="46" t="s">
        <v>64</v>
      </c>
      <c r="BB27" s="46" t="s">
        <v>64</v>
      </c>
      <c r="BC27" s="46" t="s">
        <v>64</v>
      </c>
      <c r="BD27" s="46" t="s">
        <v>64</v>
      </c>
      <c r="BE27" s="46" t="s">
        <v>64</v>
      </c>
      <c r="BF27" s="46" t="s">
        <v>64</v>
      </c>
      <c r="BG27" s="46" t="s">
        <v>64</v>
      </c>
      <c r="BH27" s="46" t="s">
        <v>64</v>
      </c>
      <c r="BI27" s="46" t="s">
        <v>64</v>
      </c>
      <c r="BJ27" s="46">
        <v>57.25</v>
      </c>
    </row>
    <row r="28" spans="1:62" x14ac:dyDescent="0.2">
      <c r="A28" s="39" t="s">
        <v>467</v>
      </c>
      <c r="B28" s="39" t="s">
        <v>536</v>
      </c>
      <c r="C28" s="39" t="s">
        <v>467</v>
      </c>
      <c r="D28" s="40" t="s">
        <v>564</v>
      </c>
      <c r="E28" s="40" t="s">
        <v>346</v>
      </c>
      <c r="F28" s="40">
        <v>17.170000000000002</v>
      </c>
      <c r="G28" s="40" t="s">
        <v>12</v>
      </c>
      <c r="H28" s="40" t="s">
        <v>64</v>
      </c>
      <c r="I28" s="40" t="s">
        <v>64</v>
      </c>
      <c r="J28" s="40" t="s">
        <v>64</v>
      </c>
      <c r="K28" s="40" t="s">
        <v>64</v>
      </c>
      <c r="L28" s="40" t="s">
        <v>64</v>
      </c>
      <c r="M28" s="40" t="s">
        <v>64</v>
      </c>
      <c r="N28" s="40" t="s">
        <v>64</v>
      </c>
      <c r="O28" s="40" t="s">
        <v>64</v>
      </c>
      <c r="P28" s="40" t="s">
        <v>64</v>
      </c>
      <c r="Q28" s="40" t="s">
        <v>64</v>
      </c>
      <c r="R28" s="40" t="s">
        <v>64</v>
      </c>
      <c r="S28" s="40" t="s">
        <v>64</v>
      </c>
      <c r="T28" s="40" t="s">
        <v>438</v>
      </c>
      <c r="U28" s="40">
        <v>36.520000000000003</v>
      </c>
      <c r="V28" s="40" t="s">
        <v>439</v>
      </c>
      <c r="W28" s="40">
        <v>73.47</v>
      </c>
      <c r="X28" s="40" t="s">
        <v>64</v>
      </c>
      <c r="Y28" s="40" t="s">
        <v>64</v>
      </c>
      <c r="Z28" s="40" t="s">
        <v>64</v>
      </c>
      <c r="AA28" s="40" t="s">
        <v>64</v>
      </c>
      <c r="AB28" s="40" t="s">
        <v>64</v>
      </c>
      <c r="AC28" s="40" t="s">
        <v>64</v>
      </c>
      <c r="AD28" s="40" t="s">
        <v>440</v>
      </c>
      <c r="AE28" s="40">
        <v>93.96</v>
      </c>
      <c r="AF28" s="40" t="s">
        <v>64</v>
      </c>
      <c r="AG28" s="40" t="s">
        <v>64</v>
      </c>
      <c r="AH28" s="40" t="s">
        <v>64</v>
      </c>
      <c r="AI28" s="40" t="s">
        <v>64</v>
      </c>
      <c r="AJ28" s="40" t="s">
        <v>64</v>
      </c>
      <c r="AK28" s="46" t="s">
        <v>64</v>
      </c>
      <c r="AL28" s="46" t="s">
        <v>64</v>
      </c>
      <c r="AM28" s="46" t="s">
        <v>64</v>
      </c>
      <c r="AN28" s="46" t="s">
        <v>64</v>
      </c>
      <c r="AO28" s="46" t="s">
        <v>64</v>
      </c>
      <c r="AP28" s="46" t="s">
        <v>64</v>
      </c>
      <c r="AQ28" s="46" t="s">
        <v>64</v>
      </c>
      <c r="AR28" s="46" t="s">
        <v>64</v>
      </c>
      <c r="AS28" s="46" t="s">
        <v>64</v>
      </c>
      <c r="AT28" s="46" t="s">
        <v>64</v>
      </c>
      <c r="AU28" s="46" t="s">
        <v>64</v>
      </c>
      <c r="AV28" s="46" t="s">
        <v>64</v>
      </c>
      <c r="AW28" s="46" t="s">
        <v>64</v>
      </c>
      <c r="AX28" s="46" t="s">
        <v>64</v>
      </c>
      <c r="AY28" s="46">
        <v>50.55</v>
      </c>
      <c r="AZ28" s="46" t="s">
        <v>64</v>
      </c>
      <c r="BA28" s="46" t="s">
        <v>64</v>
      </c>
      <c r="BB28" s="46" t="s">
        <v>64</v>
      </c>
      <c r="BC28" s="46" t="s">
        <v>64</v>
      </c>
      <c r="BD28" s="46" t="s">
        <v>64</v>
      </c>
      <c r="BE28" s="46" t="s">
        <v>64</v>
      </c>
      <c r="BF28" s="46" t="s">
        <v>64</v>
      </c>
      <c r="BG28" s="46" t="s">
        <v>64</v>
      </c>
      <c r="BH28" s="46" t="s">
        <v>64</v>
      </c>
      <c r="BI28" s="46" t="s">
        <v>64</v>
      </c>
      <c r="BJ28" s="46">
        <v>50.55</v>
      </c>
    </row>
    <row r="29" spans="1:62" x14ac:dyDescent="0.2">
      <c r="A29" s="39" t="s">
        <v>468</v>
      </c>
      <c r="B29" s="39" t="s">
        <v>536</v>
      </c>
      <c r="C29" s="39" t="s">
        <v>468</v>
      </c>
      <c r="D29" s="40" t="s">
        <v>565</v>
      </c>
      <c r="E29" s="40" t="s">
        <v>346</v>
      </c>
      <c r="F29" s="40">
        <v>12.78</v>
      </c>
      <c r="G29" s="40" t="s">
        <v>12</v>
      </c>
      <c r="H29" s="40" t="s">
        <v>64</v>
      </c>
      <c r="I29" s="40" t="s">
        <v>64</v>
      </c>
      <c r="J29" s="40" t="s">
        <v>64</v>
      </c>
      <c r="K29" s="40" t="s">
        <v>64</v>
      </c>
      <c r="L29" s="40" t="s">
        <v>64</v>
      </c>
      <c r="M29" s="40" t="s">
        <v>64</v>
      </c>
      <c r="N29" s="40" t="s">
        <v>64</v>
      </c>
      <c r="O29" s="40" t="s">
        <v>64</v>
      </c>
      <c r="P29" s="40" t="s">
        <v>64</v>
      </c>
      <c r="Q29" s="40" t="s">
        <v>64</v>
      </c>
      <c r="R29" s="40" t="s">
        <v>64</v>
      </c>
      <c r="S29" s="40" t="s">
        <v>64</v>
      </c>
      <c r="T29" s="40" t="s">
        <v>438</v>
      </c>
      <c r="U29" s="40">
        <v>16.59</v>
      </c>
      <c r="V29" s="40" t="s">
        <v>439</v>
      </c>
      <c r="W29" s="40">
        <v>78.739999999999995</v>
      </c>
      <c r="X29" s="40" t="s">
        <v>64</v>
      </c>
      <c r="Y29" s="40" t="s">
        <v>64</v>
      </c>
      <c r="Z29" s="40" t="s">
        <v>64</v>
      </c>
      <c r="AA29" s="40" t="s">
        <v>64</v>
      </c>
      <c r="AB29" s="40" t="s">
        <v>64</v>
      </c>
      <c r="AC29" s="40" t="s">
        <v>64</v>
      </c>
      <c r="AD29" s="40" t="s">
        <v>440</v>
      </c>
      <c r="AE29" s="40">
        <v>63.32</v>
      </c>
      <c r="AF29" s="40" t="s">
        <v>64</v>
      </c>
      <c r="AG29" s="40" t="s">
        <v>64</v>
      </c>
      <c r="AH29" s="40" t="s">
        <v>64</v>
      </c>
      <c r="AI29" s="40" t="s">
        <v>64</v>
      </c>
      <c r="AJ29" s="40" t="s">
        <v>64</v>
      </c>
      <c r="AK29" s="46" t="s">
        <v>64</v>
      </c>
      <c r="AL29" s="46" t="s">
        <v>64</v>
      </c>
      <c r="AM29" s="46" t="s">
        <v>64</v>
      </c>
      <c r="AN29" s="46" t="s">
        <v>64</v>
      </c>
      <c r="AO29" s="46" t="s">
        <v>64</v>
      </c>
      <c r="AP29" s="46" t="s">
        <v>64</v>
      </c>
      <c r="AQ29" s="46" t="s">
        <v>64</v>
      </c>
      <c r="AR29" s="46" t="s">
        <v>64</v>
      </c>
      <c r="AS29" s="46" t="s">
        <v>64</v>
      </c>
      <c r="AT29" s="46" t="s">
        <v>64</v>
      </c>
      <c r="AU29" s="46" t="s">
        <v>64</v>
      </c>
      <c r="AV29" s="46" t="s">
        <v>64</v>
      </c>
      <c r="AW29" s="46" t="s">
        <v>64</v>
      </c>
      <c r="AX29" s="46" t="s">
        <v>64</v>
      </c>
      <c r="AY29" s="46">
        <v>46.48</v>
      </c>
      <c r="AZ29" s="46" t="s">
        <v>64</v>
      </c>
      <c r="BA29" s="46" t="s">
        <v>64</v>
      </c>
      <c r="BB29" s="46" t="s">
        <v>64</v>
      </c>
      <c r="BC29" s="46" t="s">
        <v>64</v>
      </c>
      <c r="BD29" s="46" t="s">
        <v>64</v>
      </c>
      <c r="BE29" s="46" t="s">
        <v>64</v>
      </c>
      <c r="BF29" s="46" t="s">
        <v>64</v>
      </c>
      <c r="BG29" s="46" t="s">
        <v>64</v>
      </c>
      <c r="BH29" s="46" t="s">
        <v>64</v>
      </c>
      <c r="BI29" s="46" t="s">
        <v>64</v>
      </c>
      <c r="BJ29" s="46">
        <v>46.49</v>
      </c>
    </row>
    <row r="30" spans="1:62" x14ac:dyDescent="0.2">
      <c r="A30" s="39" t="s">
        <v>469</v>
      </c>
      <c r="B30" s="39" t="s">
        <v>536</v>
      </c>
      <c r="C30" s="39" t="s">
        <v>469</v>
      </c>
      <c r="D30" s="40" t="s">
        <v>566</v>
      </c>
      <c r="E30" s="40" t="s">
        <v>346</v>
      </c>
      <c r="F30" s="40">
        <v>15.36</v>
      </c>
      <c r="G30" s="40" t="s">
        <v>12</v>
      </c>
      <c r="H30" s="40" t="s">
        <v>64</v>
      </c>
      <c r="I30" s="40" t="s">
        <v>64</v>
      </c>
      <c r="J30" s="40" t="s">
        <v>64</v>
      </c>
      <c r="K30" s="40" t="s">
        <v>64</v>
      </c>
      <c r="L30" s="40" t="s">
        <v>64</v>
      </c>
      <c r="M30" s="40" t="s">
        <v>64</v>
      </c>
      <c r="N30" s="40" t="s">
        <v>64</v>
      </c>
      <c r="O30" s="40" t="s">
        <v>64</v>
      </c>
      <c r="P30" s="40" t="s">
        <v>64</v>
      </c>
      <c r="Q30" s="40" t="s">
        <v>64</v>
      </c>
      <c r="R30" s="40" t="s">
        <v>64</v>
      </c>
      <c r="S30" s="40" t="s">
        <v>64</v>
      </c>
      <c r="T30" s="40" t="s">
        <v>438</v>
      </c>
      <c r="U30" s="40">
        <v>33.18</v>
      </c>
      <c r="V30" s="40" t="s">
        <v>439</v>
      </c>
      <c r="W30" s="40">
        <v>41.12</v>
      </c>
      <c r="X30" s="40" t="s">
        <v>64</v>
      </c>
      <c r="Y30" s="40" t="s">
        <v>64</v>
      </c>
      <c r="Z30" s="40" t="s">
        <v>64</v>
      </c>
      <c r="AA30" s="40" t="s">
        <v>64</v>
      </c>
      <c r="AB30" s="40" t="s">
        <v>64</v>
      </c>
      <c r="AC30" s="40" t="s">
        <v>64</v>
      </c>
      <c r="AD30" s="40" t="s">
        <v>440</v>
      </c>
      <c r="AE30" s="40">
        <v>68.040000000000006</v>
      </c>
      <c r="AF30" s="40" t="s">
        <v>64</v>
      </c>
      <c r="AG30" s="40" t="s">
        <v>64</v>
      </c>
      <c r="AH30" s="40" t="s">
        <v>64</v>
      </c>
      <c r="AI30" s="40" t="s">
        <v>64</v>
      </c>
      <c r="AJ30" s="40" t="s">
        <v>64</v>
      </c>
      <c r="AK30" s="46" t="s">
        <v>64</v>
      </c>
      <c r="AL30" s="46" t="s">
        <v>64</v>
      </c>
      <c r="AM30" s="46" t="s">
        <v>64</v>
      </c>
      <c r="AN30" s="46" t="s">
        <v>64</v>
      </c>
      <c r="AO30" s="46" t="s">
        <v>64</v>
      </c>
      <c r="AP30" s="46" t="s">
        <v>64</v>
      </c>
      <c r="AQ30" s="46" t="s">
        <v>64</v>
      </c>
      <c r="AR30" s="46" t="s">
        <v>64</v>
      </c>
      <c r="AS30" s="46" t="s">
        <v>64</v>
      </c>
      <c r="AT30" s="46" t="s">
        <v>64</v>
      </c>
      <c r="AU30" s="46" t="s">
        <v>64</v>
      </c>
      <c r="AV30" s="46" t="s">
        <v>64</v>
      </c>
      <c r="AW30" s="46" t="s">
        <v>64</v>
      </c>
      <c r="AX30" s="46" t="s">
        <v>64</v>
      </c>
      <c r="AY30" s="46">
        <v>38.93</v>
      </c>
      <c r="AZ30" s="46" t="s">
        <v>64</v>
      </c>
      <c r="BA30" s="46" t="s">
        <v>64</v>
      </c>
      <c r="BB30" s="46" t="s">
        <v>64</v>
      </c>
      <c r="BC30" s="46" t="s">
        <v>64</v>
      </c>
      <c r="BD30" s="46" t="s">
        <v>64</v>
      </c>
      <c r="BE30" s="46" t="s">
        <v>64</v>
      </c>
      <c r="BF30" s="46" t="s">
        <v>64</v>
      </c>
      <c r="BG30" s="46" t="s">
        <v>64</v>
      </c>
      <c r="BH30" s="46" t="s">
        <v>64</v>
      </c>
      <c r="BI30" s="46" t="s">
        <v>64</v>
      </c>
      <c r="BJ30" s="46">
        <v>38.93</v>
      </c>
    </row>
    <row r="31" spans="1:62" x14ac:dyDescent="0.2">
      <c r="A31" s="39" t="s">
        <v>470</v>
      </c>
      <c r="B31" s="39" t="s">
        <v>536</v>
      </c>
      <c r="C31" s="39" t="s">
        <v>470</v>
      </c>
      <c r="D31" s="40" t="s">
        <v>567</v>
      </c>
      <c r="E31" s="40" t="s">
        <v>346</v>
      </c>
      <c r="F31" s="40">
        <v>16.75</v>
      </c>
      <c r="G31" s="40" t="s">
        <v>12</v>
      </c>
      <c r="H31" s="40" t="s">
        <v>64</v>
      </c>
      <c r="I31" s="40" t="s">
        <v>64</v>
      </c>
      <c r="J31" s="40" t="s">
        <v>64</v>
      </c>
      <c r="K31" s="40" t="s">
        <v>64</v>
      </c>
      <c r="L31" s="40" t="s">
        <v>64</v>
      </c>
      <c r="M31" s="40" t="s">
        <v>64</v>
      </c>
      <c r="N31" s="40" t="s">
        <v>64</v>
      </c>
      <c r="O31" s="40" t="s">
        <v>64</v>
      </c>
      <c r="P31" s="40" t="s">
        <v>64</v>
      </c>
      <c r="Q31" s="40" t="s">
        <v>64</v>
      </c>
      <c r="R31" s="40" t="s">
        <v>64</v>
      </c>
      <c r="S31" s="40" t="s">
        <v>64</v>
      </c>
      <c r="T31" s="40" t="s">
        <v>438</v>
      </c>
      <c r="U31" s="40">
        <v>16.38</v>
      </c>
      <c r="V31" s="40" t="s">
        <v>439</v>
      </c>
      <c r="W31" s="40">
        <v>60.28</v>
      </c>
      <c r="X31" s="40" t="s">
        <v>64</v>
      </c>
      <c r="Y31" s="40" t="s">
        <v>64</v>
      </c>
      <c r="Z31" s="40" t="s">
        <v>64</v>
      </c>
      <c r="AA31" s="40" t="s">
        <v>64</v>
      </c>
      <c r="AB31" s="40" t="s">
        <v>64</v>
      </c>
      <c r="AC31" s="40" t="s">
        <v>64</v>
      </c>
      <c r="AD31" s="40" t="s">
        <v>440</v>
      </c>
      <c r="AE31" s="40">
        <v>67.98</v>
      </c>
      <c r="AF31" s="40" t="s">
        <v>64</v>
      </c>
      <c r="AG31" s="40" t="s">
        <v>64</v>
      </c>
      <c r="AH31" s="40" t="s">
        <v>64</v>
      </c>
      <c r="AI31" s="40" t="s">
        <v>64</v>
      </c>
      <c r="AJ31" s="40" t="s">
        <v>64</v>
      </c>
      <c r="AK31" s="46" t="s">
        <v>64</v>
      </c>
      <c r="AL31" s="46" t="s">
        <v>64</v>
      </c>
      <c r="AM31" s="46" t="s">
        <v>64</v>
      </c>
      <c r="AN31" s="46" t="s">
        <v>64</v>
      </c>
      <c r="AO31" s="46" t="s">
        <v>64</v>
      </c>
      <c r="AP31" s="46" t="s">
        <v>64</v>
      </c>
      <c r="AQ31" s="46" t="s">
        <v>64</v>
      </c>
      <c r="AR31" s="46" t="s">
        <v>64</v>
      </c>
      <c r="AS31" s="46" t="s">
        <v>64</v>
      </c>
      <c r="AT31" s="46" t="s">
        <v>64</v>
      </c>
      <c r="AU31" s="46" t="s">
        <v>64</v>
      </c>
      <c r="AV31" s="46" t="s">
        <v>64</v>
      </c>
      <c r="AW31" s="46" t="s">
        <v>64</v>
      </c>
      <c r="AX31" s="46" t="s">
        <v>64</v>
      </c>
      <c r="AY31" s="46">
        <v>41.03</v>
      </c>
      <c r="AZ31" s="46" t="s">
        <v>64</v>
      </c>
      <c r="BA31" s="46" t="s">
        <v>64</v>
      </c>
      <c r="BB31" s="46" t="s">
        <v>64</v>
      </c>
      <c r="BC31" s="46" t="s">
        <v>64</v>
      </c>
      <c r="BD31" s="46" t="s">
        <v>64</v>
      </c>
      <c r="BE31" s="46" t="s">
        <v>64</v>
      </c>
      <c r="BF31" s="46" t="s">
        <v>64</v>
      </c>
      <c r="BG31" s="46" t="s">
        <v>64</v>
      </c>
      <c r="BH31" s="46" t="s">
        <v>64</v>
      </c>
      <c r="BI31" s="46" t="s">
        <v>64</v>
      </c>
      <c r="BJ31" s="46">
        <v>41.03</v>
      </c>
    </row>
    <row r="32" spans="1:62" x14ac:dyDescent="0.2">
      <c r="A32" s="39" t="s">
        <v>471</v>
      </c>
      <c r="B32" s="39" t="s">
        <v>536</v>
      </c>
      <c r="C32" s="39" t="s">
        <v>471</v>
      </c>
      <c r="D32" s="40" t="s">
        <v>568</v>
      </c>
      <c r="E32" s="40" t="s">
        <v>346</v>
      </c>
      <c r="F32" s="40">
        <v>15.29</v>
      </c>
      <c r="G32" s="40" t="s">
        <v>12</v>
      </c>
      <c r="H32" s="40" t="s">
        <v>64</v>
      </c>
      <c r="I32" s="40" t="s">
        <v>64</v>
      </c>
      <c r="J32" s="40" t="s">
        <v>64</v>
      </c>
      <c r="K32" s="40" t="s">
        <v>64</v>
      </c>
      <c r="L32" s="40" t="s">
        <v>64</v>
      </c>
      <c r="M32" s="40" t="s">
        <v>64</v>
      </c>
      <c r="N32" s="40" t="s">
        <v>64</v>
      </c>
      <c r="O32" s="40" t="s">
        <v>64</v>
      </c>
      <c r="P32" s="40" t="s">
        <v>64</v>
      </c>
      <c r="Q32" s="40" t="s">
        <v>64</v>
      </c>
      <c r="R32" s="40" t="s">
        <v>64</v>
      </c>
      <c r="S32" s="40" t="s">
        <v>64</v>
      </c>
      <c r="T32" s="40" t="s">
        <v>438</v>
      </c>
      <c r="U32" s="40">
        <v>33.18</v>
      </c>
      <c r="V32" s="40" t="s">
        <v>439</v>
      </c>
      <c r="W32" s="40">
        <v>40.98</v>
      </c>
      <c r="X32" s="40" t="s">
        <v>64</v>
      </c>
      <c r="Y32" s="40" t="s">
        <v>64</v>
      </c>
      <c r="Z32" s="40" t="s">
        <v>64</v>
      </c>
      <c r="AA32" s="40" t="s">
        <v>64</v>
      </c>
      <c r="AB32" s="40" t="s">
        <v>64</v>
      </c>
      <c r="AC32" s="40" t="s">
        <v>64</v>
      </c>
      <c r="AD32" s="40" t="s">
        <v>440</v>
      </c>
      <c r="AE32" s="40">
        <v>68.06</v>
      </c>
      <c r="AF32" s="40" t="s">
        <v>64</v>
      </c>
      <c r="AG32" s="40" t="s">
        <v>64</v>
      </c>
      <c r="AH32" s="40" t="s">
        <v>64</v>
      </c>
      <c r="AI32" s="40" t="s">
        <v>64</v>
      </c>
      <c r="AJ32" s="40" t="s">
        <v>64</v>
      </c>
      <c r="AK32" s="46" t="s">
        <v>64</v>
      </c>
      <c r="AL32" s="46" t="s">
        <v>64</v>
      </c>
      <c r="AM32" s="46" t="s">
        <v>64</v>
      </c>
      <c r="AN32" s="46" t="s">
        <v>64</v>
      </c>
      <c r="AO32" s="46" t="s">
        <v>64</v>
      </c>
      <c r="AP32" s="46" t="s">
        <v>64</v>
      </c>
      <c r="AQ32" s="46" t="s">
        <v>64</v>
      </c>
      <c r="AR32" s="46" t="s">
        <v>64</v>
      </c>
      <c r="AS32" s="46" t="s">
        <v>64</v>
      </c>
      <c r="AT32" s="46" t="s">
        <v>64</v>
      </c>
      <c r="AU32" s="46" t="s">
        <v>64</v>
      </c>
      <c r="AV32" s="46" t="s">
        <v>64</v>
      </c>
      <c r="AW32" s="46" t="s">
        <v>64</v>
      </c>
      <c r="AX32" s="46" t="s">
        <v>64</v>
      </c>
      <c r="AY32" s="46">
        <v>38.799999999999997</v>
      </c>
      <c r="AZ32" s="46" t="s">
        <v>64</v>
      </c>
      <c r="BA32" s="46" t="s">
        <v>64</v>
      </c>
      <c r="BB32" s="46" t="s">
        <v>64</v>
      </c>
      <c r="BC32" s="46" t="s">
        <v>64</v>
      </c>
      <c r="BD32" s="46" t="s">
        <v>64</v>
      </c>
      <c r="BE32" s="46" t="s">
        <v>64</v>
      </c>
      <c r="BF32" s="46" t="s">
        <v>64</v>
      </c>
      <c r="BG32" s="46" t="s">
        <v>64</v>
      </c>
      <c r="BH32" s="46" t="s">
        <v>64</v>
      </c>
      <c r="BI32" s="46" t="s">
        <v>64</v>
      </c>
      <c r="BJ32" s="46">
        <v>38.79</v>
      </c>
    </row>
    <row r="33" spans="1:62" x14ac:dyDescent="0.2">
      <c r="A33" s="39" t="s">
        <v>472</v>
      </c>
      <c r="B33" s="39" t="s">
        <v>536</v>
      </c>
      <c r="C33" s="39" t="s">
        <v>472</v>
      </c>
      <c r="D33" s="40" t="s">
        <v>569</v>
      </c>
      <c r="E33" s="40" t="s">
        <v>346</v>
      </c>
      <c r="F33" s="40">
        <v>36.11</v>
      </c>
      <c r="G33" s="40" t="s">
        <v>12</v>
      </c>
      <c r="H33" s="40" t="s">
        <v>64</v>
      </c>
      <c r="I33" s="40" t="s">
        <v>64</v>
      </c>
      <c r="J33" s="40" t="s">
        <v>64</v>
      </c>
      <c r="K33" s="40" t="s">
        <v>64</v>
      </c>
      <c r="L33" s="40" t="s">
        <v>64</v>
      </c>
      <c r="M33" s="40" t="s">
        <v>64</v>
      </c>
      <c r="N33" s="40" t="s">
        <v>64</v>
      </c>
      <c r="O33" s="40" t="s">
        <v>64</v>
      </c>
      <c r="P33" s="40" t="s">
        <v>64</v>
      </c>
      <c r="Q33" s="40" t="s">
        <v>64</v>
      </c>
      <c r="R33" s="40" t="s">
        <v>64</v>
      </c>
      <c r="S33" s="40" t="s">
        <v>64</v>
      </c>
      <c r="T33" s="40" t="s">
        <v>438</v>
      </c>
      <c r="U33" s="40">
        <v>32.15</v>
      </c>
      <c r="V33" s="40" t="s">
        <v>439</v>
      </c>
      <c r="W33" s="40">
        <v>23.52</v>
      </c>
      <c r="X33" s="40" t="s">
        <v>64</v>
      </c>
      <c r="Y33" s="40" t="s">
        <v>64</v>
      </c>
      <c r="Z33" s="40" t="s">
        <v>64</v>
      </c>
      <c r="AA33" s="40" t="s">
        <v>64</v>
      </c>
      <c r="AB33" s="40" t="s">
        <v>64</v>
      </c>
      <c r="AC33" s="40" t="s">
        <v>64</v>
      </c>
      <c r="AD33" s="40" t="s">
        <v>440</v>
      </c>
      <c r="AE33" s="40">
        <v>105.12</v>
      </c>
      <c r="AF33" s="40" t="s">
        <v>64</v>
      </c>
      <c r="AG33" s="40" t="s">
        <v>64</v>
      </c>
      <c r="AH33" s="40" t="s">
        <v>64</v>
      </c>
      <c r="AI33" s="40" t="s">
        <v>64</v>
      </c>
      <c r="AJ33" s="40" t="s">
        <v>64</v>
      </c>
      <c r="AK33" s="46" t="s">
        <v>64</v>
      </c>
      <c r="AL33" s="46" t="s">
        <v>64</v>
      </c>
      <c r="AM33" s="46" t="s">
        <v>64</v>
      </c>
      <c r="AN33" s="46" t="s">
        <v>64</v>
      </c>
      <c r="AO33" s="46" t="s">
        <v>64</v>
      </c>
      <c r="AP33" s="46" t="s">
        <v>64</v>
      </c>
      <c r="AQ33" s="46" t="s">
        <v>64</v>
      </c>
      <c r="AR33" s="46" t="s">
        <v>64</v>
      </c>
      <c r="AS33" s="46" t="s">
        <v>64</v>
      </c>
      <c r="AT33" s="46" t="s">
        <v>64</v>
      </c>
      <c r="AU33" s="46" t="s">
        <v>64</v>
      </c>
      <c r="AV33" s="46" t="s">
        <v>64</v>
      </c>
      <c r="AW33" s="46" t="s">
        <v>64</v>
      </c>
      <c r="AX33" s="46" t="s">
        <v>64</v>
      </c>
      <c r="AY33" s="46">
        <v>50.33</v>
      </c>
      <c r="AZ33" s="46" t="s">
        <v>64</v>
      </c>
      <c r="BA33" s="46" t="s">
        <v>64</v>
      </c>
      <c r="BB33" s="46" t="s">
        <v>64</v>
      </c>
      <c r="BC33" s="46" t="s">
        <v>64</v>
      </c>
      <c r="BD33" s="46" t="s">
        <v>64</v>
      </c>
      <c r="BE33" s="46" t="s">
        <v>64</v>
      </c>
      <c r="BF33" s="46" t="s">
        <v>64</v>
      </c>
      <c r="BG33" s="46" t="s">
        <v>64</v>
      </c>
      <c r="BH33" s="46" t="s">
        <v>64</v>
      </c>
      <c r="BI33" s="46" t="s">
        <v>64</v>
      </c>
      <c r="BJ33" s="46">
        <v>50.33</v>
      </c>
    </row>
    <row r="34" spans="1:62" x14ac:dyDescent="0.2">
      <c r="A34" s="39" t="s">
        <v>473</v>
      </c>
      <c r="B34" s="39" t="s">
        <v>536</v>
      </c>
      <c r="C34" s="39" t="s">
        <v>473</v>
      </c>
      <c r="D34" s="40" t="s">
        <v>570</v>
      </c>
      <c r="E34" s="40" t="s">
        <v>346</v>
      </c>
      <c r="F34" s="40">
        <v>16.27</v>
      </c>
      <c r="G34" s="40" t="s">
        <v>12</v>
      </c>
      <c r="H34" s="40" t="s">
        <v>64</v>
      </c>
      <c r="I34" s="40" t="s">
        <v>64</v>
      </c>
      <c r="J34" s="40" t="s">
        <v>64</v>
      </c>
      <c r="K34" s="40" t="s">
        <v>64</v>
      </c>
      <c r="L34" s="40" t="s">
        <v>64</v>
      </c>
      <c r="M34" s="40" t="s">
        <v>64</v>
      </c>
      <c r="N34" s="40" t="s">
        <v>64</v>
      </c>
      <c r="O34" s="40" t="s">
        <v>64</v>
      </c>
      <c r="P34" s="40" t="s">
        <v>64</v>
      </c>
      <c r="Q34" s="40" t="s">
        <v>64</v>
      </c>
      <c r="R34" s="40" t="s">
        <v>64</v>
      </c>
      <c r="S34" s="40" t="s">
        <v>64</v>
      </c>
      <c r="T34" s="40" t="s">
        <v>438</v>
      </c>
      <c r="U34" s="40">
        <v>31.12</v>
      </c>
      <c r="V34" s="40" t="s">
        <v>439</v>
      </c>
      <c r="W34" s="40">
        <v>42.94</v>
      </c>
      <c r="X34" s="40" t="s">
        <v>64</v>
      </c>
      <c r="Y34" s="40" t="s">
        <v>64</v>
      </c>
      <c r="Z34" s="40" t="s">
        <v>64</v>
      </c>
      <c r="AA34" s="40" t="s">
        <v>64</v>
      </c>
      <c r="AB34" s="40" t="s">
        <v>64</v>
      </c>
      <c r="AC34" s="40" t="s">
        <v>64</v>
      </c>
      <c r="AD34" s="40" t="s">
        <v>440</v>
      </c>
      <c r="AE34" s="40">
        <v>71</v>
      </c>
      <c r="AF34" s="40" t="s">
        <v>64</v>
      </c>
      <c r="AG34" s="40" t="s">
        <v>64</v>
      </c>
      <c r="AH34" s="40" t="s">
        <v>64</v>
      </c>
      <c r="AI34" s="40" t="s">
        <v>64</v>
      </c>
      <c r="AJ34" s="40" t="s">
        <v>64</v>
      </c>
      <c r="AK34" s="46" t="s">
        <v>64</v>
      </c>
      <c r="AL34" s="46" t="s">
        <v>64</v>
      </c>
      <c r="AM34" s="46" t="s">
        <v>64</v>
      </c>
      <c r="AN34" s="46" t="s">
        <v>64</v>
      </c>
      <c r="AO34" s="46" t="s">
        <v>64</v>
      </c>
      <c r="AP34" s="46" t="s">
        <v>64</v>
      </c>
      <c r="AQ34" s="46" t="s">
        <v>64</v>
      </c>
      <c r="AR34" s="46" t="s">
        <v>64</v>
      </c>
      <c r="AS34" s="46" t="s">
        <v>64</v>
      </c>
      <c r="AT34" s="46" t="s">
        <v>64</v>
      </c>
      <c r="AU34" s="46" t="s">
        <v>64</v>
      </c>
      <c r="AV34" s="46" t="s">
        <v>64</v>
      </c>
      <c r="AW34" s="46" t="s">
        <v>64</v>
      </c>
      <c r="AX34" s="46" t="s">
        <v>64</v>
      </c>
      <c r="AY34" s="46">
        <v>38.130000000000003</v>
      </c>
      <c r="AZ34" s="46" t="s">
        <v>64</v>
      </c>
      <c r="BA34" s="46" t="s">
        <v>64</v>
      </c>
      <c r="BB34" s="46" t="s">
        <v>64</v>
      </c>
      <c r="BC34" s="46" t="s">
        <v>64</v>
      </c>
      <c r="BD34" s="46" t="s">
        <v>64</v>
      </c>
      <c r="BE34" s="46" t="s">
        <v>64</v>
      </c>
      <c r="BF34" s="46" t="s">
        <v>64</v>
      </c>
      <c r="BG34" s="46" t="s">
        <v>64</v>
      </c>
      <c r="BH34" s="46" t="s">
        <v>64</v>
      </c>
      <c r="BI34" s="46" t="s">
        <v>64</v>
      </c>
      <c r="BJ34" s="46">
        <v>38.130000000000003</v>
      </c>
    </row>
    <row r="35" spans="1:62" x14ac:dyDescent="0.2">
      <c r="A35" s="39" t="s">
        <v>474</v>
      </c>
      <c r="B35" s="39" t="s">
        <v>536</v>
      </c>
      <c r="C35" s="39" t="s">
        <v>474</v>
      </c>
      <c r="D35" s="40" t="s">
        <v>571</v>
      </c>
      <c r="E35" s="40" t="s">
        <v>346</v>
      </c>
      <c r="F35" s="40">
        <v>29.19</v>
      </c>
      <c r="G35" s="40" t="s">
        <v>12</v>
      </c>
      <c r="H35" s="40" t="s">
        <v>64</v>
      </c>
      <c r="I35" s="40" t="s">
        <v>64</v>
      </c>
      <c r="J35" s="40" t="s">
        <v>64</v>
      </c>
      <c r="K35" s="40" t="s">
        <v>64</v>
      </c>
      <c r="L35" s="40" t="s">
        <v>64</v>
      </c>
      <c r="M35" s="40" t="s">
        <v>64</v>
      </c>
      <c r="N35" s="40" t="s">
        <v>64</v>
      </c>
      <c r="O35" s="40" t="s">
        <v>64</v>
      </c>
      <c r="P35" s="40" t="s">
        <v>64</v>
      </c>
      <c r="Q35" s="40" t="s">
        <v>64</v>
      </c>
      <c r="R35" s="40" t="s">
        <v>64</v>
      </c>
      <c r="S35" s="40" t="s">
        <v>64</v>
      </c>
      <c r="T35" s="40" t="s">
        <v>438</v>
      </c>
      <c r="U35" s="40">
        <v>15.56</v>
      </c>
      <c r="V35" s="40" t="s">
        <v>439</v>
      </c>
      <c r="W35" s="40">
        <v>42.86</v>
      </c>
      <c r="X35" s="40" t="s">
        <v>64</v>
      </c>
      <c r="Y35" s="40" t="s">
        <v>64</v>
      </c>
      <c r="Z35" s="40" t="s">
        <v>64</v>
      </c>
      <c r="AA35" s="40" t="s">
        <v>64</v>
      </c>
      <c r="AB35" s="40" t="s">
        <v>64</v>
      </c>
      <c r="AC35" s="40" t="s">
        <v>64</v>
      </c>
      <c r="AD35" s="40" t="s">
        <v>440</v>
      </c>
      <c r="AE35" s="40">
        <v>70.959999999999994</v>
      </c>
      <c r="AF35" s="40" t="s">
        <v>64</v>
      </c>
      <c r="AG35" s="40" t="s">
        <v>64</v>
      </c>
      <c r="AH35" s="40" t="s">
        <v>64</v>
      </c>
      <c r="AI35" s="40" t="s">
        <v>64</v>
      </c>
      <c r="AJ35" s="40" t="s">
        <v>64</v>
      </c>
      <c r="AK35" s="46" t="s">
        <v>64</v>
      </c>
      <c r="AL35" s="46" t="s">
        <v>64</v>
      </c>
      <c r="AM35" s="46" t="s">
        <v>64</v>
      </c>
      <c r="AN35" s="46" t="s">
        <v>64</v>
      </c>
      <c r="AO35" s="46" t="s">
        <v>64</v>
      </c>
      <c r="AP35" s="46" t="s">
        <v>64</v>
      </c>
      <c r="AQ35" s="46" t="s">
        <v>64</v>
      </c>
      <c r="AR35" s="46" t="s">
        <v>64</v>
      </c>
      <c r="AS35" s="46" t="s">
        <v>64</v>
      </c>
      <c r="AT35" s="46" t="s">
        <v>64</v>
      </c>
      <c r="AU35" s="46" t="s">
        <v>64</v>
      </c>
      <c r="AV35" s="46" t="s">
        <v>64</v>
      </c>
      <c r="AW35" s="46" t="s">
        <v>64</v>
      </c>
      <c r="AX35" s="46" t="s">
        <v>64</v>
      </c>
      <c r="AY35" s="46">
        <v>38.049999999999997</v>
      </c>
      <c r="AZ35" s="46" t="s">
        <v>64</v>
      </c>
      <c r="BA35" s="46" t="s">
        <v>64</v>
      </c>
      <c r="BB35" s="46" t="s">
        <v>64</v>
      </c>
      <c r="BC35" s="46" t="s">
        <v>64</v>
      </c>
      <c r="BD35" s="46" t="s">
        <v>64</v>
      </c>
      <c r="BE35" s="46" t="s">
        <v>64</v>
      </c>
      <c r="BF35" s="46" t="s">
        <v>64</v>
      </c>
      <c r="BG35" s="46" t="s">
        <v>64</v>
      </c>
      <c r="BH35" s="46" t="s">
        <v>64</v>
      </c>
      <c r="BI35" s="46" t="s">
        <v>64</v>
      </c>
      <c r="BJ35" s="46">
        <v>38.04</v>
      </c>
    </row>
    <row r="36" spans="1:62" x14ac:dyDescent="0.2">
      <c r="A36" s="39" t="s">
        <v>475</v>
      </c>
      <c r="B36" s="39" t="s">
        <v>536</v>
      </c>
      <c r="C36" s="39" t="s">
        <v>475</v>
      </c>
      <c r="D36" s="40" t="s">
        <v>572</v>
      </c>
      <c r="E36" s="40" t="s">
        <v>346</v>
      </c>
      <c r="F36" s="40">
        <v>38.799999999999997</v>
      </c>
      <c r="G36" s="40" t="s">
        <v>12</v>
      </c>
      <c r="H36" s="40" t="s">
        <v>64</v>
      </c>
      <c r="I36" s="40" t="s">
        <v>64</v>
      </c>
      <c r="J36" s="40" t="s">
        <v>64</v>
      </c>
      <c r="K36" s="40" t="s">
        <v>64</v>
      </c>
      <c r="L36" s="40" t="s">
        <v>64</v>
      </c>
      <c r="M36" s="40" t="s">
        <v>64</v>
      </c>
      <c r="N36" s="40" t="s">
        <v>64</v>
      </c>
      <c r="O36" s="40" t="s">
        <v>64</v>
      </c>
      <c r="P36" s="40" t="s">
        <v>64</v>
      </c>
      <c r="Q36" s="40" t="s">
        <v>64</v>
      </c>
      <c r="R36" s="40" t="s">
        <v>64</v>
      </c>
      <c r="S36" s="40" t="s">
        <v>64</v>
      </c>
      <c r="T36" s="40" t="s">
        <v>439</v>
      </c>
      <c r="U36" s="40">
        <v>88.02</v>
      </c>
      <c r="V36" s="40" t="s">
        <v>64</v>
      </c>
      <c r="W36" s="40" t="s">
        <v>64</v>
      </c>
      <c r="X36" s="40" t="s">
        <v>64</v>
      </c>
      <c r="Y36" s="40" t="s">
        <v>64</v>
      </c>
      <c r="Z36" s="40" t="s">
        <v>64</v>
      </c>
      <c r="AA36" s="40" t="s">
        <v>64</v>
      </c>
      <c r="AB36" s="40" t="s">
        <v>64</v>
      </c>
      <c r="AC36" s="40" t="s">
        <v>64</v>
      </c>
      <c r="AD36" s="40" t="s">
        <v>440</v>
      </c>
      <c r="AE36" s="40">
        <v>90.38</v>
      </c>
      <c r="AF36" s="40" t="s">
        <v>64</v>
      </c>
      <c r="AG36" s="40" t="s">
        <v>64</v>
      </c>
      <c r="AH36" s="40" t="s">
        <v>64</v>
      </c>
      <c r="AI36" s="40" t="s">
        <v>64</v>
      </c>
      <c r="AJ36" s="40" t="s">
        <v>64</v>
      </c>
      <c r="AK36" s="46" t="s">
        <v>64</v>
      </c>
      <c r="AL36" s="46" t="s">
        <v>64</v>
      </c>
      <c r="AM36" s="46" t="s">
        <v>64</v>
      </c>
      <c r="AN36" s="46" t="s">
        <v>64</v>
      </c>
      <c r="AO36" s="46" t="s">
        <v>64</v>
      </c>
      <c r="AP36" s="46" t="s">
        <v>64</v>
      </c>
      <c r="AQ36" s="46" t="s">
        <v>64</v>
      </c>
      <c r="AR36" s="46" t="s">
        <v>64</v>
      </c>
      <c r="AS36" s="46" t="s">
        <v>64</v>
      </c>
      <c r="AT36" s="46" t="s">
        <v>64</v>
      </c>
      <c r="AU36" s="46" t="s">
        <v>64</v>
      </c>
      <c r="AV36" s="46" t="s">
        <v>64</v>
      </c>
      <c r="AW36" s="46" t="s">
        <v>64</v>
      </c>
      <c r="AX36" s="46" t="s">
        <v>64</v>
      </c>
      <c r="AY36" s="46">
        <v>50.41</v>
      </c>
      <c r="AZ36" s="46" t="s">
        <v>64</v>
      </c>
      <c r="BA36" s="46" t="s">
        <v>64</v>
      </c>
      <c r="BB36" s="46" t="s">
        <v>64</v>
      </c>
      <c r="BC36" s="46" t="s">
        <v>64</v>
      </c>
      <c r="BD36" s="46" t="s">
        <v>64</v>
      </c>
      <c r="BE36" s="46" t="s">
        <v>64</v>
      </c>
      <c r="BF36" s="46" t="s">
        <v>64</v>
      </c>
      <c r="BG36" s="46" t="s">
        <v>64</v>
      </c>
      <c r="BH36" s="46" t="s">
        <v>64</v>
      </c>
      <c r="BI36" s="46" t="s">
        <v>64</v>
      </c>
      <c r="BJ36" s="46">
        <v>50.4</v>
      </c>
    </row>
    <row r="37" spans="1:62" x14ac:dyDescent="0.2">
      <c r="A37" s="39" t="s">
        <v>476</v>
      </c>
      <c r="B37" s="39" t="s">
        <v>536</v>
      </c>
      <c r="C37" s="39" t="s">
        <v>476</v>
      </c>
      <c r="D37" s="40" t="s">
        <v>573</v>
      </c>
      <c r="E37" s="40" t="s">
        <v>346</v>
      </c>
      <c r="F37" s="40">
        <v>14.69</v>
      </c>
      <c r="G37" s="40" t="s">
        <v>12</v>
      </c>
      <c r="H37" s="40" t="s">
        <v>64</v>
      </c>
      <c r="I37" s="40" t="s">
        <v>64</v>
      </c>
      <c r="J37" s="40" t="s">
        <v>64</v>
      </c>
      <c r="K37" s="40" t="s">
        <v>64</v>
      </c>
      <c r="L37" s="40" t="s">
        <v>64</v>
      </c>
      <c r="M37" s="40" t="s">
        <v>64</v>
      </c>
      <c r="N37" s="40" t="s">
        <v>64</v>
      </c>
      <c r="O37" s="40" t="s">
        <v>64</v>
      </c>
      <c r="P37" s="40" t="s">
        <v>64</v>
      </c>
      <c r="Q37" s="40" t="s">
        <v>64</v>
      </c>
      <c r="R37" s="40" t="s">
        <v>64</v>
      </c>
      <c r="S37" s="40" t="s">
        <v>64</v>
      </c>
      <c r="T37" s="40" t="s">
        <v>438</v>
      </c>
      <c r="U37" s="40">
        <v>18.350000000000001</v>
      </c>
      <c r="V37" s="40" t="s">
        <v>439</v>
      </c>
      <c r="W37" s="40">
        <v>52.63</v>
      </c>
      <c r="X37" s="40" t="s">
        <v>64</v>
      </c>
      <c r="Y37" s="40" t="s">
        <v>64</v>
      </c>
      <c r="Z37" s="40" t="s">
        <v>64</v>
      </c>
      <c r="AA37" s="40" t="s">
        <v>64</v>
      </c>
      <c r="AB37" s="40" t="s">
        <v>64</v>
      </c>
      <c r="AC37" s="40" t="s">
        <v>64</v>
      </c>
      <c r="AD37" s="40" t="s">
        <v>440</v>
      </c>
      <c r="AE37" s="40">
        <v>68.94</v>
      </c>
      <c r="AF37" s="40" t="s">
        <v>64</v>
      </c>
      <c r="AG37" s="40" t="s">
        <v>64</v>
      </c>
      <c r="AH37" s="40" t="s">
        <v>64</v>
      </c>
      <c r="AI37" s="40" t="s">
        <v>64</v>
      </c>
      <c r="AJ37" s="40" t="s">
        <v>64</v>
      </c>
      <c r="AK37" s="46" t="s">
        <v>64</v>
      </c>
      <c r="AL37" s="46" t="s">
        <v>64</v>
      </c>
      <c r="AM37" s="46" t="s">
        <v>64</v>
      </c>
      <c r="AN37" s="46" t="s">
        <v>64</v>
      </c>
      <c r="AO37" s="46" t="s">
        <v>64</v>
      </c>
      <c r="AP37" s="46" t="s">
        <v>64</v>
      </c>
      <c r="AQ37" s="46" t="s">
        <v>64</v>
      </c>
      <c r="AR37" s="46" t="s">
        <v>64</v>
      </c>
      <c r="AS37" s="46" t="s">
        <v>64</v>
      </c>
      <c r="AT37" s="46" t="s">
        <v>64</v>
      </c>
      <c r="AU37" s="46" t="s">
        <v>64</v>
      </c>
      <c r="AV37" s="46" t="s">
        <v>64</v>
      </c>
      <c r="AW37" s="46" t="s">
        <v>64</v>
      </c>
      <c r="AX37" s="46" t="s">
        <v>64</v>
      </c>
      <c r="AY37" s="46">
        <v>37.32</v>
      </c>
      <c r="AZ37" s="46" t="s">
        <v>64</v>
      </c>
      <c r="BA37" s="46" t="s">
        <v>64</v>
      </c>
      <c r="BB37" s="46" t="s">
        <v>64</v>
      </c>
      <c r="BC37" s="46" t="s">
        <v>64</v>
      </c>
      <c r="BD37" s="46" t="s">
        <v>64</v>
      </c>
      <c r="BE37" s="46" t="s">
        <v>64</v>
      </c>
      <c r="BF37" s="46" t="s">
        <v>64</v>
      </c>
      <c r="BG37" s="46" t="s">
        <v>64</v>
      </c>
      <c r="BH37" s="46" t="s">
        <v>64</v>
      </c>
      <c r="BI37" s="46" t="s">
        <v>64</v>
      </c>
      <c r="BJ37" s="46">
        <v>37.33</v>
      </c>
    </row>
    <row r="38" spans="1:62" x14ac:dyDescent="0.2">
      <c r="A38" s="39" t="s">
        <v>477</v>
      </c>
      <c r="B38" s="39" t="s">
        <v>536</v>
      </c>
      <c r="C38" s="39" t="s">
        <v>477</v>
      </c>
      <c r="D38" s="40" t="s">
        <v>574</v>
      </c>
      <c r="E38" s="40" t="s">
        <v>346</v>
      </c>
      <c r="F38" s="40">
        <v>29.86</v>
      </c>
      <c r="G38" s="40" t="s">
        <v>12</v>
      </c>
      <c r="H38" s="40" t="s">
        <v>64</v>
      </c>
      <c r="I38" s="40" t="s">
        <v>64</v>
      </c>
      <c r="J38" s="40" t="s">
        <v>64</v>
      </c>
      <c r="K38" s="40" t="s">
        <v>64</v>
      </c>
      <c r="L38" s="40" t="s">
        <v>64</v>
      </c>
      <c r="M38" s="40" t="s">
        <v>64</v>
      </c>
      <c r="N38" s="40" t="s">
        <v>64</v>
      </c>
      <c r="O38" s="40" t="s">
        <v>64</v>
      </c>
      <c r="P38" s="40" t="s">
        <v>64</v>
      </c>
      <c r="Q38" s="40" t="s">
        <v>64</v>
      </c>
      <c r="R38" s="40" t="s">
        <v>64</v>
      </c>
      <c r="S38" s="40" t="s">
        <v>64</v>
      </c>
      <c r="T38" s="40" t="s">
        <v>438</v>
      </c>
      <c r="U38" s="40">
        <v>18.350000000000001</v>
      </c>
      <c r="V38" s="40" t="s">
        <v>439</v>
      </c>
      <c r="W38" s="40">
        <v>37.22</v>
      </c>
      <c r="X38" s="40" t="s">
        <v>64</v>
      </c>
      <c r="Y38" s="40" t="s">
        <v>64</v>
      </c>
      <c r="Z38" s="40" t="s">
        <v>64</v>
      </c>
      <c r="AA38" s="40" t="s">
        <v>64</v>
      </c>
      <c r="AB38" s="40" t="s">
        <v>64</v>
      </c>
      <c r="AC38" s="40" t="s">
        <v>64</v>
      </c>
      <c r="AD38" s="40" t="s">
        <v>440</v>
      </c>
      <c r="AE38" s="40">
        <v>68.62</v>
      </c>
      <c r="AF38" s="40" t="s">
        <v>64</v>
      </c>
      <c r="AG38" s="40" t="s">
        <v>64</v>
      </c>
      <c r="AH38" s="40" t="s">
        <v>64</v>
      </c>
      <c r="AI38" s="40" t="s">
        <v>64</v>
      </c>
      <c r="AJ38" s="40" t="s">
        <v>64</v>
      </c>
      <c r="AK38" s="46" t="s">
        <v>64</v>
      </c>
      <c r="AL38" s="46" t="s">
        <v>64</v>
      </c>
      <c r="AM38" s="46" t="s">
        <v>64</v>
      </c>
      <c r="AN38" s="46" t="s">
        <v>64</v>
      </c>
      <c r="AO38" s="46" t="s">
        <v>64</v>
      </c>
      <c r="AP38" s="46" t="s">
        <v>64</v>
      </c>
      <c r="AQ38" s="46" t="s">
        <v>64</v>
      </c>
      <c r="AR38" s="46" t="s">
        <v>64</v>
      </c>
      <c r="AS38" s="46" t="s">
        <v>64</v>
      </c>
      <c r="AT38" s="46" t="s">
        <v>64</v>
      </c>
      <c r="AU38" s="46" t="s">
        <v>64</v>
      </c>
      <c r="AV38" s="46" t="s">
        <v>64</v>
      </c>
      <c r="AW38" s="46" t="s">
        <v>64</v>
      </c>
      <c r="AX38" s="46" t="s">
        <v>64</v>
      </c>
      <c r="AY38" s="46">
        <v>38.979999999999997</v>
      </c>
      <c r="AZ38" s="46" t="s">
        <v>64</v>
      </c>
      <c r="BA38" s="46" t="s">
        <v>64</v>
      </c>
      <c r="BB38" s="46" t="s">
        <v>64</v>
      </c>
      <c r="BC38" s="46" t="s">
        <v>64</v>
      </c>
      <c r="BD38" s="46" t="s">
        <v>64</v>
      </c>
      <c r="BE38" s="46" t="s">
        <v>64</v>
      </c>
      <c r="BF38" s="46" t="s">
        <v>64</v>
      </c>
      <c r="BG38" s="46" t="s">
        <v>64</v>
      </c>
      <c r="BH38" s="46" t="s">
        <v>64</v>
      </c>
      <c r="BI38" s="46" t="s">
        <v>64</v>
      </c>
      <c r="BJ38" s="46">
        <v>38.979999999999997</v>
      </c>
    </row>
    <row r="39" spans="1:62" x14ac:dyDescent="0.2">
      <c r="A39" s="39" t="s">
        <v>478</v>
      </c>
      <c r="B39" s="39" t="s">
        <v>536</v>
      </c>
      <c r="C39" s="39" t="s">
        <v>478</v>
      </c>
      <c r="D39" s="40" t="s">
        <v>575</v>
      </c>
      <c r="E39" s="40" t="s">
        <v>346</v>
      </c>
      <c r="F39" s="40">
        <v>14.61</v>
      </c>
      <c r="G39" s="40" t="s">
        <v>12</v>
      </c>
      <c r="H39" s="40" t="s">
        <v>64</v>
      </c>
      <c r="I39" s="40" t="s">
        <v>64</v>
      </c>
      <c r="J39" s="40" t="s">
        <v>64</v>
      </c>
      <c r="K39" s="40" t="s">
        <v>64</v>
      </c>
      <c r="L39" s="40" t="s">
        <v>64</v>
      </c>
      <c r="M39" s="40" t="s">
        <v>64</v>
      </c>
      <c r="N39" s="40" t="s">
        <v>64</v>
      </c>
      <c r="O39" s="40" t="s">
        <v>64</v>
      </c>
      <c r="P39" s="40" t="s">
        <v>64</v>
      </c>
      <c r="Q39" s="40" t="s">
        <v>64</v>
      </c>
      <c r="R39" s="40" t="s">
        <v>64</v>
      </c>
      <c r="S39" s="40" t="s">
        <v>64</v>
      </c>
      <c r="T39" s="40" t="s">
        <v>438</v>
      </c>
      <c r="U39" s="40">
        <v>16.38</v>
      </c>
      <c r="V39" s="40" t="s">
        <v>439</v>
      </c>
      <c r="W39" s="40">
        <v>56</v>
      </c>
      <c r="X39" s="40" t="s">
        <v>64</v>
      </c>
      <c r="Y39" s="40" t="s">
        <v>64</v>
      </c>
      <c r="Z39" s="40" t="s">
        <v>64</v>
      </c>
      <c r="AA39" s="40" t="s">
        <v>64</v>
      </c>
      <c r="AB39" s="40" t="s">
        <v>64</v>
      </c>
      <c r="AC39" s="40" t="s">
        <v>64</v>
      </c>
      <c r="AD39" s="40" t="s">
        <v>440</v>
      </c>
      <c r="AE39" s="40">
        <v>67.680000000000007</v>
      </c>
      <c r="AF39" s="40" t="s">
        <v>64</v>
      </c>
      <c r="AG39" s="40" t="s">
        <v>64</v>
      </c>
      <c r="AH39" s="40" t="s">
        <v>64</v>
      </c>
      <c r="AI39" s="40" t="s">
        <v>64</v>
      </c>
      <c r="AJ39" s="40" t="s">
        <v>64</v>
      </c>
      <c r="AK39" s="46" t="s">
        <v>64</v>
      </c>
      <c r="AL39" s="46" t="s">
        <v>64</v>
      </c>
      <c r="AM39" s="46" t="s">
        <v>64</v>
      </c>
      <c r="AN39" s="46" t="s">
        <v>64</v>
      </c>
      <c r="AO39" s="46" t="s">
        <v>64</v>
      </c>
      <c r="AP39" s="46" t="s">
        <v>64</v>
      </c>
      <c r="AQ39" s="46" t="s">
        <v>64</v>
      </c>
      <c r="AR39" s="46" t="s">
        <v>64</v>
      </c>
      <c r="AS39" s="46" t="s">
        <v>64</v>
      </c>
      <c r="AT39" s="46" t="s">
        <v>64</v>
      </c>
      <c r="AU39" s="46" t="s">
        <v>64</v>
      </c>
      <c r="AV39" s="46" t="s">
        <v>64</v>
      </c>
      <c r="AW39" s="46" t="s">
        <v>64</v>
      </c>
      <c r="AX39" s="46" t="s">
        <v>64</v>
      </c>
      <c r="AY39" s="46">
        <v>37.020000000000003</v>
      </c>
      <c r="AZ39" s="46" t="s">
        <v>64</v>
      </c>
      <c r="BA39" s="46" t="s">
        <v>64</v>
      </c>
      <c r="BB39" s="46" t="s">
        <v>64</v>
      </c>
      <c r="BC39" s="46" t="s">
        <v>64</v>
      </c>
      <c r="BD39" s="46" t="s">
        <v>64</v>
      </c>
      <c r="BE39" s="46" t="s">
        <v>64</v>
      </c>
      <c r="BF39" s="46" t="s">
        <v>64</v>
      </c>
      <c r="BG39" s="46" t="s">
        <v>64</v>
      </c>
      <c r="BH39" s="46" t="s">
        <v>64</v>
      </c>
      <c r="BI39" s="46" t="s">
        <v>64</v>
      </c>
      <c r="BJ39" s="46">
        <v>37.03</v>
      </c>
    </row>
    <row r="40" spans="1:62" x14ac:dyDescent="0.2">
      <c r="A40" s="39" t="s">
        <v>479</v>
      </c>
      <c r="B40" s="39" t="s">
        <v>536</v>
      </c>
      <c r="C40" s="39" t="s">
        <v>479</v>
      </c>
      <c r="D40" s="40" t="s">
        <v>576</v>
      </c>
      <c r="E40" s="40" t="s">
        <v>346</v>
      </c>
      <c r="F40" s="40">
        <v>12.78</v>
      </c>
      <c r="G40" s="40" t="s">
        <v>12</v>
      </c>
      <c r="H40" s="40" t="s">
        <v>64</v>
      </c>
      <c r="I40" s="40" t="s">
        <v>64</v>
      </c>
      <c r="J40" s="40" t="s">
        <v>64</v>
      </c>
      <c r="K40" s="40" t="s">
        <v>64</v>
      </c>
      <c r="L40" s="40" t="s">
        <v>64</v>
      </c>
      <c r="M40" s="40" t="s">
        <v>64</v>
      </c>
      <c r="N40" s="40" t="s">
        <v>64</v>
      </c>
      <c r="O40" s="40" t="s">
        <v>64</v>
      </c>
      <c r="P40" s="40" t="s">
        <v>64</v>
      </c>
      <c r="Q40" s="40" t="s">
        <v>64</v>
      </c>
      <c r="R40" s="40" t="s">
        <v>64</v>
      </c>
      <c r="S40" s="40" t="s">
        <v>64</v>
      </c>
      <c r="T40" s="40" t="s">
        <v>438</v>
      </c>
      <c r="U40" s="40">
        <v>16.59</v>
      </c>
      <c r="V40" s="40" t="s">
        <v>439</v>
      </c>
      <c r="W40" s="40">
        <v>78.739999999999995</v>
      </c>
      <c r="X40" s="40" t="s">
        <v>64</v>
      </c>
      <c r="Y40" s="40" t="s">
        <v>64</v>
      </c>
      <c r="Z40" s="40" t="s">
        <v>64</v>
      </c>
      <c r="AA40" s="40" t="s">
        <v>64</v>
      </c>
      <c r="AB40" s="40" t="s">
        <v>64</v>
      </c>
      <c r="AC40" s="40" t="s">
        <v>64</v>
      </c>
      <c r="AD40" s="40" t="s">
        <v>440</v>
      </c>
      <c r="AE40" s="40">
        <v>63.32</v>
      </c>
      <c r="AF40" s="40" t="s">
        <v>64</v>
      </c>
      <c r="AG40" s="40" t="s">
        <v>64</v>
      </c>
      <c r="AH40" s="40" t="s">
        <v>64</v>
      </c>
      <c r="AI40" s="40" t="s">
        <v>64</v>
      </c>
      <c r="AJ40" s="40" t="s">
        <v>64</v>
      </c>
      <c r="AK40" s="46" t="s">
        <v>64</v>
      </c>
      <c r="AL40" s="46" t="s">
        <v>64</v>
      </c>
      <c r="AM40" s="46" t="s">
        <v>64</v>
      </c>
      <c r="AN40" s="46" t="s">
        <v>64</v>
      </c>
      <c r="AO40" s="46" t="s">
        <v>64</v>
      </c>
      <c r="AP40" s="46" t="s">
        <v>64</v>
      </c>
      <c r="AQ40" s="46" t="s">
        <v>64</v>
      </c>
      <c r="AR40" s="46" t="s">
        <v>64</v>
      </c>
      <c r="AS40" s="46" t="s">
        <v>64</v>
      </c>
      <c r="AT40" s="46" t="s">
        <v>64</v>
      </c>
      <c r="AU40" s="46" t="s">
        <v>64</v>
      </c>
      <c r="AV40" s="46" t="s">
        <v>64</v>
      </c>
      <c r="AW40" s="46" t="s">
        <v>64</v>
      </c>
      <c r="AX40" s="46" t="s">
        <v>64</v>
      </c>
      <c r="AY40" s="46">
        <v>46.48</v>
      </c>
      <c r="AZ40" s="46" t="s">
        <v>64</v>
      </c>
      <c r="BA40" s="46" t="s">
        <v>64</v>
      </c>
      <c r="BB40" s="46" t="s">
        <v>64</v>
      </c>
      <c r="BC40" s="46" t="s">
        <v>64</v>
      </c>
      <c r="BD40" s="46" t="s">
        <v>64</v>
      </c>
      <c r="BE40" s="46" t="s">
        <v>64</v>
      </c>
      <c r="BF40" s="46" t="s">
        <v>64</v>
      </c>
      <c r="BG40" s="46" t="s">
        <v>64</v>
      </c>
      <c r="BH40" s="46" t="s">
        <v>64</v>
      </c>
      <c r="BI40" s="46" t="s">
        <v>64</v>
      </c>
      <c r="BJ40" s="46">
        <v>46.49</v>
      </c>
    </row>
    <row r="41" spans="1:62" x14ac:dyDescent="0.2">
      <c r="A41" s="39" t="s">
        <v>480</v>
      </c>
      <c r="B41" s="39" t="s">
        <v>536</v>
      </c>
      <c r="C41" s="39" t="s">
        <v>480</v>
      </c>
      <c r="D41" s="40" t="s">
        <v>577</v>
      </c>
      <c r="E41" s="40" t="s">
        <v>346</v>
      </c>
      <c r="F41" s="40">
        <v>15.8</v>
      </c>
      <c r="G41" s="40" t="s">
        <v>12</v>
      </c>
      <c r="H41" s="40" t="s">
        <v>64</v>
      </c>
      <c r="I41" s="40" t="s">
        <v>64</v>
      </c>
      <c r="J41" s="40" t="s">
        <v>64</v>
      </c>
      <c r="K41" s="40" t="s">
        <v>64</v>
      </c>
      <c r="L41" s="40" t="s">
        <v>64</v>
      </c>
      <c r="M41" s="40" t="s">
        <v>64</v>
      </c>
      <c r="N41" s="40" t="s">
        <v>64</v>
      </c>
      <c r="O41" s="40" t="s">
        <v>64</v>
      </c>
      <c r="P41" s="40" t="s">
        <v>64</v>
      </c>
      <c r="Q41" s="40" t="s">
        <v>64</v>
      </c>
      <c r="R41" s="40" t="s">
        <v>64</v>
      </c>
      <c r="S41" s="40" t="s">
        <v>64</v>
      </c>
      <c r="T41" s="40" t="s">
        <v>438</v>
      </c>
      <c r="U41" s="40">
        <v>32.76</v>
      </c>
      <c r="V41" s="40" t="s">
        <v>439</v>
      </c>
      <c r="W41" s="40">
        <v>42</v>
      </c>
      <c r="X41" s="40" t="s">
        <v>64</v>
      </c>
      <c r="Y41" s="40" t="s">
        <v>64</v>
      </c>
      <c r="Z41" s="40" t="s">
        <v>64</v>
      </c>
      <c r="AA41" s="40" t="s">
        <v>64</v>
      </c>
      <c r="AB41" s="40" t="s">
        <v>64</v>
      </c>
      <c r="AC41" s="40" t="s">
        <v>64</v>
      </c>
      <c r="AD41" s="40" t="s">
        <v>440</v>
      </c>
      <c r="AE41" s="40">
        <v>67.680000000000007</v>
      </c>
      <c r="AF41" s="40" t="s">
        <v>64</v>
      </c>
      <c r="AG41" s="40" t="s">
        <v>64</v>
      </c>
      <c r="AH41" s="40" t="s">
        <v>64</v>
      </c>
      <c r="AI41" s="40" t="s">
        <v>64</v>
      </c>
      <c r="AJ41" s="40" t="s">
        <v>64</v>
      </c>
      <c r="AK41" s="46" t="s">
        <v>64</v>
      </c>
      <c r="AL41" s="46" t="s">
        <v>64</v>
      </c>
      <c r="AM41" s="46" t="s">
        <v>64</v>
      </c>
      <c r="AN41" s="46" t="s">
        <v>64</v>
      </c>
      <c r="AO41" s="46" t="s">
        <v>64</v>
      </c>
      <c r="AP41" s="46" t="s">
        <v>64</v>
      </c>
      <c r="AQ41" s="46" t="s">
        <v>64</v>
      </c>
      <c r="AR41" s="46" t="s">
        <v>64</v>
      </c>
      <c r="AS41" s="46" t="s">
        <v>64</v>
      </c>
      <c r="AT41" s="46" t="s">
        <v>64</v>
      </c>
      <c r="AU41" s="46" t="s">
        <v>64</v>
      </c>
      <c r="AV41" s="46" t="s">
        <v>64</v>
      </c>
      <c r="AW41" s="46" t="s">
        <v>64</v>
      </c>
      <c r="AX41" s="46" t="s">
        <v>64</v>
      </c>
      <c r="AY41" s="46">
        <v>39.26</v>
      </c>
      <c r="AZ41" s="46" t="s">
        <v>64</v>
      </c>
      <c r="BA41" s="46" t="s">
        <v>64</v>
      </c>
      <c r="BB41" s="46" t="s">
        <v>64</v>
      </c>
      <c r="BC41" s="46" t="s">
        <v>64</v>
      </c>
      <c r="BD41" s="46" t="s">
        <v>64</v>
      </c>
      <c r="BE41" s="46" t="s">
        <v>64</v>
      </c>
      <c r="BF41" s="46" t="s">
        <v>64</v>
      </c>
      <c r="BG41" s="46" t="s">
        <v>64</v>
      </c>
      <c r="BH41" s="46" t="s">
        <v>64</v>
      </c>
      <c r="BI41" s="46" t="s">
        <v>64</v>
      </c>
      <c r="BJ41" s="46">
        <v>39.26</v>
      </c>
    </row>
    <row r="42" spans="1:62" x14ac:dyDescent="0.2">
      <c r="A42" s="39" t="s">
        <v>481</v>
      </c>
      <c r="B42" s="39" t="s">
        <v>536</v>
      </c>
      <c r="C42" s="39" t="s">
        <v>481</v>
      </c>
      <c r="D42" s="40" t="s">
        <v>578</v>
      </c>
      <c r="E42" s="40" t="s">
        <v>346</v>
      </c>
      <c r="F42" s="40">
        <v>15.36</v>
      </c>
      <c r="G42" s="40" t="s">
        <v>12</v>
      </c>
      <c r="H42" s="40" t="s">
        <v>64</v>
      </c>
      <c r="I42" s="40" t="s">
        <v>64</v>
      </c>
      <c r="J42" s="40" t="s">
        <v>64</v>
      </c>
      <c r="K42" s="40" t="s">
        <v>64</v>
      </c>
      <c r="L42" s="40" t="s">
        <v>64</v>
      </c>
      <c r="M42" s="40" t="s">
        <v>64</v>
      </c>
      <c r="N42" s="40" t="s">
        <v>64</v>
      </c>
      <c r="O42" s="40" t="s">
        <v>64</v>
      </c>
      <c r="P42" s="40" t="s">
        <v>64</v>
      </c>
      <c r="Q42" s="40" t="s">
        <v>64</v>
      </c>
      <c r="R42" s="40" t="s">
        <v>64</v>
      </c>
      <c r="S42" s="40" t="s">
        <v>64</v>
      </c>
      <c r="T42" s="40" t="s">
        <v>438</v>
      </c>
      <c r="U42" s="40">
        <v>33.18</v>
      </c>
      <c r="V42" s="40" t="s">
        <v>439</v>
      </c>
      <c r="W42" s="40">
        <v>41.12</v>
      </c>
      <c r="X42" s="40" t="s">
        <v>64</v>
      </c>
      <c r="Y42" s="40" t="s">
        <v>64</v>
      </c>
      <c r="Z42" s="40" t="s">
        <v>64</v>
      </c>
      <c r="AA42" s="40" t="s">
        <v>64</v>
      </c>
      <c r="AB42" s="40" t="s">
        <v>64</v>
      </c>
      <c r="AC42" s="40" t="s">
        <v>64</v>
      </c>
      <c r="AD42" s="40" t="s">
        <v>440</v>
      </c>
      <c r="AE42" s="40">
        <v>68.040000000000006</v>
      </c>
      <c r="AF42" s="40" t="s">
        <v>64</v>
      </c>
      <c r="AG42" s="40" t="s">
        <v>64</v>
      </c>
      <c r="AH42" s="40" t="s">
        <v>64</v>
      </c>
      <c r="AI42" s="40" t="s">
        <v>64</v>
      </c>
      <c r="AJ42" s="40" t="s">
        <v>64</v>
      </c>
      <c r="AK42" s="46" t="s">
        <v>64</v>
      </c>
      <c r="AL42" s="46" t="s">
        <v>64</v>
      </c>
      <c r="AM42" s="46" t="s">
        <v>64</v>
      </c>
      <c r="AN42" s="46" t="s">
        <v>64</v>
      </c>
      <c r="AO42" s="46" t="s">
        <v>64</v>
      </c>
      <c r="AP42" s="46" t="s">
        <v>64</v>
      </c>
      <c r="AQ42" s="46" t="s">
        <v>64</v>
      </c>
      <c r="AR42" s="46" t="s">
        <v>64</v>
      </c>
      <c r="AS42" s="46" t="s">
        <v>64</v>
      </c>
      <c r="AT42" s="46" t="s">
        <v>64</v>
      </c>
      <c r="AU42" s="46" t="s">
        <v>64</v>
      </c>
      <c r="AV42" s="46" t="s">
        <v>64</v>
      </c>
      <c r="AW42" s="46" t="s">
        <v>64</v>
      </c>
      <c r="AX42" s="46" t="s">
        <v>64</v>
      </c>
      <c r="AY42" s="46">
        <v>38.93</v>
      </c>
      <c r="AZ42" s="46" t="s">
        <v>64</v>
      </c>
      <c r="BA42" s="46" t="s">
        <v>64</v>
      </c>
      <c r="BB42" s="46" t="s">
        <v>64</v>
      </c>
      <c r="BC42" s="46" t="s">
        <v>64</v>
      </c>
      <c r="BD42" s="46" t="s">
        <v>64</v>
      </c>
      <c r="BE42" s="46" t="s">
        <v>64</v>
      </c>
      <c r="BF42" s="46" t="s">
        <v>64</v>
      </c>
      <c r="BG42" s="46" t="s">
        <v>64</v>
      </c>
      <c r="BH42" s="46" t="s">
        <v>64</v>
      </c>
      <c r="BI42" s="46" t="s">
        <v>64</v>
      </c>
      <c r="BJ42" s="46">
        <v>38.93</v>
      </c>
    </row>
    <row r="43" spans="1:62" x14ac:dyDescent="0.2">
      <c r="A43" s="39" t="s">
        <v>482</v>
      </c>
      <c r="B43" s="39" t="s">
        <v>536</v>
      </c>
      <c r="C43" s="39" t="s">
        <v>482</v>
      </c>
      <c r="D43" s="40" t="s">
        <v>579</v>
      </c>
      <c r="E43" s="40" t="s">
        <v>346</v>
      </c>
      <c r="F43" s="40">
        <v>18.7</v>
      </c>
      <c r="G43" s="40" t="s">
        <v>12</v>
      </c>
      <c r="H43" s="40" t="s">
        <v>64</v>
      </c>
      <c r="I43" s="40" t="s">
        <v>64</v>
      </c>
      <c r="J43" s="40" t="s">
        <v>64</v>
      </c>
      <c r="K43" s="40" t="s">
        <v>64</v>
      </c>
      <c r="L43" s="40" t="s">
        <v>64</v>
      </c>
      <c r="M43" s="40" t="s">
        <v>64</v>
      </c>
      <c r="N43" s="40" t="s">
        <v>64</v>
      </c>
      <c r="O43" s="40" t="s">
        <v>64</v>
      </c>
      <c r="P43" s="40" t="s">
        <v>64</v>
      </c>
      <c r="Q43" s="40" t="s">
        <v>64</v>
      </c>
      <c r="R43" s="40" t="s">
        <v>64</v>
      </c>
      <c r="S43" s="40" t="s">
        <v>64</v>
      </c>
      <c r="T43" s="40" t="s">
        <v>438</v>
      </c>
      <c r="U43" s="40">
        <v>16.38</v>
      </c>
      <c r="V43" s="40" t="s">
        <v>439</v>
      </c>
      <c r="W43" s="40">
        <v>75.69</v>
      </c>
      <c r="X43" s="40" t="s">
        <v>64</v>
      </c>
      <c r="Y43" s="40" t="s">
        <v>64</v>
      </c>
      <c r="Z43" s="40" t="s">
        <v>64</v>
      </c>
      <c r="AA43" s="40" t="s">
        <v>64</v>
      </c>
      <c r="AB43" s="40" t="s">
        <v>64</v>
      </c>
      <c r="AC43" s="40" t="s">
        <v>64</v>
      </c>
      <c r="AD43" s="40" t="s">
        <v>440</v>
      </c>
      <c r="AE43" s="40">
        <v>82.96</v>
      </c>
      <c r="AF43" s="40" t="s">
        <v>64</v>
      </c>
      <c r="AG43" s="40" t="s">
        <v>64</v>
      </c>
      <c r="AH43" s="40" t="s">
        <v>64</v>
      </c>
      <c r="AI43" s="40" t="s">
        <v>64</v>
      </c>
      <c r="AJ43" s="40" t="s">
        <v>64</v>
      </c>
      <c r="AK43" s="46" t="s">
        <v>64</v>
      </c>
      <c r="AL43" s="46" t="s">
        <v>64</v>
      </c>
      <c r="AM43" s="46" t="s">
        <v>64</v>
      </c>
      <c r="AN43" s="46" t="s">
        <v>64</v>
      </c>
      <c r="AO43" s="46" t="s">
        <v>64</v>
      </c>
      <c r="AP43" s="46" t="s">
        <v>64</v>
      </c>
      <c r="AQ43" s="46" t="s">
        <v>64</v>
      </c>
      <c r="AR43" s="46" t="s">
        <v>64</v>
      </c>
      <c r="AS43" s="46" t="s">
        <v>64</v>
      </c>
      <c r="AT43" s="46" t="s">
        <v>64</v>
      </c>
      <c r="AU43" s="46" t="s">
        <v>64</v>
      </c>
      <c r="AV43" s="46" t="s">
        <v>64</v>
      </c>
      <c r="AW43" s="46" t="s">
        <v>64</v>
      </c>
      <c r="AX43" s="46" t="s">
        <v>64</v>
      </c>
      <c r="AY43" s="46">
        <v>45.51</v>
      </c>
      <c r="AZ43" s="46" t="s">
        <v>64</v>
      </c>
      <c r="BA43" s="46" t="s">
        <v>64</v>
      </c>
      <c r="BB43" s="46" t="s">
        <v>64</v>
      </c>
      <c r="BC43" s="46" t="s">
        <v>64</v>
      </c>
      <c r="BD43" s="46" t="s">
        <v>64</v>
      </c>
      <c r="BE43" s="46" t="s">
        <v>64</v>
      </c>
      <c r="BF43" s="46" t="s">
        <v>64</v>
      </c>
      <c r="BG43" s="46" t="s">
        <v>64</v>
      </c>
      <c r="BH43" s="46" t="s">
        <v>64</v>
      </c>
      <c r="BI43" s="46" t="s">
        <v>64</v>
      </c>
      <c r="BJ43" s="46">
        <v>45.51</v>
      </c>
    </row>
    <row r="44" spans="1:62" x14ac:dyDescent="0.2">
      <c r="A44" s="39" t="s">
        <v>483</v>
      </c>
      <c r="B44" s="39" t="s">
        <v>536</v>
      </c>
      <c r="C44" s="39" t="s">
        <v>483</v>
      </c>
      <c r="D44" s="40" t="s">
        <v>580</v>
      </c>
      <c r="E44" s="40" t="s">
        <v>346</v>
      </c>
      <c r="F44" s="40">
        <v>15.29</v>
      </c>
      <c r="G44" s="40" t="s">
        <v>12</v>
      </c>
      <c r="H44" s="40" t="s">
        <v>64</v>
      </c>
      <c r="I44" s="40" t="s">
        <v>64</v>
      </c>
      <c r="J44" s="40" t="s">
        <v>64</v>
      </c>
      <c r="K44" s="40" t="s">
        <v>64</v>
      </c>
      <c r="L44" s="40" t="s">
        <v>64</v>
      </c>
      <c r="M44" s="40" t="s">
        <v>64</v>
      </c>
      <c r="N44" s="40" t="s">
        <v>64</v>
      </c>
      <c r="O44" s="40" t="s">
        <v>64</v>
      </c>
      <c r="P44" s="40" t="s">
        <v>64</v>
      </c>
      <c r="Q44" s="40" t="s">
        <v>64</v>
      </c>
      <c r="R44" s="40" t="s">
        <v>64</v>
      </c>
      <c r="S44" s="40" t="s">
        <v>64</v>
      </c>
      <c r="T44" s="40" t="s">
        <v>438</v>
      </c>
      <c r="U44" s="40">
        <v>33.18</v>
      </c>
      <c r="V44" s="40" t="s">
        <v>439</v>
      </c>
      <c r="W44" s="40">
        <v>40.98</v>
      </c>
      <c r="X44" s="40" t="s">
        <v>64</v>
      </c>
      <c r="Y44" s="40" t="s">
        <v>64</v>
      </c>
      <c r="Z44" s="40" t="s">
        <v>64</v>
      </c>
      <c r="AA44" s="40" t="s">
        <v>64</v>
      </c>
      <c r="AB44" s="40" t="s">
        <v>64</v>
      </c>
      <c r="AC44" s="40" t="s">
        <v>64</v>
      </c>
      <c r="AD44" s="40" t="s">
        <v>440</v>
      </c>
      <c r="AE44" s="40">
        <v>68.06</v>
      </c>
      <c r="AF44" s="40" t="s">
        <v>64</v>
      </c>
      <c r="AG44" s="40" t="s">
        <v>64</v>
      </c>
      <c r="AH44" s="40" t="s">
        <v>64</v>
      </c>
      <c r="AI44" s="40" t="s">
        <v>64</v>
      </c>
      <c r="AJ44" s="40" t="s">
        <v>64</v>
      </c>
      <c r="AK44" s="46" t="s">
        <v>64</v>
      </c>
      <c r="AL44" s="46" t="s">
        <v>64</v>
      </c>
      <c r="AM44" s="46" t="s">
        <v>64</v>
      </c>
      <c r="AN44" s="46" t="s">
        <v>64</v>
      </c>
      <c r="AO44" s="46" t="s">
        <v>64</v>
      </c>
      <c r="AP44" s="46" t="s">
        <v>64</v>
      </c>
      <c r="AQ44" s="46" t="s">
        <v>64</v>
      </c>
      <c r="AR44" s="46" t="s">
        <v>64</v>
      </c>
      <c r="AS44" s="46" t="s">
        <v>64</v>
      </c>
      <c r="AT44" s="46" t="s">
        <v>64</v>
      </c>
      <c r="AU44" s="46" t="s">
        <v>64</v>
      </c>
      <c r="AV44" s="46" t="s">
        <v>64</v>
      </c>
      <c r="AW44" s="46" t="s">
        <v>64</v>
      </c>
      <c r="AX44" s="46" t="s">
        <v>64</v>
      </c>
      <c r="AY44" s="46">
        <v>38.799999999999997</v>
      </c>
      <c r="AZ44" s="46" t="s">
        <v>64</v>
      </c>
      <c r="BA44" s="46" t="s">
        <v>64</v>
      </c>
      <c r="BB44" s="46" t="s">
        <v>64</v>
      </c>
      <c r="BC44" s="46" t="s">
        <v>64</v>
      </c>
      <c r="BD44" s="46" t="s">
        <v>64</v>
      </c>
      <c r="BE44" s="46" t="s">
        <v>64</v>
      </c>
      <c r="BF44" s="46" t="s">
        <v>64</v>
      </c>
      <c r="BG44" s="46" t="s">
        <v>64</v>
      </c>
      <c r="BH44" s="46" t="s">
        <v>64</v>
      </c>
      <c r="BI44" s="46" t="s">
        <v>64</v>
      </c>
      <c r="BJ44" s="46">
        <v>38.79</v>
      </c>
    </row>
    <row r="45" spans="1:62" x14ac:dyDescent="0.2">
      <c r="A45" s="39" t="s">
        <v>484</v>
      </c>
      <c r="B45" s="39" t="s">
        <v>536</v>
      </c>
      <c r="C45" s="39" t="s">
        <v>484</v>
      </c>
      <c r="D45" s="40" t="s">
        <v>581</v>
      </c>
      <c r="E45" s="40" t="s">
        <v>346</v>
      </c>
      <c r="F45" s="40">
        <v>36.11</v>
      </c>
      <c r="G45" s="40" t="s">
        <v>12</v>
      </c>
      <c r="H45" s="40" t="s">
        <v>64</v>
      </c>
      <c r="I45" s="40" t="s">
        <v>64</v>
      </c>
      <c r="J45" s="40" t="s">
        <v>64</v>
      </c>
      <c r="K45" s="40" t="s">
        <v>64</v>
      </c>
      <c r="L45" s="40" t="s">
        <v>64</v>
      </c>
      <c r="M45" s="40" t="s">
        <v>64</v>
      </c>
      <c r="N45" s="40" t="s">
        <v>64</v>
      </c>
      <c r="O45" s="40" t="s">
        <v>64</v>
      </c>
      <c r="P45" s="40" t="s">
        <v>64</v>
      </c>
      <c r="Q45" s="40" t="s">
        <v>64</v>
      </c>
      <c r="R45" s="40" t="s">
        <v>64</v>
      </c>
      <c r="S45" s="40" t="s">
        <v>64</v>
      </c>
      <c r="T45" s="40" t="s">
        <v>438</v>
      </c>
      <c r="U45" s="40">
        <v>32.15</v>
      </c>
      <c r="V45" s="40" t="s">
        <v>439</v>
      </c>
      <c r="W45" s="40">
        <v>23.52</v>
      </c>
      <c r="X45" s="40" t="s">
        <v>64</v>
      </c>
      <c r="Y45" s="40" t="s">
        <v>64</v>
      </c>
      <c r="Z45" s="40" t="s">
        <v>64</v>
      </c>
      <c r="AA45" s="40" t="s">
        <v>64</v>
      </c>
      <c r="AB45" s="40" t="s">
        <v>64</v>
      </c>
      <c r="AC45" s="40" t="s">
        <v>64</v>
      </c>
      <c r="AD45" s="40" t="s">
        <v>440</v>
      </c>
      <c r="AE45" s="40">
        <v>105.12</v>
      </c>
      <c r="AF45" s="40" t="s">
        <v>64</v>
      </c>
      <c r="AG45" s="40" t="s">
        <v>64</v>
      </c>
      <c r="AH45" s="40" t="s">
        <v>64</v>
      </c>
      <c r="AI45" s="40" t="s">
        <v>64</v>
      </c>
      <c r="AJ45" s="40" t="s">
        <v>64</v>
      </c>
      <c r="AK45" s="46" t="s">
        <v>64</v>
      </c>
      <c r="AL45" s="46" t="s">
        <v>64</v>
      </c>
      <c r="AM45" s="46" t="s">
        <v>64</v>
      </c>
      <c r="AN45" s="46" t="s">
        <v>64</v>
      </c>
      <c r="AO45" s="46" t="s">
        <v>64</v>
      </c>
      <c r="AP45" s="46" t="s">
        <v>64</v>
      </c>
      <c r="AQ45" s="46" t="s">
        <v>64</v>
      </c>
      <c r="AR45" s="46" t="s">
        <v>64</v>
      </c>
      <c r="AS45" s="46" t="s">
        <v>64</v>
      </c>
      <c r="AT45" s="46" t="s">
        <v>64</v>
      </c>
      <c r="AU45" s="46" t="s">
        <v>64</v>
      </c>
      <c r="AV45" s="46" t="s">
        <v>64</v>
      </c>
      <c r="AW45" s="46" t="s">
        <v>64</v>
      </c>
      <c r="AX45" s="46" t="s">
        <v>64</v>
      </c>
      <c r="AY45" s="46">
        <v>50.33</v>
      </c>
      <c r="AZ45" s="46" t="s">
        <v>64</v>
      </c>
      <c r="BA45" s="46" t="s">
        <v>64</v>
      </c>
      <c r="BB45" s="46" t="s">
        <v>64</v>
      </c>
      <c r="BC45" s="46" t="s">
        <v>64</v>
      </c>
      <c r="BD45" s="46" t="s">
        <v>64</v>
      </c>
      <c r="BE45" s="46" t="s">
        <v>64</v>
      </c>
      <c r="BF45" s="46" t="s">
        <v>64</v>
      </c>
      <c r="BG45" s="46" t="s">
        <v>64</v>
      </c>
      <c r="BH45" s="46" t="s">
        <v>64</v>
      </c>
      <c r="BI45" s="46" t="s">
        <v>64</v>
      </c>
      <c r="BJ45" s="46">
        <v>50.33</v>
      </c>
    </row>
    <row r="46" spans="1:62" x14ac:dyDescent="0.2">
      <c r="A46" s="39" t="s">
        <v>485</v>
      </c>
      <c r="B46" s="39" t="s">
        <v>536</v>
      </c>
      <c r="C46" s="39" t="s">
        <v>485</v>
      </c>
      <c r="D46" s="40" t="s">
        <v>582</v>
      </c>
      <c r="E46" s="40" t="s">
        <v>346</v>
      </c>
      <c r="F46" s="40">
        <v>16.27</v>
      </c>
      <c r="G46" s="40" t="s">
        <v>12</v>
      </c>
      <c r="H46" s="40" t="s">
        <v>64</v>
      </c>
      <c r="I46" s="40" t="s">
        <v>64</v>
      </c>
      <c r="J46" s="40" t="s">
        <v>64</v>
      </c>
      <c r="K46" s="40" t="s">
        <v>64</v>
      </c>
      <c r="L46" s="40" t="s">
        <v>64</v>
      </c>
      <c r="M46" s="40" t="s">
        <v>64</v>
      </c>
      <c r="N46" s="40" t="s">
        <v>64</v>
      </c>
      <c r="O46" s="40" t="s">
        <v>64</v>
      </c>
      <c r="P46" s="40" t="s">
        <v>64</v>
      </c>
      <c r="Q46" s="40" t="s">
        <v>64</v>
      </c>
      <c r="R46" s="40" t="s">
        <v>64</v>
      </c>
      <c r="S46" s="40" t="s">
        <v>64</v>
      </c>
      <c r="T46" s="40" t="s">
        <v>438</v>
      </c>
      <c r="U46" s="40">
        <v>31.12</v>
      </c>
      <c r="V46" s="40" t="s">
        <v>439</v>
      </c>
      <c r="W46" s="40">
        <v>42.94</v>
      </c>
      <c r="X46" s="40" t="s">
        <v>64</v>
      </c>
      <c r="Y46" s="40" t="s">
        <v>64</v>
      </c>
      <c r="Z46" s="40" t="s">
        <v>64</v>
      </c>
      <c r="AA46" s="40" t="s">
        <v>64</v>
      </c>
      <c r="AB46" s="40" t="s">
        <v>64</v>
      </c>
      <c r="AC46" s="40" t="s">
        <v>64</v>
      </c>
      <c r="AD46" s="40" t="s">
        <v>440</v>
      </c>
      <c r="AE46" s="40">
        <v>71</v>
      </c>
      <c r="AF46" s="40" t="s">
        <v>64</v>
      </c>
      <c r="AG46" s="40" t="s">
        <v>64</v>
      </c>
      <c r="AH46" s="40" t="s">
        <v>64</v>
      </c>
      <c r="AI46" s="40" t="s">
        <v>64</v>
      </c>
      <c r="AJ46" s="40" t="s">
        <v>64</v>
      </c>
      <c r="AK46" s="46" t="s">
        <v>64</v>
      </c>
      <c r="AL46" s="46" t="s">
        <v>64</v>
      </c>
      <c r="AM46" s="46" t="s">
        <v>64</v>
      </c>
      <c r="AN46" s="46" t="s">
        <v>64</v>
      </c>
      <c r="AO46" s="46" t="s">
        <v>64</v>
      </c>
      <c r="AP46" s="46" t="s">
        <v>64</v>
      </c>
      <c r="AQ46" s="46" t="s">
        <v>64</v>
      </c>
      <c r="AR46" s="46" t="s">
        <v>64</v>
      </c>
      <c r="AS46" s="46" t="s">
        <v>64</v>
      </c>
      <c r="AT46" s="46" t="s">
        <v>64</v>
      </c>
      <c r="AU46" s="46" t="s">
        <v>64</v>
      </c>
      <c r="AV46" s="46" t="s">
        <v>64</v>
      </c>
      <c r="AW46" s="46" t="s">
        <v>64</v>
      </c>
      <c r="AX46" s="46" t="s">
        <v>64</v>
      </c>
      <c r="AY46" s="46">
        <v>38.130000000000003</v>
      </c>
      <c r="AZ46" s="46" t="s">
        <v>64</v>
      </c>
      <c r="BA46" s="46" t="s">
        <v>64</v>
      </c>
      <c r="BB46" s="46" t="s">
        <v>64</v>
      </c>
      <c r="BC46" s="46" t="s">
        <v>64</v>
      </c>
      <c r="BD46" s="46" t="s">
        <v>64</v>
      </c>
      <c r="BE46" s="46" t="s">
        <v>64</v>
      </c>
      <c r="BF46" s="46" t="s">
        <v>64</v>
      </c>
      <c r="BG46" s="46" t="s">
        <v>64</v>
      </c>
      <c r="BH46" s="46" t="s">
        <v>64</v>
      </c>
      <c r="BI46" s="46" t="s">
        <v>64</v>
      </c>
      <c r="BJ46" s="46">
        <v>38.130000000000003</v>
      </c>
    </row>
    <row r="47" spans="1:62" x14ac:dyDescent="0.2">
      <c r="A47" s="39" t="s">
        <v>486</v>
      </c>
      <c r="B47" s="39" t="s">
        <v>536</v>
      </c>
      <c r="C47" s="39" t="s">
        <v>486</v>
      </c>
      <c r="D47" s="40" t="s">
        <v>583</v>
      </c>
      <c r="E47" s="40" t="s">
        <v>346</v>
      </c>
      <c r="F47" s="40">
        <v>29.19</v>
      </c>
      <c r="G47" s="40" t="s">
        <v>12</v>
      </c>
      <c r="H47" s="40" t="s">
        <v>64</v>
      </c>
      <c r="I47" s="40" t="s">
        <v>64</v>
      </c>
      <c r="J47" s="40" t="s">
        <v>64</v>
      </c>
      <c r="K47" s="40" t="s">
        <v>64</v>
      </c>
      <c r="L47" s="40" t="s">
        <v>64</v>
      </c>
      <c r="M47" s="40" t="s">
        <v>64</v>
      </c>
      <c r="N47" s="40" t="s">
        <v>64</v>
      </c>
      <c r="O47" s="40" t="s">
        <v>64</v>
      </c>
      <c r="P47" s="40" t="s">
        <v>64</v>
      </c>
      <c r="Q47" s="40" t="s">
        <v>64</v>
      </c>
      <c r="R47" s="40" t="s">
        <v>64</v>
      </c>
      <c r="S47" s="40" t="s">
        <v>64</v>
      </c>
      <c r="T47" s="40" t="s">
        <v>438</v>
      </c>
      <c r="U47" s="40">
        <v>15.56</v>
      </c>
      <c r="V47" s="40" t="s">
        <v>439</v>
      </c>
      <c r="W47" s="40">
        <v>42.86</v>
      </c>
      <c r="X47" s="40" t="s">
        <v>64</v>
      </c>
      <c r="Y47" s="40" t="s">
        <v>64</v>
      </c>
      <c r="Z47" s="40" t="s">
        <v>64</v>
      </c>
      <c r="AA47" s="40" t="s">
        <v>64</v>
      </c>
      <c r="AB47" s="40" t="s">
        <v>64</v>
      </c>
      <c r="AC47" s="40" t="s">
        <v>64</v>
      </c>
      <c r="AD47" s="40" t="s">
        <v>440</v>
      </c>
      <c r="AE47" s="40">
        <v>70.959999999999994</v>
      </c>
      <c r="AF47" s="40" t="s">
        <v>64</v>
      </c>
      <c r="AG47" s="40" t="s">
        <v>64</v>
      </c>
      <c r="AH47" s="40" t="s">
        <v>64</v>
      </c>
      <c r="AI47" s="40" t="s">
        <v>64</v>
      </c>
      <c r="AJ47" s="40" t="s">
        <v>64</v>
      </c>
      <c r="AK47" s="46" t="s">
        <v>64</v>
      </c>
      <c r="AL47" s="46" t="s">
        <v>64</v>
      </c>
      <c r="AM47" s="46" t="s">
        <v>64</v>
      </c>
      <c r="AN47" s="46" t="s">
        <v>64</v>
      </c>
      <c r="AO47" s="46" t="s">
        <v>64</v>
      </c>
      <c r="AP47" s="46" t="s">
        <v>64</v>
      </c>
      <c r="AQ47" s="46" t="s">
        <v>64</v>
      </c>
      <c r="AR47" s="46" t="s">
        <v>64</v>
      </c>
      <c r="AS47" s="46" t="s">
        <v>64</v>
      </c>
      <c r="AT47" s="46" t="s">
        <v>64</v>
      </c>
      <c r="AU47" s="46" t="s">
        <v>64</v>
      </c>
      <c r="AV47" s="46" t="s">
        <v>64</v>
      </c>
      <c r="AW47" s="46" t="s">
        <v>64</v>
      </c>
      <c r="AX47" s="46" t="s">
        <v>64</v>
      </c>
      <c r="AY47" s="46">
        <v>38.049999999999997</v>
      </c>
      <c r="AZ47" s="46" t="s">
        <v>64</v>
      </c>
      <c r="BA47" s="46" t="s">
        <v>64</v>
      </c>
      <c r="BB47" s="46" t="s">
        <v>64</v>
      </c>
      <c r="BC47" s="46" t="s">
        <v>64</v>
      </c>
      <c r="BD47" s="46" t="s">
        <v>64</v>
      </c>
      <c r="BE47" s="46" t="s">
        <v>64</v>
      </c>
      <c r="BF47" s="46" t="s">
        <v>64</v>
      </c>
      <c r="BG47" s="46" t="s">
        <v>64</v>
      </c>
      <c r="BH47" s="46" t="s">
        <v>64</v>
      </c>
      <c r="BI47" s="46" t="s">
        <v>64</v>
      </c>
      <c r="BJ47" s="46">
        <v>38.04</v>
      </c>
    </row>
    <row r="48" spans="1:62" x14ac:dyDescent="0.2">
      <c r="A48" s="39" t="s">
        <v>487</v>
      </c>
      <c r="B48" s="39" t="s">
        <v>536</v>
      </c>
      <c r="C48" s="39" t="s">
        <v>487</v>
      </c>
      <c r="D48" s="40" t="s">
        <v>584</v>
      </c>
      <c r="E48" s="40" t="s">
        <v>346</v>
      </c>
      <c r="F48" s="40">
        <v>38.799999999999997</v>
      </c>
      <c r="G48" s="40" t="s">
        <v>12</v>
      </c>
      <c r="H48" s="40" t="s">
        <v>64</v>
      </c>
      <c r="I48" s="40" t="s">
        <v>64</v>
      </c>
      <c r="J48" s="40" t="s">
        <v>64</v>
      </c>
      <c r="K48" s="40" t="s">
        <v>64</v>
      </c>
      <c r="L48" s="40" t="s">
        <v>64</v>
      </c>
      <c r="M48" s="40" t="s">
        <v>64</v>
      </c>
      <c r="N48" s="40" t="s">
        <v>64</v>
      </c>
      <c r="O48" s="40" t="s">
        <v>64</v>
      </c>
      <c r="P48" s="40" t="s">
        <v>64</v>
      </c>
      <c r="Q48" s="40" t="s">
        <v>64</v>
      </c>
      <c r="R48" s="40" t="s">
        <v>64</v>
      </c>
      <c r="S48" s="40" t="s">
        <v>64</v>
      </c>
      <c r="T48" s="40" t="s">
        <v>439</v>
      </c>
      <c r="U48" s="40">
        <v>60.9</v>
      </c>
      <c r="V48" s="40" t="s">
        <v>64</v>
      </c>
      <c r="W48" s="40" t="s">
        <v>64</v>
      </c>
      <c r="X48" s="40" t="s">
        <v>64</v>
      </c>
      <c r="Y48" s="40" t="s">
        <v>64</v>
      </c>
      <c r="Z48" s="40" t="s">
        <v>64</v>
      </c>
      <c r="AA48" s="40" t="s">
        <v>64</v>
      </c>
      <c r="AB48" s="40" t="s">
        <v>64</v>
      </c>
      <c r="AC48" s="40" t="s">
        <v>64</v>
      </c>
      <c r="AD48" s="40" t="s">
        <v>440</v>
      </c>
      <c r="AE48" s="40">
        <v>73.52</v>
      </c>
      <c r="AF48" s="40" t="s">
        <v>64</v>
      </c>
      <c r="AG48" s="40" t="s">
        <v>64</v>
      </c>
      <c r="AH48" s="40" t="s">
        <v>64</v>
      </c>
      <c r="AI48" s="40" t="s">
        <v>64</v>
      </c>
      <c r="AJ48" s="40" t="s">
        <v>64</v>
      </c>
      <c r="AK48" s="46" t="s">
        <v>64</v>
      </c>
      <c r="AL48" s="46" t="s">
        <v>64</v>
      </c>
      <c r="AM48" s="46" t="s">
        <v>64</v>
      </c>
      <c r="AN48" s="46" t="s">
        <v>64</v>
      </c>
      <c r="AO48" s="46" t="s">
        <v>64</v>
      </c>
      <c r="AP48" s="46" t="s">
        <v>64</v>
      </c>
      <c r="AQ48" s="46" t="s">
        <v>64</v>
      </c>
      <c r="AR48" s="46" t="s">
        <v>64</v>
      </c>
      <c r="AS48" s="46" t="s">
        <v>64</v>
      </c>
      <c r="AT48" s="46" t="s">
        <v>64</v>
      </c>
      <c r="AU48" s="46" t="s">
        <v>64</v>
      </c>
      <c r="AV48" s="46" t="s">
        <v>64</v>
      </c>
      <c r="AW48" s="46" t="s">
        <v>64</v>
      </c>
      <c r="AX48" s="46" t="s">
        <v>64</v>
      </c>
      <c r="AY48" s="46">
        <v>44.35</v>
      </c>
      <c r="AZ48" s="46" t="s">
        <v>64</v>
      </c>
      <c r="BA48" s="46" t="s">
        <v>64</v>
      </c>
      <c r="BB48" s="46" t="s">
        <v>64</v>
      </c>
      <c r="BC48" s="46" t="s">
        <v>64</v>
      </c>
      <c r="BD48" s="46" t="s">
        <v>64</v>
      </c>
      <c r="BE48" s="46" t="s">
        <v>64</v>
      </c>
      <c r="BF48" s="46" t="s">
        <v>64</v>
      </c>
      <c r="BG48" s="46" t="s">
        <v>64</v>
      </c>
      <c r="BH48" s="46" t="s">
        <v>64</v>
      </c>
      <c r="BI48" s="46" t="s">
        <v>64</v>
      </c>
      <c r="BJ48" s="46">
        <v>44.34</v>
      </c>
    </row>
    <row r="49" spans="1:62" x14ac:dyDescent="0.2">
      <c r="A49" s="39" t="s">
        <v>488</v>
      </c>
      <c r="B49" s="39" t="s">
        <v>536</v>
      </c>
      <c r="C49" s="39" t="s">
        <v>488</v>
      </c>
      <c r="D49" s="40" t="s">
        <v>585</v>
      </c>
      <c r="E49" s="40" t="s">
        <v>346</v>
      </c>
      <c r="F49" s="40">
        <v>14.75</v>
      </c>
      <c r="G49" s="40" t="s">
        <v>12</v>
      </c>
      <c r="H49" s="40" t="s">
        <v>64</v>
      </c>
      <c r="I49" s="40" t="s">
        <v>64</v>
      </c>
      <c r="J49" s="40" t="s">
        <v>64</v>
      </c>
      <c r="K49" s="40" t="s">
        <v>64</v>
      </c>
      <c r="L49" s="40" t="s">
        <v>64</v>
      </c>
      <c r="M49" s="40" t="s">
        <v>64</v>
      </c>
      <c r="N49" s="40" t="s">
        <v>64</v>
      </c>
      <c r="O49" s="40" t="s">
        <v>64</v>
      </c>
      <c r="P49" s="40" t="s">
        <v>64</v>
      </c>
      <c r="Q49" s="40" t="s">
        <v>64</v>
      </c>
      <c r="R49" s="40" t="s">
        <v>64</v>
      </c>
      <c r="S49" s="40" t="s">
        <v>64</v>
      </c>
      <c r="T49" s="40" t="s">
        <v>438</v>
      </c>
      <c r="U49" s="40">
        <v>18.41</v>
      </c>
      <c r="V49" s="40" t="s">
        <v>439</v>
      </c>
      <c r="W49" s="40">
        <v>52.81</v>
      </c>
      <c r="X49" s="40" t="s">
        <v>64</v>
      </c>
      <c r="Y49" s="40" t="s">
        <v>64</v>
      </c>
      <c r="Z49" s="40" t="s">
        <v>64</v>
      </c>
      <c r="AA49" s="40" t="s">
        <v>64</v>
      </c>
      <c r="AB49" s="40" t="s">
        <v>64</v>
      </c>
      <c r="AC49" s="40" t="s">
        <v>64</v>
      </c>
      <c r="AD49" s="40" t="s">
        <v>440</v>
      </c>
      <c r="AE49" s="40">
        <v>69.44</v>
      </c>
      <c r="AF49" s="40" t="s">
        <v>64</v>
      </c>
      <c r="AG49" s="40" t="s">
        <v>64</v>
      </c>
      <c r="AH49" s="40" t="s">
        <v>64</v>
      </c>
      <c r="AI49" s="40" t="s">
        <v>64</v>
      </c>
      <c r="AJ49" s="40" t="s">
        <v>64</v>
      </c>
      <c r="AK49" s="46" t="s">
        <v>64</v>
      </c>
      <c r="AL49" s="46" t="s">
        <v>64</v>
      </c>
      <c r="AM49" s="46" t="s">
        <v>64</v>
      </c>
      <c r="AN49" s="46" t="s">
        <v>64</v>
      </c>
      <c r="AO49" s="46" t="s">
        <v>64</v>
      </c>
      <c r="AP49" s="46" t="s">
        <v>64</v>
      </c>
      <c r="AQ49" s="46" t="s">
        <v>64</v>
      </c>
      <c r="AR49" s="46" t="s">
        <v>64</v>
      </c>
      <c r="AS49" s="46" t="s">
        <v>64</v>
      </c>
      <c r="AT49" s="46" t="s">
        <v>64</v>
      </c>
      <c r="AU49" s="46" t="s">
        <v>64</v>
      </c>
      <c r="AV49" s="46" t="s">
        <v>64</v>
      </c>
      <c r="AW49" s="46" t="s">
        <v>64</v>
      </c>
      <c r="AX49" s="46" t="s">
        <v>64</v>
      </c>
      <c r="AY49" s="46">
        <v>37.32</v>
      </c>
      <c r="AZ49" s="46" t="s">
        <v>64</v>
      </c>
      <c r="BA49" s="46" t="s">
        <v>64</v>
      </c>
      <c r="BB49" s="46" t="s">
        <v>64</v>
      </c>
      <c r="BC49" s="46" t="s">
        <v>64</v>
      </c>
      <c r="BD49" s="46" t="s">
        <v>64</v>
      </c>
      <c r="BE49" s="46" t="s">
        <v>64</v>
      </c>
      <c r="BF49" s="46" t="s">
        <v>64</v>
      </c>
      <c r="BG49" s="46" t="s">
        <v>64</v>
      </c>
      <c r="BH49" s="46" t="s">
        <v>64</v>
      </c>
      <c r="BI49" s="46" t="s">
        <v>64</v>
      </c>
      <c r="BJ49" s="46">
        <v>37.33</v>
      </c>
    </row>
    <row r="50" spans="1:62" x14ac:dyDescent="0.2">
      <c r="A50" s="39" t="s">
        <v>489</v>
      </c>
      <c r="B50" s="39" t="s">
        <v>536</v>
      </c>
      <c r="C50" s="39" t="s">
        <v>489</v>
      </c>
      <c r="D50" s="40" t="s">
        <v>586</v>
      </c>
      <c r="E50" s="40" t="s">
        <v>346</v>
      </c>
      <c r="F50" s="40">
        <v>29.87</v>
      </c>
      <c r="G50" s="40" t="s">
        <v>12</v>
      </c>
      <c r="H50" s="40" t="s">
        <v>64</v>
      </c>
      <c r="I50" s="40" t="s">
        <v>64</v>
      </c>
      <c r="J50" s="40" t="s">
        <v>64</v>
      </c>
      <c r="K50" s="40" t="s">
        <v>64</v>
      </c>
      <c r="L50" s="40" t="s">
        <v>64</v>
      </c>
      <c r="M50" s="40" t="s">
        <v>64</v>
      </c>
      <c r="N50" s="40" t="s">
        <v>64</v>
      </c>
      <c r="O50" s="40" t="s">
        <v>64</v>
      </c>
      <c r="P50" s="40" t="s">
        <v>64</v>
      </c>
      <c r="Q50" s="40" t="s">
        <v>64</v>
      </c>
      <c r="R50" s="40" t="s">
        <v>64</v>
      </c>
      <c r="S50" s="40" t="s">
        <v>64</v>
      </c>
      <c r="T50" s="40" t="s">
        <v>438</v>
      </c>
      <c r="U50" s="40">
        <v>18.41</v>
      </c>
      <c r="V50" s="40" t="s">
        <v>439</v>
      </c>
      <c r="W50" s="40">
        <v>37.119999999999997</v>
      </c>
      <c r="X50" s="40" t="s">
        <v>64</v>
      </c>
      <c r="Y50" s="40" t="s">
        <v>64</v>
      </c>
      <c r="Z50" s="40" t="s">
        <v>64</v>
      </c>
      <c r="AA50" s="40" t="s">
        <v>64</v>
      </c>
      <c r="AB50" s="40" t="s">
        <v>64</v>
      </c>
      <c r="AC50" s="40" t="s">
        <v>64</v>
      </c>
      <c r="AD50" s="40" t="s">
        <v>440</v>
      </c>
      <c r="AE50" s="40">
        <v>68.599999999999994</v>
      </c>
      <c r="AF50" s="40" t="s">
        <v>64</v>
      </c>
      <c r="AG50" s="40" t="s">
        <v>64</v>
      </c>
      <c r="AH50" s="40" t="s">
        <v>64</v>
      </c>
      <c r="AI50" s="40" t="s">
        <v>64</v>
      </c>
      <c r="AJ50" s="40" t="s">
        <v>64</v>
      </c>
      <c r="AK50" s="46" t="s">
        <v>64</v>
      </c>
      <c r="AL50" s="46" t="s">
        <v>64</v>
      </c>
      <c r="AM50" s="46" t="s">
        <v>64</v>
      </c>
      <c r="AN50" s="46" t="s">
        <v>64</v>
      </c>
      <c r="AO50" s="46" t="s">
        <v>64</v>
      </c>
      <c r="AP50" s="46" t="s">
        <v>64</v>
      </c>
      <c r="AQ50" s="46" t="s">
        <v>64</v>
      </c>
      <c r="AR50" s="46" t="s">
        <v>64</v>
      </c>
      <c r="AS50" s="46" t="s">
        <v>64</v>
      </c>
      <c r="AT50" s="46" t="s">
        <v>64</v>
      </c>
      <c r="AU50" s="46" t="s">
        <v>64</v>
      </c>
      <c r="AV50" s="46" t="s">
        <v>64</v>
      </c>
      <c r="AW50" s="46" t="s">
        <v>64</v>
      </c>
      <c r="AX50" s="46" t="s">
        <v>64</v>
      </c>
      <c r="AY50" s="46">
        <v>38.74</v>
      </c>
      <c r="AZ50" s="46" t="s">
        <v>64</v>
      </c>
      <c r="BA50" s="46" t="s">
        <v>64</v>
      </c>
      <c r="BB50" s="46" t="s">
        <v>64</v>
      </c>
      <c r="BC50" s="46" t="s">
        <v>64</v>
      </c>
      <c r="BD50" s="46" t="s">
        <v>64</v>
      </c>
      <c r="BE50" s="46" t="s">
        <v>64</v>
      </c>
      <c r="BF50" s="46" t="s">
        <v>64</v>
      </c>
      <c r="BG50" s="46" t="s">
        <v>64</v>
      </c>
      <c r="BH50" s="46" t="s">
        <v>64</v>
      </c>
      <c r="BI50" s="46" t="s">
        <v>64</v>
      </c>
      <c r="BJ50" s="46">
        <v>38.75</v>
      </c>
    </row>
    <row r="51" spans="1:62" x14ac:dyDescent="0.2">
      <c r="A51" s="39" t="s">
        <v>490</v>
      </c>
      <c r="B51" s="39" t="s">
        <v>536</v>
      </c>
      <c r="C51" s="39" t="s">
        <v>490</v>
      </c>
      <c r="D51" s="40" t="s">
        <v>587</v>
      </c>
      <c r="E51" s="40" t="s">
        <v>346</v>
      </c>
      <c r="F51" s="40">
        <v>14.67</v>
      </c>
      <c r="G51" s="40" t="s">
        <v>12</v>
      </c>
      <c r="H51" s="40" t="s">
        <v>64</v>
      </c>
      <c r="I51" s="40" t="s">
        <v>64</v>
      </c>
      <c r="J51" s="40" t="s">
        <v>64</v>
      </c>
      <c r="K51" s="40" t="s">
        <v>64</v>
      </c>
      <c r="L51" s="40" t="s">
        <v>64</v>
      </c>
      <c r="M51" s="40" t="s">
        <v>64</v>
      </c>
      <c r="N51" s="40" t="s">
        <v>64</v>
      </c>
      <c r="O51" s="40" t="s">
        <v>64</v>
      </c>
      <c r="P51" s="40" t="s">
        <v>64</v>
      </c>
      <c r="Q51" s="40" t="s">
        <v>64</v>
      </c>
      <c r="R51" s="40" t="s">
        <v>64</v>
      </c>
      <c r="S51" s="40" t="s">
        <v>64</v>
      </c>
      <c r="T51" s="40" t="s">
        <v>438</v>
      </c>
      <c r="U51" s="40">
        <v>16.43</v>
      </c>
      <c r="V51" s="40" t="s">
        <v>439</v>
      </c>
      <c r="W51" s="40">
        <v>56.17</v>
      </c>
      <c r="X51" s="40" t="s">
        <v>64</v>
      </c>
      <c r="Y51" s="40" t="s">
        <v>64</v>
      </c>
      <c r="Z51" s="40" t="s">
        <v>64</v>
      </c>
      <c r="AA51" s="40" t="s">
        <v>64</v>
      </c>
      <c r="AB51" s="40" t="s">
        <v>64</v>
      </c>
      <c r="AC51" s="40" t="s">
        <v>64</v>
      </c>
      <c r="AD51" s="40" t="s">
        <v>440</v>
      </c>
      <c r="AE51" s="40">
        <v>67.900000000000006</v>
      </c>
      <c r="AF51" s="40" t="s">
        <v>64</v>
      </c>
      <c r="AG51" s="40" t="s">
        <v>64</v>
      </c>
      <c r="AH51" s="40" t="s">
        <v>64</v>
      </c>
      <c r="AI51" s="40" t="s">
        <v>64</v>
      </c>
      <c r="AJ51" s="40" t="s">
        <v>64</v>
      </c>
      <c r="AK51" s="46" t="s">
        <v>64</v>
      </c>
      <c r="AL51" s="46" t="s">
        <v>64</v>
      </c>
      <c r="AM51" s="46" t="s">
        <v>64</v>
      </c>
      <c r="AN51" s="46" t="s">
        <v>64</v>
      </c>
      <c r="AO51" s="46" t="s">
        <v>64</v>
      </c>
      <c r="AP51" s="46" t="s">
        <v>64</v>
      </c>
      <c r="AQ51" s="46" t="s">
        <v>64</v>
      </c>
      <c r="AR51" s="46" t="s">
        <v>64</v>
      </c>
      <c r="AS51" s="46" t="s">
        <v>64</v>
      </c>
      <c r="AT51" s="46" t="s">
        <v>64</v>
      </c>
      <c r="AU51" s="46" t="s">
        <v>64</v>
      </c>
      <c r="AV51" s="46" t="s">
        <v>64</v>
      </c>
      <c r="AW51" s="46" t="s">
        <v>64</v>
      </c>
      <c r="AX51" s="46" t="s">
        <v>64</v>
      </c>
      <c r="AY51" s="46">
        <v>37.020000000000003</v>
      </c>
      <c r="AZ51" s="46" t="s">
        <v>64</v>
      </c>
      <c r="BA51" s="46" t="s">
        <v>64</v>
      </c>
      <c r="BB51" s="46" t="s">
        <v>64</v>
      </c>
      <c r="BC51" s="46" t="s">
        <v>64</v>
      </c>
      <c r="BD51" s="46" t="s">
        <v>64</v>
      </c>
      <c r="BE51" s="46" t="s">
        <v>64</v>
      </c>
      <c r="BF51" s="46" t="s">
        <v>64</v>
      </c>
      <c r="BG51" s="46" t="s">
        <v>64</v>
      </c>
      <c r="BH51" s="46" t="s">
        <v>64</v>
      </c>
      <c r="BI51" s="46" t="s">
        <v>64</v>
      </c>
      <c r="BJ51" s="46">
        <v>37.03</v>
      </c>
    </row>
    <row r="52" spans="1:62" x14ac:dyDescent="0.2">
      <c r="A52" s="39" t="s">
        <v>491</v>
      </c>
      <c r="B52" s="39" t="s">
        <v>536</v>
      </c>
      <c r="C52" s="39" t="s">
        <v>491</v>
      </c>
      <c r="D52" s="40" t="s">
        <v>588</v>
      </c>
      <c r="E52" s="40" t="s">
        <v>346</v>
      </c>
      <c r="F52" s="40">
        <v>12.84</v>
      </c>
      <c r="G52" s="40" t="s">
        <v>12</v>
      </c>
      <c r="H52" s="40" t="s">
        <v>64</v>
      </c>
      <c r="I52" s="40" t="s">
        <v>64</v>
      </c>
      <c r="J52" s="40" t="s">
        <v>64</v>
      </c>
      <c r="K52" s="40" t="s">
        <v>64</v>
      </c>
      <c r="L52" s="40" t="s">
        <v>64</v>
      </c>
      <c r="M52" s="40" t="s">
        <v>64</v>
      </c>
      <c r="N52" s="40" t="s">
        <v>64</v>
      </c>
      <c r="O52" s="40" t="s">
        <v>64</v>
      </c>
      <c r="P52" s="40" t="s">
        <v>64</v>
      </c>
      <c r="Q52" s="40" t="s">
        <v>64</v>
      </c>
      <c r="R52" s="40" t="s">
        <v>64</v>
      </c>
      <c r="S52" s="40" t="s">
        <v>64</v>
      </c>
      <c r="T52" s="40" t="s">
        <v>438</v>
      </c>
      <c r="U52" s="40">
        <v>16.649999999999999</v>
      </c>
      <c r="V52" s="40" t="s">
        <v>439</v>
      </c>
      <c r="W52" s="40">
        <v>79.010000000000005</v>
      </c>
      <c r="X52" s="40" t="s">
        <v>64</v>
      </c>
      <c r="Y52" s="40" t="s">
        <v>64</v>
      </c>
      <c r="Z52" s="40" t="s">
        <v>64</v>
      </c>
      <c r="AA52" s="40" t="s">
        <v>64</v>
      </c>
      <c r="AB52" s="40" t="s">
        <v>64</v>
      </c>
      <c r="AC52" s="40" t="s">
        <v>64</v>
      </c>
      <c r="AD52" s="40" t="s">
        <v>440</v>
      </c>
      <c r="AE52" s="40">
        <v>63.52</v>
      </c>
      <c r="AF52" s="40" t="s">
        <v>64</v>
      </c>
      <c r="AG52" s="40" t="s">
        <v>64</v>
      </c>
      <c r="AH52" s="40" t="s">
        <v>64</v>
      </c>
      <c r="AI52" s="40" t="s">
        <v>64</v>
      </c>
      <c r="AJ52" s="40" t="s">
        <v>64</v>
      </c>
      <c r="AK52" s="46" t="s">
        <v>64</v>
      </c>
      <c r="AL52" s="46" t="s">
        <v>64</v>
      </c>
      <c r="AM52" s="46" t="s">
        <v>64</v>
      </c>
      <c r="AN52" s="46" t="s">
        <v>64</v>
      </c>
      <c r="AO52" s="46" t="s">
        <v>64</v>
      </c>
      <c r="AP52" s="46" t="s">
        <v>64</v>
      </c>
      <c r="AQ52" s="46" t="s">
        <v>64</v>
      </c>
      <c r="AR52" s="46" t="s">
        <v>64</v>
      </c>
      <c r="AS52" s="46" t="s">
        <v>64</v>
      </c>
      <c r="AT52" s="46" t="s">
        <v>64</v>
      </c>
      <c r="AU52" s="46" t="s">
        <v>64</v>
      </c>
      <c r="AV52" s="46" t="s">
        <v>64</v>
      </c>
      <c r="AW52" s="46" t="s">
        <v>64</v>
      </c>
      <c r="AX52" s="46" t="s">
        <v>64</v>
      </c>
      <c r="AY52" s="46">
        <v>46.48</v>
      </c>
      <c r="AZ52" s="46" t="s">
        <v>64</v>
      </c>
      <c r="BA52" s="46" t="s">
        <v>64</v>
      </c>
      <c r="BB52" s="46" t="s">
        <v>64</v>
      </c>
      <c r="BC52" s="46" t="s">
        <v>64</v>
      </c>
      <c r="BD52" s="46" t="s">
        <v>64</v>
      </c>
      <c r="BE52" s="46" t="s">
        <v>64</v>
      </c>
      <c r="BF52" s="46" t="s">
        <v>64</v>
      </c>
      <c r="BG52" s="46" t="s">
        <v>64</v>
      </c>
      <c r="BH52" s="46" t="s">
        <v>64</v>
      </c>
      <c r="BI52" s="46" t="s">
        <v>64</v>
      </c>
      <c r="BJ52" s="46">
        <v>46.49</v>
      </c>
    </row>
    <row r="53" spans="1:62" x14ac:dyDescent="0.2">
      <c r="A53" s="39" t="s">
        <v>492</v>
      </c>
      <c r="B53" s="39" t="s">
        <v>536</v>
      </c>
      <c r="C53" s="39" t="s">
        <v>492</v>
      </c>
      <c r="D53" s="40" t="s">
        <v>589</v>
      </c>
      <c r="E53" s="40" t="s">
        <v>346</v>
      </c>
      <c r="F53" s="40">
        <v>15.87</v>
      </c>
      <c r="G53" s="40" t="s">
        <v>12</v>
      </c>
      <c r="H53" s="40" t="s">
        <v>64</v>
      </c>
      <c r="I53" s="40" t="s">
        <v>64</v>
      </c>
      <c r="J53" s="40" t="s">
        <v>64</v>
      </c>
      <c r="K53" s="40" t="s">
        <v>64</v>
      </c>
      <c r="L53" s="40" t="s">
        <v>64</v>
      </c>
      <c r="M53" s="40" t="s">
        <v>64</v>
      </c>
      <c r="N53" s="40" t="s">
        <v>64</v>
      </c>
      <c r="O53" s="40" t="s">
        <v>64</v>
      </c>
      <c r="P53" s="40" t="s">
        <v>64</v>
      </c>
      <c r="Q53" s="40" t="s">
        <v>64</v>
      </c>
      <c r="R53" s="40" t="s">
        <v>64</v>
      </c>
      <c r="S53" s="40" t="s">
        <v>64</v>
      </c>
      <c r="T53" s="40" t="s">
        <v>438</v>
      </c>
      <c r="U53" s="40">
        <v>32.86</v>
      </c>
      <c r="V53" s="40" t="s">
        <v>439</v>
      </c>
      <c r="W53" s="40">
        <v>42.14</v>
      </c>
      <c r="X53" s="40" t="s">
        <v>64</v>
      </c>
      <c r="Y53" s="40" t="s">
        <v>64</v>
      </c>
      <c r="Z53" s="40" t="s">
        <v>64</v>
      </c>
      <c r="AA53" s="40" t="s">
        <v>64</v>
      </c>
      <c r="AB53" s="40" t="s">
        <v>64</v>
      </c>
      <c r="AC53" s="40" t="s">
        <v>64</v>
      </c>
      <c r="AD53" s="40" t="s">
        <v>440</v>
      </c>
      <c r="AE53" s="40">
        <v>67.900000000000006</v>
      </c>
      <c r="AF53" s="40" t="s">
        <v>64</v>
      </c>
      <c r="AG53" s="40" t="s">
        <v>64</v>
      </c>
      <c r="AH53" s="40" t="s">
        <v>64</v>
      </c>
      <c r="AI53" s="40" t="s">
        <v>64</v>
      </c>
      <c r="AJ53" s="40" t="s">
        <v>64</v>
      </c>
      <c r="AK53" s="46" t="s">
        <v>64</v>
      </c>
      <c r="AL53" s="46" t="s">
        <v>64</v>
      </c>
      <c r="AM53" s="46" t="s">
        <v>64</v>
      </c>
      <c r="AN53" s="46" t="s">
        <v>64</v>
      </c>
      <c r="AO53" s="46" t="s">
        <v>64</v>
      </c>
      <c r="AP53" s="46" t="s">
        <v>64</v>
      </c>
      <c r="AQ53" s="46" t="s">
        <v>64</v>
      </c>
      <c r="AR53" s="46" t="s">
        <v>64</v>
      </c>
      <c r="AS53" s="46" t="s">
        <v>64</v>
      </c>
      <c r="AT53" s="46" t="s">
        <v>64</v>
      </c>
      <c r="AU53" s="46" t="s">
        <v>64</v>
      </c>
      <c r="AV53" s="46" t="s">
        <v>64</v>
      </c>
      <c r="AW53" s="46" t="s">
        <v>64</v>
      </c>
      <c r="AX53" s="46" t="s">
        <v>64</v>
      </c>
      <c r="AY53" s="46">
        <v>39.26</v>
      </c>
      <c r="AZ53" s="46" t="s">
        <v>64</v>
      </c>
      <c r="BA53" s="46" t="s">
        <v>64</v>
      </c>
      <c r="BB53" s="46" t="s">
        <v>64</v>
      </c>
      <c r="BC53" s="46" t="s">
        <v>64</v>
      </c>
      <c r="BD53" s="46" t="s">
        <v>64</v>
      </c>
      <c r="BE53" s="46" t="s">
        <v>64</v>
      </c>
      <c r="BF53" s="46" t="s">
        <v>64</v>
      </c>
      <c r="BG53" s="46" t="s">
        <v>64</v>
      </c>
      <c r="BH53" s="46" t="s">
        <v>64</v>
      </c>
      <c r="BI53" s="46" t="s">
        <v>64</v>
      </c>
      <c r="BJ53" s="46">
        <v>39.26</v>
      </c>
    </row>
    <row r="54" spans="1:62" x14ac:dyDescent="0.2">
      <c r="A54" s="39" t="s">
        <v>493</v>
      </c>
      <c r="B54" s="39" t="s">
        <v>536</v>
      </c>
      <c r="C54" s="39" t="s">
        <v>493</v>
      </c>
      <c r="D54" s="40" t="s">
        <v>590</v>
      </c>
      <c r="E54" s="40" t="s">
        <v>346</v>
      </c>
      <c r="F54" s="40">
        <v>18.37</v>
      </c>
      <c r="G54" s="40" t="s">
        <v>12</v>
      </c>
      <c r="H54" s="40" t="s">
        <v>64</v>
      </c>
      <c r="I54" s="40" t="s">
        <v>64</v>
      </c>
      <c r="J54" s="40" t="s">
        <v>64</v>
      </c>
      <c r="K54" s="40" t="s">
        <v>64</v>
      </c>
      <c r="L54" s="40" t="s">
        <v>64</v>
      </c>
      <c r="M54" s="40" t="s">
        <v>64</v>
      </c>
      <c r="N54" s="40" t="s">
        <v>64</v>
      </c>
      <c r="O54" s="40" t="s">
        <v>64</v>
      </c>
      <c r="P54" s="40" t="s">
        <v>64</v>
      </c>
      <c r="Q54" s="40" t="s">
        <v>64</v>
      </c>
      <c r="R54" s="40" t="s">
        <v>64</v>
      </c>
      <c r="S54" s="40" t="s">
        <v>64</v>
      </c>
      <c r="T54" s="40" t="s">
        <v>438</v>
      </c>
      <c r="U54" s="40">
        <v>33.299999999999997</v>
      </c>
      <c r="V54" s="40" t="s">
        <v>439</v>
      </c>
      <c r="W54" s="40">
        <v>41.26</v>
      </c>
      <c r="X54" s="40" t="s">
        <v>64</v>
      </c>
      <c r="Y54" s="40" t="s">
        <v>64</v>
      </c>
      <c r="Z54" s="40" t="s">
        <v>64</v>
      </c>
      <c r="AA54" s="40" t="s">
        <v>64</v>
      </c>
      <c r="AB54" s="40" t="s">
        <v>64</v>
      </c>
      <c r="AC54" s="40" t="s">
        <v>64</v>
      </c>
      <c r="AD54" s="40" t="s">
        <v>440</v>
      </c>
      <c r="AE54" s="40">
        <v>68.28</v>
      </c>
      <c r="AF54" s="40" t="s">
        <v>64</v>
      </c>
      <c r="AG54" s="40" t="s">
        <v>64</v>
      </c>
      <c r="AH54" s="40" t="s">
        <v>64</v>
      </c>
      <c r="AI54" s="40" t="s">
        <v>64</v>
      </c>
      <c r="AJ54" s="40" t="s">
        <v>64</v>
      </c>
      <c r="AK54" s="46" t="s">
        <v>64</v>
      </c>
      <c r="AL54" s="46" t="s">
        <v>64</v>
      </c>
      <c r="AM54" s="46" t="s">
        <v>64</v>
      </c>
      <c r="AN54" s="46" t="s">
        <v>64</v>
      </c>
      <c r="AO54" s="46" t="s">
        <v>64</v>
      </c>
      <c r="AP54" s="46" t="s">
        <v>64</v>
      </c>
      <c r="AQ54" s="46" t="s">
        <v>64</v>
      </c>
      <c r="AR54" s="46" t="s">
        <v>64</v>
      </c>
      <c r="AS54" s="46" t="s">
        <v>64</v>
      </c>
      <c r="AT54" s="46" t="s">
        <v>64</v>
      </c>
      <c r="AU54" s="46" t="s">
        <v>64</v>
      </c>
      <c r="AV54" s="46" t="s">
        <v>64</v>
      </c>
      <c r="AW54" s="46" t="s">
        <v>64</v>
      </c>
      <c r="AX54" s="46" t="s">
        <v>64</v>
      </c>
      <c r="AY54" s="46">
        <v>38.93</v>
      </c>
      <c r="AZ54" s="46" t="s">
        <v>64</v>
      </c>
      <c r="BA54" s="46" t="s">
        <v>64</v>
      </c>
      <c r="BB54" s="46" t="s">
        <v>64</v>
      </c>
      <c r="BC54" s="46" t="s">
        <v>64</v>
      </c>
      <c r="BD54" s="46" t="s">
        <v>64</v>
      </c>
      <c r="BE54" s="46" t="s">
        <v>64</v>
      </c>
      <c r="BF54" s="46" t="s">
        <v>64</v>
      </c>
      <c r="BG54" s="46" t="s">
        <v>64</v>
      </c>
      <c r="BH54" s="46" t="s">
        <v>64</v>
      </c>
      <c r="BI54" s="46" t="s">
        <v>64</v>
      </c>
      <c r="BJ54" s="46">
        <v>38.93</v>
      </c>
    </row>
    <row r="55" spans="1:62" x14ac:dyDescent="0.2">
      <c r="A55" s="39" t="s">
        <v>494</v>
      </c>
      <c r="B55" s="39" t="s">
        <v>536</v>
      </c>
      <c r="C55" s="39" t="s">
        <v>494</v>
      </c>
      <c r="D55" s="40" t="s">
        <v>591</v>
      </c>
      <c r="E55" s="40" t="s">
        <v>346</v>
      </c>
      <c r="F55" s="40">
        <v>18.78</v>
      </c>
      <c r="G55" s="40" t="s">
        <v>12</v>
      </c>
      <c r="H55" s="40" t="s">
        <v>64</v>
      </c>
      <c r="I55" s="40" t="s">
        <v>64</v>
      </c>
      <c r="J55" s="40" t="s">
        <v>64</v>
      </c>
      <c r="K55" s="40" t="s">
        <v>64</v>
      </c>
      <c r="L55" s="40" t="s">
        <v>64</v>
      </c>
      <c r="M55" s="40" t="s">
        <v>64</v>
      </c>
      <c r="N55" s="40" t="s">
        <v>64</v>
      </c>
      <c r="O55" s="40" t="s">
        <v>64</v>
      </c>
      <c r="P55" s="40" t="s">
        <v>64</v>
      </c>
      <c r="Q55" s="40" t="s">
        <v>64</v>
      </c>
      <c r="R55" s="40" t="s">
        <v>64</v>
      </c>
      <c r="S55" s="40" t="s">
        <v>64</v>
      </c>
      <c r="T55" s="40" t="s">
        <v>438</v>
      </c>
      <c r="U55" s="40">
        <v>16.43</v>
      </c>
      <c r="V55" s="40" t="s">
        <v>439</v>
      </c>
      <c r="W55" s="40">
        <v>75.94</v>
      </c>
      <c r="X55" s="40" t="s">
        <v>64</v>
      </c>
      <c r="Y55" s="40" t="s">
        <v>64</v>
      </c>
      <c r="Z55" s="40" t="s">
        <v>64</v>
      </c>
      <c r="AA55" s="40" t="s">
        <v>64</v>
      </c>
      <c r="AB55" s="40" t="s">
        <v>64</v>
      </c>
      <c r="AC55" s="40" t="s">
        <v>64</v>
      </c>
      <c r="AD55" s="40" t="s">
        <v>440</v>
      </c>
      <c r="AE55" s="40">
        <v>83.26</v>
      </c>
      <c r="AF55" s="40" t="s">
        <v>64</v>
      </c>
      <c r="AG55" s="40" t="s">
        <v>64</v>
      </c>
      <c r="AH55" s="40" t="s">
        <v>64</v>
      </c>
      <c r="AI55" s="40" t="s">
        <v>64</v>
      </c>
      <c r="AJ55" s="40" t="s">
        <v>64</v>
      </c>
      <c r="AK55" s="46" t="s">
        <v>64</v>
      </c>
      <c r="AL55" s="46" t="s">
        <v>64</v>
      </c>
      <c r="AM55" s="46" t="s">
        <v>64</v>
      </c>
      <c r="AN55" s="46" t="s">
        <v>64</v>
      </c>
      <c r="AO55" s="46" t="s">
        <v>64</v>
      </c>
      <c r="AP55" s="46" t="s">
        <v>64</v>
      </c>
      <c r="AQ55" s="46" t="s">
        <v>64</v>
      </c>
      <c r="AR55" s="46" t="s">
        <v>64</v>
      </c>
      <c r="AS55" s="46" t="s">
        <v>64</v>
      </c>
      <c r="AT55" s="46" t="s">
        <v>64</v>
      </c>
      <c r="AU55" s="46" t="s">
        <v>64</v>
      </c>
      <c r="AV55" s="46" t="s">
        <v>64</v>
      </c>
      <c r="AW55" s="46" t="s">
        <v>64</v>
      </c>
      <c r="AX55" s="46" t="s">
        <v>64</v>
      </c>
      <c r="AY55" s="46">
        <v>45.51</v>
      </c>
      <c r="AZ55" s="46" t="s">
        <v>64</v>
      </c>
      <c r="BA55" s="46" t="s">
        <v>64</v>
      </c>
      <c r="BB55" s="46" t="s">
        <v>64</v>
      </c>
      <c r="BC55" s="46" t="s">
        <v>64</v>
      </c>
      <c r="BD55" s="46" t="s">
        <v>64</v>
      </c>
      <c r="BE55" s="46" t="s">
        <v>64</v>
      </c>
      <c r="BF55" s="46" t="s">
        <v>64</v>
      </c>
      <c r="BG55" s="46" t="s">
        <v>64</v>
      </c>
      <c r="BH55" s="46" t="s">
        <v>64</v>
      </c>
      <c r="BI55" s="46" t="s">
        <v>64</v>
      </c>
      <c r="BJ55" s="46">
        <v>45.51</v>
      </c>
    </row>
    <row r="56" spans="1:62" x14ac:dyDescent="0.2">
      <c r="A56" s="39" t="s">
        <v>495</v>
      </c>
      <c r="B56" s="39" t="s">
        <v>536</v>
      </c>
      <c r="C56" s="39" t="s">
        <v>495</v>
      </c>
      <c r="D56" s="40" t="s">
        <v>592</v>
      </c>
      <c r="E56" s="40" t="s">
        <v>346</v>
      </c>
      <c r="F56" s="40">
        <v>15.36</v>
      </c>
      <c r="G56" s="40" t="s">
        <v>12</v>
      </c>
      <c r="H56" s="40" t="s">
        <v>64</v>
      </c>
      <c r="I56" s="40" t="s">
        <v>64</v>
      </c>
      <c r="J56" s="40" t="s">
        <v>64</v>
      </c>
      <c r="K56" s="40" t="s">
        <v>64</v>
      </c>
      <c r="L56" s="40" t="s">
        <v>64</v>
      </c>
      <c r="M56" s="40" t="s">
        <v>64</v>
      </c>
      <c r="N56" s="40" t="s">
        <v>64</v>
      </c>
      <c r="O56" s="40" t="s">
        <v>64</v>
      </c>
      <c r="P56" s="40" t="s">
        <v>64</v>
      </c>
      <c r="Q56" s="40" t="s">
        <v>64</v>
      </c>
      <c r="R56" s="40" t="s">
        <v>64</v>
      </c>
      <c r="S56" s="40" t="s">
        <v>64</v>
      </c>
      <c r="T56" s="40" t="s">
        <v>438</v>
      </c>
      <c r="U56" s="40">
        <v>33.299999999999997</v>
      </c>
      <c r="V56" s="40" t="s">
        <v>439</v>
      </c>
      <c r="W56" s="40">
        <v>41.12</v>
      </c>
      <c r="X56" s="40" t="s">
        <v>64</v>
      </c>
      <c r="Y56" s="40" t="s">
        <v>64</v>
      </c>
      <c r="Z56" s="40" t="s">
        <v>64</v>
      </c>
      <c r="AA56" s="40" t="s">
        <v>64</v>
      </c>
      <c r="AB56" s="40" t="s">
        <v>64</v>
      </c>
      <c r="AC56" s="40" t="s">
        <v>64</v>
      </c>
      <c r="AD56" s="40" t="s">
        <v>440</v>
      </c>
      <c r="AE56" s="40">
        <v>68.28</v>
      </c>
      <c r="AF56" s="40" t="s">
        <v>64</v>
      </c>
      <c r="AG56" s="40" t="s">
        <v>64</v>
      </c>
      <c r="AH56" s="40" t="s">
        <v>64</v>
      </c>
      <c r="AI56" s="40" t="s">
        <v>64</v>
      </c>
      <c r="AJ56" s="40" t="s">
        <v>64</v>
      </c>
      <c r="AK56" s="46" t="s">
        <v>64</v>
      </c>
      <c r="AL56" s="46" t="s">
        <v>64</v>
      </c>
      <c r="AM56" s="46" t="s">
        <v>64</v>
      </c>
      <c r="AN56" s="46" t="s">
        <v>64</v>
      </c>
      <c r="AO56" s="46" t="s">
        <v>64</v>
      </c>
      <c r="AP56" s="46" t="s">
        <v>64</v>
      </c>
      <c r="AQ56" s="46" t="s">
        <v>64</v>
      </c>
      <c r="AR56" s="46" t="s">
        <v>64</v>
      </c>
      <c r="AS56" s="46" t="s">
        <v>64</v>
      </c>
      <c r="AT56" s="46" t="s">
        <v>64</v>
      </c>
      <c r="AU56" s="46" t="s">
        <v>64</v>
      </c>
      <c r="AV56" s="46" t="s">
        <v>64</v>
      </c>
      <c r="AW56" s="46" t="s">
        <v>64</v>
      </c>
      <c r="AX56" s="46" t="s">
        <v>64</v>
      </c>
      <c r="AY56" s="46">
        <v>38.799999999999997</v>
      </c>
      <c r="AZ56" s="46" t="s">
        <v>64</v>
      </c>
      <c r="BA56" s="46" t="s">
        <v>64</v>
      </c>
      <c r="BB56" s="46" t="s">
        <v>64</v>
      </c>
      <c r="BC56" s="46" t="s">
        <v>64</v>
      </c>
      <c r="BD56" s="46" t="s">
        <v>64</v>
      </c>
      <c r="BE56" s="46" t="s">
        <v>64</v>
      </c>
      <c r="BF56" s="46" t="s">
        <v>64</v>
      </c>
      <c r="BG56" s="46" t="s">
        <v>64</v>
      </c>
      <c r="BH56" s="46" t="s">
        <v>64</v>
      </c>
      <c r="BI56" s="46" t="s">
        <v>64</v>
      </c>
      <c r="BJ56" s="46">
        <v>38.79</v>
      </c>
    </row>
    <row r="57" spans="1:62" x14ac:dyDescent="0.2">
      <c r="A57" s="39" t="s">
        <v>496</v>
      </c>
      <c r="B57" s="39" t="s">
        <v>536</v>
      </c>
      <c r="C57" s="39" t="s">
        <v>496</v>
      </c>
      <c r="D57" s="40" t="s">
        <v>593</v>
      </c>
      <c r="E57" s="40" t="s">
        <v>346</v>
      </c>
      <c r="F57" s="40">
        <v>36.26</v>
      </c>
      <c r="G57" s="40" t="s">
        <v>12</v>
      </c>
      <c r="H57" s="40" t="s">
        <v>64</v>
      </c>
      <c r="I57" s="40" t="s">
        <v>64</v>
      </c>
      <c r="J57" s="40" t="s">
        <v>64</v>
      </c>
      <c r="K57" s="40" t="s">
        <v>64</v>
      </c>
      <c r="L57" s="40" t="s">
        <v>64</v>
      </c>
      <c r="M57" s="40" t="s">
        <v>64</v>
      </c>
      <c r="N57" s="40" t="s">
        <v>64</v>
      </c>
      <c r="O57" s="40" t="s">
        <v>64</v>
      </c>
      <c r="P57" s="40" t="s">
        <v>64</v>
      </c>
      <c r="Q57" s="40" t="s">
        <v>64</v>
      </c>
      <c r="R57" s="40" t="s">
        <v>64</v>
      </c>
      <c r="S57" s="40" t="s">
        <v>64</v>
      </c>
      <c r="T57" s="40" t="s">
        <v>438</v>
      </c>
      <c r="U57" s="40">
        <v>32.26</v>
      </c>
      <c r="V57" s="40" t="s">
        <v>439</v>
      </c>
      <c r="W57" s="40">
        <v>23.6</v>
      </c>
      <c r="X57" s="40" t="s">
        <v>64</v>
      </c>
      <c r="Y57" s="40" t="s">
        <v>64</v>
      </c>
      <c r="Z57" s="40" t="s">
        <v>64</v>
      </c>
      <c r="AA57" s="40" t="s">
        <v>64</v>
      </c>
      <c r="AB57" s="40" t="s">
        <v>64</v>
      </c>
      <c r="AC57" s="40" t="s">
        <v>64</v>
      </c>
      <c r="AD57" s="40" t="s">
        <v>440</v>
      </c>
      <c r="AE57" s="40">
        <v>105.46</v>
      </c>
      <c r="AF57" s="40" t="s">
        <v>64</v>
      </c>
      <c r="AG57" s="40" t="s">
        <v>64</v>
      </c>
      <c r="AH57" s="40" t="s">
        <v>64</v>
      </c>
      <c r="AI57" s="40" t="s">
        <v>64</v>
      </c>
      <c r="AJ57" s="40" t="s">
        <v>64</v>
      </c>
      <c r="AK57" s="46" t="s">
        <v>64</v>
      </c>
      <c r="AL57" s="46" t="s">
        <v>64</v>
      </c>
      <c r="AM57" s="46" t="s">
        <v>64</v>
      </c>
      <c r="AN57" s="46" t="s">
        <v>64</v>
      </c>
      <c r="AO57" s="46" t="s">
        <v>64</v>
      </c>
      <c r="AP57" s="46" t="s">
        <v>64</v>
      </c>
      <c r="AQ57" s="46" t="s">
        <v>64</v>
      </c>
      <c r="AR57" s="46" t="s">
        <v>64</v>
      </c>
      <c r="AS57" s="46" t="s">
        <v>64</v>
      </c>
      <c r="AT57" s="46" t="s">
        <v>64</v>
      </c>
      <c r="AU57" s="46" t="s">
        <v>64</v>
      </c>
      <c r="AV57" s="46" t="s">
        <v>64</v>
      </c>
      <c r="AW57" s="46" t="s">
        <v>64</v>
      </c>
      <c r="AX57" s="46" t="s">
        <v>64</v>
      </c>
      <c r="AY57" s="46">
        <v>50.33</v>
      </c>
      <c r="AZ57" s="46" t="s">
        <v>64</v>
      </c>
      <c r="BA57" s="46" t="s">
        <v>64</v>
      </c>
      <c r="BB57" s="46" t="s">
        <v>64</v>
      </c>
      <c r="BC57" s="46" t="s">
        <v>64</v>
      </c>
      <c r="BD57" s="46" t="s">
        <v>64</v>
      </c>
      <c r="BE57" s="46" t="s">
        <v>64</v>
      </c>
      <c r="BF57" s="46" t="s">
        <v>64</v>
      </c>
      <c r="BG57" s="46" t="s">
        <v>64</v>
      </c>
      <c r="BH57" s="46" t="s">
        <v>64</v>
      </c>
      <c r="BI57" s="46" t="s">
        <v>64</v>
      </c>
      <c r="BJ57" s="46">
        <v>50.33</v>
      </c>
    </row>
    <row r="58" spans="1:62" x14ac:dyDescent="0.2">
      <c r="A58" s="39" t="s">
        <v>497</v>
      </c>
      <c r="B58" s="39" t="s">
        <v>536</v>
      </c>
      <c r="C58" s="39" t="s">
        <v>497</v>
      </c>
      <c r="D58" s="40" t="s">
        <v>594</v>
      </c>
      <c r="E58" s="40" t="s">
        <v>346</v>
      </c>
      <c r="F58" s="40">
        <v>16.350000000000001</v>
      </c>
      <c r="G58" s="40" t="s">
        <v>12</v>
      </c>
      <c r="H58" s="40" t="s">
        <v>64</v>
      </c>
      <c r="I58" s="40" t="s">
        <v>64</v>
      </c>
      <c r="J58" s="40" t="s">
        <v>64</v>
      </c>
      <c r="K58" s="40" t="s">
        <v>64</v>
      </c>
      <c r="L58" s="40" t="s">
        <v>64</v>
      </c>
      <c r="M58" s="40" t="s">
        <v>64</v>
      </c>
      <c r="N58" s="40" t="s">
        <v>64</v>
      </c>
      <c r="O58" s="40" t="s">
        <v>64</v>
      </c>
      <c r="P58" s="40" t="s">
        <v>64</v>
      </c>
      <c r="Q58" s="40" t="s">
        <v>64</v>
      </c>
      <c r="R58" s="40" t="s">
        <v>64</v>
      </c>
      <c r="S58" s="40" t="s">
        <v>64</v>
      </c>
      <c r="T58" s="40" t="s">
        <v>438</v>
      </c>
      <c r="U58" s="40">
        <v>31.22</v>
      </c>
      <c r="V58" s="40" t="s">
        <v>439</v>
      </c>
      <c r="W58" s="40">
        <v>43.1</v>
      </c>
      <c r="X58" s="40" t="s">
        <v>64</v>
      </c>
      <c r="Y58" s="40" t="s">
        <v>64</v>
      </c>
      <c r="Z58" s="40" t="s">
        <v>64</v>
      </c>
      <c r="AA58" s="40" t="s">
        <v>64</v>
      </c>
      <c r="AB58" s="40" t="s">
        <v>64</v>
      </c>
      <c r="AC58" s="40" t="s">
        <v>64</v>
      </c>
      <c r="AD58" s="40" t="s">
        <v>440</v>
      </c>
      <c r="AE58" s="40">
        <v>71.260000000000005</v>
      </c>
      <c r="AF58" s="40" t="s">
        <v>64</v>
      </c>
      <c r="AG58" s="40" t="s">
        <v>64</v>
      </c>
      <c r="AH58" s="40" t="s">
        <v>64</v>
      </c>
      <c r="AI58" s="40" t="s">
        <v>64</v>
      </c>
      <c r="AJ58" s="40" t="s">
        <v>64</v>
      </c>
      <c r="AK58" s="46" t="s">
        <v>64</v>
      </c>
      <c r="AL58" s="46" t="s">
        <v>64</v>
      </c>
      <c r="AM58" s="46" t="s">
        <v>64</v>
      </c>
      <c r="AN58" s="46" t="s">
        <v>64</v>
      </c>
      <c r="AO58" s="46" t="s">
        <v>64</v>
      </c>
      <c r="AP58" s="46" t="s">
        <v>64</v>
      </c>
      <c r="AQ58" s="46" t="s">
        <v>64</v>
      </c>
      <c r="AR58" s="46" t="s">
        <v>64</v>
      </c>
      <c r="AS58" s="46" t="s">
        <v>64</v>
      </c>
      <c r="AT58" s="46" t="s">
        <v>64</v>
      </c>
      <c r="AU58" s="46" t="s">
        <v>64</v>
      </c>
      <c r="AV58" s="46" t="s">
        <v>64</v>
      </c>
      <c r="AW58" s="46" t="s">
        <v>64</v>
      </c>
      <c r="AX58" s="46" t="s">
        <v>64</v>
      </c>
      <c r="AY58" s="46">
        <v>38.130000000000003</v>
      </c>
      <c r="AZ58" s="46" t="s">
        <v>64</v>
      </c>
      <c r="BA58" s="46" t="s">
        <v>64</v>
      </c>
      <c r="BB58" s="46" t="s">
        <v>64</v>
      </c>
      <c r="BC58" s="46" t="s">
        <v>64</v>
      </c>
      <c r="BD58" s="46" t="s">
        <v>64</v>
      </c>
      <c r="BE58" s="46" t="s">
        <v>64</v>
      </c>
      <c r="BF58" s="46" t="s">
        <v>64</v>
      </c>
      <c r="BG58" s="46" t="s">
        <v>64</v>
      </c>
      <c r="BH58" s="46" t="s">
        <v>64</v>
      </c>
      <c r="BI58" s="46" t="s">
        <v>64</v>
      </c>
      <c r="BJ58" s="46">
        <v>38.130000000000003</v>
      </c>
    </row>
    <row r="59" spans="1:62" x14ac:dyDescent="0.2">
      <c r="A59" s="39" t="s">
        <v>498</v>
      </c>
      <c r="B59" s="39" t="s">
        <v>536</v>
      </c>
      <c r="C59" s="39" t="s">
        <v>498</v>
      </c>
      <c r="D59" s="40" t="s">
        <v>595</v>
      </c>
      <c r="E59" s="40" t="s">
        <v>346</v>
      </c>
      <c r="F59" s="40">
        <v>29.31</v>
      </c>
      <c r="G59" s="40" t="s">
        <v>12</v>
      </c>
      <c r="H59" s="40" t="s">
        <v>64</v>
      </c>
      <c r="I59" s="40" t="s">
        <v>64</v>
      </c>
      <c r="J59" s="40" t="s">
        <v>64</v>
      </c>
      <c r="K59" s="40" t="s">
        <v>64</v>
      </c>
      <c r="L59" s="40" t="s">
        <v>64</v>
      </c>
      <c r="M59" s="40" t="s">
        <v>64</v>
      </c>
      <c r="N59" s="40" t="s">
        <v>64</v>
      </c>
      <c r="O59" s="40" t="s">
        <v>64</v>
      </c>
      <c r="P59" s="40" t="s">
        <v>64</v>
      </c>
      <c r="Q59" s="40" t="s">
        <v>64</v>
      </c>
      <c r="R59" s="40" t="s">
        <v>64</v>
      </c>
      <c r="S59" s="40" t="s">
        <v>64</v>
      </c>
      <c r="T59" s="40" t="s">
        <v>438</v>
      </c>
      <c r="U59" s="40">
        <v>15.61</v>
      </c>
      <c r="V59" s="40" t="s">
        <v>439</v>
      </c>
      <c r="W59" s="40">
        <v>43</v>
      </c>
      <c r="X59" s="40" t="s">
        <v>64</v>
      </c>
      <c r="Y59" s="40" t="s">
        <v>64</v>
      </c>
      <c r="Z59" s="40" t="s">
        <v>64</v>
      </c>
      <c r="AA59" s="40" t="s">
        <v>64</v>
      </c>
      <c r="AB59" s="40" t="s">
        <v>64</v>
      </c>
      <c r="AC59" s="40" t="s">
        <v>64</v>
      </c>
      <c r="AD59" s="40" t="s">
        <v>440</v>
      </c>
      <c r="AE59" s="40">
        <v>71.2</v>
      </c>
      <c r="AF59" s="40" t="s">
        <v>64</v>
      </c>
      <c r="AG59" s="40" t="s">
        <v>64</v>
      </c>
      <c r="AH59" s="40" t="s">
        <v>64</v>
      </c>
      <c r="AI59" s="40" t="s">
        <v>64</v>
      </c>
      <c r="AJ59" s="40" t="s">
        <v>64</v>
      </c>
      <c r="AK59" s="46" t="s">
        <v>64</v>
      </c>
      <c r="AL59" s="46" t="s">
        <v>64</v>
      </c>
      <c r="AM59" s="46" t="s">
        <v>64</v>
      </c>
      <c r="AN59" s="46" t="s">
        <v>64</v>
      </c>
      <c r="AO59" s="46" t="s">
        <v>64</v>
      </c>
      <c r="AP59" s="46" t="s">
        <v>64</v>
      </c>
      <c r="AQ59" s="46" t="s">
        <v>64</v>
      </c>
      <c r="AR59" s="46" t="s">
        <v>64</v>
      </c>
      <c r="AS59" s="46" t="s">
        <v>64</v>
      </c>
      <c r="AT59" s="46" t="s">
        <v>64</v>
      </c>
      <c r="AU59" s="46" t="s">
        <v>64</v>
      </c>
      <c r="AV59" s="46" t="s">
        <v>64</v>
      </c>
      <c r="AW59" s="46" t="s">
        <v>64</v>
      </c>
      <c r="AX59" s="46" t="s">
        <v>64</v>
      </c>
      <c r="AY59" s="46">
        <v>38.049999999999997</v>
      </c>
      <c r="AZ59" s="46" t="s">
        <v>64</v>
      </c>
      <c r="BA59" s="46" t="s">
        <v>64</v>
      </c>
      <c r="BB59" s="46" t="s">
        <v>64</v>
      </c>
      <c r="BC59" s="46" t="s">
        <v>64</v>
      </c>
      <c r="BD59" s="46" t="s">
        <v>64</v>
      </c>
      <c r="BE59" s="46" t="s">
        <v>64</v>
      </c>
      <c r="BF59" s="46" t="s">
        <v>64</v>
      </c>
      <c r="BG59" s="46" t="s">
        <v>64</v>
      </c>
      <c r="BH59" s="46" t="s">
        <v>64</v>
      </c>
      <c r="BI59" s="46" t="s">
        <v>64</v>
      </c>
      <c r="BJ59" s="46">
        <v>38.04</v>
      </c>
    </row>
    <row r="60" spans="1:62" x14ac:dyDescent="0.2">
      <c r="A60" s="39" t="s">
        <v>499</v>
      </c>
      <c r="B60" s="39" t="s">
        <v>536</v>
      </c>
      <c r="C60" s="39" t="s">
        <v>499</v>
      </c>
      <c r="D60" s="40" t="s">
        <v>596</v>
      </c>
      <c r="E60" s="40" t="s">
        <v>346</v>
      </c>
      <c r="F60" s="40">
        <v>41.9</v>
      </c>
      <c r="G60" s="40" t="s">
        <v>12</v>
      </c>
      <c r="H60" s="40" t="s">
        <v>64</v>
      </c>
      <c r="I60" s="40" t="s">
        <v>64</v>
      </c>
      <c r="J60" s="40" t="s">
        <v>64</v>
      </c>
      <c r="K60" s="40" t="s">
        <v>64</v>
      </c>
      <c r="L60" s="40" t="s">
        <v>64</v>
      </c>
      <c r="M60" s="40" t="s">
        <v>64</v>
      </c>
      <c r="N60" s="40" t="s">
        <v>64</v>
      </c>
      <c r="O60" s="40" t="s">
        <v>64</v>
      </c>
      <c r="P60" s="40" t="s">
        <v>64</v>
      </c>
      <c r="Q60" s="40" t="s">
        <v>64</v>
      </c>
      <c r="R60" s="40" t="s">
        <v>64</v>
      </c>
      <c r="S60" s="40" t="s">
        <v>64</v>
      </c>
      <c r="T60" s="40" t="s">
        <v>439</v>
      </c>
      <c r="U60" s="40">
        <v>61.1</v>
      </c>
      <c r="V60" s="40" t="s">
        <v>64</v>
      </c>
      <c r="W60" s="40" t="s">
        <v>64</v>
      </c>
      <c r="X60" s="40" t="s">
        <v>64</v>
      </c>
      <c r="Y60" s="40" t="s">
        <v>64</v>
      </c>
      <c r="Z60" s="40" t="s">
        <v>64</v>
      </c>
      <c r="AA60" s="40" t="s">
        <v>64</v>
      </c>
      <c r="AB60" s="40" t="s">
        <v>64</v>
      </c>
      <c r="AC60" s="40" t="s">
        <v>64</v>
      </c>
      <c r="AD60" s="40" t="s">
        <v>440</v>
      </c>
      <c r="AE60" s="40">
        <v>73.78</v>
      </c>
      <c r="AF60" s="40" t="s">
        <v>64</v>
      </c>
      <c r="AG60" s="40" t="s">
        <v>64</v>
      </c>
      <c r="AH60" s="40" t="s">
        <v>64</v>
      </c>
      <c r="AI60" s="40" t="s">
        <v>64</v>
      </c>
      <c r="AJ60" s="40" t="s">
        <v>64</v>
      </c>
      <c r="AK60" s="46" t="s">
        <v>64</v>
      </c>
      <c r="AL60" s="46" t="s">
        <v>64</v>
      </c>
      <c r="AM60" s="46" t="s">
        <v>64</v>
      </c>
      <c r="AN60" s="46" t="s">
        <v>64</v>
      </c>
      <c r="AO60" s="46" t="s">
        <v>64</v>
      </c>
      <c r="AP60" s="46" t="s">
        <v>64</v>
      </c>
      <c r="AQ60" s="46" t="s">
        <v>64</v>
      </c>
      <c r="AR60" s="46" t="s">
        <v>64</v>
      </c>
      <c r="AS60" s="46" t="s">
        <v>64</v>
      </c>
      <c r="AT60" s="46" t="s">
        <v>64</v>
      </c>
      <c r="AU60" s="46" t="s">
        <v>64</v>
      </c>
      <c r="AV60" s="46" t="s">
        <v>64</v>
      </c>
      <c r="AW60" s="46" t="s">
        <v>64</v>
      </c>
      <c r="AX60" s="46" t="s">
        <v>64</v>
      </c>
      <c r="AY60" s="46">
        <v>44.35</v>
      </c>
      <c r="AZ60" s="46" t="s">
        <v>64</v>
      </c>
      <c r="BA60" s="46" t="s">
        <v>64</v>
      </c>
      <c r="BB60" s="46" t="s">
        <v>64</v>
      </c>
      <c r="BC60" s="46" t="s">
        <v>64</v>
      </c>
      <c r="BD60" s="46" t="s">
        <v>64</v>
      </c>
      <c r="BE60" s="46" t="s">
        <v>64</v>
      </c>
      <c r="BF60" s="46" t="s">
        <v>64</v>
      </c>
      <c r="BG60" s="46" t="s">
        <v>64</v>
      </c>
      <c r="BH60" s="46" t="s">
        <v>64</v>
      </c>
      <c r="BI60" s="46" t="s">
        <v>64</v>
      </c>
      <c r="BJ60" s="46">
        <v>44.34</v>
      </c>
    </row>
    <row r="61" spans="1:62" x14ac:dyDescent="0.2">
      <c r="A61" s="39" t="s">
        <v>500</v>
      </c>
      <c r="B61" s="39" t="s">
        <v>536</v>
      </c>
      <c r="C61" s="39" t="s">
        <v>500</v>
      </c>
      <c r="D61" s="40" t="s">
        <v>597</v>
      </c>
      <c r="E61" s="40" t="s">
        <v>346</v>
      </c>
      <c r="F61" s="40">
        <v>14.48</v>
      </c>
      <c r="G61" s="40" t="s">
        <v>12</v>
      </c>
      <c r="H61" s="40" t="s">
        <v>64</v>
      </c>
      <c r="I61" s="40" t="s">
        <v>64</v>
      </c>
      <c r="J61" s="40" t="s">
        <v>64</v>
      </c>
      <c r="K61" s="40" t="s">
        <v>64</v>
      </c>
      <c r="L61" s="40" t="s">
        <v>64</v>
      </c>
      <c r="M61" s="40" t="s">
        <v>64</v>
      </c>
      <c r="N61" s="40" t="s">
        <v>64</v>
      </c>
      <c r="O61" s="40" t="s">
        <v>64</v>
      </c>
      <c r="P61" s="40" t="s">
        <v>64</v>
      </c>
      <c r="Q61" s="40" t="s">
        <v>64</v>
      </c>
      <c r="R61" s="40" t="s">
        <v>64</v>
      </c>
      <c r="S61" s="40" t="s">
        <v>64</v>
      </c>
      <c r="T61" s="40" t="s">
        <v>438</v>
      </c>
      <c r="U61" s="40">
        <v>18.16</v>
      </c>
      <c r="V61" s="40" t="s">
        <v>439</v>
      </c>
      <c r="W61" s="40">
        <v>52.1</v>
      </c>
      <c r="X61" s="40" t="s">
        <v>64</v>
      </c>
      <c r="Y61" s="40" t="s">
        <v>64</v>
      </c>
      <c r="Z61" s="40" t="s">
        <v>64</v>
      </c>
      <c r="AA61" s="40" t="s">
        <v>64</v>
      </c>
      <c r="AB61" s="40" t="s">
        <v>64</v>
      </c>
      <c r="AC61" s="40" t="s">
        <v>64</v>
      </c>
      <c r="AD61" s="40" t="s">
        <v>440</v>
      </c>
      <c r="AE61" s="40">
        <v>68.540000000000006</v>
      </c>
      <c r="AF61" s="40" t="s">
        <v>64</v>
      </c>
      <c r="AG61" s="40" t="s">
        <v>64</v>
      </c>
      <c r="AH61" s="40" t="s">
        <v>64</v>
      </c>
      <c r="AI61" s="40" t="s">
        <v>64</v>
      </c>
      <c r="AJ61" s="40" t="s">
        <v>64</v>
      </c>
      <c r="AK61" s="46" t="s">
        <v>64</v>
      </c>
      <c r="AL61" s="46" t="s">
        <v>64</v>
      </c>
      <c r="AM61" s="46" t="s">
        <v>64</v>
      </c>
      <c r="AN61" s="46" t="s">
        <v>64</v>
      </c>
      <c r="AO61" s="46" t="s">
        <v>64</v>
      </c>
      <c r="AP61" s="46" t="s">
        <v>64</v>
      </c>
      <c r="AQ61" s="46" t="s">
        <v>64</v>
      </c>
      <c r="AR61" s="46" t="s">
        <v>64</v>
      </c>
      <c r="AS61" s="46" t="s">
        <v>64</v>
      </c>
      <c r="AT61" s="46" t="s">
        <v>64</v>
      </c>
      <c r="AU61" s="46" t="s">
        <v>64</v>
      </c>
      <c r="AV61" s="46" t="s">
        <v>64</v>
      </c>
      <c r="AW61" s="46" t="s">
        <v>64</v>
      </c>
      <c r="AX61" s="46" t="s">
        <v>64</v>
      </c>
      <c r="AY61" s="46">
        <v>37.32</v>
      </c>
      <c r="AZ61" s="46" t="s">
        <v>64</v>
      </c>
      <c r="BA61" s="46" t="s">
        <v>64</v>
      </c>
      <c r="BB61" s="46" t="s">
        <v>64</v>
      </c>
      <c r="BC61" s="46" t="s">
        <v>64</v>
      </c>
      <c r="BD61" s="46" t="s">
        <v>64</v>
      </c>
      <c r="BE61" s="46" t="s">
        <v>64</v>
      </c>
      <c r="BF61" s="46" t="s">
        <v>64</v>
      </c>
      <c r="BG61" s="46" t="s">
        <v>64</v>
      </c>
      <c r="BH61" s="46" t="s">
        <v>64</v>
      </c>
      <c r="BI61" s="46" t="s">
        <v>64</v>
      </c>
      <c r="BJ61" s="46">
        <v>37.33</v>
      </c>
    </row>
    <row r="62" spans="1:62" x14ac:dyDescent="0.2">
      <c r="A62" s="39" t="s">
        <v>501</v>
      </c>
      <c r="B62" s="39" t="s">
        <v>536</v>
      </c>
      <c r="C62" s="39" t="s">
        <v>501</v>
      </c>
      <c r="D62" s="40" t="s">
        <v>598</v>
      </c>
      <c r="E62" s="40" t="s">
        <v>346</v>
      </c>
      <c r="F62" s="40">
        <v>29.38</v>
      </c>
      <c r="G62" s="40" t="s">
        <v>12</v>
      </c>
      <c r="H62" s="40" t="s">
        <v>64</v>
      </c>
      <c r="I62" s="40" t="s">
        <v>64</v>
      </c>
      <c r="J62" s="40" t="s">
        <v>64</v>
      </c>
      <c r="K62" s="40" t="s">
        <v>64</v>
      </c>
      <c r="L62" s="40" t="s">
        <v>64</v>
      </c>
      <c r="M62" s="40" t="s">
        <v>64</v>
      </c>
      <c r="N62" s="40" t="s">
        <v>64</v>
      </c>
      <c r="O62" s="40" t="s">
        <v>64</v>
      </c>
      <c r="P62" s="40" t="s">
        <v>64</v>
      </c>
      <c r="Q62" s="40" t="s">
        <v>64</v>
      </c>
      <c r="R62" s="40" t="s">
        <v>64</v>
      </c>
      <c r="S62" s="40" t="s">
        <v>64</v>
      </c>
      <c r="T62" s="40" t="s">
        <v>438</v>
      </c>
      <c r="U62" s="40">
        <v>18.170000000000002</v>
      </c>
      <c r="V62" s="40" t="s">
        <v>439</v>
      </c>
      <c r="W62" s="40">
        <v>36.619999999999997</v>
      </c>
      <c r="X62" s="40" t="s">
        <v>64</v>
      </c>
      <c r="Y62" s="40" t="s">
        <v>64</v>
      </c>
      <c r="Z62" s="40" t="s">
        <v>64</v>
      </c>
      <c r="AA62" s="40" t="s">
        <v>64</v>
      </c>
      <c r="AB62" s="40" t="s">
        <v>64</v>
      </c>
      <c r="AC62" s="40" t="s">
        <v>64</v>
      </c>
      <c r="AD62" s="40" t="s">
        <v>440</v>
      </c>
      <c r="AE62" s="40">
        <v>67.7</v>
      </c>
      <c r="AF62" s="40" t="s">
        <v>64</v>
      </c>
      <c r="AG62" s="40" t="s">
        <v>64</v>
      </c>
      <c r="AH62" s="40" t="s">
        <v>64</v>
      </c>
      <c r="AI62" s="40" t="s">
        <v>64</v>
      </c>
      <c r="AJ62" s="40" t="s">
        <v>64</v>
      </c>
      <c r="AK62" s="46" t="s">
        <v>64</v>
      </c>
      <c r="AL62" s="46" t="s">
        <v>64</v>
      </c>
      <c r="AM62" s="46" t="s">
        <v>64</v>
      </c>
      <c r="AN62" s="46" t="s">
        <v>64</v>
      </c>
      <c r="AO62" s="46" t="s">
        <v>64</v>
      </c>
      <c r="AP62" s="46" t="s">
        <v>64</v>
      </c>
      <c r="AQ62" s="46" t="s">
        <v>64</v>
      </c>
      <c r="AR62" s="46" t="s">
        <v>64</v>
      </c>
      <c r="AS62" s="46" t="s">
        <v>64</v>
      </c>
      <c r="AT62" s="46" t="s">
        <v>64</v>
      </c>
      <c r="AU62" s="46" t="s">
        <v>64</v>
      </c>
      <c r="AV62" s="46" t="s">
        <v>64</v>
      </c>
      <c r="AW62" s="46" t="s">
        <v>64</v>
      </c>
      <c r="AX62" s="46" t="s">
        <v>64</v>
      </c>
      <c r="AY62" s="46">
        <v>38.74</v>
      </c>
      <c r="AZ62" s="46" t="s">
        <v>64</v>
      </c>
      <c r="BA62" s="46" t="s">
        <v>64</v>
      </c>
      <c r="BB62" s="46" t="s">
        <v>64</v>
      </c>
      <c r="BC62" s="46" t="s">
        <v>64</v>
      </c>
      <c r="BD62" s="46" t="s">
        <v>64</v>
      </c>
      <c r="BE62" s="46" t="s">
        <v>64</v>
      </c>
      <c r="BF62" s="46" t="s">
        <v>64</v>
      </c>
      <c r="BG62" s="46" t="s">
        <v>64</v>
      </c>
      <c r="BH62" s="46" t="s">
        <v>64</v>
      </c>
      <c r="BI62" s="46" t="s">
        <v>64</v>
      </c>
      <c r="BJ62" s="46">
        <v>38.75</v>
      </c>
    </row>
    <row r="63" spans="1:62" x14ac:dyDescent="0.2">
      <c r="A63" s="39" t="s">
        <v>502</v>
      </c>
      <c r="B63" s="39" t="s">
        <v>536</v>
      </c>
      <c r="C63" s="39" t="s">
        <v>502</v>
      </c>
      <c r="D63" s="40" t="s">
        <v>599</v>
      </c>
      <c r="E63" s="40" t="s">
        <v>346</v>
      </c>
      <c r="F63" s="40">
        <v>14.41</v>
      </c>
      <c r="G63" s="40" t="s">
        <v>12</v>
      </c>
      <c r="H63" s="40" t="s">
        <v>64</v>
      </c>
      <c r="I63" s="40" t="s">
        <v>64</v>
      </c>
      <c r="J63" s="40" t="s">
        <v>64</v>
      </c>
      <c r="K63" s="40" t="s">
        <v>64</v>
      </c>
      <c r="L63" s="40" t="s">
        <v>64</v>
      </c>
      <c r="M63" s="40" t="s">
        <v>64</v>
      </c>
      <c r="N63" s="40" t="s">
        <v>64</v>
      </c>
      <c r="O63" s="40" t="s">
        <v>64</v>
      </c>
      <c r="P63" s="40" t="s">
        <v>64</v>
      </c>
      <c r="Q63" s="40" t="s">
        <v>64</v>
      </c>
      <c r="R63" s="40" t="s">
        <v>64</v>
      </c>
      <c r="S63" s="40" t="s">
        <v>64</v>
      </c>
      <c r="T63" s="40" t="s">
        <v>438</v>
      </c>
      <c r="U63" s="40">
        <v>16.21</v>
      </c>
      <c r="V63" s="40" t="s">
        <v>439</v>
      </c>
      <c r="W63" s="40">
        <v>55.43</v>
      </c>
      <c r="X63" s="40" t="s">
        <v>64</v>
      </c>
      <c r="Y63" s="40" t="s">
        <v>64</v>
      </c>
      <c r="Z63" s="40" t="s">
        <v>64</v>
      </c>
      <c r="AA63" s="40" t="s">
        <v>64</v>
      </c>
      <c r="AB63" s="40" t="s">
        <v>64</v>
      </c>
      <c r="AC63" s="40" t="s">
        <v>64</v>
      </c>
      <c r="AD63" s="40" t="s">
        <v>440</v>
      </c>
      <c r="AE63" s="40">
        <v>66.959999999999994</v>
      </c>
      <c r="AF63" s="40" t="s">
        <v>64</v>
      </c>
      <c r="AG63" s="40" t="s">
        <v>64</v>
      </c>
      <c r="AH63" s="40" t="s">
        <v>64</v>
      </c>
      <c r="AI63" s="40" t="s">
        <v>64</v>
      </c>
      <c r="AJ63" s="40" t="s">
        <v>64</v>
      </c>
      <c r="AK63" s="46" t="s">
        <v>64</v>
      </c>
      <c r="AL63" s="46" t="s">
        <v>64</v>
      </c>
      <c r="AM63" s="46" t="s">
        <v>64</v>
      </c>
      <c r="AN63" s="46" t="s">
        <v>64</v>
      </c>
      <c r="AO63" s="46" t="s">
        <v>64</v>
      </c>
      <c r="AP63" s="46" t="s">
        <v>64</v>
      </c>
      <c r="AQ63" s="46" t="s">
        <v>64</v>
      </c>
      <c r="AR63" s="46" t="s">
        <v>64</v>
      </c>
      <c r="AS63" s="46" t="s">
        <v>64</v>
      </c>
      <c r="AT63" s="46" t="s">
        <v>64</v>
      </c>
      <c r="AU63" s="46" t="s">
        <v>64</v>
      </c>
      <c r="AV63" s="46" t="s">
        <v>64</v>
      </c>
      <c r="AW63" s="46" t="s">
        <v>64</v>
      </c>
      <c r="AX63" s="46" t="s">
        <v>64</v>
      </c>
      <c r="AY63" s="46">
        <v>37.020000000000003</v>
      </c>
      <c r="AZ63" s="46" t="s">
        <v>64</v>
      </c>
      <c r="BA63" s="46" t="s">
        <v>64</v>
      </c>
      <c r="BB63" s="46" t="s">
        <v>64</v>
      </c>
      <c r="BC63" s="46" t="s">
        <v>64</v>
      </c>
      <c r="BD63" s="46" t="s">
        <v>64</v>
      </c>
      <c r="BE63" s="46" t="s">
        <v>64</v>
      </c>
      <c r="BF63" s="46" t="s">
        <v>64</v>
      </c>
      <c r="BG63" s="46" t="s">
        <v>64</v>
      </c>
      <c r="BH63" s="46" t="s">
        <v>64</v>
      </c>
      <c r="BI63" s="46" t="s">
        <v>64</v>
      </c>
      <c r="BJ63" s="46">
        <v>37.03</v>
      </c>
    </row>
    <row r="64" spans="1:62" x14ac:dyDescent="0.2">
      <c r="A64" s="39" t="s">
        <v>503</v>
      </c>
      <c r="B64" s="39" t="s">
        <v>536</v>
      </c>
      <c r="C64" s="39" t="s">
        <v>503</v>
      </c>
      <c r="D64" s="40" t="s">
        <v>600</v>
      </c>
      <c r="E64" s="40" t="s">
        <v>346</v>
      </c>
      <c r="F64" s="40">
        <v>12.63</v>
      </c>
      <c r="G64" s="40" t="s">
        <v>12</v>
      </c>
      <c r="H64" s="40" t="s">
        <v>64</v>
      </c>
      <c r="I64" s="40" t="s">
        <v>64</v>
      </c>
      <c r="J64" s="40" t="s">
        <v>64</v>
      </c>
      <c r="K64" s="40" t="s">
        <v>64</v>
      </c>
      <c r="L64" s="40" t="s">
        <v>64</v>
      </c>
      <c r="M64" s="40" t="s">
        <v>64</v>
      </c>
      <c r="N64" s="40" t="s">
        <v>64</v>
      </c>
      <c r="O64" s="40" t="s">
        <v>64</v>
      </c>
      <c r="P64" s="40" t="s">
        <v>64</v>
      </c>
      <c r="Q64" s="40" t="s">
        <v>64</v>
      </c>
      <c r="R64" s="40" t="s">
        <v>64</v>
      </c>
      <c r="S64" s="40" t="s">
        <v>64</v>
      </c>
      <c r="T64" s="40" t="s">
        <v>438</v>
      </c>
      <c r="U64" s="40">
        <v>16.43</v>
      </c>
      <c r="V64" s="40" t="s">
        <v>439</v>
      </c>
      <c r="W64" s="40">
        <v>77.94</v>
      </c>
      <c r="X64" s="40" t="s">
        <v>64</v>
      </c>
      <c r="Y64" s="40" t="s">
        <v>64</v>
      </c>
      <c r="Z64" s="40" t="s">
        <v>64</v>
      </c>
      <c r="AA64" s="40" t="s">
        <v>64</v>
      </c>
      <c r="AB64" s="40" t="s">
        <v>64</v>
      </c>
      <c r="AC64" s="40" t="s">
        <v>64</v>
      </c>
      <c r="AD64" s="40" t="s">
        <v>440</v>
      </c>
      <c r="AE64" s="40">
        <v>62.72</v>
      </c>
      <c r="AF64" s="40" t="s">
        <v>64</v>
      </c>
      <c r="AG64" s="40" t="s">
        <v>64</v>
      </c>
      <c r="AH64" s="40" t="s">
        <v>64</v>
      </c>
      <c r="AI64" s="40" t="s">
        <v>64</v>
      </c>
      <c r="AJ64" s="40" t="s">
        <v>64</v>
      </c>
      <c r="AK64" s="46" t="s">
        <v>64</v>
      </c>
      <c r="AL64" s="46" t="s">
        <v>64</v>
      </c>
      <c r="AM64" s="46" t="s">
        <v>64</v>
      </c>
      <c r="AN64" s="46" t="s">
        <v>64</v>
      </c>
      <c r="AO64" s="46" t="s">
        <v>64</v>
      </c>
      <c r="AP64" s="46" t="s">
        <v>64</v>
      </c>
      <c r="AQ64" s="46" t="s">
        <v>64</v>
      </c>
      <c r="AR64" s="46" t="s">
        <v>64</v>
      </c>
      <c r="AS64" s="46" t="s">
        <v>64</v>
      </c>
      <c r="AT64" s="46" t="s">
        <v>64</v>
      </c>
      <c r="AU64" s="46" t="s">
        <v>64</v>
      </c>
      <c r="AV64" s="46" t="s">
        <v>64</v>
      </c>
      <c r="AW64" s="46" t="s">
        <v>64</v>
      </c>
      <c r="AX64" s="46" t="s">
        <v>64</v>
      </c>
      <c r="AY64" s="46">
        <v>46.48</v>
      </c>
      <c r="AZ64" s="46" t="s">
        <v>64</v>
      </c>
      <c r="BA64" s="46" t="s">
        <v>64</v>
      </c>
      <c r="BB64" s="46" t="s">
        <v>64</v>
      </c>
      <c r="BC64" s="46" t="s">
        <v>64</v>
      </c>
      <c r="BD64" s="46" t="s">
        <v>64</v>
      </c>
      <c r="BE64" s="46" t="s">
        <v>64</v>
      </c>
      <c r="BF64" s="46" t="s">
        <v>64</v>
      </c>
      <c r="BG64" s="46" t="s">
        <v>64</v>
      </c>
      <c r="BH64" s="46" t="s">
        <v>64</v>
      </c>
      <c r="BI64" s="46" t="s">
        <v>64</v>
      </c>
      <c r="BJ64" s="46">
        <v>46.49</v>
      </c>
    </row>
    <row r="65" spans="1:62" x14ac:dyDescent="0.2">
      <c r="A65" s="39" t="s">
        <v>504</v>
      </c>
      <c r="B65" s="39" t="s">
        <v>536</v>
      </c>
      <c r="C65" s="39" t="s">
        <v>504</v>
      </c>
      <c r="D65" s="40" t="s">
        <v>601</v>
      </c>
      <c r="E65" s="40" t="s">
        <v>346</v>
      </c>
      <c r="F65" s="40">
        <v>15.59</v>
      </c>
      <c r="G65" s="40" t="s">
        <v>12</v>
      </c>
      <c r="H65" s="40" t="s">
        <v>64</v>
      </c>
      <c r="I65" s="40" t="s">
        <v>64</v>
      </c>
      <c r="J65" s="40" t="s">
        <v>64</v>
      </c>
      <c r="K65" s="40" t="s">
        <v>64</v>
      </c>
      <c r="L65" s="40" t="s">
        <v>64</v>
      </c>
      <c r="M65" s="40" t="s">
        <v>64</v>
      </c>
      <c r="N65" s="40" t="s">
        <v>64</v>
      </c>
      <c r="O65" s="40" t="s">
        <v>64</v>
      </c>
      <c r="P65" s="40" t="s">
        <v>64</v>
      </c>
      <c r="Q65" s="40" t="s">
        <v>64</v>
      </c>
      <c r="R65" s="40" t="s">
        <v>64</v>
      </c>
      <c r="S65" s="40" t="s">
        <v>64</v>
      </c>
      <c r="T65" s="40" t="s">
        <v>438</v>
      </c>
      <c r="U65" s="40">
        <v>32.42</v>
      </c>
      <c r="V65" s="40" t="s">
        <v>439</v>
      </c>
      <c r="W65" s="40">
        <v>41.58</v>
      </c>
      <c r="X65" s="40" t="s">
        <v>64</v>
      </c>
      <c r="Y65" s="40" t="s">
        <v>64</v>
      </c>
      <c r="Z65" s="40" t="s">
        <v>64</v>
      </c>
      <c r="AA65" s="40" t="s">
        <v>64</v>
      </c>
      <c r="AB65" s="40" t="s">
        <v>64</v>
      </c>
      <c r="AC65" s="40" t="s">
        <v>64</v>
      </c>
      <c r="AD65" s="40" t="s">
        <v>440</v>
      </c>
      <c r="AE65" s="40">
        <v>66.959999999999994</v>
      </c>
      <c r="AF65" s="40" t="s">
        <v>64</v>
      </c>
      <c r="AG65" s="40" t="s">
        <v>64</v>
      </c>
      <c r="AH65" s="40" t="s">
        <v>64</v>
      </c>
      <c r="AI65" s="40" t="s">
        <v>64</v>
      </c>
      <c r="AJ65" s="40" t="s">
        <v>64</v>
      </c>
      <c r="AK65" s="46" t="s">
        <v>64</v>
      </c>
      <c r="AL65" s="46" t="s">
        <v>64</v>
      </c>
      <c r="AM65" s="46" t="s">
        <v>64</v>
      </c>
      <c r="AN65" s="46" t="s">
        <v>64</v>
      </c>
      <c r="AO65" s="46" t="s">
        <v>64</v>
      </c>
      <c r="AP65" s="46" t="s">
        <v>64</v>
      </c>
      <c r="AQ65" s="46" t="s">
        <v>64</v>
      </c>
      <c r="AR65" s="46" t="s">
        <v>64</v>
      </c>
      <c r="AS65" s="46" t="s">
        <v>64</v>
      </c>
      <c r="AT65" s="46" t="s">
        <v>64</v>
      </c>
      <c r="AU65" s="46" t="s">
        <v>64</v>
      </c>
      <c r="AV65" s="46" t="s">
        <v>64</v>
      </c>
      <c r="AW65" s="46" t="s">
        <v>64</v>
      </c>
      <c r="AX65" s="46" t="s">
        <v>64</v>
      </c>
      <c r="AY65" s="46">
        <v>39.26</v>
      </c>
      <c r="AZ65" s="46" t="s">
        <v>64</v>
      </c>
      <c r="BA65" s="46" t="s">
        <v>64</v>
      </c>
      <c r="BB65" s="46" t="s">
        <v>64</v>
      </c>
      <c r="BC65" s="46" t="s">
        <v>64</v>
      </c>
      <c r="BD65" s="46" t="s">
        <v>64</v>
      </c>
      <c r="BE65" s="46" t="s">
        <v>64</v>
      </c>
      <c r="BF65" s="46" t="s">
        <v>64</v>
      </c>
      <c r="BG65" s="46" t="s">
        <v>64</v>
      </c>
      <c r="BH65" s="46" t="s">
        <v>64</v>
      </c>
      <c r="BI65" s="46" t="s">
        <v>64</v>
      </c>
      <c r="BJ65" s="46">
        <v>39.26</v>
      </c>
    </row>
    <row r="66" spans="1:62" x14ac:dyDescent="0.2">
      <c r="A66" s="39" t="s">
        <v>505</v>
      </c>
      <c r="B66" s="39" t="s">
        <v>536</v>
      </c>
      <c r="C66" s="39" t="s">
        <v>505</v>
      </c>
      <c r="D66" s="40" t="s">
        <v>602</v>
      </c>
      <c r="E66" s="40" t="s">
        <v>346</v>
      </c>
      <c r="F66" s="40">
        <v>15.15</v>
      </c>
      <c r="G66" s="40" t="s">
        <v>12</v>
      </c>
      <c r="H66" s="40" t="s">
        <v>64</v>
      </c>
      <c r="I66" s="40" t="s">
        <v>64</v>
      </c>
      <c r="J66" s="40" t="s">
        <v>64</v>
      </c>
      <c r="K66" s="40" t="s">
        <v>64</v>
      </c>
      <c r="L66" s="40" t="s">
        <v>64</v>
      </c>
      <c r="M66" s="40" t="s">
        <v>64</v>
      </c>
      <c r="N66" s="40" t="s">
        <v>64</v>
      </c>
      <c r="O66" s="40" t="s">
        <v>64</v>
      </c>
      <c r="P66" s="40" t="s">
        <v>64</v>
      </c>
      <c r="Q66" s="40" t="s">
        <v>64</v>
      </c>
      <c r="R66" s="40" t="s">
        <v>64</v>
      </c>
      <c r="S66" s="40" t="s">
        <v>64</v>
      </c>
      <c r="T66" s="40" t="s">
        <v>438</v>
      </c>
      <c r="U66" s="40">
        <v>32.840000000000003</v>
      </c>
      <c r="V66" s="40" t="s">
        <v>439</v>
      </c>
      <c r="W66" s="40">
        <v>40.700000000000003</v>
      </c>
      <c r="X66" s="40" t="s">
        <v>64</v>
      </c>
      <c r="Y66" s="40" t="s">
        <v>64</v>
      </c>
      <c r="Z66" s="40" t="s">
        <v>64</v>
      </c>
      <c r="AA66" s="40" t="s">
        <v>64</v>
      </c>
      <c r="AB66" s="40" t="s">
        <v>64</v>
      </c>
      <c r="AC66" s="40" t="s">
        <v>64</v>
      </c>
      <c r="AD66" s="40" t="s">
        <v>440</v>
      </c>
      <c r="AE66" s="40">
        <v>67.42</v>
      </c>
      <c r="AF66" s="40" t="s">
        <v>64</v>
      </c>
      <c r="AG66" s="40" t="s">
        <v>64</v>
      </c>
      <c r="AH66" s="40" t="s">
        <v>64</v>
      </c>
      <c r="AI66" s="40" t="s">
        <v>64</v>
      </c>
      <c r="AJ66" s="40" t="s">
        <v>64</v>
      </c>
      <c r="AK66" s="46" t="s">
        <v>64</v>
      </c>
      <c r="AL66" s="46" t="s">
        <v>64</v>
      </c>
      <c r="AM66" s="46" t="s">
        <v>64</v>
      </c>
      <c r="AN66" s="46" t="s">
        <v>64</v>
      </c>
      <c r="AO66" s="46" t="s">
        <v>64</v>
      </c>
      <c r="AP66" s="46" t="s">
        <v>64</v>
      </c>
      <c r="AQ66" s="46" t="s">
        <v>64</v>
      </c>
      <c r="AR66" s="46" t="s">
        <v>64</v>
      </c>
      <c r="AS66" s="46" t="s">
        <v>64</v>
      </c>
      <c r="AT66" s="46" t="s">
        <v>64</v>
      </c>
      <c r="AU66" s="46" t="s">
        <v>64</v>
      </c>
      <c r="AV66" s="46" t="s">
        <v>64</v>
      </c>
      <c r="AW66" s="46" t="s">
        <v>64</v>
      </c>
      <c r="AX66" s="46" t="s">
        <v>64</v>
      </c>
      <c r="AY66" s="46">
        <v>38.93</v>
      </c>
      <c r="AZ66" s="46" t="s">
        <v>64</v>
      </c>
      <c r="BA66" s="46" t="s">
        <v>64</v>
      </c>
      <c r="BB66" s="46" t="s">
        <v>64</v>
      </c>
      <c r="BC66" s="46" t="s">
        <v>64</v>
      </c>
      <c r="BD66" s="46" t="s">
        <v>64</v>
      </c>
      <c r="BE66" s="46" t="s">
        <v>64</v>
      </c>
      <c r="BF66" s="46" t="s">
        <v>64</v>
      </c>
      <c r="BG66" s="46" t="s">
        <v>64</v>
      </c>
      <c r="BH66" s="46" t="s">
        <v>64</v>
      </c>
      <c r="BI66" s="46" t="s">
        <v>64</v>
      </c>
      <c r="BJ66" s="46">
        <v>38.93</v>
      </c>
    </row>
    <row r="67" spans="1:62" x14ac:dyDescent="0.2">
      <c r="A67" s="39" t="s">
        <v>506</v>
      </c>
      <c r="B67" s="39" t="s">
        <v>536</v>
      </c>
      <c r="C67" s="39" t="s">
        <v>506</v>
      </c>
      <c r="D67" s="40" t="s">
        <v>603</v>
      </c>
      <c r="E67" s="40" t="s">
        <v>346</v>
      </c>
      <c r="F67" s="40">
        <v>18.489999999999998</v>
      </c>
      <c r="G67" s="40" t="s">
        <v>12</v>
      </c>
      <c r="H67" s="40" t="s">
        <v>64</v>
      </c>
      <c r="I67" s="40" t="s">
        <v>64</v>
      </c>
      <c r="J67" s="40" t="s">
        <v>64</v>
      </c>
      <c r="K67" s="40" t="s">
        <v>64</v>
      </c>
      <c r="L67" s="40" t="s">
        <v>64</v>
      </c>
      <c r="M67" s="40" t="s">
        <v>64</v>
      </c>
      <c r="N67" s="40" t="s">
        <v>64</v>
      </c>
      <c r="O67" s="40" t="s">
        <v>64</v>
      </c>
      <c r="P67" s="40" t="s">
        <v>64</v>
      </c>
      <c r="Q67" s="40" t="s">
        <v>64</v>
      </c>
      <c r="R67" s="40" t="s">
        <v>64</v>
      </c>
      <c r="S67" s="40" t="s">
        <v>64</v>
      </c>
      <c r="T67" s="40" t="s">
        <v>438</v>
      </c>
      <c r="U67" s="40">
        <v>16.21</v>
      </c>
      <c r="V67" s="40" t="s">
        <v>439</v>
      </c>
      <c r="W67" s="40">
        <v>74.930000000000007</v>
      </c>
      <c r="X67" s="40" t="s">
        <v>64</v>
      </c>
      <c r="Y67" s="40" t="s">
        <v>64</v>
      </c>
      <c r="Z67" s="40" t="s">
        <v>64</v>
      </c>
      <c r="AA67" s="40" t="s">
        <v>64</v>
      </c>
      <c r="AB67" s="40" t="s">
        <v>64</v>
      </c>
      <c r="AC67" s="40" t="s">
        <v>64</v>
      </c>
      <c r="AD67" s="40" t="s">
        <v>440</v>
      </c>
      <c r="AE67" s="40">
        <v>82.14</v>
      </c>
      <c r="AF67" s="40" t="s">
        <v>64</v>
      </c>
      <c r="AG67" s="40" t="s">
        <v>64</v>
      </c>
      <c r="AH67" s="40" t="s">
        <v>64</v>
      </c>
      <c r="AI67" s="40" t="s">
        <v>64</v>
      </c>
      <c r="AJ67" s="40" t="s">
        <v>64</v>
      </c>
      <c r="AK67" s="46" t="s">
        <v>64</v>
      </c>
      <c r="AL67" s="46" t="s">
        <v>64</v>
      </c>
      <c r="AM67" s="46" t="s">
        <v>64</v>
      </c>
      <c r="AN67" s="46" t="s">
        <v>64</v>
      </c>
      <c r="AO67" s="46" t="s">
        <v>64</v>
      </c>
      <c r="AP67" s="46" t="s">
        <v>64</v>
      </c>
      <c r="AQ67" s="46" t="s">
        <v>64</v>
      </c>
      <c r="AR67" s="46" t="s">
        <v>64</v>
      </c>
      <c r="AS67" s="46" t="s">
        <v>64</v>
      </c>
      <c r="AT67" s="46" t="s">
        <v>64</v>
      </c>
      <c r="AU67" s="46" t="s">
        <v>64</v>
      </c>
      <c r="AV67" s="46" t="s">
        <v>64</v>
      </c>
      <c r="AW67" s="46" t="s">
        <v>64</v>
      </c>
      <c r="AX67" s="46" t="s">
        <v>64</v>
      </c>
      <c r="AY67" s="46">
        <v>45.51</v>
      </c>
      <c r="AZ67" s="46" t="s">
        <v>64</v>
      </c>
      <c r="BA67" s="46" t="s">
        <v>64</v>
      </c>
      <c r="BB67" s="46" t="s">
        <v>64</v>
      </c>
      <c r="BC67" s="46" t="s">
        <v>64</v>
      </c>
      <c r="BD67" s="46" t="s">
        <v>64</v>
      </c>
      <c r="BE67" s="46" t="s">
        <v>64</v>
      </c>
      <c r="BF67" s="46" t="s">
        <v>64</v>
      </c>
      <c r="BG67" s="46" t="s">
        <v>64</v>
      </c>
      <c r="BH67" s="46" t="s">
        <v>64</v>
      </c>
      <c r="BI67" s="46" t="s">
        <v>64</v>
      </c>
      <c r="BJ67" s="46">
        <v>45.51</v>
      </c>
    </row>
    <row r="68" spans="1:62" x14ac:dyDescent="0.2">
      <c r="A68" s="39" t="s">
        <v>507</v>
      </c>
      <c r="B68" s="39" t="s">
        <v>536</v>
      </c>
      <c r="C68" s="39" t="s">
        <v>507</v>
      </c>
      <c r="D68" s="40" t="s">
        <v>604</v>
      </c>
      <c r="E68" s="40" t="s">
        <v>346</v>
      </c>
      <c r="F68" s="40">
        <v>15.08</v>
      </c>
      <c r="G68" s="40" t="s">
        <v>12</v>
      </c>
      <c r="H68" s="40" t="s">
        <v>64</v>
      </c>
      <c r="I68" s="40" t="s">
        <v>64</v>
      </c>
      <c r="J68" s="40" t="s">
        <v>64</v>
      </c>
      <c r="K68" s="40" t="s">
        <v>64</v>
      </c>
      <c r="L68" s="40" t="s">
        <v>64</v>
      </c>
      <c r="M68" s="40" t="s">
        <v>64</v>
      </c>
      <c r="N68" s="40" t="s">
        <v>64</v>
      </c>
      <c r="O68" s="40" t="s">
        <v>64</v>
      </c>
      <c r="P68" s="40" t="s">
        <v>64</v>
      </c>
      <c r="Q68" s="40" t="s">
        <v>64</v>
      </c>
      <c r="R68" s="40" t="s">
        <v>64</v>
      </c>
      <c r="S68" s="40" t="s">
        <v>64</v>
      </c>
      <c r="T68" s="40" t="s">
        <v>438</v>
      </c>
      <c r="U68" s="40">
        <v>32.840000000000003</v>
      </c>
      <c r="V68" s="40" t="s">
        <v>439</v>
      </c>
      <c r="W68" s="40">
        <v>40.56</v>
      </c>
      <c r="X68" s="40" t="s">
        <v>64</v>
      </c>
      <c r="Y68" s="40" t="s">
        <v>64</v>
      </c>
      <c r="Z68" s="40" t="s">
        <v>64</v>
      </c>
      <c r="AA68" s="40" t="s">
        <v>64</v>
      </c>
      <c r="AB68" s="40" t="s">
        <v>64</v>
      </c>
      <c r="AC68" s="40" t="s">
        <v>64</v>
      </c>
      <c r="AD68" s="40" t="s">
        <v>440</v>
      </c>
      <c r="AE68" s="40">
        <v>67.42</v>
      </c>
      <c r="AF68" s="40" t="s">
        <v>64</v>
      </c>
      <c r="AG68" s="40" t="s">
        <v>64</v>
      </c>
      <c r="AH68" s="40" t="s">
        <v>64</v>
      </c>
      <c r="AI68" s="40" t="s">
        <v>64</v>
      </c>
      <c r="AJ68" s="40" t="s">
        <v>64</v>
      </c>
      <c r="AK68" s="46" t="s">
        <v>64</v>
      </c>
      <c r="AL68" s="46" t="s">
        <v>64</v>
      </c>
      <c r="AM68" s="46" t="s">
        <v>64</v>
      </c>
      <c r="AN68" s="46" t="s">
        <v>64</v>
      </c>
      <c r="AO68" s="46" t="s">
        <v>64</v>
      </c>
      <c r="AP68" s="46" t="s">
        <v>64</v>
      </c>
      <c r="AQ68" s="46" t="s">
        <v>64</v>
      </c>
      <c r="AR68" s="46" t="s">
        <v>64</v>
      </c>
      <c r="AS68" s="46" t="s">
        <v>64</v>
      </c>
      <c r="AT68" s="46" t="s">
        <v>64</v>
      </c>
      <c r="AU68" s="46" t="s">
        <v>64</v>
      </c>
      <c r="AV68" s="46" t="s">
        <v>64</v>
      </c>
      <c r="AW68" s="46" t="s">
        <v>64</v>
      </c>
      <c r="AX68" s="46" t="s">
        <v>64</v>
      </c>
      <c r="AY68" s="46">
        <v>38.799999999999997</v>
      </c>
      <c r="AZ68" s="46" t="s">
        <v>64</v>
      </c>
      <c r="BA68" s="46" t="s">
        <v>64</v>
      </c>
      <c r="BB68" s="46" t="s">
        <v>64</v>
      </c>
      <c r="BC68" s="46" t="s">
        <v>64</v>
      </c>
      <c r="BD68" s="46" t="s">
        <v>64</v>
      </c>
      <c r="BE68" s="46" t="s">
        <v>64</v>
      </c>
      <c r="BF68" s="46" t="s">
        <v>64</v>
      </c>
      <c r="BG68" s="46" t="s">
        <v>64</v>
      </c>
      <c r="BH68" s="46" t="s">
        <v>64</v>
      </c>
      <c r="BI68" s="46" t="s">
        <v>64</v>
      </c>
      <c r="BJ68" s="46">
        <v>38.79</v>
      </c>
    </row>
    <row r="69" spans="1:62" x14ac:dyDescent="0.2">
      <c r="A69" s="39" t="s">
        <v>508</v>
      </c>
      <c r="B69" s="39" t="s">
        <v>536</v>
      </c>
      <c r="C69" s="39" t="s">
        <v>508</v>
      </c>
      <c r="D69" s="40" t="s">
        <v>605</v>
      </c>
      <c r="E69" s="40" t="s">
        <v>346</v>
      </c>
      <c r="F69" s="40">
        <v>35.659999999999997</v>
      </c>
      <c r="G69" s="40" t="s">
        <v>12</v>
      </c>
      <c r="H69" s="40" t="s">
        <v>64</v>
      </c>
      <c r="I69" s="40" t="s">
        <v>64</v>
      </c>
      <c r="J69" s="40" t="s">
        <v>64</v>
      </c>
      <c r="K69" s="40" t="s">
        <v>64</v>
      </c>
      <c r="L69" s="40" t="s">
        <v>64</v>
      </c>
      <c r="M69" s="40" t="s">
        <v>64</v>
      </c>
      <c r="N69" s="40" t="s">
        <v>64</v>
      </c>
      <c r="O69" s="40" t="s">
        <v>64</v>
      </c>
      <c r="P69" s="40" t="s">
        <v>64</v>
      </c>
      <c r="Q69" s="40" t="s">
        <v>64</v>
      </c>
      <c r="R69" s="40" t="s">
        <v>64</v>
      </c>
      <c r="S69" s="40" t="s">
        <v>64</v>
      </c>
      <c r="T69" s="40" t="s">
        <v>438</v>
      </c>
      <c r="U69" s="40">
        <v>31.82</v>
      </c>
      <c r="V69" s="40" t="s">
        <v>439</v>
      </c>
      <c r="W69" s="40">
        <v>23.28</v>
      </c>
      <c r="X69" s="40" t="s">
        <v>64</v>
      </c>
      <c r="Y69" s="40" t="s">
        <v>64</v>
      </c>
      <c r="Z69" s="40" t="s">
        <v>64</v>
      </c>
      <c r="AA69" s="40" t="s">
        <v>64</v>
      </c>
      <c r="AB69" s="40" t="s">
        <v>64</v>
      </c>
      <c r="AC69" s="40" t="s">
        <v>64</v>
      </c>
      <c r="AD69" s="40" t="s">
        <v>440</v>
      </c>
      <c r="AE69" s="40">
        <v>103.98</v>
      </c>
      <c r="AF69" s="40" t="s">
        <v>64</v>
      </c>
      <c r="AG69" s="40" t="s">
        <v>64</v>
      </c>
      <c r="AH69" s="40" t="s">
        <v>64</v>
      </c>
      <c r="AI69" s="40" t="s">
        <v>64</v>
      </c>
      <c r="AJ69" s="40" t="s">
        <v>64</v>
      </c>
      <c r="AK69" s="46" t="s">
        <v>64</v>
      </c>
      <c r="AL69" s="46" t="s">
        <v>64</v>
      </c>
      <c r="AM69" s="46" t="s">
        <v>64</v>
      </c>
      <c r="AN69" s="46" t="s">
        <v>64</v>
      </c>
      <c r="AO69" s="46" t="s">
        <v>64</v>
      </c>
      <c r="AP69" s="46" t="s">
        <v>64</v>
      </c>
      <c r="AQ69" s="46" t="s">
        <v>64</v>
      </c>
      <c r="AR69" s="46" t="s">
        <v>64</v>
      </c>
      <c r="AS69" s="46" t="s">
        <v>64</v>
      </c>
      <c r="AT69" s="46" t="s">
        <v>64</v>
      </c>
      <c r="AU69" s="46" t="s">
        <v>64</v>
      </c>
      <c r="AV69" s="46" t="s">
        <v>64</v>
      </c>
      <c r="AW69" s="46" t="s">
        <v>64</v>
      </c>
      <c r="AX69" s="46" t="s">
        <v>64</v>
      </c>
      <c r="AY69" s="46">
        <v>50.33</v>
      </c>
      <c r="AZ69" s="46" t="s">
        <v>64</v>
      </c>
      <c r="BA69" s="46" t="s">
        <v>64</v>
      </c>
      <c r="BB69" s="46" t="s">
        <v>64</v>
      </c>
      <c r="BC69" s="46" t="s">
        <v>64</v>
      </c>
      <c r="BD69" s="46" t="s">
        <v>64</v>
      </c>
      <c r="BE69" s="46" t="s">
        <v>64</v>
      </c>
      <c r="BF69" s="46" t="s">
        <v>64</v>
      </c>
      <c r="BG69" s="46" t="s">
        <v>64</v>
      </c>
      <c r="BH69" s="46" t="s">
        <v>64</v>
      </c>
      <c r="BI69" s="46" t="s">
        <v>64</v>
      </c>
      <c r="BJ69" s="46">
        <v>50.33</v>
      </c>
    </row>
    <row r="70" spans="1:62" x14ac:dyDescent="0.2">
      <c r="A70" s="39" t="s">
        <v>509</v>
      </c>
      <c r="B70" s="39" t="s">
        <v>536</v>
      </c>
      <c r="C70" s="39" t="s">
        <v>509</v>
      </c>
      <c r="D70" s="40" t="s">
        <v>606</v>
      </c>
      <c r="E70" s="40" t="s">
        <v>346</v>
      </c>
      <c r="F70" s="40">
        <v>16.059999999999999</v>
      </c>
      <c r="G70" s="40" t="s">
        <v>12</v>
      </c>
      <c r="H70" s="40" t="s">
        <v>64</v>
      </c>
      <c r="I70" s="40" t="s">
        <v>64</v>
      </c>
      <c r="J70" s="40" t="s">
        <v>64</v>
      </c>
      <c r="K70" s="40" t="s">
        <v>64</v>
      </c>
      <c r="L70" s="40" t="s">
        <v>64</v>
      </c>
      <c r="M70" s="40" t="s">
        <v>64</v>
      </c>
      <c r="N70" s="40" t="s">
        <v>64</v>
      </c>
      <c r="O70" s="40" t="s">
        <v>64</v>
      </c>
      <c r="P70" s="40" t="s">
        <v>64</v>
      </c>
      <c r="Q70" s="40" t="s">
        <v>64</v>
      </c>
      <c r="R70" s="40" t="s">
        <v>64</v>
      </c>
      <c r="S70" s="40" t="s">
        <v>64</v>
      </c>
      <c r="T70" s="40" t="s">
        <v>438</v>
      </c>
      <c r="U70" s="40">
        <v>30.8</v>
      </c>
      <c r="V70" s="40" t="s">
        <v>439</v>
      </c>
      <c r="W70" s="40">
        <v>42.52</v>
      </c>
      <c r="X70" s="40" t="s">
        <v>64</v>
      </c>
      <c r="Y70" s="40" t="s">
        <v>64</v>
      </c>
      <c r="Z70" s="40" t="s">
        <v>64</v>
      </c>
      <c r="AA70" s="40" t="s">
        <v>64</v>
      </c>
      <c r="AB70" s="40" t="s">
        <v>64</v>
      </c>
      <c r="AC70" s="40" t="s">
        <v>64</v>
      </c>
      <c r="AD70" s="40" t="s">
        <v>440</v>
      </c>
      <c r="AE70" s="40">
        <v>70.36</v>
      </c>
      <c r="AF70" s="40" t="s">
        <v>64</v>
      </c>
      <c r="AG70" s="40" t="s">
        <v>64</v>
      </c>
      <c r="AH70" s="40" t="s">
        <v>64</v>
      </c>
      <c r="AI70" s="40" t="s">
        <v>64</v>
      </c>
      <c r="AJ70" s="40" t="s">
        <v>64</v>
      </c>
      <c r="AK70" s="46" t="s">
        <v>64</v>
      </c>
      <c r="AL70" s="46" t="s">
        <v>64</v>
      </c>
      <c r="AM70" s="46" t="s">
        <v>64</v>
      </c>
      <c r="AN70" s="46" t="s">
        <v>64</v>
      </c>
      <c r="AO70" s="46" t="s">
        <v>64</v>
      </c>
      <c r="AP70" s="46" t="s">
        <v>64</v>
      </c>
      <c r="AQ70" s="46" t="s">
        <v>64</v>
      </c>
      <c r="AR70" s="46" t="s">
        <v>64</v>
      </c>
      <c r="AS70" s="46" t="s">
        <v>64</v>
      </c>
      <c r="AT70" s="46" t="s">
        <v>64</v>
      </c>
      <c r="AU70" s="46" t="s">
        <v>64</v>
      </c>
      <c r="AV70" s="46" t="s">
        <v>64</v>
      </c>
      <c r="AW70" s="46" t="s">
        <v>64</v>
      </c>
      <c r="AX70" s="46" t="s">
        <v>64</v>
      </c>
      <c r="AY70" s="46">
        <v>38.130000000000003</v>
      </c>
      <c r="AZ70" s="46" t="s">
        <v>64</v>
      </c>
      <c r="BA70" s="46" t="s">
        <v>64</v>
      </c>
      <c r="BB70" s="46" t="s">
        <v>64</v>
      </c>
      <c r="BC70" s="46" t="s">
        <v>64</v>
      </c>
      <c r="BD70" s="46" t="s">
        <v>64</v>
      </c>
      <c r="BE70" s="46" t="s">
        <v>64</v>
      </c>
      <c r="BF70" s="46" t="s">
        <v>64</v>
      </c>
      <c r="BG70" s="46" t="s">
        <v>64</v>
      </c>
      <c r="BH70" s="46" t="s">
        <v>64</v>
      </c>
      <c r="BI70" s="46" t="s">
        <v>64</v>
      </c>
      <c r="BJ70" s="46">
        <v>38.130000000000003</v>
      </c>
    </row>
    <row r="71" spans="1:62" x14ac:dyDescent="0.2">
      <c r="A71" s="39" t="s">
        <v>510</v>
      </c>
      <c r="B71" s="39" t="s">
        <v>536</v>
      </c>
      <c r="C71" s="39" t="s">
        <v>510</v>
      </c>
      <c r="D71" s="40" t="s">
        <v>607</v>
      </c>
      <c r="E71" s="40" t="s">
        <v>346</v>
      </c>
      <c r="F71" s="40">
        <v>28.81</v>
      </c>
      <c r="G71" s="40" t="s">
        <v>12</v>
      </c>
      <c r="H71" s="40" t="s">
        <v>64</v>
      </c>
      <c r="I71" s="40" t="s">
        <v>64</v>
      </c>
      <c r="J71" s="40" t="s">
        <v>64</v>
      </c>
      <c r="K71" s="40" t="s">
        <v>64</v>
      </c>
      <c r="L71" s="40" t="s">
        <v>64</v>
      </c>
      <c r="M71" s="40" t="s">
        <v>64</v>
      </c>
      <c r="N71" s="40" t="s">
        <v>64</v>
      </c>
      <c r="O71" s="40" t="s">
        <v>64</v>
      </c>
      <c r="P71" s="40" t="s">
        <v>64</v>
      </c>
      <c r="Q71" s="40" t="s">
        <v>64</v>
      </c>
      <c r="R71" s="40" t="s">
        <v>64</v>
      </c>
      <c r="S71" s="40" t="s">
        <v>64</v>
      </c>
      <c r="T71" s="40" t="s">
        <v>438</v>
      </c>
      <c r="U71" s="40">
        <v>15.4</v>
      </c>
      <c r="V71" s="40" t="s">
        <v>439</v>
      </c>
      <c r="W71" s="40">
        <v>42.42</v>
      </c>
      <c r="X71" s="40" t="s">
        <v>64</v>
      </c>
      <c r="Y71" s="40" t="s">
        <v>64</v>
      </c>
      <c r="Z71" s="40" t="s">
        <v>64</v>
      </c>
      <c r="AA71" s="40" t="s">
        <v>64</v>
      </c>
      <c r="AB71" s="40" t="s">
        <v>64</v>
      </c>
      <c r="AC71" s="40" t="s">
        <v>64</v>
      </c>
      <c r="AD71" s="40" t="s">
        <v>440</v>
      </c>
      <c r="AE71" s="40">
        <v>70.22</v>
      </c>
      <c r="AF71" s="40" t="s">
        <v>64</v>
      </c>
      <c r="AG71" s="40" t="s">
        <v>64</v>
      </c>
      <c r="AH71" s="40" t="s">
        <v>64</v>
      </c>
      <c r="AI71" s="40" t="s">
        <v>64</v>
      </c>
      <c r="AJ71" s="40" t="s">
        <v>64</v>
      </c>
      <c r="AK71" s="46" t="s">
        <v>64</v>
      </c>
      <c r="AL71" s="46" t="s">
        <v>64</v>
      </c>
      <c r="AM71" s="46" t="s">
        <v>64</v>
      </c>
      <c r="AN71" s="46" t="s">
        <v>64</v>
      </c>
      <c r="AO71" s="46" t="s">
        <v>64</v>
      </c>
      <c r="AP71" s="46" t="s">
        <v>64</v>
      </c>
      <c r="AQ71" s="46" t="s">
        <v>64</v>
      </c>
      <c r="AR71" s="46" t="s">
        <v>64</v>
      </c>
      <c r="AS71" s="46" t="s">
        <v>64</v>
      </c>
      <c r="AT71" s="46" t="s">
        <v>64</v>
      </c>
      <c r="AU71" s="46" t="s">
        <v>64</v>
      </c>
      <c r="AV71" s="46" t="s">
        <v>64</v>
      </c>
      <c r="AW71" s="46" t="s">
        <v>64</v>
      </c>
      <c r="AX71" s="46" t="s">
        <v>64</v>
      </c>
      <c r="AY71" s="46">
        <v>38.049999999999997</v>
      </c>
      <c r="AZ71" s="46" t="s">
        <v>64</v>
      </c>
      <c r="BA71" s="46" t="s">
        <v>64</v>
      </c>
      <c r="BB71" s="46" t="s">
        <v>64</v>
      </c>
      <c r="BC71" s="46" t="s">
        <v>64</v>
      </c>
      <c r="BD71" s="46" t="s">
        <v>64</v>
      </c>
      <c r="BE71" s="46" t="s">
        <v>64</v>
      </c>
      <c r="BF71" s="46" t="s">
        <v>64</v>
      </c>
      <c r="BG71" s="46" t="s">
        <v>64</v>
      </c>
      <c r="BH71" s="46" t="s">
        <v>64</v>
      </c>
      <c r="BI71" s="46" t="s">
        <v>64</v>
      </c>
      <c r="BJ71" s="46">
        <v>38.04</v>
      </c>
    </row>
    <row r="72" spans="1:62" x14ac:dyDescent="0.2">
      <c r="A72" s="39" t="s">
        <v>511</v>
      </c>
      <c r="B72" s="39" t="s">
        <v>536</v>
      </c>
      <c r="C72" s="39" t="s">
        <v>511</v>
      </c>
      <c r="D72" s="40" t="s">
        <v>608</v>
      </c>
      <c r="E72" s="40" t="s">
        <v>346</v>
      </c>
      <c r="F72" s="40">
        <v>38.33</v>
      </c>
      <c r="G72" s="40" t="s">
        <v>12</v>
      </c>
      <c r="H72" s="40" t="s">
        <v>64</v>
      </c>
      <c r="I72" s="40" t="s">
        <v>64</v>
      </c>
      <c r="J72" s="40" t="s">
        <v>64</v>
      </c>
      <c r="K72" s="40" t="s">
        <v>64</v>
      </c>
      <c r="L72" s="40" t="s">
        <v>64</v>
      </c>
      <c r="M72" s="40" t="s">
        <v>64</v>
      </c>
      <c r="N72" s="40" t="s">
        <v>64</v>
      </c>
      <c r="O72" s="40" t="s">
        <v>64</v>
      </c>
      <c r="P72" s="40" t="s">
        <v>64</v>
      </c>
      <c r="Q72" s="40" t="s">
        <v>64</v>
      </c>
      <c r="R72" s="40" t="s">
        <v>64</v>
      </c>
      <c r="S72" s="40" t="s">
        <v>64</v>
      </c>
      <c r="T72" s="40" t="s">
        <v>439</v>
      </c>
      <c r="U72" s="40">
        <v>60.27</v>
      </c>
      <c r="V72" s="40" t="s">
        <v>64</v>
      </c>
      <c r="W72" s="40" t="s">
        <v>64</v>
      </c>
      <c r="X72" s="40" t="s">
        <v>64</v>
      </c>
      <c r="Y72" s="40" t="s">
        <v>64</v>
      </c>
      <c r="Z72" s="40" t="s">
        <v>64</v>
      </c>
      <c r="AA72" s="40" t="s">
        <v>64</v>
      </c>
      <c r="AB72" s="40" t="s">
        <v>64</v>
      </c>
      <c r="AC72" s="40" t="s">
        <v>64</v>
      </c>
      <c r="AD72" s="40" t="s">
        <v>440</v>
      </c>
      <c r="AE72" s="40">
        <v>72.819999999999993</v>
      </c>
      <c r="AF72" s="40" t="s">
        <v>64</v>
      </c>
      <c r="AG72" s="40" t="s">
        <v>64</v>
      </c>
      <c r="AH72" s="40" t="s">
        <v>64</v>
      </c>
      <c r="AI72" s="40" t="s">
        <v>64</v>
      </c>
      <c r="AJ72" s="40" t="s">
        <v>64</v>
      </c>
      <c r="AK72" s="46" t="s">
        <v>64</v>
      </c>
      <c r="AL72" s="46" t="s">
        <v>64</v>
      </c>
      <c r="AM72" s="46" t="s">
        <v>64</v>
      </c>
      <c r="AN72" s="46" t="s">
        <v>64</v>
      </c>
      <c r="AO72" s="46" t="s">
        <v>64</v>
      </c>
      <c r="AP72" s="46" t="s">
        <v>64</v>
      </c>
      <c r="AQ72" s="46" t="s">
        <v>64</v>
      </c>
      <c r="AR72" s="46" t="s">
        <v>64</v>
      </c>
      <c r="AS72" s="46" t="s">
        <v>64</v>
      </c>
      <c r="AT72" s="46" t="s">
        <v>64</v>
      </c>
      <c r="AU72" s="46" t="s">
        <v>64</v>
      </c>
      <c r="AV72" s="46" t="s">
        <v>64</v>
      </c>
      <c r="AW72" s="46" t="s">
        <v>64</v>
      </c>
      <c r="AX72" s="46" t="s">
        <v>64</v>
      </c>
      <c r="AY72" s="46">
        <v>44.35</v>
      </c>
      <c r="AZ72" s="46" t="s">
        <v>64</v>
      </c>
      <c r="BA72" s="46" t="s">
        <v>64</v>
      </c>
      <c r="BB72" s="46" t="s">
        <v>64</v>
      </c>
      <c r="BC72" s="46" t="s">
        <v>64</v>
      </c>
      <c r="BD72" s="46" t="s">
        <v>64</v>
      </c>
      <c r="BE72" s="46" t="s">
        <v>64</v>
      </c>
      <c r="BF72" s="46" t="s">
        <v>64</v>
      </c>
      <c r="BG72" s="46" t="s">
        <v>64</v>
      </c>
      <c r="BH72" s="46" t="s">
        <v>64</v>
      </c>
      <c r="BI72" s="46" t="s">
        <v>64</v>
      </c>
      <c r="BJ72" s="46">
        <v>44.34</v>
      </c>
    </row>
    <row r="73" spans="1:62" x14ac:dyDescent="0.2">
      <c r="A73" s="39" t="s">
        <v>512</v>
      </c>
      <c r="B73" s="39" t="s">
        <v>536</v>
      </c>
      <c r="C73" s="39" t="s">
        <v>512</v>
      </c>
      <c r="D73" s="40" t="s">
        <v>609</v>
      </c>
      <c r="E73" s="40" t="s">
        <v>346</v>
      </c>
      <c r="F73" s="40">
        <v>14.82</v>
      </c>
      <c r="G73" s="40" t="s">
        <v>12</v>
      </c>
      <c r="H73" s="40" t="s">
        <v>64</v>
      </c>
      <c r="I73" s="40" t="s">
        <v>64</v>
      </c>
      <c r="J73" s="40" t="s">
        <v>64</v>
      </c>
      <c r="K73" s="40" t="s">
        <v>64</v>
      </c>
      <c r="L73" s="40" t="s">
        <v>64</v>
      </c>
      <c r="M73" s="40" t="s">
        <v>64</v>
      </c>
      <c r="N73" s="40" t="s">
        <v>64</v>
      </c>
      <c r="O73" s="40" t="s">
        <v>64</v>
      </c>
      <c r="P73" s="40" t="s">
        <v>64</v>
      </c>
      <c r="Q73" s="40" t="s">
        <v>64</v>
      </c>
      <c r="R73" s="40" t="s">
        <v>64</v>
      </c>
      <c r="S73" s="40" t="s">
        <v>64</v>
      </c>
      <c r="T73" s="40" t="s">
        <v>438</v>
      </c>
      <c r="U73" s="40">
        <v>18.47</v>
      </c>
      <c r="V73" s="40" t="s">
        <v>439</v>
      </c>
      <c r="W73" s="40">
        <v>52.99</v>
      </c>
      <c r="X73" s="40" t="s">
        <v>64</v>
      </c>
      <c r="Y73" s="40" t="s">
        <v>64</v>
      </c>
      <c r="Z73" s="40" t="s">
        <v>64</v>
      </c>
      <c r="AA73" s="40" t="s">
        <v>64</v>
      </c>
      <c r="AB73" s="40" t="s">
        <v>64</v>
      </c>
      <c r="AC73" s="40" t="s">
        <v>64</v>
      </c>
      <c r="AD73" s="40" t="s">
        <v>440</v>
      </c>
      <c r="AE73" s="40">
        <v>69.680000000000007</v>
      </c>
      <c r="AF73" s="40" t="s">
        <v>64</v>
      </c>
      <c r="AG73" s="40" t="s">
        <v>64</v>
      </c>
      <c r="AH73" s="40" t="s">
        <v>64</v>
      </c>
      <c r="AI73" s="40" t="s">
        <v>64</v>
      </c>
      <c r="AJ73" s="40" t="s">
        <v>64</v>
      </c>
      <c r="AK73" s="46" t="s">
        <v>64</v>
      </c>
      <c r="AL73" s="46" t="s">
        <v>64</v>
      </c>
      <c r="AM73" s="46" t="s">
        <v>64</v>
      </c>
      <c r="AN73" s="46" t="s">
        <v>64</v>
      </c>
      <c r="AO73" s="46" t="s">
        <v>64</v>
      </c>
      <c r="AP73" s="46" t="s">
        <v>64</v>
      </c>
      <c r="AQ73" s="46" t="s">
        <v>64</v>
      </c>
      <c r="AR73" s="46" t="s">
        <v>64</v>
      </c>
      <c r="AS73" s="46" t="s">
        <v>64</v>
      </c>
      <c r="AT73" s="46" t="s">
        <v>64</v>
      </c>
      <c r="AU73" s="46" t="s">
        <v>64</v>
      </c>
      <c r="AV73" s="46" t="s">
        <v>64</v>
      </c>
      <c r="AW73" s="46" t="s">
        <v>64</v>
      </c>
      <c r="AX73" s="46" t="s">
        <v>64</v>
      </c>
      <c r="AY73" s="46">
        <v>37.32</v>
      </c>
      <c r="AZ73" s="46" t="s">
        <v>64</v>
      </c>
      <c r="BA73" s="46" t="s">
        <v>64</v>
      </c>
      <c r="BB73" s="46" t="s">
        <v>64</v>
      </c>
      <c r="BC73" s="46" t="s">
        <v>64</v>
      </c>
      <c r="BD73" s="46" t="s">
        <v>64</v>
      </c>
      <c r="BE73" s="46" t="s">
        <v>64</v>
      </c>
      <c r="BF73" s="46" t="s">
        <v>64</v>
      </c>
      <c r="BG73" s="46" t="s">
        <v>64</v>
      </c>
      <c r="BH73" s="46" t="s">
        <v>64</v>
      </c>
      <c r="BI73" s="46" t="s">
        <v>64</v>
      </c>
      <c r="BJ73" s="46">
        <v>37.33</v>
      </c>
    </row>
    <row r="74" spans="1:62" x14ac:dyDescent="0.2">
      <c r="A74" s="39" t="s">
        <v>513</v>
      </c>
      <c r="B74" s="39" t="s">
        <v>536</v>
      </c>
      <c r="C74" s="39" t="s">
        <v>513</v>
      </c>
      <c r="D74" s="40" t="s">
        <v>610</v>
      </c>
      <c r="E74" s="40" t="s">
        <v>346</v>
      </c>
      <c r="F74" s="40">
        <v>30.01</v>
      </c>
      <c r="G74" s="40" t="s">
        <v>12</v>
      </c>
      <c r="H74" s="40" t="s">
        <v>64</v>
      </c>
      <c r="I74" s="40" t="s">
        <v>64</v>
      </c>
      <c r="J74" s="40" t="s">
        <v>64</v>
      </c>
      <c r="K74" s="40" t="s">
        <v>64</v>
      </c>
      <c r="L74" s="40" t="s">
        <v>64</v>
      </c>
      <c r="M74" s="40" t="s">
        <v>64</v>
      </c>
      <c r="N74" s="40" t="s">
        <v>64</v>
      </c>
      <c r="O74" s="40" t="s">
        <v>64</v>
      </c>
      <c r="P74" s="40" t="s">
        <v>64</v>
      </c>
      <c r="Q74" s="40" t="s">
        <v>64</v>
      </c>
      <c r="R74" s="40" t="s">
        <v>64</v>
      </c>
      <c r="S74" s="40" t="s">
        <v>64</v>
      </c>
      <c r="T74" s="40" t="s">
        <v>438</v>
      </c>
      <c r="U74" s="40">
        <v>18.48</v>
      </c>
      <c r="V74" s="40" t="s">
        <v>439</v>
      </c>
      <c r="W74" s="40">
        <v>37.24</v>
      </c>
      <c r="X74" s="40" t="s">
        <v>64</v>
      </c>
      <c r="Y74" s="40" t="s">
        <v>64</v>
      </c>
      <c r="Z74" s="40" t="s">
        <v>64</v>
      </c>
      <c r="AA74" s="40" t="s">
        <v>64</v>
      </c>
      <c r="AB74" s="40" t="s">
        <v>64</v>
      </c>
      <c r="AC74" s="40" t="s">
        <v>64</v>
      </c>
      <c r="AD74" s="40" t="s">
        <v>440</v>
      </c>
      <c r="AE74" s="40">
        <v>68.900000000000006</v>
      </c>
      <c r="AF74" s="40" t="s">
        <v>64</v>
      </c>
      <c r="AG74" s="40" t="s">
        <v>64</v>
      </c>
      <c r="AH74" s="40" t="s">
        <v>64</v>
      </c>
      <c r="AI74" s="40" t="s">
        <v>64</v>
      </c>
      <c r="AJ74" s="40" t="s">
        <v>64</v>
      </c>
      <c r="AK74" s="46" t="s">
        <v>64</v>
      </c>
      <c r="AL74" s="46" t="s">
        <v>64</v>
      </c>
      <c r="AM74" s="46" t="s">
        <v>64</v>
      </c>
      <c r="AN74" s="46" t="s">
        <v>64</v>
      </c>
      <c r="AO74" s="46" t="s">
        <v>64</v>
      </c>
      <c r="AP74" s="46" t="s">
        <v>64</v>
      </c>
      <c r="AQ74" s="46" t="s">
        <v>64</v>
      </c>
      <c r="AR74" s="46" t="s">
        <v>64</v>
      </c>
      <c r="AS74" s="46" t="s">
        <v>64</v>
      </c>
      <c r="AT74" s="46" t="s">
        <v>64</v>
      </c>
      <c r="AU74" s="46" t="s">
        <v>64</v>
      </c>
      <c r="AV74" s="46" t="s">
        <v>64</v>
      </c>
      <c r="AW74" s="46" t="s">
        <v>64</v>
      </c>
      <c r="AX74" s="46" t="s">
        <v>64</v>
      </c>
      <c r="AY74" s="46">
        <v>38.74</v>
      </c>
      <c r="AZ74" s="46" t="s">
        <v>64</v>
      </c>
      <c r="BA74" s="46" t="s">
        <v>64</v>
      </c>
      <c r="BB74" s="46" t="s">
        <v>64</v>
      </c>
      <c r="BC74" s="46" t="s">
        <v>64</v>
      </c>
      <c r="BD74" s="46" t="s">
        <v>64</v>
      </c>
      <c r="BE74" s="46" t="s">
        <v>64</v>
      </c>
      <c r="BF74" s="46" t="s">
        <v>64</v>
      </c>
      <c r="BG74" s="46" t="s">
        <v>64</v>
      </c>
      <c r="BH74" s="46" t="s">
        <v>64</v>
      </c>
      <c r="BI74" s="46" t="s">
        <v>64</v>
      </c>
      <c r="BJ74" s="46">
        <v>38.75</v>
      </c>
    </row>
    <row r="75" spans="1:62" x14ac:dyDescent="0.2">
      <c r="A75" s="39" t="s">
        <v>514</v>
      </c>
      <c r="B75" s="39" t="s">
        <v>536</v>
      </c>
      <c r="C75" s="39" t="s">
        <v>514</v>
      </c>
      <c r="D75" s="40" t="s">
        <v>611</v>
      </c>
      <c r="E75" s="40" t="s">
        <v>346</v>
      </c>
      <c r="F75" s="40">
        <v>14.74</v>
      </c>
      <c r="G75" s="40" t="s">
        <v>12</v>
      </c>
      <c r="H75" s="40" t="s">
        <v>64</v>
      </c>
      <c r="I75" s="40" t="s">
        <v>64</v>
      </c>
      <c r="J75" s="40" t="s">
        <v>64</v>
      </c>
      <c r="K75" s="40" t="s">
        <v>64</v>
      </c>
      <c r="L75" s="40" t="s">
        <v>64</v>
      </c>
      <c r="M75" s="40" t="s">
        <v>64</v>
      </c>
      <c r="N75" s="40" t="s">
        <v>64</v>
      </c>
      <c r="O75" s="40" t="s">
        <v>64</v>
      </c>
      <c r="P75" s="40" t="s">
        <v>64</v>
      </c>
      <c r="Q75" s="40" t="s">
        <v>64</v>
      </c>
      <c r="R75" s="40" t="s">
        <v>64</v>
      </c>
      <c r="S75" s="40" t="s">
        <v>64</v>
      </c>
      <c r="T75" s="40" t="s">
        <v>438</v>
      </c>
      <c r="U75" s="40">
        <v>16.489999999999998</v>
      </c>
      <c r="V75" s="40" t="s">
        <v>439</v>
      </c>
      <c r="W75" s="40">
        <v>56.37</v>
      </c>
      <c r="X75" s="40" t="s">
        <v>64</v>
      </c>
      <c r="Y75" s="40" t="s">
        <v>64</v>
      </c>
      <c r="Z75" s="40" t="s">
        <v>64</v>
      </c>
      <c r="AA75" s="40" t="s">
        <v>64</v>
      </c>
      <c r="AB75" s="40" t="s">
        <v>64</v>
      </c>
      <c r="AC75" s="40" t="s">
        <v>64</v>
      </c>
      <c r="AD75" s="40" t="s">
        <v>440</v>
      </c>
      <c r="AE75" s="40">
        <v>68.14</v>
      </c>
      <c r="AF75" s="40" t="s">
        <v>64</v>
      </c>
      <c r="AG75" s="40" t="s">
        <v>64</v>
      </c>
      <c r="AH75" s="40" t="s">
        <v>64</v>
      </c>
      <c r="AI75" s="40" t="s">
        <v>64</v>
      </c>
      <c r="AJ75" s="40" t="s">
        <v>64</v>
      </c>
      <c r="AK75" s="46" t="s">
        <v>64</v>
      </c>
      <c r="AL75" s="46" t="s">
        <v>64</v>
      </c>
      <c r="AM75" s="46" t="s">
        <v>64</v>
      </c>
      <c r="AN75" s="46" t="s">
        <v>64</v>
      </c>
      <c r="AO75" s="46" t="s">
        <v>64</v>
      </c>
      <c r="AP75" s="46" t="s">
        <v>64</v>
      </c>
      <c r="AQ75" s="46" t="s">
        <v>64</v>
      </c>
      <c r="AR75" s="46" t="s">
        <v>64</v>
      </c>
      <c r="AS75" s="46" t="s">
        <v>64</v>
      </c>
      <c r="AT75" s="46" t="s">
        <v>64</v>
      </c>
      <c r="AU75" s="46" t="s">
        <v>64</v>
      </c>
      <c r="AV75" s="46" t="s">
        <v>64</v>
      </c>
      <c r="AW75" s="46" t="s">
        <v>64</v>
      </c>
      <c r="AX75" s="46" t="s">
        <v>64</v>
      </c>
      <c r="AY75" s="46">
        <v>37.020000000000003</v>
      </c>
      <c r="AZ75" s="46" t="s">
        <v>64</v>
      </c>
      <c r="BA75" s="46" t="s">
        <v>64</v>
      </c>
      <c r="BB75" s="46" t="s">
        <v>64</v>
      </c>
      <c r="BC75" s="46" t="s">
        <v>64</v>
      </c>
      <c r="BD75" s="46" t="s">
        <v>64</v>
      </c>
      <c r="BE75" s="46" t="s">
        <v>64</v>
      </c>
      <c r="BF75" s="46" t="s">
        <v>64</v>
      </c>
      <c r="BG75" s="46" t="s">
        <v>64</v>
      </c>
      <c r="BH75" s="46" t="s">
        <v>64</v>
      </c>
      <c r="BI75" s="46" t="s">
        <v>64</v>
      </c>
      <c r="BJ75" s="46">
        <v>37.03</v>
      </c>
    </row>
    <row r="76" spans="1:62" x14ac:dyDescent="0.2">
      <c r="A76" s="39" t="s">
        <v>515</v>
      </c>
      <c r="B76" s="39" t="s">
        <v>536</v>
      </c>
      <c r="C76" s="39" t="s">
        <v>515</v>
      </c>
      <c r="D76" s="40" t="s">
        <v>612</v>
      </c>
      <c r="E76" s="40" t="s">
        <v>346</v>
      </c>
      <c r="F76" s="40">
        <v>12.89</v>
      </c>
      <c r="G76" s="40" t="s">
        <v>12</v>
      </c>
      <c r="H76" s="40" t="s">
        <v>64</v>
      </c>
      <c r="I76" s="40" t="s">
        <v>64</v>
      </c>
      <c r="J76" s="40" t="s">
        <v>64</v>
      </c>
      <c r="K76" s="40" t="s">
        <v>64</v>
      </c>
      <c r="L76" s="40" t="s">
        <v>64</v>
      </c>
      <c r="M76" s="40" t="s">
        <v>64</v>
      </c>
      <c r="N76" s="40" t="s">
        <v>64</v>
      </c>
      <c r="O76" s="40" t="s">
        <v>64</v>
      </c>
      <c r="P76" s="40" t="s">
        <v>64</v>
      </c>
      <c r="Q76" s="40" t="s">
        <v>64</v>
      </c>
      <c r="R76" s="40" t="s">
        <v>64</v>
      </c>
      <c r="S76" s="40" t="s">
        <v>64</v>
      </c>
      <c r="T76" s="40" t="s">
        <v>438</v>
      </c>
      <c r="U76" s="40">
        <v>16.71</v>
      </c>
      <c r="V76" s="40" t="s">
        <v>439</v>
      </c>
      <c r="W76" s="40">
        <v>79.28</v>
      </c>
      <c r="X76" s="40" t="s">
        <v>64</v>
      </c>
      <c r="Y76" s="40" t="s">
        <v>64</v>
      </c>
      <c r="Z76" s="40" t="s">
        <v>64</v>
      </c>
      <c r="AA76" s="40" t="s">
        <v>64</v>
      </c>
      <c r="AB76" s="40" t="s">
        <v>64</v>
      </c>
      <c r="AC76" s="40" t="s">
        <v>64</v>
      </c>
      <c r="AD76" s="40" t="s">
        <v>440</v>
      </c>
      <c r="AE76" s="40">
        <v>63.8</v>
      </c>
      <c r="AF76" s="40" t="s">
        <v>64</v>
      </c>
      <c r="AG76" s="40" t="s">
        <v>64</v>
      </c>
      <c r="AH76" s="40" t="s">
        <v>64</v>
      </c>
      <c r="AI76" s="40" t="s">
        <v>64</v>
      </c>
      <c r="AJ76" s="40" t="s">
        <v>64</v>
      </c>
      <c r="AK76" s="46" t="s">
        <v>64</v>
      </c>
      <c r="AL76" s="46" t="s">
        <v>64</v>
      </c>
      <c r="AM76" s="46" t="s">
        <v>64</v>
      </c>
      <c r="AN76" s="46" t="s">
        <v>64</v>
      </c>
      <c r="AO76" s="46" t="s">
        <v>64</v>
      </c>
      <c r="AP76" s="46" t="s">
        <v>64</v>
      </c>
      <c r="AQ76" s="46" t="s">
        <v>64</v>
      </c>
      <c r="AR76" s="46" t="s">
        <v>64</v>
      </c>
      <c r="AS76" s="46" t="s">
        <v>64</v>
      </c>
      <c r="AT76" s="46" t="s">
        <v>64</v>
      </c>
      <c r="AU76" s="46" t="s">
        <v>64</v>
      </c>
      <c r="AV76" s="46" t="s">
        <v>64</v>
      </c>
      <c r="AW76" s="46" t="s">
        <v>64</v>
      </c>
      <c r="AX76" s="46" t="s">
        <v>64</v>
      </c>
      <c r="AY76" s="46">
        <v>46.48</v>
      </c>
      <c r="AZ76" s="46" t="s">
        <v>64</v>
      </c>
      <c r="BA76" s="46" t="s">
        <v>64</v>
      </c>
      <c r="BB76" s="46" t="s">
        <v>64</v>
      </c>
      <c r="BC76" s="46" t="s">
        <v>64</v>
      </c>
      <c r="BD76" s="46" t="s">
        <v>64</v>
      </c>
      <c r="BE76" s="46" t="s">
        <v>64</v>
      </c>
      <c r="BF76" s="46" t="s">
        <v>64</v>
      </c>
      <c r="BG76" s="46" t="s">
        <v>64</v>
      </c>
      <c r="BH76" s="46" t="s">
        <v>64</v>
      </c>
      <c r="BI76" s="46" t="s">
        <v>64</v>
      </c>
      <c r="BJ76" s="46">
        <v>46.49</v>
      </c>
    </row>
    <row r="77" spans="1:62" x14ac:dyDescent="0.2">
      <c r="A77" s="39" t="s">
        <v>516</v>
      </c>
      <c r="B77" s="39" t="s">
        <v>536</v>
      </c>
      <c r="C77" s="39" t="s">
        <v>516</v>
      </c>
      <c r="D77" s="40" t="s">
        <v>613</v>
      </c>
      <c r="E77" s="40" t="s">
        <v>346</v>
      </c>
      <c r="F77" s="40">
        <v>15.95</v>
      </c>
      <c r="G77" s="40" t="s">
        <v>12</v>
      </c>
      <c r="H77" s="40" t="s">
        <v>64</v>
      </c>
      <c r="I77" s="40" t="s">
        <v>64</v>
      </c>
      <c r="J77" s="40" t="s">
        <v>64</v>
      </c>
      <c r="K77" s="40" t="s">
        <v>64</v>
      </c>
      <c r="L77" s="40" t="s">
        <v>64</v>
      </c>
      <c r="M77" s="40" t="s">
        <v>64</v>
      </c>
      <c r="N77" s="40" t="s">
        <v>64</v>
      </c>
      <c r="O77" s="40" t="s">
        <v>64</v>
      </c>
      <c r="P77" s="40" t="s">
        <v>64</v>
      </c>
      <c r="Q77" s="40" t="s">
        <v>64</v>
      </c>
      <c r="R77" s="40" t="s">
        <v>64</v>
      </c>
      <c r="S77" s="40" t="s">
        <v>64</v>
      </c>
      <c r="T77" s="40" t="s">
        <v>438</v>
      </c>
      <c r="U77" s="40">
        <v>32.979999999999997</v>
      </c>
      <c r="V77" s="40" t="s">
        <v>439</v>
      </c>
      <c r="W77" s="40">
        <v>42.3</v>
      </c>
      <c r="X77" s="40" t="s">
        <v>64</v>
      </c>
      <c r="Y77" s="40" t="s">
        <v>64</v>
      </c>
      <c r="Z77" s="40" t="s">
        <v>64</v>
      </c>
      <c r="AA77" s="40" t="s">
        <v>64</v>
      </c>
      <c r="AB77" s="40" t="s">
        <v>64</v>
      </c>
      <c r="AC77" s="40" t="s">
        <v>64</v>
      </c>
      <c r="AD77" s="40" t="s">
        <v>440</v>
      </c>
      <c r="AE77" s="40">
        <v>68.14</v>
      </c>
      <c r="AF77" s="40" t="s">
        <v>64</v>
      </c>
      <c r="AG77" s="40" t="s">
        <v>64</v>
      </c>
      <c r="AH77" s="40" t="s">
        <v>64</v>
      </c>
      <c r="AI77" s="40" t="s">
        <v>64</v>
      </c>
      <c r="AJ77" s="40" t="s">
        <v>64</v>
      </c>
      <c r="AK77" s="46" t="s">
        <v>64</v>
      </c>
      <c r="AL77" s="46" t="s">
        <v>64</v>
      </c>
      <c r="AM77" s="46" t="s">
        <v>64</v>
      </c>
      <c r="AN77" s="46" t="s">
        <v>64</v>
      </c>
      <c r="AO77" s="46" t="s">
        <v>64</v>
      </c>
      <c r="AP77" s="46" t="s">
        <v>64</v>
      </c>
      <c r="AQ77" s="46" t="s">
        <v>64</v>
      </c>
      <c r="AR77" s="46" t="s">
        <v>64</v>
      </c>
      <c r="AS77" s="46" t="s">
        <v>64</v>
      </c>
      <c r="AT77" s="46" t="s">
        <v>64</v>
      </c>
      <c r="AU77" s="46" t="s">
        <v>64</v>
      </c>
      <c r="AV77" s="46" t="s">
        <v>64</v>
      </c>
      <c r="AW77" s="46" t="s">
        <v>64</v>
      </c>
      <c r="AX77" s="46" t="s">
        <v>64</v>
      </c>
      <c r="AY77" s="46">
        <v>39.26</v>
      </c>
      <c r="AZ77" s="46" t="s">
        <v>64</v>
      </c>
      <c r="BA77" s="46" t="s">
        <v>64</v>
      </c>
      <c r="BB77" s="46" t="s">
        <v>64</v>
      </c>
      <c r="BC77" s="46" t="s">
        <v>64</v>
      </c>
      <c r="BD77" s="46" t="s">
        <v>64</v>
      </c>
      <c r="BE77" s="46" t="s">
        <v>64</v>
      </c>
      <c r="BF77" s="46" t="s">
        <v>64</v>
      </c>
      <c r="BG77" s="46" t="s">
        <v>64</v>
      </c>
      <c r="BH77" s="46" t="s">
        <v>64</v>
      </c>
      <c r="BI77" s="46" t="s">
        <v>64</v>
      </c>
      <c r="BJ77" s="46">
        <v>39.26</v>
      </c>
    </row>
    <row r="78" spans="1:62" x14ac:dyDescent="0.2">
      <c r="A78" s="39" t="s">
        <v>517</v>
      </c>
      <c r="B78" s="39" t="s">
        <v>536</v>
      </c>
      <c r="C78" s="39" t="s">
        <v>517</v>
      </c>
      <c r="D78" s="40" t="s">
        <v>614</v>
      </c>
      <c r="E78" s="40" t="s">
        <v>346</v>
      </c>
      <c r="F78" s="40">
        <v>15.5</v>
      </c>
      <c r="G78" s="40" t="s">
        <v>12</v>
      </c>
      <c r="H78" s="40" t="s">
        <v>64</v>
      </c>
      <c r="I78" s="40" t="s">
        <v>64</v>
      </c>
      <c r="J78" s="40" t="s">
        <v>64</v>
      </c>
      <c r="K78" s="40" t="s">
        <v>64</v>
      </c>
      <c r="L78" s="40" t="s">
        <v>64</v>
      </c>
      <c r="M78" s="40" t="s">
        <v>64</v>
      </c>
      <c r="N78" s="40" t="s">
        <v>64</v>
      </c>
      <c r="O78" s="40" t="s">
        <v>64</v>
      </c>
      <c r="P78" s="40" t="s">
        <v>64</v>
      </c>
      <c r="Q78" s="40" t="s">
        <v>64</v>
      </c>
      <c r="R78" s="40" t="s">
        <v>64</v>
      </c>
      <c r="S78" s="40" t="s">
        <v>64</v>
      </c>
      <c r="T78" s="40" t="s">
        <v>438</v>
      </c>
      <c r="U78" s="40">
        <v>33.42</v>
      </c>
      <c r="V78" s="40" t="s">
        <v>439</v>
      </c>
      <c r="W78" s="40">
        <v>41.4</v>
      </c>
      <c r="X78" s="40" t="s">
        <v>64</v>
      </c>
      <c r="Y78" s="40" t="s">
        <v>64</v>
      </c>
      <c r="Z78" s="40" t="s">
        <v>64</v>
      </c>
      <c r="AA78" s="40" t="s">
        <v>64</v>
      </c>
      <c r="AB78" s="40" t="s">
        <v>64</v>
      </c>
      <c r="AC78" s="40" t="s">
        <v>64</v>
      </c>
      <c r="AD78" s="40" t="s">
        <v>440</v>
      </c>
      <c r="AE78" s="40">
        <v>68.56</v>
      </c>
      <c r="AF78" s="40" t="s">
        <v>64</v>
      </c>
      <c r="AG78" s="40" t="s">
        <v>64</v>
      </c>
      <c r="AH78" s="40" t="s">
        <v>64</v>
      </c>
      <c r="AI78" s="40" t="s">
        <v>64</v>
      </c>
      <c r="AJ78" s="40" t="s">
        <v>64</v>
      </c>
      <c r="AK78" s="46" t="s">
        <v>64</v>
      </c>
      <c r="AL78" s="46" t="s">
        <v>64</v>
      </c>
      <c r="AM78" s="46" t="s">
        <v>64</v>
      </c>
      <c r="AN78" s="46" t="s">
        <v>64</v>
      </c>
      <c r="AO78" s="46" t="s">
        <v>64</v>
      </c>
      <c r="AP78" s="46" t="s">
        <v>64</v>
      </c>
      <c r="AQ78" s="46" t="s">
        <v>64</v>
      </c>
      <c r="AR78" s="46" t="s">
        <v>64</v>
      </c>
      <c r="AS78" s="46" t="s">
        <v>64</v>
      </c>
      <c r="AT78" s="46" t="s">
        <v>64</v>
      </c>
      <c r="AU78" s="46" t="s">
        <v>64</v>
      </c>
      <c r="AV78" s="46" t="s">
        <v>64</v>
      </c>
      <c r="AW78" s="46" t="s">
        <v>64</v>
      </c>
      <c r="AX78" s="46" t="s">
        <v>64</v>
      </c>
      <c r="AY78" s="46">
        <v>38.93</v>
      </c>
      <c r="AZ78" s="46" t="s">
        <v>64</v>
      </c>
      <c r="BA78" s="46" t="s">
        <v>64</v>
      </c>
      <c r="BB78" s="46" t="s">
        <v>64</v>
      </c>
      <c r="BC78" s="46" t="s">
        <v>64</v>
      </c>
      <c r="BD78" s="46" t="s">
        <v>64</v>
      </c>
      <c r="BE78" s="46" t="s">
        <v>64</v>
      </c>
      <c r="BF78" s="46" t="s">
        <v>64</v>
      </c>
      <c r="BG78" s="46" t="s">
        <v>64</v>
      </c>
      <c r="BH78" s="46" t="s">
        <v>64</v>
      </c>
      <c r="BI78" s="46" t="s">
        <v>64</v>
      </c>
      <c r="BJ78" s="46">
        <v>38.93</v>
      </c>
    </row>
    <row r="79" spans="1:62" x14ac:dyDescent="0.2">
      <c r="A79" s="39" t="s">
        <v>518</v>
      </c>
      <c r="B79" s="39" t="s">
        <v>536</v>
      </c>
      <c r="C79" s="39" t="s">
        <v>518</v>
      </c>
      <c r="D79" s="40" t="s">
        <v>615</v>
      </c>
      <c r="E79" s="40" t="s">
        <v>346</v>
      </c>
      <c r="F79" s="40">
        <v>18.850000000000001</v>
      </c>
      <c r="G79" s="40" t="s">
        <v>12</v>
      </c>
      <c r="H79" s="40" t="s">
        <v>64</v>
      </c>
      <c r="I79" s="40" t="s">
        <v>64</v>
      </c>
      <c r="J79" s="40" t="s">
        <v>64</v>
      </c>
      <c r="K79" s="40" t="s">
        <v>64</v>
      </c>
      <c r="L79" s="40" t="s">
        <v>64</v>
      </c>
      <c r="M79" s="40" t="s">
        <v>64</v>
      </c>
      <c r="N79" s="40" t="s">
        <v>64</v>
      </c>
      <c r="O79" s="40" t="s">
        <v>64</v>
      </c>
      <c r="P79" s="40" t="s">
        <v>64</v>
      </c>
      <c r="Q79" s="40" t="s">
        <v>64</v>
      </c>
      <c r="R79" s="40" t="s">
        <v>64</v>
      </c>
      <c r="S79" s="40" t="s">
        <v>64</v>
      </c>
      <c r="T79" s="40" t="s">
        <v>438</v>
      </c>
      <c r="U79" s="40">
        <v>16.489999999999998</v>
      </c>
      <c r="V79" s="40" t="s">
        <v>439</v>
      </c>
      <c r="W79" s="40">
        <v>76.180000000000007</v>
      </c>
      <c r="X79" s="40" t="s">
        <v>64</v>
      </c>
      <c r="Y79" s="40" t="s">
        <v>64</v>
      </c>
      <c r="Z79" s="40" t="s">
        <v>64</v>
      </c>
      <c r="AA79" s="40" t="s">
        <v>64</v>
      </c>
      <c r="AB79" s="40" t="s">
        <v>64</v>
      </c>
      <c r="AC79" s="40" t="s">
        <v>64</v>
      </c>
      <c r="AD79" s="40" t="s">
        <v>440</v>
      </c>
      <c r="AE79" s="40">
        <v>85.24</v>
      </c>
      <c r="AF79" s="40" t="s">
        <v>64</v>
      </c>
      <c r="AG79" s="40" t="s">
        <v>64</v>
      </c>
      <c r="AH79" s="40" t="s">
        <v>64</v>
      </c>
      <c r="AI79" s="40" t="s">
        <v>64</v>
      </c>
      <c r="AJ79" s="40" t="s">
        <v>64</v>
      </c>
      <c r="AK79" s="46" t="s">
        <v>64</v>
      </c>
      <c r="AL79" s="46" t="s">
        <v>64</v>
      </c>
      <c r="AM79" s="46" t="s">
        <v>64</v>
      </c>
      <c r="AN79" s="46" t="s">
        <v>64</v>
      </c>
      <c r="AO79" s="46" t="s">
        <v>64</v>
      </c>
      <c r="AP79" s="46" t="s">
        <v>64</v>
      </c>
      <c r="AQ79" s="46" t="s">
        <v>64</v>
      </c>
      <c r="AR79" s="46" t="s">
        <v>64</v>
      </c>
      <c r="AS79" s="46" t="s">
        <v>64</v>
      </c>
      <c r="AT79" s="46" t="s">
        <v>64</v>
      </c>
      <c r="AU79" s="46" t="s">
        <v>64</v>
      </c>
      <c r="AV79" s="46" t="s">
        <v>64</v>
      </c>
      <c r="AW79" s="46" t="s">
        <v>64</v>
      </c>
      <c r="AX79" s="46" t="s">
        <v>64</v>
      </c>
      <c r="AY79" s="46">
        <v>45.51</v>
      </c>
      <c r="AZ79" s="46" t="s">
        <v>64</v>
      </c>
      <c r="BA79" s="46" t="s">
        <v>64</v>
      </c>
      <c r="BB79" s="46" t="s">
        <v>64</v>
      </c>
      <c r="BC79" s="46" t="s">
        <v>64</v>
      </c>
      <c r="BD79" s="46" t="s">
        <v>64</v>
      </c>
      <c r="BE79" s="46" t="s">
        <v>64</v>
      </c>
      <c r="BF79" s="46" t="s">
        <v>64</v>
      </c>
      <c r="BG79" s="46" t="s">
        <v>64</v>
      </c>
      <c r="BH79" s="46" t="s">
        <v>64</v>
      </c>
      <c r="BI79" s="46" t="s">
        <v>64</v>
      </c>
      <c r="BJ79" s="46">
        <v>45.51</v>
      </c>
    </row>
    <row r="80" spans="1:62" x14ac:dyDescent="0.2">
      <c r="A80" s="39" t="s">
        <v>519</v>
      </c>
      <c r="B80" s="39" t="s">
        <v>536</v>
      </c>
      <c r="C80" s="39" t="s">
        <v>519</v>
      </c>
      <c r="D80" s="40" t="s">
        <v>616</v>
      </c>
      <c r="E80" s="40" t="s">
        <v>346</v>
      </c>
      <c r="F80" s="40">
        <v>15.43</v>
      </c>
      <c r="G80" s="40" t="s">
        <v>12</v>
      </c>
      <c r="H80" s="40" t="s">
        <v>64</v>
      </c>
      <c r="I80" s="40" t="s">
        <v>64</v>
      </c>
      <c r="J80" s="40" t="s">
        <v>64</v>
      </c>
      <c r="K80" s="40" t="s">
        <v>64</v>
      </c>
      <c r="L80" s="40" t="s">
        <v>64</v>
      </c>
      <c r="M80" s="40" t="s">
        <v>64</v>
      </c>
      <c r="N80" s="40" t="s">
        <v>64</v>
      </c>
      <c r="O80" s="40" t="s">
        <v>64</v>
      </c>
      <c r="P80" s="40" t="s">
        <v>64</v>
      </c>
      <c r="Q80" s="40" t="s">
        <v>64</v>
      </c>
      <c r="R80" s="40" t="s">
        <v>64</v>
      </c>
      <c r="S80" s="40" t="s">
        <v>64</v>
      </c>
      <c r="T80" s="40" t="s">
        <v>438</v>
      </c>
      <c r="U80" s="40">
        <v>33.4</v>
      </c>
      <c r="V80" s="40" t="s">
        <v>439</v>
      </c>
      <c r="W80" s="40">
        <v>41.26</v>
      </c>
      <c r="X80" s="40" t="s">
        <v>64</v>
      </c>
      <c r="Y80" s="40" t="s">
        <v>64</v>
      </c>
      <c r="Z80" s="40" t="s">
        <v>64</v>
      </c>
      <c r="AA80" s="40" t="s">
        <v>64</v>
      </c>
      <c r="AB80" s="40" t="s">
        <v>64</v>
      </c>
      <c r="AC80" s="40" t="s">
        <v>64</v>
      </c>
      <c r="AD80" s="40" t="s">
        <v>440</v>
      </c>
      <c r="AE80" s="40">
        <v>68.56</v>
      </c>
      <c r="AF80" s="40" t="s">
        <v>64</v>
      </c>
      <c r="AG80" s="40" t="s">
        <v>64</v>
      </c>
      <c r="AH80" s="40" t="s">
        <v>64</v>
      </c>
      <c r="AI80" s="40" t="s">
        <v>64</v>
      </c>
      <c r="AJ80" s="40" t="s">
        <v>64</v>
      </c>
      <c r="AK80" s="46" t="s">
        <v>64</v>
      </c>
      <c r="AL80" s="46" t="s">
        <v>64</v>
      </c>
      <c r="AM80" s="46" t="s">
        <v>64</v>
      </c>
      <c r="AN80" s="46" t="s">
        <v>64</v>
      </c>
      <c r="AO80" s="46" t="s">
        <v>64</v>
      </c>
      <c r="AP80" s="46" t="s">
        <v>64</v>
      </c>
      <c r="AQ80" s="46" t="s">
        <v>64</v>
      </c>
      <c r="AR80" s="46" t="s">
        <v>64</v>
      </c>
      <c r="AS80" s="46" t="s">
        <v>64</v>
      </c>
      <c r="AT80" s="46" t="s">
        <v>64</v>
      </c>
      <c r="AU80" s="46" t="s">
        <v>64</v>
      </c>
      <c r="AV80" s="46" t="s">
        <v>64</v>
      </c>
      <c r="AW80" s="46" t="s">
        <v>64</v>
      </c>
      <c r="AX80" s="46" t="s">
        <v>64</v>
      </c>
      <c r="AY80" s="46">
        <v>38.799999999999997</v>
      </c>
      <c r="AZ80" s="46" t="s">
        <v>64</v>
      </c>
      <c r="BA80" s="46" t="s">
        <v>64</v>
      </c>
      <c r="BB80" s="46" t="s">
        <v>64</v>
      </c>
      <c r="BC80" s="46" t="s">
        <v>64</v>
      </c>
      <c r="BD80" s="46" t="s">
        <v>64</v>
      </c>
      <c r="BE80" s="46" t="s">
        <v>64</v>
      </c>
      <c r="BF80" s="46" t="s">
        <v>64</v>
      </c>
      <c r="BG80" s="46" t="s">
        <v>64</v>
      </c>
      <c r="BH80" s="46" t="s">
        <v>64</v>
      </c>
      <c r="BI80" s="46" t="s">
        <v>64</v>
      </c>
      <c r="BJ80" s="46">
        <v>38.79</v>
      </c>
    </row>
    <row r="81" spans="1:62" x14ac:dyDescent="0.2">
      <c r="A81" s="39" t="s">
        <v>520</v>
      </c>
      <c r="B81" s="39" t="s">
        <v>536</v>
      </c>
      <c r="C81" s="39" t="s">
        <v>520</v>
      </c>
      <c r="D81" s="40" t="s">
        <v>617</v>
      </c>
      <c r="E81" s="40" t="s">
        <v>346</v>
      </c>
      <c r="F81" s="40">
        <v>36.4</v>
      </c>
      <c r="G81" s="40" t="s">
        <v>12</v>
      </c>
      <c r="H81" s="40" t="s">
        <v>64</v>
      </c>
      <c r="I81" s="40" t="s">
        <v>64</v>
      </c>
      <c r="J81" s="40" t="s">
        <v>64</v>
      </c>
      <c r="K81" s="40" t="s">
        <v>64</v>
      </c>
      <c r="L81" s="40" t="s">
        <v>64</v>
      </c>
      <c r="M81" s="40" t="s">
        <v>64</v>
      </c>
      <c r="N81" s="40" t="s">
        <v>64</v>
      </c>
      <c r="O81" s="40" t="s">
        <v>64</v>
      </c>
      <c r="P81" s="40" t="s">
        <v>64</v>
      </c>
      <c r="Q81" s="40" t="s">
        <v>64</v>
      </c>
      <c r="R81" s="40" t="s">
        <v>64</v>
      </c>
      <c r="S81" s="40" t="s">
        <v>64</v>
      </c>
      <c r="T81" s="40" t="s">
        <v>438</v>
      </c>
      <c r="U81" s="40">
        <v>32.36</v>
      </c>
      <c r="V81" s="40" t="s">
        <v>439</v>
      </c>
      <c r="W81" s="40">
        <v>23.68</v>
      </c>
      <c r="X81" s="40" t="s">
        <v>64</v>
      </c>
      <c r="Y81" s="40" t="s">
        <v>64</v>
      </c>
      <c r="Z81" s="40" t="s">
        <v>64</v>
      </c>
      <c r="AA81" s="40" t="s">
        <v>64</v>
      </c>
      <c r="AB81" s="40" t="s">
        <v>64</v>
      </c>
      <c r="AC81" s="40" t="s">
        <v>64</v>
      </c>
      <c r="AD81" s="40" t="s">
        <v>440</v>
      </c>
      <c r="AE81" s="40">
        <v>102.08</v>
      </c>
      <c r="AF81" s="40" t="s">
        <v>64</v>
      </c>
      <c r="AG81" s="40" t="s">
        <v>64</v>
      </c>
      <c r="AH81" s="40" t="s">
        <v>64</v>
      </c>
      <c r="AI81" s="40" t="s">
        <v>64</v>
      </c>
      <c r="AJ81" s="40" t="s">
        <v>64</v>
      </c>
      <c r="AK81" s="46" t="s">
        <v>64</v>
      </c>
      <c r="AL81" s="46" t="s">
        <v>64</v>
      </c>
      <c r="AM81" s="46" t="s">
        <v>64</v>
      </c>
      <c r="AN81" s="46" t="s">
        <v>64</v>
      </c>
      <c r="AO81" s="46" t="s">
        <v>64</v>
      </c>
      <c r="AP81" s="46" t="s">
        <v>64</v>
      </c>
      <c r="AQ81" s="46" t="s">
        <v>64</v>
      </c>
      <c r="AR81" s="46" t="s">
        <v>64</v>
      </c>
      <c r="AS81" s="46" t="s">
        <v>64</v>
      </c>
      <c r="AT81" s="46" t="s">
        <v>64</v>
      </c>
      <c r="AU81" s="46" t="s">
        <v>64</v>
      </c>
      <c r="AV81" s="46" t="s">
        <v>64</v>
      </c>
      <c r="AW81" s="46" t="s">
        <v>64</v>
      </c>
      <c r="AX81" s="46" t="s">
        <v>64</v>
      </c>
      <c r="AY81" s="46">
        <v>50.33</v>
      </c>
      <c r="AZ81" s="46" t="s">
        <v>64</v>
      </c>
      <c r="BA81" s="46" t="s">
        <v>64</v>
      </c>
      <c r="BB81" s="46" t="s">
        <v>64</v>
      </c>
      <c r="BC81" s="46" t="s">
        <v>64</v>
      </c>
      <c r="BD81" s="46" t="s">
        <v>64</v>
      </c>
      <c r="BE81" s="46" t="s">
        <v>64</v>
      </c>
      <c r="BF81" s="46" t="s">
        <v>64</v>
      </c>
      <c r="BG81" s="46" t="s">
        <v>64</v>
      </c>
      <c r="BH81" s="46" t="s">
        <v>64</v>
      </c>
      <c r="BI81" s="46" t="s">
        <v>64</v>
      </c>
      <c r="BJ81" s="46">
        <v>50.33</v>
      </c>
    </row>
    <row r="82" spans="1:62" x14ac:dyDescent="0.2">
      <c r="A82" s="39" t="s">
        <v>521</v>
      </c>
      <c r="B82" s="39" t="s">
        <v>536</v>
      </c>
      <c r="C82" s="39" t="s">
        <v>521</v>
      </c>
      <c r="D82" s="40" t="s">
        <v>618</v>
      </c>
      <c r="E82" s="40" t="s">
        <v>346</v>
      </c>
      <c r="F82" s="40">
        <v>16.420000000000002</v>
      </c>
      <c r="G82" s="40" t="s">
        <v>12</v>
      </c>
      <c r="H82" s="40" t="s">
        <v>64</v>
      </c>
      <c r="I82" s="40" t="s">
        <v>64</v>
      </c>
      <c r="J82" s="40" t="s">
        <v>64</v>
      </c>
      <c r="K82" s="40" t="s">
        <v>64</v>
      </c>
      <c r="L82" s="40" t="s">
        <v>64</v>
      </c>
      <c r="M82" s="40" t="s">
        <v>64</v>
      </c>
      <c r="N82" s="40" t="s">
        <v>64</v>
      </c>
      <c r="O82" s="40" t="s">
        <v>64</v>
      </c>
      <c r="P82" s="40" t="s">
        <v>64</v>
      </c>
      <c r="Q82" s="40" t="s">
        <v>64</v>
      </c>
      <c r="R82" s="40" t="s">
        <v>64</v>
      </c>
      <c r="S82" s="40" t="s">
        <v>64</v>
      </c>
      <c r="T82" s="40" t="s">
        <v>438</v>
      </c>
      <c r="U82" s="40">
        <v>31.32</v>
      </c>
      <c r="V82" s="40" t="s">
        <v>439</v>
      </c>
      <c r="W82" s="40">
        <v>43.24</v>
      </c>
      <c r="X82" s="40" t="s">
        <v>64</v>
      </c>
      <c r="Y82" s="40" t="s">
        <v>64</v>
      </c>
      <c r="Z82" s="40" t="s">
        <v>64</v>
      </c>
      <c r="AA82" s="40" t="s">
        <v>64</v>
      </c>
      <c r="AB82" s="40" t="s">
        <v>64</v>
      </c>
      <c r="AC82" s="40" t="s">
        <v>64</v>
      </c>
      <c r="AD82" s="40" t="s">
        <v>440</v>
      </c>
      <c r="AE82" s="40">
        <v>71.540000000000006</v>
      </c>
      <c r="AF82" s="40" t="s">
        <v>64</v>
      </c>
      <c r="AG82" s="40" t="s">
        <v>64</v>
      </c>
      <c r="AH82" s="40" t="s">
        <v>64</v>
      </c>
      <c r="AI82" s="40" t="s">
        <v>64</v>
      </c>
      <c r="AJ82" s="40" t="s">
        <v>64</v>
      </c>
      <c r="AK82" s="46" t="s">
        <v>64</v>
      </c>
      <c r="AL82" s="46" t="s">
        <v>64</v>
      </c>
      <c r="AM82" s="46" t="s">
        <v>64</v>
      </c>
      <c r="AN82" s="46" t="s">
        <v>64</v>
      </c>
      <c r="AO82" s="46" t="s">
        <v>64</v>
      </c>
      <c r="AP82" s="46" t="s">
        <v>64</v>
      </c>
      <c r="AQ82" s="46" t="s">
        <v>64</v>
      </c>
      <c r="AR82" s="46" t="s">
        <v>64</v>
      </c>
      <c r="AS82" s="46" t="s">
        <v>64</v>
      </c>
      <c r="AT82" s="46" t="s">
        <v>64</v>
      </c>
      <c r="AU82" s="46" t="s">
        <v>64</v>
      </c>
      <c r="AV82" s="46" t="s">
        <v>64</v>
      </c>
      <c r="AW82" s="46" t="s">
        <v>64</v>
      </c>
      <c r="AX82" s="46" t="s">
        <v>64</v>
      </c>
      <c r="AY82" s="46">
        <v>38.130000000000003</v>
      </c>
      <c r="AZ82" s="46" t="s">
        <v>64</v>
      </c>
      <c r="BA82" s="46" t="s">
        <v>64</v>
      </c>
      <c r="BB82" s="46" t="s">
        <v>64</v>
      </c>
      <c r="BC82" s="46" t="s">
        <v>64</v>
      </c>
      <c r="BD82" s="46" t="s">
        <v>64</v>
      </c>
      <c r="BE82" s="46" t="s">
        <v>64</v>
      </c>
      <c r="BF82" s="46" t="s">
        <v>64</v>
      </c>
      <c r="BG82" s="46" t="s">
        <v>64</v>
      </c>
      <c r="BH82" s="46" t="s">
        <v>64</v>
      </c>
      <c r="BI82" s="46" t="s">
        <v>64</v>
      </c>
      <c r="BJ82" s="46">
        <v>38.130000000000003</v>
      </c>
    </row>
    <row r="83" spans="1:62" x14ac:dyDescent="0.2">
      <c r="A83" s="39" t="s">
        <v>522</v>
      </c>
      <c r="B83" s="39" t="s">
        <v>536</v>
      </c>
      <c r="C83" s="39" t="s">
        <v>522</v>
      </c>
      <c r="D83" s="40" t="s">
        <v>619</v>
      </c>
      <c r="E83" s="40" t="s">
        <v>346</v>
      </c>
      <c r="F83" s="40">
        <v>29.43</v>
      </c>
      <c r="G83" s="40" t="s">
        <v>12</v>
      </c>
      <c r="H83" s="40" t="s">
        <v>64</v>
      </c>
      <c r="I83" s="40" t="s">
        <v>64</v>
      </c>
      <c r="J83" s="40" t="s">
        <v>64</v>
      </c>
      <c r="K83" s="40" t="s">
        <v>64</v>
      </c>
      <c r="L83" s="40" t="s">
        <v>64</v>
      </c>
      <c r="M83" s="40" t="s">
        <v>64</v>
      </c>
      <c r="N83" s="40" t="s">
        <v>64</v>
      </c>
      <c r="O83" s="40" t="s">
        <v>64</v>
      </c>
      <c r="P83" s="40" t="s">
        <v>64</v>
      </c>
      <c r="Q83" s="40" t="s">
        <v>64</v>
      </c>
      <c r="R83" s="40" t="s">
        <v>64</v>
      </c>
      <c r="S83" s="40" t="s">
        <v>64</v>
      </c>
      <c r="T83" s="40" t="s">
        <v>438</v>
      </c>
      <c r="U83" s="40">
        <v>15.66</v>
      </c>
      <c r="V83" s="40" t="s">
        <v>439</v>
      </c>
      <c r="W83" s="40">
        <v>43.14</v>
      </c>
      <c r="X83" s="40" t="s">
        <v>64</v>
      </c>
      <c r="Y83" s="40" t="s">
        <v>64</v>
      </c>
      <c r="Z83" s="40" t="s">
        <v>64</v>
      </c>
      <c r="AA83" s="40" t="s">
        <v>64</v>
      </c>
      <c r="AB83" s="40" t="s">
        <v>64</v>
      </c>
      <c r="AC83" s="40" t="s">
        <v>64</v>
      </c>
      <c r="AD83" s="40" t="s">
        <v>440</v>
      </c>
      <c r="AE83" s="40">
        <v>71.44</v>
      </c>
      <c r="AF83" s="40" t="s">
        <v>64</v>
      </c>
      <c r="AG83" s="40" t="s">
        <v>64</v>
      </c>
      <c r="AH83" s="40" t="s">
        <v>64</v>
      </c>
      <c r="AI83" s="40" t="s">
        <v>64</v>
      </c>
      <c r="AJ83" s="40" t="s">
        <v>64</v>
      </c>
      <c r="AK83" s="46" t="s">
        <v>64</v>
      </c>
      <c r="AL83" s="46" t="s">
        <v>64</v>
      </c>
      <c r="AM83" s="46" t="s">
        <v>64</v>
      </c>
      <c r="AN83" s="46" t="s">
        <v>64</v>
      </c>
      <c r="AO83" s="46" t="s">
        <v>64</v>
      </c>
      <c r="AP83" s="46" t="s">
        <v>64</v>
      </c>
      <c r="AQ83" s="46" t="s">
        <v>64</v>
      </c>
      <c r="AR83" s="46" t="s">
        <v>64</v>
      </c>
      <c r="AS83" s="46" t="s">
        <v>64</v>
      </c>
      <c r="AT83" s="46" t="s">
        <v>64</v>
      </c>
      <c r="AU83" s="46" t="s">
        <v>64</v>
      </c>
      <c r="AV83" s="46" t="s">
        <v>64</v>
      </c>
      <c r="AW83" s="46" t="s">
        <v>64</v>
      </c>
      <c r="AX83" s="46" t="s">
        <v>64</v>
      </c>
      <c r="AY83" s="46">
        <v>38.049999999999997</v>
      </c>
      <c r="AZ83" s="46" t="s">
        <v>64</v>
      </c>
      <c r="BA83" s="46" t="s">
        <v>64</v>
      </c>
      <c r="BB83" s="46" t="s">
        <v>64</v>
      </c>
      <c r="BC83" s="46" t="s">
        <v>64</v>
      </c>
      <c r="BD83" s="46" t="s">
        <v>64</v>
      </c>
      <c r="BE83" s="46" t="s">
        <v>64</v>
      </c>
      <c r="BF83" s="46" t="s">
        <v>64</v>
      </c>
      <c r="BG83" s="46" t="s">
        <v>64</v>
      </c>
      <c r="BH83" s="46" t="s">
        <v>64</v>
      </c>
      <c r="BI83" s="46" t="s">
        <v>64</v>
      </c>
      <c r="BJ83" s="46">
        <v>38.04</v>
      </c>
    </row>
    <row r="84" spans="1:62" x14ac:dyDescent="0.2">
      <c r="A84" s="39" t="s">
        <v>523</v>
      </c>
      <c r="B84" s="39" t="s">
        <v>536</v>
      </c>
      <c r="C84" s="39" t="s">
        <v>523</v>
      </c>
      <c r="D84" s="40" t="s">
        <v>620</v>
      </c>
      <c r="E84" s="40" t="s">
        <v>346</v>
      </c>
      <c r="F84" s="40">
        <v>39.11</v>
      </c>
      <c r="G84" s="40" t="s">
        <v>12</v>
      </c>
      <c r="H84" s="40" t="s">
        <v>64</v>
      </c>
      <c r="I84" s="40" t="s">
        <v>64</v>
      </c>
      <c r="J84" s="40" t="s">
        <v>64</v>
      </c>
      <c r="K84" s="40" t="s">
        <v>64</v>
      </c>
      <c r="L84" s="40" t="s">
        <v>64</v>
      </c>
      <c r="M84" s="40" t="s">
        <v>64</v>
      </c>
      <c r="N84" s="40" t="s">
        <v>64</v>
      </c>
      <c r="O84" s="40" t="s">
        <v>64</v>
      </c>
      <c r="P84" s="40" t="s">
        <v>64</v>
      </c>
      <c r="Q84" s="40" t="s">
        <v>64</v>
      </c>
      <c r="R84" s="40" t="s">
        <v>64</v>
      </c>
      <c r="S84" s="40" t="s">
        <v>64</v>
      </c>
      <c r="T84" s="40" t="s">
        <v>439</v>
      </c>
      <c r="U84" s="40">
        <v>61.29</v>
      </c>
      <c r="V84" s="40" t="s">
        <v>64</v>
      </c>
      <c r="W84" s="40" t="s">
        <v>64</v>
      </c>
      <c r="X84" s="40" t="s">
        <v>64</v>
      </c>
      <c r="Y84" s="40" t="s">
        <v>64</v>
      </c>
      <c r="Z84" s="40" t="s">
        <v>64</v>
      </c>
      <c r="AA84" s="40" t="s">
        <v>64</v>
      </c>
      <c r="AB84" s="40" t="s">
        <v>64</v>
      </c>
      <c r="AC84" s="40" t="s">
        <v>64</v>
      </c>
      <c r="AD84" s="40" t="s">
        <v>440</v>
      </c>
      <c r="AE84" s="40">
        <v>75.94</v>
      </c>
      <c r="AF84" s="40" t="s">
        <v>64</v>
      </c>
      <c r="AG84" s="40" t="s">
        <v>64</v>
      </c>
      <c r="AH84" s="40" t="s">
        <v>64</v>
      </c>
      <c r="AI84" s="40" t="s">
        <v>64</v>
      </c>
      <c r="AJ84" s="40" t="s">
        <v>64</v>
      </c>
      <c r="AK84" s="46" t="s">
        <v>64</v>
      </c>
      <c r="AL84" s="46" t="s">
        <v>64</v>
      </c>
      <c r="AM84" s="46" t="s">
        <v>64</v>
      </c>
      <c r="AN84" s="46" t="s">
        <v>64</v>
      </c>
      <c r="AO84" s="46" t="s">
        <v>64</v>
      </c>
      <c r="AP84" s="46" t="s">
        <v>64</v>
      </c>
      <c r="AQ84" s="46" t="s">
        <v>64</v>
      </c>
      <c r="AR84" s="46" t="s">
        <v>64</v>
      </c>
      <c r="AS84" s="46" t="s">
        <v>64</v>
      </c>
      <c r="AT84" s="46" t="s">
        <v>64</v>
      </c>
      <c r="AU84" s="46" t="s">
        <v>64</v>
      </c>
      <c r="AV84" s="46" t="s">
        <v>64</v>
      </c>
      <c r="AW84" s="46" t="s">
        <v>64</v>
      </c>
      <c r="AX84" s="46" t="s">
        <v>64</v>
      </c>
      <c r="AY84" s="46">
        <v>44.35</v>
      </c>
      <c r="AZ84" s="46" t="s">
        <v>64</v>
      </c>
      <c r="BA84" s="46" t="s">
        <v>64</v>
      </c>
      <c r="BB84" s="46" t="s">
        <v>64</v>
      </c>
      <c r="BC84" s="46" t="s">
        <v>64</v>
      </c>
      <c r="BD84" s="46" t="s">
        <v>64</v>
      </c>
      <c r="BE84" s="46" t="s">
        <v>64</v>
      </c>
      <c r="BF84" s="46" t="s">
        <v>64</v>
      </c>
      <c r="BG84" s="46" t="s">
        <v>64</v>
      </c>
      <c r="BH84" s="46" t="s">
        <v>64</v>
      </c>
      <c r="BI84" s="46" t="s">
        <v>64</v>
      </c>
      <c r="BJ84" s="46">
        <v>44.34</v>
      </c>
    </row>
    <row r="85" spans="1:62" x14ac:dyDescent="0.2">
      <c r="A85" s="39" t="s">
        <v>524</v>
      </c>
      <c r="B85" s="39" t="s">
        <v>536</v>
      </c>
      <c r="C85" s="39" t="s">
        <v>524</v>
      </c>
      <c r="D85" s="40" t="s">
        <v>621</v>
      </c>
      <c r="E85" s="40" t="s">
        <v>346</v>
      </c>
      <c r="F85" s="40">
        <v>16.489999999999998</v>
      </c>
      <c r="G85" s="40" t="s">
        <v>12</v>
      </c>
      <c r="H85" s="40" t="s">
        <v>64</v>
      </c>
      <c r="I85" s="40" t="s">
        <v>64</v>
      </c>
      <c r="J85" s="40" t="s">
        <v>64</v>
      </c>
      <c r="K85" s="40" t="s">
        <v>64</v>
      </c>
      <c r="L85" s="40" t="s">
        <v>64</v>
      </c>
      <c r="M85" s="40" t="s">
        <v>64</v>
      </c>
      <c r="N85" s="40" t="s">
        <v>64</v>
      </c>
      <c r="O85" s="40" t="s">
        <v>64</v>
      </c>
      <c r="P85" s="40" t="s">
        <v>64</v>
      </c>
      <c r="Q85" s="40" t="s">
        <v>64</v>
      </c>
      <c r="R85" s="40" t="s">
        <v>64</v>
      </c>
      <c r="S85" s="40" t="s">
        <v>64</v>
      </c>
      <c r="T85" s="40" t="s">
        <v>438</v>
      </c>
      <c r="U85" s="40">
        <v>20.09</v>
      </c>
      <c r="V85" s="40" t="s">
        <v>439</v>
      </c>
      <c r="W85" s="40">
        <v>57.62</v>
      </c>
      <c r="X85" s="40" t="s">
        <v>64</v>
      </c>
      <c r="Y85" s="40" t="s">
        <v>64</v>
      </c>
      <c r="Z85" s="40" t="s">
        <v>64</v>
      </c>
      <c r="AA85" s="40" t="s">
        <v>64</v>
      </c>
      <c r="AB85" s="40" t="s">
        <v>64</v>
      </c>
      <c r="AC85" s="40" t="s">
        <v>64</v>
      </c>
      <c r="AD85" s="40" t="s">
        <v>440</v>
      </c>
      <c r="AE85" s="40">
        <v>151.52000000000001</v>
      </c>
      <c r="AF85" s="40" t="s">
        <v>64</v>
      </c>
      <c r="AG85" s="40" t="s">
        <v>64</v>
      </c>
      <c r="AH85" s="40" t="s">
        <v>64</v>
      </c>
      <c r="AI85" s="40" t="s">
        <v>64</v>
      </c>
      <c r="AJ85" s="40" t="s">
        <v>338</v>
      </c>
      <c r="AK85" s="46">
        <v>37.32</v>
      </c>
      <c r="AL85" s="46" t="s">
        <v>12</v>
      </c>
      <c r="AM85" s="46" t="s">
        <v>64</v>
      </c>
      <c r="AN85" s="46" t="s">
        <v>64</v>
      </c>
      <c r="AO85" s="46" t="s">
        <v>64</v>
      </c>
      <c r="AP85" s="46" t="s">
        <v>64</v>
      </c>
      <c r="AQ85" s="46" t="s">
        <v>64</v>
      </c>
      <c r="AR85" s="46" t="s">
        <v>64</v>
      </c>
      <c r="AS85" s="46" t="s">
        <v>64</v>
      </c>
      <c r="AT85" s="46" t="s">
        <v>64</v>
      </c>
      <c r="AU85" s="46" t="s">
        <v>64</v>
      </c>
      <c r="AV85" s="46" t="s">
        <v>64</v>
      </c>
      <c r="AW85" s="46" t="s">
        <v>64</v>
      </c>
      <c r="AX85" s="46" t="s">
        <v>64</v>
      </c>
      <c r="AY85" s="46" t="s">
        <v>64</v>
      </c>
      <c r="AZ85" s="46" t="s">
        <v>64</v>
      </c>
      <c r="BA85" s="46" t="s">
        <v>64</v>
      </c>
      <c r="BB85" s="46" t="s">
        <v>64</v>
      </c>
      <c r="BC85" s="46" t="s">
        <v>64</v>
      </c>
      <c r="BD85" s="46" t="s">
        <v>64</v>
      </c>
      <c r="BE85" s="46" t="s">
        <v>64</v>
      </c>
      <c r="BF85" s="46" t="s">
        <v>64</v>
      </c>
      <c r="BG85" s="46" t="s">
        <v>64</v>
      </c>
      <c r="BH85" s="46" t="s">
        <v>64</v>
      </c>
      <c r="BI85" s="46" t="s">
        <v>64</v>
      </c>
      <c r="BJ85" s="46">
        <v>37.33</v>
      </c>
    </row>
    <row r="86" spans="1:62" x14ac:dyDescent="0.2">
      <c r="A86" s="39" t="s">
        <v>525</v>
      </c>
      <c r="B86" s="39" t="s">
        <v>536</v>
      </c>
      <c r="C86" s="39" t="s">
        <v>525</v>
      </c>
      <c r="D86" s="40" t="s">
        <v>622</v>
      </c>
      <c r="E86" s="40" t="s">
        <v>346</v>
      </c>
      <c r="F86" s="40">
        <v>33.24</v>
      </c>
      <c r="G86" s="40" t="s">
        <v>12</v>
      </c>
      <c r="H86" s="40" t="s">
        <v>64</v>
      </c>
      <c r="I86" s="40" t="s">
        <v>64</v>
      </c>
      <c r="J86" s="40" t="s">
        <v>64</v>
      </c>
      <c r="K86" s="40" t="s">
        <v>64</v>
      </c>
      <c r="L86" s="40" t="s">
        <v>64</v>
      </c>
      <c r="M86" s="40" t="s">
        <v>64</v>
      </c>
      <c r="N86" s="40" t="s">
        <v>64</v>
      </c>
      <c r="O86" s="40" t="s">
        <v>64</v>
      </c>
      <c r="P86" s="40" t="s">
        <v>64</v>
      </c>
      <c r="Q86" s="40" t="s">
        <v>64</v>
      </c>
      <c r="R86" s="40" t="s">
        <v>64</v>
      </c>
      <c r="S86" s="40" t="s">
        <v>64</v>
      </c>
      <c r="T86" s="40" t="s">
        <v>438</v>
      </c>
      <c r="U86" s="40">
        <v>20.09</v>
      </c>
      <c r="V86" s="40" t="s">
        <v>439</v>
      </c>
      <c r="W86" s="40">
        <v>40.5</v>
      </c>
      <c r="X86" s="40" t="s">
        <v>64</v>
      </c>
      <c r="Y86" s="40" t="s">
        <v>64</v>
      </c>
      <c r="Z86" s="40" t="s">
        <v>64</v>
      </c>
      <c r="AA86" s="40" t="s">
        <v>64</v>
      </c>
      <c r="AB86" s="40" t="s">
        <v>64</v>
      </c>
      <c r="AC86" s="40" t="s">
        <v>64</v>
      </c>
      <c r="AD86" s="40" t="s">
        <v>440</v>
      </c>
      <c r="AE86" s="40">
        <v>149.84</v>
      </c>
      <c r="AF86" s="40" t="s">
        <v>64</v>
      </c>
      <c r="AG86" s="40" t="s">
        <v>64</v>
      </c>
      <c r="AH86" s="40" t="s">
        <v>64</v>
      </c>
      <c r="AI86" s="40" t="s">
        <v>64</v>
      </c>
      <c r="AJ86" s="40" t="s">
        <v>338</v>
      </c>
      <c r="AK86" s="46">
        <v>38.74</v>
      </c>
      <c r="AL86" s="46" t="s">
        <v>12</v>
      </c>
      <c r="AM86" s="46" t="s">
        <v>64</v>
      </c>
      <c r="AN86" s="46" t="s">
        <v>64</v>
      </c>
      <c r="AO86" s="46" t="s">
        <v>64</v>
      </c>
      <c r="AP86" s="46" t="s">
        <v>64</v>
      </c>
      <c r="AQ86" s="46" t="s">
        <v>64</v>
      </c>
      <c r="AR86" s="46" t="s">
        <v>64</v>
      </c>
      <c r="AS86" s="46" t="s">
        <v>64</v>
      </c>
      <c r="AT86" s="46" t="s">
        <v>64</v>
      </c>
      <c r="AU86" s="46" t="s">
        <v>64</v>
      </c>
      <c r="AV86" s="46" t="s">
        <v>64</v>
      </c>
      <c r="AW86" s="46" t="s">
        <v>64</v>
      </c>
      <c r="AX86" s="46" t="s">
        <v>64</v>
      </c>
      <c r="AY86" s="46" t="s">
        <v>64</v>
      </c>
      <c r="AZ86" s="46" t="s">
        <v>64</v>
      </c>
      <c r="BA86" s="46" t="s">
        <v>64</v>
      </c>
      <c r="BB86" s="46" t="s">
        <v>64</v>
      </c>
      <c r="BC86" s="46" t="s">
        <v>64</v>
      </c>
      <c r="BD86" s="46" t="s">
        <v>64</v>
      </c>
      <c r="BE86" s="46" t="s">
        <v>64</v>
      </c>
      <c r="BF86" s="46" t="s">
        <v>64</v>
      </c>
      <c r="BG86" s="46" t="s">
        <v>64</v>
      </c>
      <c r="BH86" s="46" t="s">
        <v>64</v>
      </c>
      <c r="BI86" s="46" t="s">
        <v>64</v>
      </c>
      <c r="BJ86" s="46">
        <v>38.75</v>
      </c>
    </row>
    <row r="87" spans="1:62" x14ac:dyDescent="0.2">
      <c r="A87" s="39" t="s">
        <v>526</v>
      </c>
      <c r="B87" s="39" t="s">
        <v>536</v>
      </c>
      <c r="C87" s="39" t="s">
        <v>526</v>
      </c>
      <c r="D87" s="40" t="s">
        <v>623</v>
      </c>
      <c r="E87" s="40" t="s">
        <v>346</v>
      </c>
      <c r="F87" s="40">
        <v>16.48</v>
      </c>
      <c r="G87" s="40" t="s">
        <v>12</v>
      </c>
      <c r="H87" s="40" t="s">
        <v>64</v>
      </c>
      <c r="I87" s="40" t="s">
        <v>64</v>
      </c>
      <c r="J87" s="40" t="s">
        <v>64</v>
      </c>
      <c r="K87" s="40" t="s">
        <v>64</v>
      </c>
      <c r="L87" s="40" t="s">
        <v>64</v>
      </c>
      <c r="M87" s="40" t="s">
        <v>64</v>
      </c>
      <c r="N87" s="40" t="s">
        <v>64</v>
      </c>
      <c r="O87" s="40" t="s">
        <v>64</v>
      </c>
      <c r="P87" s="40" t="s">
        <v>64</v>
      </c>
      <c r="Q87" s="40" t="s">
        <v>64</v>
      </c>
      <c r="R87" s="40" t="s">
        <v>64</v>
      </c>
      <c r="S87" s="40" t="s">
        <v>64</v>
      </c>
      <c r="T87" s="40" t="s">
        <v>438</v>
      </c>
      <c r="U87" s="40">
        <v>17.93</v>
      </c>
      <c r="V87" s="40" t="s">
        <v>439</v>
      </c>
      <c r="W87" s="40">
        <v>61.29</v>
      </c>
      <c r="X87" s="40" t="s">
        <v>64</v>
      </c>
      <c r="Y87" s="40" t="s">
        <v>64</v>
      </c>
      <c r="Z87" s="40" t="s">
        <v>64</v>
      </c>
      <c r="AA87" s="40" t="s">
        <v>64</v>
      </c>
      <c r="AB87" s="40" t="s">
        <v>64</v>
      </c>
      <c r="AC87" s="40" t="s">
        <v>64</v>
      </c>
      <c r="AD87" s="40" t="s">
        <v>440</v>
      </c>
      <c r="AE87" s="40">
        <v>74.08</v>
      </c>
      <c r="AF87" s="40" t="s">
        <v>64</v>
      </c>
      <c r="AG87" s="40" t="s">
        <v>64</v>
      </c>
      <c r="AH87" s="40" t="s">
        <v>64</v>
      </c>
      <c r="AI87" s="40" t="s">
        <v>64</v>
      </c>
      <c r="AJ87" s="40" t="s">
        <v>338</v>
      </c>
      <c r="AK87" s="46">
        <v>37.020000000000003</v>
      </c>
      <c r="AL87" s="46" t="s">
        <v>12</v>
      </c>
      <c r="AM87" s="46" t="s">
        <v>64</v>
      </c>
      <c r="AN87" s="46" t="s">
        <v>64</v>
      </c>
      <c r="AO87" s="46" t="s">
        <v>64</v>
      </c>
      <c r="AP87" s="46" t="s">
        <v>64</v>
      </c>
      <c r="AQ87" s="46" t="s">
        <v>64</v>
      </c>
      <c r="AR87" s="46" t="s">
        <v>64</v>
      </c>
      <c r="AS87" s="46" t="s">
        <v>64</v>
      </c>
      <c r="AT87" s="46" t="s">
        <v>64</v>
      </c>
      <c r="AU87" s="46" t="s">
        <v>64</v>
      </c>
      <c r="AV87" s="46" t="s">
        <v>64</v>
      </c>
      <c r="AW87" s="46" t="s">
        <v>64</v>
      </c>
      <c r="AX87" s="46" t="s">
        <v>64</v>
      </c>
      <c r="AY87" s="46" t="s">
        <v>64</v>
      </c>
      <c r="AZ87" s="46" t="s">
        <v>64</v>
      </c>
      <c r="BA87" s="46" t="s">
        <v>64</v>
      </c>
      <c r="BB87" s="46" t="s">
        <v>64</v>
      </c>
      <c r="BC87" s="46" t="s">
        <v>64</v>
      </c>
      <c r="BD87" s="46" t="s">
        <v>64</v>
      </c>
      <c r="BE87" s="46" t="s">
        <v>64</v>
      </c>
      <c r="BF87" s="46" t="s">
        <v>64</v>
      </c>
      <c r="BG87" s="46" t="s">
        <v>64</v>
      </c>
      <c r="BH87" s="46" t="s">
        <v>64</v>
      </c>
      <c r="BI87" s="46" t="s">
        <v>64</v>
      </c>
      <c r="BJ87" s="46">
        <v>37.03</v>
      </c>
    </row>
    <row r="88" spans="1:62" x14ac:dyDescent="0.2">
      <c r="A88" s="39" t="s">
        <v>527</v>
      </c>
      <c r="B88" s="39" t="s">
        <v>536</v>
      </c>
      <c r="C88" s="39" t="s">
        <v>527</v>
      </c>
      <c r="D88" s="40" t="s">
        <v>624</v>
      </c>
      <c r="E88" s="40" t="s">
        <v>346</v>
      </c>
      <c r="F88" s="40">
        <v>14.24</v>
      </c>
      <c r="G88" s="40" t="s">
        <v>12</v>
      </c>
      <c r="H88" s="40" t="s">
        <v>64</v>
      </c>
      <c r="I88" s="40" t="s">
        <v>64</v>
      </c>
      <c r="J88" s="40" t="s">
        <v>64</v>
      </c>
      <c r="K88" s="40" t="s">
        <v>64</v>
      </c>
      <c r="L88" s="40" t="s">
        <v>64</v>
      </c>
      <c r="M88" s="40" t="s">
        <v>64</v>
      </c>
      <c r="N88" s="40" t="s">
        <v>64</v>
      </c>
      <c r="O88" s="40" t="s">
        <v>64</v>
      </c>
      <c r="P88" s="40" t="s">
        <v>64</v>
      </c>
      <c r="Q88" s="40" t="s">
        <v>64</v>
      </c>
      <c r="R88" s="40" t="s">
        <v>64</v>
      </c>
      <c r="S88" s="40" t="s">
        <v>64</v>
      </c>
      <c r="T88" s="40" t="s">
        <v>438</v>
      </c>
      <c r="U88" s="40">
        <v>18.16</v>
      </c>
      <c r="V88" s="40" t="s">
        <v>439</v>
      </c>
      <c r="W88" s="40">
        <v>86.2</v>
      </c>
      <c r="X88" s="40" t="s">
        <v>64</v>
      </c>
      <c r="Y88" s="40" t="s">
        <v>64</v>
      </c>
      <c r="Z88" s="40" t="s">
        <v>64</v>
      </c>
      <c r="AA88" s="40" t="s">
        <v>64</v>
      </c>
      <c r="AB88" s="40" t="s">
        <v>64</v>
      </c>
      <c r="AC88" s="40" t="s">
        <v>64</v>
      </c>
      <c r="AD88" s="40" t="s">
        <v>440</v>
      </c>
      <c r="AE88" s="40">
        <v>69.36</v>
      </c>
      <c r="AF88" s="40" t="s">
        <v>64</v>
      </c>
      <c r="AG88" s="40" t="s">
        <v>64</v>
      </c>
      <c r="AH88" s="40" t="s">
        <v>64</v>
      </c>
      <c r="AI88" s="40" t="s">
        <v>64</v>
      </c>
      <c r="AJ88" s="40" t="s">
        <v>338</v>
      </c>
      <c r="AK88" s="46">
        <v>46.48</v>
      </c>
      <c r="AL88" s="46" t="s">
        <v>12</v>
      </c>
      <c r="AM88" s="46" t="s">
        <v>64</v>
      </c>
      <c r="AN88" s="46" t="s">
        <v>64</v>
      </c>
      <c r="AO88" s="46" t="s">
        <v>64</v>
      </c>
      <c r="AP88" s="46" t="s">
        <v>64</v>
      </c>
      <c r="AQ88" s="46" t="s">
        <v>64</v>
      </c>
      <c r="AR88" s="46" t="s">
        <v>64</v>
      </c>
      <c r="AS88" s="46" t="s">
        <v>64</v>
      </c>
      <c r="AT88" s="46" t="s">
        <v>64</v>
      </c>
      <c r="AU88" s="46" t="s">
        <v>64</v>
      </c>
      <c r="AV88" s="46" t="s">
        <v>64</v>
      </c>
      <c r="AW88" s="46" t="s">
        <v>64</v>
      </c>
      <c r="AX88" s="46" t="s">
        <v>64</v>
      </c>
      <c r="AY88" s="46" t="s">
        <v>64</v>
      </c>
      <c r="AZ88" s="46" t="s">
        <v>64</v>
      </c>
      <c r="BA88" s="46" t="s">
        <v>64</v>
      </c>
      <c r="BB88" s="46" t="s">
        <v>64</v>
      </c>
      <c r="BC88" s="46" t="s">
        <v>64</v>
      </c>
      <c r="BD88" s="46" t="s">
        <v>64</v>
      </c>
      <c r="BE88" s="46" t="s">
        <v>64</v>
      </c>
      <c r="BF88" s="46" t="s">
        <v>64</v>
      </c>
      <c r="BG88" s="46" t="s">
        <v>64</v>
      </c>
      <c r="BH88" s="46" t="s">
        <v>64</v>
      </c>
      <c r="BI88" s="46" t="s">
        <v>64</v>
      </c>
      <c r="BJ88" s="46">
        <v>46.49</v>
      </c>
    </row>
    <row r="89" spans="1:62" x14ac:dyDescent="0.2">
      <c r="A89" s="39" t="s">
        <v>528</v>
      </c>
      <c r="B89" s="39" t="s">
        <v>536</v>
      </c>
      <c r="C89" s="39" t="s">
        <v>528</v>
      </c>
      <c r="D89" s="40" t="s">
        <v>625</v>
      </c>
      <c r="E89" s="40" t="s">
        <v>346</v>
      </c>
      <c r="F89" s="40">
        <v>17.79</v>
      </c>
      <c r="G89" s="40" t="s">
        <v>12</v>
      </c>
      <c r="H89" s="40" t="s">
        <v>64</v>
      </c>
      <c r="I89" s="40" t="s">
        <v>64</v>
      </c>
      <c r="J89" s="40" t="s">
        <v>64</v>
      </c>
      <c r="K89" s="40" t="s">
        <v>64</v>
      </c>
      <c r="L89" s="40" t="s">
        <v>64</v>
      </c>
      <c r="M89" s="40" t="s">
        <v>64</v>
      </c>
      <c r="N89" s="40" t="s">
        <v>64</v>
      </c>
      <c r="O89" s="40" t="s">
        <v>64</v>
      </c>
      <c r="P89" s="40" t="s">
        <v>64</v>
      </c>
      <c r="Q89" s="40" t="s">
        <v>64</v>
      </c>
      <c r="R89" s="40" t="s">
        <v>64</v>
      </c>
      <c r="S89" s="40" t="s">
        <v>64</v>
      </c>
      <c r="T89" s="40" t="s">
        <v>438</v>
      </c>
      <c r="U89" s="40">
        <v>35.86</v>
      </c>
      <c r="V89" s="40" t="s">
        <v>439</v>
      </c>
      <c r="W89" s="40">
        <v>45.98</v>
      </c>
      <c r="X89" s="40" t="s">
        <v>64</v>
      </c>
      <c r="Y89" s="40" t="s">
        <v>64</v>
      </c>
      <c r="Z89" s="40" t="s">
        <v>64</v>
      </c>
      <c r="AA89" s="40" t="s">
        <v>64</v>
      </c>
      <c r="AB89" s="40" t="s">
        <v>64</v>
      </c>
      <c r="AC89" s="40" t="s">
        <v>64</v>
      </c>
      <c r="AD89" s="40" t="s">
        <v>440</v>
      </c>
      <c r="AE89" s="40">
        <v>148.16</v>
      </c>
      <c r="AF89" s="40" t="s">
        <v>64</v>
      </c>
      <c r="AG89" s="40" t="s">
        <v>64</v>
      </c>
      <c r="AH89" s="40" t="s">
        <v>64</v>
      </c>
      <c r="AI89" s="40" t="s">
        <v>64</v>
      </c>
      <c r="AJ89" s="40" t="s">
        <v>338</v>
      </c>
      <c r="AK89" s="46">
        <v>39.26</v>
      </c>
      <c r="AL89" s="46" t="s">
        <v>12</v>
      </c>
      <c r="AM89" s="46" t="s">
        <v>64</v>
      </c>
      <c r="AN89" s="46" t="s">
        <v>64</v>
      </c>
      <c r="AO89" s="46" t="s">
        <v>64</v>
      </c>
      <c r="AP89" s="46" t="s">
        <v>64</v>
      </c>
      <c r="AQ89" s="46" t="s">
        <v>64</v>
      </c>
      <c r="AR89" s="46" t="s">
        <v>64</v>
      </c>
      <c r="AS89" s="46" t="s">
        <v>64</v>
      </c>
      <c r="AT89" s="46" t="s">
        <v>64</v>
      </c>
      <c r="AU89" s="46" t="s">
        <v>64</v>
      </c>
      <c r="AV89" s="46" t="s">
        <v>64</v>
      </c>
      <c r="AW89" s="46" t="s">
        <v>64</v>
      </c>
      <c r="AX89" s="46" t="s">
        <v>64</v>
      </c>
      <c r="AY89" s="46" t="s">
        <v>64</v>
      </c>
      <c r="AZ89" s="46" t="s">
        <v>64</v>
      </c>
      <c r="BA89" s="46" t="s">
        <v>64</v>
      </c>
      <c r="BB89" s="46" t="s">
        <v>64</v>
      </c>
      <c r="BC89" s="46" t="s">
        <v>64</v>
      </c>
      <c r="BD89" s="46" t="s">
        <v>64</v>
      </c>
      <c r="BE89" s="46" t="s">
        <v>64</v>
      </c>
      <c r="BF89" s="46" t="s">
        <v>64</v>
      </c>
      <c r="BG89" s="46" t="s">
        <v>64</v>
      </c>
      <c r="BH89" s="46" t="s">
        <v>64</v>
      </c>
      <c r="BI89" s="46" t="s">
        <v>64</v>
      </c>
      <c r="BJ89" s="46">
        <v>39.26</v>
      </c>
    </row>
    <row r="90" spans="1:62" x14ac:dyDescent="0.2">
      <c r="A90" s="39" t="s">
        <v>529</v>
      </c>
      <c r="B90" s="39" t="s">
        <v>536</v>
      </c>
      <c r="C90" s="39" t="s">
        <v>529</v>
      </c>
      <c r="D90" s="40" t="s">
        <v>626</v>
      </c>
      <c r="E90" s="40" t="s">
        <v>346</v>
      </c>
      <c r="F90" s="40">
        <v>17.3</v>
      </c>
      <c r="G90" s="40" t="s">
        <v>12</v>
      </c>
      <c r="H90" s="40" t="s">
        <v>64</v>
      </c>
      <c r="I90" s="40" t="s">
        <v>64</v>
      </c>
      <c r="J90" s="40" t="s">
        <v>64</v>
      </c>
      <c r="K90" s="40" t="s">
        <v>64</v>
      </c>
      <c r="L90" s="40" t="s">
        <v>64</v>
      </c>
      <c r="M90" s="40" t="s">
        <v>64</v>
      </c>
      <c r="N90" s="40" t="s">
        <v>64</v>
      </c>
      <c r="O90" s="40" t="s">
        <v>64</v>
      </c>
      <c r="P90" s="40" t="s">
        <v>64</v>
      </c>
      <c r="Q90" s="40" t="s">
        <v>64</v>
      </c>
      <c r="R90" s="40" t="s">
        <v>64</v>
      </c>
      <c r="S90" s="40" t="s">
        <v>64</v>
      </c>
      <c r="T90" s="40" t="s">
        <v>438</v>
      </c>
      <c r="U90" s="40">
        <v>36.32</v>
      </c>
      <c r="V90" s="40" t="s">
        <v>439</v>
      </c>
      <c r="W90" s="40">
        <v>45</v>
      </c>
      <c r="X90" s="40" t="s">
        <v>64</v>
      </c>
      <c r="Y90" s="40" t="s">
        <v>64</v>
      </c>
      <c r="Z90" s="40" t="s">
        <v>64</v>
      </c>
      <c r="AA90" s="40" t="s">
        <v>64</v>
      </c>
      <c r="AB90" s="40" t="s">
        <v>64</v>
      </c>
      <c r="AC90" s="40" t="s">
        <v>64</v>
      </c>
      <c r="AD90" s="40" t="s">
        <v>440</v>
      </c>
      <c r="AE90" s="40">
        <v>149.12</v>
      </c>
      <c r="AF90" s="40" t="s">
        <v>64</v>
      </c>
      <c r="AG90" s="40" t="s">
        <v>64</v>
      </c>
      <c r="AH90" s="40" t="s">
        <v>64</v>
      </c>
      <c r="AI90" s="40" t="s">
        <v>64</v>
      </c>
      <c r="AJ90" s="40" t="s">
        <v>338</v>
      </c>
      <c r="AK90" s="46">
        <v>38.93</v>
      </c>
      <c r="AL90" s="46" t="s">
        <v>12</v>
      </c>
      <c r="AM90" s="46" t="s">
        <v>64</v>
      </c>
      <c r="AN90" s="46" t="s">
        <v>64</v>
      </c>
      <c r="AO90" s="46" t="s">
        <v>64</v>
      </c>
      <c r="AP90" s="46" t="s">
        <v>64</v>
      </c>
      <c r="AQ90" s="46" t="s">
        <v>64</v>
      </c>
      <c r="AR90" s="46" t="s">
        <v>64</v>
      </c>
      <c r="AS90" s="46" t="s">
        <v>64</v>
      </c>
      <c r="AT90" s="46" t="s">
        <v>64</v>
      </c>
      <c r="AU90" s="46" t="s">
        <v>64</v>
      </c>
      <c r="AV90" s="46" t="s">
        <v>64</v>
      </c>
      <c r="AW90" s="46" t="s">
        <v>64</v>
      </c>
      <c r="AX90" s="46" t="s">
        <v>64</v>
      </c>
      <c r="AY90" s="46" t="s">
        <v>64</v>
      </c>
      <c r="AZ90" s="46" t="s">
        <v>64</v>
      </c>
      <c r="BA90" s="46" t="s">
        <v>64</v>
      </c>
      <c r="BB90" s="46" t="s">
        <v>64</v>
      </c>
      <c r="BC90" s="46" t="s">
        <v>64</v>
      </c>
      <c r="BD90" s="46" t="s">
        <v>64</v>
      </c>
      <c r="BE90" s="46" t="s">
        <v>64</v>
      </c>
      <c r="BF90" s="46" t="s">
        <v>64</v>
      </c>
      <c r="BG90" s="46" t="s">
        <v>64</v>
      </c>
      <c r="BH90" s="46" t="s">
        <v>64</v>
      </c>
      <c r="BI90" s="46" t="s">
        <v>64</v>
      </c>
      <c r="BJ90" s="46">
        <v>38.93</v>
      </c>
    </row>
    <row r="91" spans="1:62" x14ac:dyDescent="0.2">
      <c r="A91" s="39" t="s">
        <v>530</v>
      </c>
      <c r="B91" s="39" t="s">
        <v>536</v>
      </c>
      <c r="C91" s="39" t="s">
        <v>530</v>
      </c>
      <c r="D91" s="40" t="s">
        <v>627</v>
      </c>
      <c r="E91" s="40" t="s">
        <v>346</v>
      </c>
      <c r="F91" s="40">
        <v>20.72</v>
      </c>
      <c r="G91" s="40" t="s">
        <v>12</v>
      </c>
      <c r="H91" s="40" t="s">
        <v>64</v>
      </c>
      <c r="I91" s="40" t="s">
        <v>64</v>
      </c>
      <c r="J91" s="40" t="s">
        <v>64</v>
      </c>
      <c r="K91" s="40" t="s">
        <v>64</v>
      </c>
      <c r="L91" s="40" t="s">
        <v>64</v>
      </c>
      <c r="M91" s="40" t="s">
        <v>64</v>
      </c>
      <c r="N91" s="40" t="s">
        <v>64</v>
      </c>
      <c r="O91" s="40" t="s">
        <v>64</v>
      </c>
      <c r="P91" s="40" t="s">
        <v>64</v>
      </c>
      <c r="Q91" s="40" t="s">
        <v>64</v>
      </c>
      <c r="R91" s="40" t="s">
        <v>64</v>
      </c>
      <c r="S91" s="40" t="s">
        <v>64</v>
      </c>
      <c r="T91" s="40" t="s">
        <v>438</v>
      </c>
      <c r="U91" s="40">
        <v>17.93</v>
      </c>
      <c r="V91" s="40" t="s">
        <v>439</v>
      </c>
      <c r="W91" s="40">
        <v>82.84</v>
      </c>
      <c r="X91" s="40" t="s">
        <v>64</v>
      </c>
      <c r="Y91" s="40" t="s">
        <v>64</v>
      </c>
      <c r="Z91" s="40" t="s">
        <v>64</v>
      </c>
      <c r="AA91" s="40" t="s">
        <v>64</v>
      </c>
      <c r="AB91" s="40" t="s">
        <v>64</v>
      </c>
      <c r="AC91" s="40" t="s">
        <v>64</v>
      </c>
      <c r="AD91" s="40" t="s">
        <v>440</v>
      </c>
      <c r="AE91" s="40">
        <v>181.72</v>
      </c>
      <c r="AF91" s="40" t="s">
        <v>64</v>
      </c>
      <c r="AG91" s="40" t="s">
        <v>64</v>
      </c>
      <c r="AH91" s="40" t="s">
        <v>64</v>
      </c>
      <c r="AI91" s="40" t="s">
        <v>64</v>
      </c>
      <c r="AJ91" s="40" t="s">
        <v>338</v>
      </c>
      <c r="AK91" s="46">
        <v>45.51</v>
      </c>
      <c r="AL91" s="46" t="s">
        <v>12</v>
      </c>
      <c r="AM91" s="46" t="s">
        <v>64</v>
      </c>
      <c r="AN91" s="46" t="s">
        <v>64</v>
      </c>
      <c r="AO91" s="46" t="s">
        <v>64</v>
      </c>
      <c r="AP91" s="46" t="s">
        <v>64</v>
      </c>
      <c r="AQ91" s="46" t="s">
        <v>64</v>
      </c>
      <c r="AR91" s="46" t="s">
        <v>64</v>
      </c>
      <c r="AS91" s="46" t="s">
        <v>64</v>
      </c>
      <c r="AT91" s="46" t="s">
        <v>64</v>
      </c>
      <c r="AU91" s="46" t="s">
        <v>64</v>
      </c>
      <c r="AV91" s="46" t="s">
        <v>64</v>
      </c>
      <c r="AW91" s="46" t="s">
        <v>64</v>
      </c>
      <c r="AX91" s="46" t="s">
        <v>64</v>
      </c>
      <c r="AY91" s="46" t="s">
        <v>64</v>
      </c>
      <c r="AZ91" s="46" t="s">
        <v>64</v>
      </c>
      <c r="BA91" s="46" t="s">
        <v>64</v>
      </c>
      <c r="BB91" s="46" t="s">
        <v>64</v>
      </c>
      <c r="BC91" s="46" t="s">
        <v>64</v>
      </c>
      <c r="BD91" s="46" t="s">
        <v>64</v>
      </c>
      <c r="BE91" s="46" t="s">
        <v>64</v>
      </c>
      <c r="BF91" s="46" t="s">
        <v>64</v>
      </c>
      <c r="BG91" s="46" t="s">
        <v>64</v>
      </c>
      <c r="BH91" s="46" t="s">
        <v>64</v>
      </c>
      <c r="BI91" s="46" t="s">
        <v>64</v>
      </c>
      <c r="BJ91" s="46">
        <v>45.51</v>
      </c>
    </row>
    <row r="92" spans="1:62" x14ac:dyDescent="0.2">
      <c r="A92" s="39" t="s">
        <v>531</v>
      </c>
      <c r="B92" s="39" t="s">
        <v>536</v>
      </c>
      <c r="C92" s="39" t="s">
        <v>531</v>
      </c>
      <c r="D92" s="40" t="s">
        <v>628</v>
      </c>
      <c r="E92" s="40" t="s">
        <v>346</v>
      </c>
      <c r="F92" s="40">
        <v>17.22</v>
      </c>
      <c r="G92" s="40" t="s">
        <v>12</v>
      </c>
      <c r="H92" s="40" t="s">
        <v>64</v>
      </c>
      <c r="I92" s="40" t="s">
        <v>64</v>
      </c>
      <c r="J92" s="40" t="s">
        <v>64</v>
      </c>
      <c r="K92" s="40" t="s">
        <v>64</v>
      </c>
      <c r="L92" s="40" t="s">
        <v>64</v>
      </c>
      <c r="M92" s="40" t="s">
        <v>64</v>
      </c>
      <c r="N92" s="40" t="s">
        <v>64</v>
      </c>
      <c r="O92" s="40" t="s">
        <v>64</v>
      </c>
      <c r="P92" s="40" t="s">
        <v>64</v>
      </c>
      <c r="Q92" s="40" t="s">
        <v>64</v>
      </c>
      <c r="R92" s="40" t="s">
        <v>64</v>
      </c>
      <c r="S92" s="40" t="s">
        <v>64</v>
      </c>
      <c r="T92" s="40" t="s">
        <v>438</v>
      </c>
      <c r="U92" s="40">
        <v>36.32</v>
      </c>
      <c r="V92" s="40" t="s">
        <v>439</v>
      </c>
      <c r="W92" s="40">
        <v>44.84</v>
      </c>
      <c r="X92" s="40" t="s">
        <v>64</v>
      </c>
      <c r="Y92" s="40" t="s">
        <v>64</v>
      </c>
      <c r="Z92" s="40" t="s">
        <v>64</v>
      </c>
      <c r="AA92" s="40" t="s">
        <v>64</v>
      </c>
      <c r="AB92" s="40" t="s">
        <v>64</v>
      </c>
      <c r="AC92" s="40" t="s">
        <v>64</v>
      </c>
      <c r="AD92" s="40" t="s">
        <v>440</v>
      </c>
      <c r="AE92" s="40">
        <v>149.12</v>
      </c>
      <c r="AF92" s="40" t="s">
        <v>64</v>
      </c>
      <c r="AG92" s="40" t="s">
        <v>64</v>
      </c>
      <c r="AH92" s="40" t="s">
        <v>64</v>
      </c>
      <c r="AI92" s="40" t="s">
        <v>64</v>
      </c>
      <c r="AJ92" s="40" t="s">
        <v>338</v>
      </c>
      <c r="AK92" s="46">
        <v>38.799999999999997</v>
      </c>
      <c r="AL92" s="46" t="s">
        <v>12</v>
      </c>
      <c r="AM92" s="46" t="s">
        <v>64</v>
      </c>
      <c r="AN92" s="46" t="s">
        <v>64</v>
      </c>
      <c r="AO92" s="46" t="s">
        <v>64</v>
      </c>
      <c r="AP92" s="46" t="s">
        <v>64</v>
      </c>
      <c r="AQ92" s="46" t="s">
        <v>64</v>
      </c>
      <c r="AR92" s="46" t="s">
        <v>64</v>
      </c>
      <c r="AS92" s="46" t="s">
        <v>64</v>
      </c>
      <c r="AT92" s="46" t="s">
        <v>64</v>
      </c>
      <c r="AU92" s="46" t="s">
        <v>64</v>
      </c>
      <c r="AV92" s="46" t="s">
        <v>64</v>
      </c>
      <c r="AW92" s="46" t="s">
        <v>64</v>
      </c>
      <c r="AX92" s="46" t="s">
        <v>64</v>
      </c>
      <c r="AY92" s="46" t="s">
        <v>64</v>
      </c>
      <c r="AZ92" s="46" t="s">
        <v>64</v>
      </c>
      <c r="BA92" s="46" t="s">
        <v>64</v>
      </c>
      <c r="BB92" s="46" t="s">
        <v>64</v>
      </c>
      <c r="BC92" s="46" t="s">
        <v>64</v>
      </c>
      <c r="BD92" s="46" t="s">
        <v>64</v>
      </c>
      <c r="BE92" s="46" t="s">
        <v>64</v>
      </c>
      <c r="BF92" s="46" t="s">
        <v>64</v>
      </c>
      <c r="BG92" s="46" t="s">
        <v>64</v>
      </c>
      <c r="BH92" s="46" t="s">
        <v>64</v>
      </c>
      <c r="BI92" s="46" t="s">
        <v>64</v>
      </c>
      <c r="BJ92" s="46">
        <v>38.79</v>
      </c>
    </row>
    <row r="93" spans="1:62" x14ac:dyDescent="0.2">
      <c r="A93" s="39" t="s">
        <v>532</v>
      </c>
      <c r="B93" s="39" t="s">
        <v>536</v>
      </c>
      <c r="C93" s="39" t="s">
        <v>532</v>
      </c>
      <c r="D93" s="40" t="s">
        <v>629</v>
      </c>
      <c r="E93" s="40" t="s">
        <v>346</v>
      </c>
      <c r="F93" s="40">
        <v>40.26</v>
      </c>
      <c r="G93" s="40" t="s">
        <v>12</v>
      </c>
      <c r="H93" s="40" t="s">
        <v>64</v>
      </c>
      <c r="I93" s="40" t="s">
        <v>64</v>
      </c>
      <c r="J93" s="40" t="s">
        <v>64</v>
      </c>
      <c r="K93" s="40" t="s">
        <v>64</v>
      </c>
      <c r="L93" s="40" t="s">
        <v>64</v>
      </c>
      <c r="M93" s="40" t="s">
        <v>64</v>
      </c>
      <c r="N93" s="40" t="s">
        <v>64</v>
      </c>
      <c r="O93" s="40" t="s">
        <v>64</v>
      </c>
      <c r="P93" s="40" t="s">
        <v>64</v>
      </c>
      <c r="Q93" s="40" t="s">
        <v>64</v>
      </c>
      <c r="R93" s="40" t="s">
        <v>64</v>
      </c>
      <c r="S93" s="40" t="s">
        <v>64</v>
      </c>
      <c r="T93" s="40" t="s">
        <v>438</v>
      </c>
      <c r="U93" s="40">
        <v>35.19</v>
      </c>
      <c r="V93" s="40" t="s">
        <v>439</v>
      </c>
      <c r="W93" s="40">
        <v>25.74</v>
      </c>
      <c r="X93" s="40" t="s">
        <v>64</v>
      </c>
      <c r="Y93" s="40" t="s">
        <v>64</v>
      </c>
      <c r="Z93" s="40" t="s">
        <v>64</v>
      </c>
      <c r="AA93" s="40" t="s">
        <v>64</v>
      </c>
      <c r="AB93" s="40" t="s">
        <v>64</v>
      </c>
      <c r="AC93" s="40" t="s">
        <v>64</v>
      </c>
      <c r="AD93" s="40" t="s">
        <v>440</v>
      </c>
      <c r="AE93" s="40">
        <v>230.08</v>
      </c>
      <c r="AF93" s="40" t="s">
        <v>64</v>
      </c>
      <c r="AG93" s="40" t="s">
        <v>64</v>
      </c>
      <c r="AH93" s="40" t="s">
        <v>64</v>
      </c>
      <c r="AI93" s="40" t="s">
        <v>64</v>
      </c>
      <c r="AJ93" s="40" t="s">
        <v>338</v>
      </c>
      <c r="AK93" s="46">
        <v>50.33</v>
      </c>
      <c r="AL93" s="46" t="s">
        <v>12</v>
      </c>
      <c r="AM93" s="46" t="s">
        <v>64</v>
      </c>
      <c r="AN93" s="46" t="s">
        <v>64</v>
      </c>
      <c r="AO93" s="46" t="s">
        <v>64</v>
      </c>
      <c r="AP93" s="46" t="s">
        <v>64</v>
      </c>
      <c r="AQ93" s="46" t="s">
        <v>64</v>
      </c>
      <c r="AR93" s="46" t="s">
        <v>64</v>
      </c>
      <c r="AS93" s="46" t="s">
        <v>64</v>
      </c>
      <c r="AT93" s="46" t="s">
        <v>64</v>
      </c>
      <c r="AU93" s="46" t="s">
        <v>64</v>
      </c>
      <c r="AV93" s="46" t="s">
        <v>64</v>
      </c>
      <c r="AW93" s="46" t="s">
        <v>64</v>
      </c>
      <c r="AX93" s="46" t="s">
        <v>64</v>
      </c>
      <c r="AY93" s="46" t="s">
        <v>64</v>
      </c>
      <c r="AZ93" s="46" t="s">
        <v>64</v>
      </c>
      <c r="BA93" s="46" t="s">
        <v>64</v>
      </c>
      <c r="BB93" s="46" t="s">
        <v>64</v>
      </c>
      <c r="BC93" s="46" t="s">
        <v>64</v>
      </c>
      <c r="BD93" s="46" t="s">
        <v>64</v>
      </c>
      <c r="BE93" s="46" t="s">
        <v>64</v>
      </c>
      <c r="BF93" s="46" t="s">
        <v>64</v>
      </c>
      <c r="BG93" s="46" t="s">
        <v>64</v>
      </c>
      <c r="BH93" s="46" t="s">
        <v>64</v>
      </c>
      <c r="BI93" s="46" t="s">
        <v>64</v>
      </c>
      <c r="BJ93" s="46">
        <v>50.33</v>
      </c>
    </row>
    <row r="94" spans="1:62" x14ac:dyDescent="0.2">
      <c r="A94" s="39" t="s">
        <v>533</v>
      </c>
      <c r="B94" s="39" t="s">
        <v>536</v>
      </c>
      <c r="C94" s="39" t="s">
        <v>533</v>
      </c>
      <c r="D94" s="40" t="s">
        <v>630</v>
      </c>
      <c r="E94" s="40" t="s">
        <v>346</v>
      </c>
      <c r="F94" s="40">
        <v>18.309999999999999</v>
      </c>
      <c r="G94" s="40" t="s">
        <v>12</v>
      </c>
      <c r="H94" s="40" t="s">
        <v>64</v>
      </c>
      <c r="I94" s="40" t="s">
        <v>64</v>
      </c>
      <c r="J94" s="40" t="s">
        <v>64</v>
      </c>
      <c r="K94" s="40" t="s">
        <v>64</v>
      </c>
      <c r="L94" s="40" t="s">
        <v>64</v>
      </c>
      <c r="M94" s="40" t="s">
        <v>64</v>
      </c>
      <c r="N94" s="40" t="s">
        <v>64</v>
      </c>
      <c r="O94" s="40" t="s">
        <v>64</v>
      </c>
      <c r="P94" s="40" t="s">
        <v>64</v>
      </c>
      <c r="Q94" s="40" t="s">
        <v>64</v>
      </c>
      <c r="R94" s="40" t="s">
        <v>64</v>
      </c>
      <c r="S94" s="40" t="s">
        <v>64</v>
      </c>
      <c r="T94" s="40" t="s">
        <v>438</v>
      </c>
      <c r="U94" s="40">
        <v>34.06</v>
      </c>
      <c r="V94" s="40" t="s">
        <v>439</v>
      </c>
      <c r="W94" s="40">
        <v>47.02</v>
      </c>
      <c r="X94" s="40" t="s">
        <v>64</v>
      </c>
      <c r="Y94" s="40" t="s">
        <v>64</v>
      </c>
      <c r="Z94" s="40" t="s">
        <v>64</v>
      </c>
      <c r="AA94" s="40" t="s">
        <v>64</v>
      </c>
      <c r="AB94" s="40" t="s">
        <v>64</v>
      </c>
      <c r="AC94" s="40" t="s">
        <v>64</v>
      </c>
      <c r="AD94" s="40" t="s">
        <v>440</v>
      </c>
      <c r="AE94" s="40">
        <v>83.64</v>
      </c>
      <c r="AF94" s="40" t="s">
        <v>64</v>
      </c>
      <c r="AG94" s="40" t="s">
        <v>64</v>
      </c>
      <c r="AH94" s="40" t="s">
        <v>64</v>
      </c>
      <c r="AI94" s="40" t="s">
        <v>64</v>
      </c>
      <c r="AJ94" s="40" t="s">
        <v>338</v>
      </c>
      <c r="AK94" s="46">
        <v>38.130000000000003</v>
      </c>
      <c r="AL94" s="46" t="s">
        <v>12</v>
      </c>
      <c r="AM94" s="46" t="s">
        <v>64</v>
      </c>
      <c r="AN94" s="46" t="s">
        <v>64</v>
      </c>
      <c r="AO94" s="46" t="s">
        <v>64</v>
      </c>
      <c r="AP94" s="46" t="s">
        <v>64</v>
      </c>
      <c r="AQ94" s="46" t="s">
        <v>64</v>
      </c>
      <c r="AR94" s="46" t="s">
        <v>64</v>
      </c>
      <c r="AS94" s="46" t="s">
        <v>64</v>
      </c>
      <c r="AT94" s="46" t="s">
        <v>64</v>
      </c>
      <c r="AU94" s="46" t="s">
        <v>64</v>
      </c>
      <c r="AV94" s="46" t="s">
        <v>64</v>
      </c>
      <c r="AW94" s="46" t="s">
        <v>64</v>
      </c>
      <c r="AX94" s="46" t="s">
        <v>64</v>
      </c>
      <c r="AY94" s="46" t="s">
        <v>64</v>
      </c>
      <c r="AZ94" s="46" t="s">
        <v>64</v>
      </c>
      <c r="BA94" s="46" t="s">
        <v>64</v>
      </c>
      <c r="BB94" s="46" t="s">
        <v>64</v>
      </c>
      <c r="BC94" s="46" t="s">
        <v>64</v>
      </c>
      <c r="BD94" s="46" t="s">
        <v>64</v>
      </c>
      <c r="BE94" s="46" t="s">
        <v>64</v>
      </c>
      <c r="BF94" s="46" t="s">
        <v>64</v>
      </c>
      <c r="BG94" s="46" t="s">
        <v>64</v>
      </c>
      <c r="BH94" s="46" t="s">
        <v>64</v>
      </c>
      <c r="BI94" s="46" t="s">
        <v>64</v>
      </c>
      <c r="BJ94" s="46">
        <v>38.130000000000003</v>
      </c>
    </row>
    <row r="95" spans="1:62" x14ac:dyDescent="0.2">
      <c r="A95" s="39" t="s">
        <v>534</v>
      </c>
      <c r="B95" s="39" t="s">
        <v>536</v>
      </c>
      <c r="C95" s="39" t="s">
        <v>534</v>
      </c>
      <c r="D95" s="40" t="s">
        <v>631</v>
      </c>
      <c r="E95" s="40" t="s">
        <v>346</v>
      </c>
      <c r="F95" s="40">
        <v>32.69</v>
      </c>
      <c r="G95" s="40" t="s">
        <v>12</v>
      </c>
      <c r="H95" s="40" t="s">
        <v>64</v>
      </c>
      <c r="I95" s="40" t="s">
        <v>64</v>
      </c>
      <c r="J95" s="40" t="s">
        <v>64</v>
      </c>
      <c r="K95" s="40" t="s">
        <v>64</v>
      </c>
      <c r="L95" s="40" t="s">
        <v>64</v>
      </c>
      <c r="M95" s="40" t="s">
        <v>64</v>
      </c>
      <c r="N95" s="40" t="s">
        <v>64</v>
      </c>
      <c r="O95" s="40" t="s">
        <v>64</v>
      </c>
      <c r="P95" s="40" t="s">
        <v>64</v>
      </c>
      <c r="Q95" s="40" t="s">
        <v>64</v>
      </c>
      <c r="R95" s="40" t="s">
        <v>64</v>
      </c>
      <c r="S95" s="40" t="s">
        <v>64</v>
      </c>
      <c r="T95" s="40" t="s">
        <v>438</v>
      </c>
      <c r="U95" s="40">
        <v>17.03</v>
      </c>
      <c r="V95" s="40" t="s">
        <v>439</v>
      </c>
      <c r="W95" s="40">
        <v>46.92</v>
      </c>
      <c r="X95" s="40" t="s">
        <v>64</v>
      </c>
      <c r="Y95" s="40" t="s">
        <v>64</v>
      </c>
      <c r="Z95" s="40" t="s">
        <v>64</v>
      </c>
      <c r="AA95" s="40" t="s">
        <v>64</v>
      </c>
      <c r="AB95" s="40" t="s">
        <v>64</v>
      </c>
      <c r="AC95" s="40" t="s">
        <v>64</v>
      </c>
      <c r="AD95" s="40" t="s">
        <v>440</v>
      </c>
      <c r="AE95" s="40">
        <v>155.28</v>
      </c>
      <c r="AF95" s="40" t="s">
        <v>64</v>
      </c>
      <c r="AG95" s="40" t="s">
        <v>64</v>
      </c>
      <c r="AH95" s="40" t="s">
        <v>64</v>
      </c>
      <c r="AI95" s="40" t="s">
        <v>64</v>
      </c>
      <c r="AJ95" s="40" t="s">
        <v>338</v>
      </c>
      <c r="AK95" s="46">
        <v>38.049999999999997</v>
      </c>
      <c r="AL95" s="46" t="s">
        <v>12</v>
      </c>
      <c r="AM95" s="46" t="s">
        <v>64</v>
      </c>
      <c r="AN95" s="46" t="s">
        <v>64</v>
      </c>
      <c r="AO95" s="46" t="s">
        <v>64</v>
      </c>
      <c r="AP95" s="46" t="s">
        <v>64</v>
      </c>
      <c r="AQ95" s="46" t="s">
        <v>64</v>
      </c>
      <c r="AR95" s="46" t="s">
        <v>64</v>
      </c>
      <c r="AS95" s="46" t="s">
        <v>64</v>
      </c>
      <c r="AT95" s="46" t="s">
        <v>64</v>
      </c>
      <c r="AU95" s="46" t="s">
        <v>64</v>
      </c>
      <c r="AV95" s="46" t="s">
        <v>64</v>
      </c>
      <c r="AW95" s="46" t="s">
        <v>64</v>
      </c>
      <c r="AX95" s="46" t="s">
        <v>64</v>
      </c>
      <c r="AY95" s="46" t="s">
        <v>64</v>
      </c>
      <c r="AZ95" s="46" t="s">
        <v>64</v>
      </c>
      <c r="BA95" s="46" t="s">
        <v>64</v>
      </c>
      <c r="BB95" s="46" t="s">
        <v>64</v>
      </c>
      <c r="BC95" s="46" t="s">
        <v>64</v>
      </c>
      <c r="BD95" s="46" t="s">
        <v>64</v>
      </c>
      <c r="BE95" s="46" t="s">
        <v>64</v>
      </c>
      <c r="BF95" s="46" t="s">
        <v>64</v>
      </c>
      <c r="BG95" s="46" t="s">
        <v>64</v>
      </c>
      <c r="BH95" s="46" t="s">
        <v>64</v>
      </c>
      <c r="BI95" s="46" t="s">
        <v>64</v>
      </c>
      <c r="BJ95" s="46">
        <v>38.04</v>
      </c>
    </row>
    <row r="96" spans="1:62" x14ac:dyDescent="0.2">
      <c r="A96" s="39" t="s">
        <v>535</v>
      </c>
      <c r="B96" s="39" t="s">
        <v>536</v>
      </c>
      <c r="C96" s="39" t="s">
        <v>535</v>
      </c>
      <c r="D96" s="40" t="s">
        <v>632</v>
      </c>
      <c r="E96" s="40" t="s">
        <v>346</v>
      </c>
      <c r="F96" s="40">
        <v>43.2</v>
      </c>
      <c r="G96" s="40" t="s">
        <v>12</v>
      </c>
      <c r="H96" s="40" t="s">
        <v>64</v>
      </c>
      <c r="I96" s="40" t="s">
        <v>64</v>
      </c>
      <c r="J96" s="40" t="s">
        <v>64</v>
      </c>
      <c r="K96" s="40" t="s">
        <v>64</v>
      </c>
      <c r="L96" s="40" t="s">
        <v>64</v>
      </c>
      <c r="M96" s="40" t="s">
        <v>64</v>
      </c>
      <c r="N96" s="40" t="s">
        <v>64</v>
      </c>
      <c r="O96" s="40" t="s">
        <v>64</v>
      </c>
      <c r="P96" s="40" t="s">
        <v>64</v>
      </c>
      <c r="Q96" s="40" t="s">
        <v>64</v>
      </c>
      <c r="R96" s="40" t="s">
        <v>64</v>
      </c>
      <c r="S96" s="40" t="s">
        <v>64</v>
      </c>
      <c r="T96" s="40" t="s">
        <v>439</v>
      </c>
      <c r="U96" s="40">
        <v>66.650000000000006</v>
      </c>
      <c r="V96" s="40" t="s">
        <v>64</v>
      </c>
      <c r="W96" s="40" t="s">
        <v>64</v>
      </c>
      <c r="X96" s="40" t="s">
        <v>64</v>
      </c>
      <c r="Y96" s="40" t="s">
        <v>64</v>
      </c>
      <c r="Z96" s="40" t="s">
        <v>64</v>
      </c>
      <c r="AA96" s="40" t="s">
        <v>64</v>
      </c>
      <c r="AB96" s="40" t="s">
        <v>64</v>
      </c>
      <c r="AC96" s="40" t="s">
        <v>64</v>
      </c>
      <c r="AD96" s="40" t="s">
        <v>440</v>
      </c>
      <c r="AE96" s="40">
        <v>161</v>
      </c>
      <c r="AF96" s="40" t="s">
        <v>64</v>
      </c>
      <c r="AG96" s="40" t="s">
        <v>64</v>
      </c>
      <c r="AH96" s="40" t="s">
        <v>64</v>
      </c>
      <c r="AI96" s="40" t="s">
        <v>64</v>
      </c>
      <c r="AJ96" s="40" t="s">
        <v>338</v>
      </c>
      <c r="AK96" s="46">
        <v>44.35</v>
      </c>
      <c r="AL96" s="46" t="s">
        <v>12</v>
      </c>
      <c r="AM96" s="46" t="s">
        <v>64</v>
      </c>
      <c r="AN96" s="46" t="s">
        <v>64</v>
      </c>
      <c r="AO96" s="46" t="s">
        <v>64</v>
      </c>
      <c r="AP96" s="46" t="s">
        <v>64</v>
      </c>
      <c r="AQ96" s="46" t="s">
        <v>64</v>
      </c>
      <c r="AR96" s="46" t="s">
        <v>64</v>
      </c>
      <c r="AS96" s="46" t="s">
        <v>64</v>
      </c>
      <c r="AT96" s="46" t="s">
        <v>64</v>
      </c>
      <c r="AU96" s="46" t="s">
        <v>64</v>
      </c>
      <c r="AV96" s="46" t="s">
        <v>64</v>
      </c>
      <c r="AW96" s="46" t="s">
        <v>64</v>
      </c>
      <c r="AX96" s="46" t="s">
        <v>64</v>
      </c>
      <c r="AY96" s="46" t="s">
        <v>64</v>
      </c>
      <c r="AZ96" s="46" t="s">
        <v>64</v>
      </c>
      <c r="BA96" s="46" t="s">
        <v>64</v>
      </c>
      <c r="BB96" s="46" t="s">
        <v>64</v>
      </c>
      <c r="BC96" s="46" t="s">
        <v>64</v>
      </c>
      <c r="BD96" s="46" t="s">
        <v>64</v>
      </c>
      <c r="BE96" s="46" t="s">
        <v>64</v>
      </c>
      <c r="BF96" s="46" t="s">
        <v>64</v>
      </c>
      <c r="BG96" s="46" t="s">
        <v>64</v>
      </c>
      <c r="BH96" s="46" t="s">
        <v>64</v>
      </c>
      <c r="BI96" s="46" t="s">
        <v>64</v>
      </c>
      <c r="BJ96" s="46">
        <v>44.34</v>
      </c>
    </row>
    <row r="97" spans="1:62" x14ac:dyDescent="0.2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</row>
    <row r="98" spans="1:62" x14ac:dyDescent="0.2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</row>
    <row r="99" spans="1:62" x14ac:dyDescent="0.2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</row>
    <row r="100" spans="1:62" x14ac:dyDescent="0.2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</row>
  </sheetData>
  <conditionalFormatting sqref="A2:BJ100">
    <cfRule type="cellIs" dxfId="196" priority="1" operator="equal">
      <formula>"Gross"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C3C09-5564-4C1E-9FCE-4C5E94964B4B}">
  <sheetPr codeName="Sheet6">
    <tabColor theme="8" tint="0.79998168889431442"/>
  </sheetPr>
  <dimension ref="B2:AE100"/>
  <sheetViews>
    <sheetView showGridLines="0" topLeftCell="B60" workbookViewId="0">
      <selection activeCell="Y6" sqref="Y6:Y100"/>
    </sheetView>
  </sheetViews>
  <sheetFormatPr defaultRowHeight="13.8" x14ac:dyDescent="0.25"/>
  <cols>
    <col min="1" max="1" width="5.796875" style="7" customWidth="1"/>
    <col min="2" max="2" width="27.69921875" style="7" bestFit="1" customWidth="1"/>
    <col min="3" max="3" width="6.8984375" style="7" bestFit="1" customWidth="1"/>
    <col min="4" max="4" width="22.69921875" style="7" bestFit="1" customWidth="1"/>
    <col min="5" max="5" width="5.296875" style="7" customWidth="1"/>
    <col min="6" max="6" width="8.796875" style="7"/>
    <col min="7" max="7" width="3.296875" style="7" customWidth="1"/>
    <col min="8" max="8" width="5.69921875" style="7" customWidth="1"/>
    <col min="9" max="9" width="7.796875" style="7" customWidth="1"/>
    <col min="10" max="10" width="4.796875" style="7" customWidth="1"/>
    <col min="11" max="11" width="8.09765625" style="7" customWidth="1"/>
    <col min="12" max="12" width="5.69921875" style="7" customWidth="1"/>
    <col min="13" max="13" width="8.59765625" style="7" customWidth="1"/>
    <col min="14" max="14" width="5.09765625" style="7" customWidth="1"/>
    <col min="15" max="15" width="8.09765625" style="7" customWidth="1"/>
    <col min="16" max="16" width="5.69921875" style="7" customWidth="1"/>
    <col min="17" max="17" width="4.3984375" style="7" customWidth="1"/>
    <col min="18" max="22" width="8.796875" style="6"/>
    <col min="23" max="23" width="3.796875" style="6" customWidth="1"/>
    <col min="24" max="26" width="8.796875" style="6"/>
    <col min="27" max="27" width="8.69921875" style="6" customWidth="1"/>
    <col min="28" max="28" width="8.796875" style="6"/>
    <col min="29" max="29" width="3.8984375" style="6" customWidth="1"/>
    <col min="30" max="16384" width="8.796875" style="7"/>
  </cols>
  <sheetData>
    <row r="2" spans="2:28" x14ac:dyDescent="0.25">
      <c r="H2" s="28" t="s">
        <v>148</v>
      </c>
      <c r="R2" s="8" t="s">
        <v>149</v>
      </c>
    </row>
    <row r="3" spans="2:28" x14ac:dyDescent="0.25">
      <c r="B3" s="28" t="s">
        <v>258</v>
      </c>
      <c r="H3" s="7">
        <f>SUM(H6:O100)</f>
        <v>539.21999999999991</v>
      </c>
      <c r="R3" s="47">
        <f>SUM(R6:R100)</f>
        <v>412.56999999999971</v>
      </c>
      <c r="S3" s="47">
        <f>SUM(S6:S100)</f>
        <v>126.64999999999998</v>
      </c>
      <c r="T3" s="47">
        <f>SUM(T6:T100)</f>
        <v>0</v>
      </c>
      <c r="X3"/>
    </row>
    <row r="4" spans="2:28" x14ac:dyDescent="0.25">
      <c r="F4" s="8"/>
      <c r="H4" s="1" t="s">
        <v>62</v>
      </c>
      <c r="I4" s="1" t="s">
        <v>88</v>
      </c>
      <c r="J4" s="1" t="s">
        <v>63</v>
      </c>
      <c r="K4" s="1" t="s">
        <v>91</v>
      </c>
      <c r="L4" s="1" t="s">
        <v>78</v>
      </c>
      <c r="M4" s="1" t="s">
        <v>89</v>
      </c>
      <c r="N4" s="1" t="s">
        <v>59</v>
      </c>
      <c r="O4" s="1" t="s">
        <v>90</v>
      </c>
      <c r="P4" s="1"/>
      <c r="R4" s="4">
        <v>1</v>
      </c>
      <c r="S4" s="4">
        <v>2</v>
      </c>
      <c r="T4" s="4">
        <v>3</v>
      </c>
      <c r="U4" s="4">
        <v>4</v>
      </c>
      <c r="V4" s="4">
        <v>5</v>
      </c>
      <c r="X4" s="4">
        <v>1</v>
      </c>
      <c r="Y4" s="4">
        <v>2</v>
      </c>
      <c r="Z4" s="4">
        <v>3</v>
      </c>
      <c r="AA4" s="4">
        <v>4</v>
      </c>
      <c r="AB4" s="4">
        <v>5</v>
      </c>
    </row>
    <row r="5" spans="2:28" ht="58.2" x14ac:dyDescent="0.25">
      <c r="B5" s="27" t="s">
        <v>252</v>
      </c>
      <c r="C5" s="26" t="s">
        <v>261</v>
      </c>
      <c r="D5" s="27" t="s">
        <v>254</v>
      </c>
      <c r="F5" s="2" t="s">
        <v>79</v>
      </c>
      <c r="H5" s="2" t="s">
        <v>80</v>
      </c>
      <c r="I5" s="2" t="s">
        <v>81</v>
      </c>
      <c r="J5" s="2" t="s">
        <v>82</v>
      </c>
      <c r="K5" s="2" t="s">
        <v>83</v>
      </c>
      <c r="L5" s="2" t="s">
        <v>84</v>
      </c>
      <c r="M5" s="2" t="s">
        <v>85</v>
      </c>
      <c r="N5" s="2" t="s">
        <v>86</v>
      </c>
      <c r="O5" s="2" t="s">
        <v>87</v>
      </c>
      <c r="P5" s="3"/>
      <c r="R5" s="12" t="s">
        <v>22</v>
      </c>
      <c r="S5" s="12" t="s">
        <v>31</v>
      </c>
      <c r="T5" s="12" t="s">
        <v>40</v>
      </c>
      <c r="U5" s="12" t="s">
        <v>49</v>
      </c>
      <c r="V5" s="12" t="s">
        <v>58</v>
      </c>
      <c r="X5" s="11" t="s">
        <v>19</v>
      </c>
      <c r="Y5" s="11" t="s">
        <v>28</v>
      </c>
      <c r="Z5" s="11" t="s">
        <v>37</v>
      </c>
      <c r="AA5" s="11" t="s">
        <v>46</v>
      </c>
      <c r="AB5" s="11" t="s">
        <v>55</v>
      </c>
    </row>
    <row r="6" spans="2:28" s="6" customFormat="1" ht="11.4" x14ac:dyDescent="0.2">
      <c r="B6" s="29" t="s">
        <v>14</v>
      </c>
      <c r="C6" s="4" t="s">
        <v>255</v>
      </c>
      <c r="D6" s="15"/>
      <c r="F6" s="63" t="s">
        <v>441</v>
      </c>
      <c r="H6" s="4"/>
      <c r="I6" s="4">
        <v>2.6</v>
      </c>
      <c r="J6" s="4"/>
      <c r="K6" s="4">
        <v>5.2</v>
      </c>
      <c r="L6" s="4"/>
      <c r="M6" s="4">
        <v>0</v>
      </c>
      <c r="N6" s="4"/>
      <c r="O6" s="4">
        <v>0</v>
      </c>
      <c r="P6" s="5"/>
      <c r="R6" s="18" cm="1">
        <f t="array" ref="R6">IFERROR(INDEX(_xlfn._xlws.FILTER($H6:$O6,$H6:$O6&lt;&gt;0),R$4),"N/A")</f>
        <v>2.6</v>
      </c>
      <c r="S6" s="10" cm="1">
        <f t="array" ref="S6">IFERROR(INDEX(_xlfn._xlws.FILTER($H6:$O6,$H6:$O6&lt;&gt;0),S$4),"N/A")</f>
        <v>5.2</v>
      </c>
      <c r="T6" s="10" t="str" cm="1">
        <f t="array" ref="T6">IFERROR(INDEX(_xlfn._xlws.FILTER($H6:$O6,$H6:$O6&lt;&gt;0),T$4),"N/A")</f>
        <v>N/A</v>
      </c>
      <c r="U6" s="10" t="str" cm="1">
        <f t="array" ref="U6">IFERROR(INDEX(_xlfn._xlws.FILTER($H6:$O6,$H6:$O6&lt;&gt;0),U$4),"N/A")</f>
        <v>N/A</v>
      </c>
      <c r="V6" s="10" t="str" cm="1">
        <f t="array" ref="V6">IFERROR(INDEX(_xlfn._xlws.FILTER($H6:$O6,$H6:$O6&lt;&gt;0),V$4),"N/A")</f>
        <v>N/A</v>
      </c>
      <c r="X6" s="13" t="str" cm="1">
        <f t="array" ref="X6">IFERROR(INDEX(_xlfn._xlws.FILTER($H$4:$O$4,$H6:$O6&lt;&gt;0),X$4),"N/A")</f>
        <v>Northeast</v>
      </c>
      <c r="Y6" s="13" t="str" cm="1">
        <f t="array" ref="Y6">IFERROR(INDEX(_xlfn._xlws.FILTER($H$4:$O$4,$H6:$O6&lt;&gt;0),Y$4),"N/A")</f>
        <v>Southeast</v>
      </c>
      <c r="Z6" s="13" t="str" cm="1">
        <f t="array" ref="Z6">IFERROR(INDEX(_xlfn._xlws.FILTER($H$4:$O$4,$H6:$O6&lt;&gt;0),Z$4),"N/A")</f>
        <v>N/A</v>
      </c>
      <c r="AA6" s="13" t="str" cm="1">
        <f t="array" ref="AA6">IFERROR(INDEX(_xlfn._xlws.FILTER($H$4:$O$4,$H6:$O6&lt;&gt;0),AA$4),"N/A")</f>
        <v>N/A</v>
      </c>
      <c r="AB6" s="13" t="str" cm="1">
        <f t="array" ref="AB6">IFERROR(INDEX(_xlfn._xlws.FILTER($H$4:$O$4,$H6:$O6&lt;&gt;0),AB$4),"N/A")</f>
        <v>N/A</v>
      </c>
    </row>
    <row r="7" spans="2:28" s="6" customFormat="1" ht="11.4" x14ac:dyDescent="0.2">
      <c r="B7" s="29" t="s">
        <v>15</v>
      </c>
      <c r="C7" s="4" t="s">
        <v>255</v>
      </c>
      <c r="D7" s="15"/>
      <c r="F7" s="63" t="s">
        <v>442</v>
      </c>
      <c r="H7" s="4"/>
      <c r="I7" s="4">
        <v>2.6</v>
      </c>
      <c r="J7" s="4"/>
      <c r="K7" s="4">
        <v>0</v>
      </c>
      <c r="L7" s="4"/>
      <c r="M7" s="4">
        <v>0</v>
      </c>
      <c r="N7" s="4"/>
      <c r="O7" s="4">
        <v>5.2</v>
      </c>
      <c r="P7" s="5"/>
      <c r="R7" s="10" cm="1">
        <f t="array" ref="R7">IFERROR(INDEX(_xlfn._xlws.FILTER($H7:$O7,$H7:$O7&lt;&gt;0),R$4),"N/A")</f>
        <v>2.6</v>
      </c>
      <c r="S7" s="10" cm="1">
        <f t="array" ref="S7">IFERROR(INDEX(_xlfn._xlws.FILTER($H7:$O7,$H7:$O7&lt;&gt;0),S$4),"N/A")</f>
        <v>5.2</v>
      </c>
      <c r="T7" s="10" t="str" cm="1">
        <f t="array" ref="T7">IFERROR(INDEX(_xlfn._xlws.FILTER($H7:$O7,$H7:$O7&lt;&gt;0),T$4),"N/A")</f>
        <v>N/A</v>
      </c>
      <c r="U7" s="10" t="str" cm="1">
        <f t="array" ref="U7">IFERROR(INDEX(_xlfn._xlws.FILTER($H7:$O7,$H7:$O7&lt;&gt;0),U$4),"N/A")</f>
        <v>N/A</v>
      </c>
      <c r="V7" s="10" t="str" cm="1">
        <f t="array" ref="V7">IFERROR(INDEX(_xlfn._xlws.FILTER($H7:$O7,$H7:$O7&lt;&gt;0),V$4),"N/A")</f>
        <v>N/A</v>
      </c>
      <c r="X7" s="13" t="str" cm="1">
        <f t="array" ref="X7">IFERROR(INDEX(_xlfn._xlws.FILTER($H$4:$O$4,$H7:$O7&lt;&gt;0),X$4),"N/A")</f>
        <v>Northeast</v>
      </c>
      <c r="Y7" s="13" t="str" cm="1">
        <f t="array" ref="Y7">IFERROR(INDEX(_xlfn._xlws.FILTER($H$4:$O$4,$H7:$O7&lt;&gt;0),Y$4),"N/A")</f>
        <v>Northwest</v>
      </c>
      <c r="Z7" s="13" t="str" cm="1">
        <f t="array" ref="Z7">IFERROR(INDEX(_xlfn._xlws.FILTER($H$4:$O$4,$H7:$O7&lt;&gt;0),Z$4),"N/A")</f>
        <v>N/A</v>
      </c>
      <c r="AA7" s="13" t="str" cm="1">
        <f t="array" ref="AA7">IFERROR(INDEX(_xlfn._xlws.FILTER($H$4:$O$4,$H7:$O7&lt;&gt;0),AA$4),"N/A")</f>
        <v>N/A</v>
      </c>
      <c r="AB7" s="13" t="str" cm="1">
        <f t="array" ref="AB7">IFERROR(INDEX(_xlfn._xlws.FILTER($H$4:$O$4,$H7:$O7&lt;&gt;0),AB$4),"N/A")</f>
        <v>N/A</v>
      </c>
    </row>
    <row r="8" spans="2:28" s="6" customFormat="1" ht="11.4" x14ac:dyDescent="0.2">
      <c r="B8" s="29" t="s">
        <v>16</v>
      </c>
      <c r="C8" s="4" t="s">
        <v>255</v>
      </c>
      <c r="D8" s="15"/>
      <c r="F8" s="63" t="s">
        <v>443</v>
      </c>
      <c r="H8" s="4"/>
      <c r="I8" s="4">
        <v>0</v>
      </c>
      <c r="J8" s="4"/>
      <c r="K8" s="4">
        <v>5.2</v>
      </c>
      <c r="L8" s="4"/>
      <c r="M8" s="4">
        <v>0</v>
      </c>
      <c r="N8" s="4"/>
      <c r="O8" s="4">
        <v>0</v>
      </c>
      <c r="P8" s="5"/>
      <c r="R8" s="10" cm="1">
        <f t="array" ref="R8">IFERROR(INDEX(_xlfn._xlws.FILTER($H8:$O8,$H8:$O8&lt;&gt;0),R$4),"N/A")</f>
        <v>5.2</v>
      </c>
      <c r="S8" s="10" t="str" cm="1">
        <f t="array" ref="S8">IFERROR(INDEX(_xlfn._xlws.FILTER($H8:$O8,$H8:$O8&lt;&gt;0),S$4),"N/A")</f>
        <v>N/A</v>
      </c>
      <c r="T8" s="10" t="str" cm="1">
        <f t="array" ref="T8">IFERROR(INDEX(_xlfn._xlws.FILTER($H8:$O8,$H8:$O8&lt;&gt;0),T$4),"N/A")</f>
        <v>N/A</v>
      </c>
      <c r="U8" s="10" t="str" cm="1">
        <f t="array" ref="U8">IFERROR(INDEX(_xlfn._xlws.FILTER($H8:$O8,$H8:$O8&lt;&gt;0),U$4),"N/A")</f>
        <v>N/A</v>
      </c>
      <c r="V8" s="10" t="str" cm="1">
        <f t="array" ref="V8">IFERROR(INDEX(_xlfn._xlws.FILTER($H8:$O8,$H8:$O8&lt;&gt;0),V$4),"N/A")</f>
        <v>N/A</v>
      </c>
      <c r="X8" s="13" t="str" cm="1">
        <f t="array" ref="X8">IFERROR(INDEX(_xlfn._xlws.FILTER($H$4:$O$4,$H8:$O8&lt;&gt;0),X$4),"N/A")</f>
        <v>Southeast</v>
      </c>
      <c r="Y8" s="13" t="str" cm="1">
        <f t="array" ref="Y8">IFERROR(INDEX(_xlfn._xlws.FILTER($H$4:$O$4,$H8:$O8&lt;&gt;0),Y$4),"N/A")</f>
        <v>N/A</v>
      </c>
      <c r="Z8" s="13" t="str" cm="1">
        <f t="array" ref="Z8">IFERROR(INDEX(_xlfn._xlws.FILTER($H$4:$O$4,$H8:$O8&lt;&gt;0),Z$4),"N/A")</f>
        <v>N/A</v>
      </c>
      <c r="AA8" s="13" t="str" cm="1">
        <f t="array" ref="AA8">IFERROR(INDEX(_xlfn._xlws.FILTER($H$4:$O$4,$H8:$O8&lt;&gt;0),AA$4),"N/A")</f>
        <v>N/A</v>
      </c>
      <c r="AB8" s="13" t="str" cm="1">
        <f t="array" ref="AB8">IFERROR(INDEX(_xlfn._xlws.FILTER($H$4:$O$4,$H8:$O8&lt;&gt;0),AB$4),"N/A")</f>
        <v>N/A</v>
      </c>
    </row>
    <row r="9" spans="2:28" s="6" customFormat="1" ht="11.4" x14ac:dyDescent="0.2">
      <c r="B9" s="29" t="s">
        <v>17</v>
      </c>
      <c r="C9" s="4" t="s">
        <v>255</v>
      </c>
      <c r="D9" s="15"/>
      <c r="F9" s="63" t="s">
        <v>444</v>
      </c>
      <c r="H9" s="4"/>
      <c r="I9" s="4">
        <v>0</v>
      </c>
      <c r="J9" s="4"/>
      <c r="K9" s="4">
        <v>0</v>
      </c>
      <c r="L9" s="4"/>
      <c r="M9" s="4">
        <v>0</v>
      </c>
      <c r="N9" s="4"/>
      <c r="O9" s="4">
        <v>5.2</v>
      </c>
      <c r="P9" s="5"/>
      <c r="R9" s="10" cm="1">
        <f t="array" ref="R9">IFERROR(INDEX(_xlfn._xlws.FILTER($H9:$O9,$H9:$O9&lt;&gt;0),R$4),"N/A")</f>
        <v>5.2</v>
      </c>
      <c r="S9" s="10" t="str" cm="1">
        <f t="array" ref="S9">IFERROR(INDEX(_xlfn._xlws.FILTER($H9:$O9,$H9:$O9&lt;&gt;0),S$4),"N/A")</f>
        <v>N/A</v>
      </c>
      <c r="T9" s="10" t="str" cm="1">
        <f t="array" ref="T9">IFERROR(INDEX(_xlfn._xlws.FILTER($H9:$O9,$H9:$O9&lt;&gt;0),T$4),"N/A")</f>
        <v>N/A</v>
      </c>
      <c r="U9" s="10" t="str" cm="1">
        <f t="array" ref="U9">IFERROR(INDEX(_xlfn._xlws.FILTER($H9:$O9,$H9:$O9&lt;&gt;0),U$4),"N/A")</f>
        <v>N/A</v>
      </c>
      <c r="V9" s="10" t="str" cm="1">
        <f t="array" ref="V9">IFERROR(INDEX(_xlfn._xlws.FILTER($H9:$O9,$H9:$O9&lt;&gt;0),V$4),"N/A")</f>
        <v>N/A</v>
      </c>
      <c r="X9" s="13" t="str" cm="1">
        <f t="array" ref="X9">IFERROR(INDEX(_xlfn._xlws.FILTER($H$4:$O$4,$H9:$O9&lt;&gt;0),X$4),"N/A")</f>
        <v>Northwest</v>
      </c>
      <c r="Y9" s="13" t="str" cm="1">
        <f t="array" ref="Y9">IFERROR(INDEX(_xlfn._xlws.FILTER($H$4:$O$4,$H9:$O9&lt;&gt;0),Y$4),"N/A")</f>
        <v>N/A</v>
      </c>
      <c r="Z9" s="13" t="str" cm="1">
        <f t="array" ref="Z9">IFERROR(INDEX(_xlfn._xlws.FILTER($H$4:$O$4,$H9:$O9&lt;&gt;0),Z$4),"N/A")</f>
        <v>N/A</v>
      </c>
      <c r="AA9" s="13" t="str" cm="1">
        <f t="array" ref="AA9">IFERROR(INDEX(_xlfn._xlws.FILTER($H$4:$O$4,$H9:$O9&lt;&gt;0),AA$4),"N/A")</f>
        <v>N/A</v>
      </c>
      <c r="AB9" s="13" t="str" cm="1">
        <f t="array" ref="AB9">IFERROR(INDEX(_xlfn._xlws.FILTER($H$4:$O$4,$H9:$O9&lt;&gt;0),AB$4),"N/A")</f>
        <v>N/A</v>
      </c>
    </row>
    <row r="10" spans="2:28" s="6" customFormat="1" ht="11.4" x14ac:dyDescent="0.2">
      <c r="B10" s="29" t="s">
        <v>18</v>
      </c>
      <c r="C10" s="4" t="s">
        <v>255</v>
      </c>
      <c r="D10" s="15"/>
      <c r="F10" s="63" t="s">
        <v>445</v>
      </c>
      <c r="H10" s="4"/>
      <c r="I10" s="4">
        <v>0</v>
      </c>
      <c r="J10" s="4"/>
      <c r="K10" s="4">
        <v>5.2</v>
      </c>
      <c r="L10" s="4"/>
      <c r="M10" s="4">
        <v>0</v>
      </c>
      <c r="N10" s="4"/>
      <c r="O10" s="4">
        <v>0</v>
      </c>
      <c r="P10" s="5"/>
      <c r="R10" s="10" cm="1">
        <f t="array" ref="R10">IFERROR(INDEX(_xlfn._xlws.FILTER($H10:$O10,$H10:$O10&lt;&gt;0),R$4),"N/A")</f>
        <v>5.2</v>
      </c>
      <c r="S10" s="10" t="str" cm="1">
        <f t="array" ref="S10">IFERROR(INDEX(_xlfn._xlws.FILTER($H10:$O10,$H10:$O10&lt;&gt;0),S$4),"N/A")</f>
        <v>N/A</v>
      </c>
      <c r="T10" s="10" t="str" cm="1">
        <f t="array" ref="T10">IFERROR(INDEX(_xlfn._xlws.FILTER($H10:$O10,$H10:$O10&lt;&gt;0),T$4),"N/A")</f>
        <v>N/A</v>
      </c>
      <c r="U10" s="10" t="str" cm="1">
        <f t="array" ref="U10">IFERROR(INDEX(_xlfn._xlws.FILTER($H10:$O10,$H10:$O10&lt;&gt;0),U$4),"N/A")</f>
        <v>N/A</v>
      </c>
      <c r="V10" s="10" t="str" cm="1">
        <f t="array" ref="V10">IFERROR(INDEX(_xlfn._xlws.FILTER($H10:$O10,$H10:$O10&lt;&gt;0),V$4),"N/A")</f>
        <v>N/A</v>
      </c>
      <c r="X10" s="13" t="str" cm="1">
        <f t="array" ref="X10">IFERROR(INDEX(_xlfn._xlws.FILTER($H$4:$O$4,$H10:$O10&lt;&gt;0),X$4),"N/A")</f>
        <v>Southeast</v>
      </c>
      <c r="Y10" s="13" t="str" cm="1">
        <f t="array" ref="Y10">IFERROR(INDEX(_xlfn._xlws.FILTER($H$4:$O$4,$H10:$O10&lt;&gt;0),Y$4),"N/A")</f>
        <v>N/A</v>
      </c>
      <c r="Z10" s="13" t="str" cm="1">
        <f t="array" ref="Z10">IFERROR(INDEX(_xlfn._xlws.FILTER($H$4:$O$4,$H10:$O10&lt;&gt;0),Z$4),"N/A")</f>
        <v>N/A</v>
      </c>
      <c r="AA10" s="13" t="str" cm="1">
        <f t="array" ref="AA10">IFERROR(INDEX(_xlfn._xlws.FILTER($H$4:$O$4,$H10:$O10&lt;&gt;0),AA$4),"N/A")</f>
        <v>N/A</v>
      </c>
      <c r="AB10" s="13" t="str" cm="1">
        <f t="array" ref="AB10">IFERROR(INDEX(_xlfn._xlws.FILTER($H$4:$O$4,$H10:$O10&lt;&gt;0),AB$4),"N/A")</f>
        <v>N/A</v>
      </c>
    </row>
    <row r="11" spans="2:28" s="6" customFormat="1" ht="11.4" x14ac:dyDescent="0.2">
      <c r="B11" s="29" t="s">
        <v>19</v>
      </c>
      <c r="C11" s="4" t="s">
        <v>256</v>
      </c>
      <c r="D11" s="15"/>
      <c r="F11" s="63" t="s">
        <v>446</v>
      </c>
      <c r="H11" s="4"/>
      <c r="I11" s="4">
        <v>0</v>
      </c>
      <c r="J11" s="4"/>
      <c r="K11" s="4">
        <v>0</v>
      </c>
      <c r="L11" s="4"/>
      <c r="M11" s="4">
        <v>0</v>
      </c>
      <c r="N11" s="4"/>
      <c r="O11" s="4">
        <v>5.2</v>
      </c>
      <c r="P11" s="5"/>
      <c r="R11" s="10" cm="1">
        <f t="array" ref="R11">IFERROR(INDEX(_xlfn._xlws.FILTER($H11:$O11,$H11:$O11&lt;&gt;0),R$4),"N/A")</f>
        <v>5.2</v>
      </c>
      <c r="S11" s="10" t="str" cm="1">
        <f t="array" ref="S11">IFERROR(INDEX(_xlfn._xlws.FILTER($H11:$O11,$H11:$O11&lt;&gt;0),S$4),"N/A")</f>
        <v>N/A</v>
      </c>
      <c r="T11" s="10" t="str" cm="1">
        <f t="array" ref="T11">IFERROR(INDEX(_xlfn._xlws.FILTER($H11:$O11,$H11:$O11&lt;&gt;0),T$4),"N/A")</f>
        <v>N/A</v>
      </c>
      <c r="U11" s="10" t="str" cm="1">
        <f t="array" ref="U11">IFERROR(INDEX(_xlfn._xlws.FILTER($H11:$O11,$H11:$O11&lt;&gt;0),U$4),"N/A")</f>
        <v>N/A</v>
      </c>
      <c r="V11" s="10" t="str" cm="1">
        <f t="array" ref="V11">IFERROR(INDEX(_xlfn._xlws.FILTER($H11:$O11,$H11:$O11&lt;&gt;0),V$4),"N/A")</f>
        <v>N/A</v>
      </c>
      <c r="X11" s="13" t="str" cm="1">
        <f t="array" ref="X11">IFERROR(INDEX(_xlfn._xlws.FILTER($H$4:$O$4,$H11:$O11&lt;&gt;0),X$4),"N/A")</f>
        <v>Northwest</v>
      </c>
      <c r="Y11" s="13" t="str" cm="1">
        <f t="array" ref="Y11">IFERROR(INDEX(_xlfn._xlws.FILTER($H$4:$O$4,$H11:$O11&lt;&gt;0),Y$4),"N/A")</f>
        <v>N/A</v>
      </c>
      <c r="Z11" s="13" t="str" cm="1">
        <f t="array" ref="Z11">IFERROR(INDEX(_xlfn._xlws.FILTER($H$4:$O$4,$H11:$O11&lt;&gt;0),Z$4),"N/A")</f>
        <v>N/A</v>
      </c>
      <c r="AA11" s="13" t="str" cm="1">
        <f t="array" ref="AA11">IFERROR(INDEX(_xlfn._xlws.FILTER($H$4:$O$4,$H11:$O11&lt;&gt;0),AA$4),"N/A")</f>
        <v>N/A</v>
      </c>
      <c r="AB11" s="13" t="str" cm="1">
        <f t="array" ref="AB11">IFERROR(INDEX(_xlfn._xlws.FILTER($H$4:$O$4,$H11:$O11&lt;&gt;0),AB$4),"N/A")</f>
        <v>N/A</v>
      </c>
    </row>
    <row r="12" spans="2:28" s="6" customFormat="1" ht="11.4" x14ac:dyDescent="0.2">
      <c r="B12" s="29" t="s">
        <v>20</v>
      </c>
      <c r="C12" s="4" t="s">
        <v>255</v>
      </c>
      <c r="D12" s="15"/>
      <c r="F12" s="63" t="s">
        <v>447</v>
      </c>
      <c r="H12" s="4"/>
      <c r="I12" s="4">
        <v>0</v>
      </c>
      <c r="J12" s="4"/>
      <c r="K12" s="4">
        <v>0</v>
      </c>
      <c r="L12" s="4"/>
      <c r="M12" s="4">
        <v>0</v>
      </c>
      <c r="N12" s="4"/>
      <c r="O12" s="4">
        <v>4.5299999999999994</v>
      </c>
      <c r="P12" s="5"/>
      <c r="R12" s="10" cm="1">
        <f t="array" ref="R12">IFERROR(INDEX(_xlfn._xlws.FILTER($H12:$O12,$H12:$O12&lt;&gt;0),R$4),"N/A")</f>
        <v>4.5299999999999994</v>
      </c>
      <c r="S12" s="10" t="str" cm="1">
        <f t="array" ref="S12">IFERROR(INDEX(_xlfn._xlws.FILTER($H12:$O12,$H12:$O12&lt;&gt;0),S$4),"N/A")</f>
        <v>N/A</v>
      </c>
      <c r="T12" s="10" t="str" cm="1">
        <f t="array" ref="T12">IFERROR(INDEX(_xlfn._xlws.FILTER($H12:$O12,$H12:$O12&lt;&gt;0),T$4),"N/A")</f>
        <v>N/A</v>
      </c>
      <c r="U12" s="10" t="str" cm="1">
        <f t="array" ref="U12">IFERROR(INDEX(_xlfn._xlws.FILTER($H12:$O12,$H12:$O12&lt;&gt;0),U$4),"N/A")</f>
        <v>N/A</v>
      </c>
      <c r="V12" s="10" t="str" cm="1">
        <f t="array" ref="V12">IFERROR(INDEX(_xlfn._xlws.FILTER($H12:$O12,$H12:$O12&lt;&gt;0),V$4),"N/A")</f>
        <v>N/A</v>
      </c>
      <c r="X12" s="13" t="str" cm="1">
        <f t="array" ref="X12">IFERROR(INDEX(_xlfn._xlws.FILTER($H$4:$O$4,$H12:$O12&lt;&gt;0),X$4),"N/A")</f>
        <v>Northwest</v>
      </c>
      <c r="Y12" s="13" t="str" cm="1">
        <f t="array" ref="Y12">IFERROR(INDEX(_xlfn._xlws.FILTER($H$4:$O$4,$H12:$O12&lt;&gt;0),Y$4),"N/A")</f>
        <v>N/A</v>
      </c>
      <c r="Z12" s="13" t="str" cm="1">
        <f t="array" ref="Z12">IFERROR(INDEX(_xlfn._xlws.FILTER($H$4:$O$4,$H12:$O12&lt;&gt;0),Z$4),"N/A")</f>
        <v>N/A</v>
      </c>
      <c r="AA12" s="13" t="str" cm="1">
        <f t="array" ref="AA12">IFERROR(INDEX(_xlfn._xlws.FILTER($H$4:$O$4,$H12:$O12&lt;&gt;0),AA$4),"N/A")</f>
        <v>N/A</v>
      </c>
      <c r="AB12" s="13" t="str" cm="1">
        <f t="array" ref="AB12">IFERROR(INDEX(_xlfn._xlws.FILTER($H$4:$O$4,$H12:$O12&lt;&gt;0),AB$4),"N/A")</f>
        <v>N/A</v>
      </c>
    </row>
    <row r="13" spans="2:28" s="6" customFormat="1" ht="11.4" x14ac:dyDescent="0.2">
      <c r="B13" s="29" t="s">
        <v>21</v>
      </c>
      <c r="C13" s="4" t="s">
        <v>255</v>
      </c>
      <c r="D13" s="15"/>
      <c r="F13" s="63" t="s">
        <v>448</v>
      </c>
      <c r="H13" s="4"/>
      <c r="I13" s="4">
        <v>0</v>
      </c>
      <c r="J13" s="4"/>
      <c r="K13" s="4">
        <v>0</v>
      </c>
      <c r="L13" s="4"/>
      <c r="M13" s="4">
        <v>0</v>
      </c>
      <c r="N13" s="4"/>
      <c r="O13" s="4">
        <v>4.5299999999999994</v>
      </c>
      <c r="P13" s="5"/>
      <c r="R13" s="10" cm="1">
        <f t="array" ref="R13">IFERROR(INDEX(_xlfn._xlws.FILTER($H13:$O13,$H13:$O13&lt;&gt;0),R$4),"N/A")</f>
        <v>4.5299999999999994</v>
      </c>
      <c r="S13" s="10" t="str" cm="1">
        <f t="array" ref="S13">IFERROR(INDEX(_xlfn._xlws.FILTER($H13:$O13,$H13:$O13&lt;&gt;0),S$4),"N/A")</f>
        <v>N/A</v>
      </c>
      <c r="T13" s="10" t="str" cm="1">
        <f t="array" ref="T13">IFERROR(INDEX(_xlfn._xlws.FILTER($H13:$O13,$H13:$O13&lt;&gt;0),T$4),"N/A")</f>
        <v>N/A</v>
      </c>
      <c r="U13" s="10" t="str" cm="1">
        <f t="array" ref="U13">IFERROR(INDEX(_xlfn._xlws.FILTER($H13:$O13,$H13:$O13&lt;&gt;0),U$4),"N/A")</f>
        <v>N/A</v>
      </c>
      <c r="V13" s="10" t="str" cm="1">
        <f t="array" ref="V13">IFERROR(INDEX(_xlfn._xlws.FILTER($H13:$O13,$H13:$O13&lt;&gt;0),V$4),"N/A")</f>
        <v>N/A</v>
      </c>
      <c r="X13" s="13" t="str" cm="1">
        <f t="array" ref="X13">IFERROR(INDEX(_xlfn._xlws.FILTER($H$4:$O$4,$H13:$O13&lt;&gt;0),X$4),"N/A")</f>
        <v>Northwest</v>
      </c>
      <c r="Y13" s="13" t="str" cm="1">
        <f t="array" ref="Y13">IFERROR(INDEX(_xlfn._xlws.FILTER($H$4:$O$4,$H13:$O13&lt;&gt;0),Y$4),"N/A")</f>
        <v>N/A</v>
      </c>
      <c r="Z13" s="13" t="str" cm="1">
        <f t="array" ref="Z13">IFERROR(INDEX(_xlfn._xlws.FILTER($H$4:$O$4,$H13:$O13&lt;&gt;0),Z$4),"N/A")</f>
        <v>N/A</v>
      </c>
      <c r="AA13" s="13" t="str" cm="1">
        <f t="array" ref="AA13">IFERROR(INDEX(_xlfn._xlws.FILTER($H$4:$O$4,$H13:$O13&lt;&gt;0),AA$4),"N/A")</f>
        <v>N/A</v>
      </c>
      <c r="AB13" s="13" t="str" cm="1">
        <f t="array" ref="AB13">IFERROR(INDEX(_xlfn._xlws.FILTER($H$4:$O$4,$H13:$O13&lt;&gt;0),AB$4),"N/A")</f>
        <v>N/A</v>
      </c>
    </row>
    <row r="14" spans="2:28" s="6" customFormat="1" ht="11.4" x14ac:dyDescent="0.2">
      <c r="B14" s="29" t="s">
        <v>22</v>
      </c>
      <c r="C14" s="4" t="s">
        <v>256</v>
      </c>
      <c r="D14" s="15"/>
      <c r="F14" s="63" t="s">
        <v>449</v>
      </c>
      <c r="H14" s="4"/>
      <c r="I14" s="4">
        <v>0</v>
      </c>
      <c r="J14" s="4"/>
      <c r="K14" s="4">
        <v>0</v>
      </c>
      <c r="L14" s="4"/>
      <c r="M14" s="4">
        <v>5.2</v>
      </c>
      <c r="N14" s="4"/>
      <c r="O14" s="4">
        <v>2.6</v>
      </c>
      <c r="P14" s="5"/>
      <c r="R14" s="10" cm="1">
        <f t="array" ref="R14">IFERROR(INDEX(_xlfn._xlws.FILTER($H14:$O14,$H14:$O14&lt;&gt;0),R$4),"N/A")</f>
        <v>5.2</v>
      </c>
      <c r="S14" s="10" cm="1">
        <f t="array" ref="S14">IFERROR(INDEX(_xlfn._xlws.FILTER($H14:$O14,$H14:$O14&lt;&gt;0),S$4),"N/A")</f>
        <v>2.6</v>
      </c>
      <c r="T14" s="10" t="str" cm="1">
        <f t="array" ref="T14">IFERROR(INDEX(_xlfn._xlws.FILTER($H14:$O14,$H14:$O14&lt;&gt;0),T$4),"N/A")</f>
        <v>N/A</v>
      </c>
      <c r="U14" s="10" t="str" cm="1">
        <f t="array" ref="U14">IFERROR(INDEX(_xlfn._xlws.FILTER($H14:$O14,$H14:$O14&lt;&gt;0),U$4),"N/A")</f>
        <v>N/A</v>
      </c>
      <c r="V14" s="10" t="str" cm="1">
        <f t="array" ref="V14">IFERROR(INDEX(_xlfn._xlws.FILTER($H14:$O14,$H14:$O14&lt;&gt;0),V$4),"N/A")</f>
        <v>N/A</v>
      </c>
      <c r="X14" s="13" t="str" cm="1">
        <f t="array" ref="X14">IFERROR(INDEX(_xlfn._xlws.FILTER($H$4:$O$4,$H14:$O14&lt;&gt;0),X$4),"N/A")</f>
        <v>Southwest</v>
      </c>
      <c r="Y14" s="13" t="str" cm="1">
        <f t="array" ref="Y14">IFERROR(INDEX(_xlfn._xlws.FILTER($H$4:$O$4,$H14:$O14&lt;&gt;0),Y$4),"N/A")</f>
        <v>Northwest</v>
      </c>
      <c r="Z14" s="13" t="str" cm="1">
        <f t="array" ref="Z14">IFERROR(INDEX(_xlfn._xlws.FILTER($H$4:$O$4,$H14:$O14&lt;&gt;0),Z$4),"N/A")</f>
        <v>N/A</v>
      </c>
      <c r="AA14" s="13" t="str" cm="1">
        <f t="array" ref="AA14">IFERROR(INDEX(_xlfn._xlws.FILTER($H$4:$O$4,$H14:$O14&lt;&gt;0),AA$4),"N/A")</f>
        <v>N/A</v>
      </c>
      <c r="AB14" s="13" t="str" cm="1">
        <f t="array" ref="AB14">IFERROR(INDEX(_xlfn._xlws.FILTER($H$4:$O$4,$H14:$O14&lt;&gt;0),AB$4),"N/A")</f>
        <v>N/A</v>
      </c>
    </row>
    <row r="15" spans="2:28" s="6" customFormat="1" ht="11.4" x14ac:dyDescent="0.2">
      <c r="B15" s="34" t="s">
        <v>23</v>
      </c>
      <c r="C15" s="4" t="str">
        <f>C6</f>
        <v>No</v>
      </c>
      <c r="D15" s="15"/>
      <c r="F15" s="63" t="s">
        <v>450</v>
      </c>
      <c r="H15" s="4"/>
      <c r="I15" s="4">
        <v>2.6</v>
      </c>
      <c r="J15" s="4"/>
      <c r="K15" s="4">
        <v>0</v>
      </c>
      <c r="L15" s="4"/>
      <c r="M15" s="4">
        <v>0</v>
      </c>
      <c r="N15" s="4"/>
      <c r="O15" s="4">
        <v>0</v>
      </c>
      <c r="P15" s="5"/>
      <c r="R15" s="10" cm="1">
        <f t="array" ref="R15">IFERROR(INDEX(_xlfn._xlws.FILTER($H15:$O15,$H15:$O15&lt;&gt;0),R$4),"N/A")</f>
        <v>2.6</v>
      </c>
      <c r="S15" s="10" t="str" cm="1">
        <f t="array" ref="S15">IFERROR(INDEX(_xlfn._xlws.FILTER($H15:$O15,$H15:$O15&lt;&gt;0),S$4),"N/A")</f>
        <v>N/A</v>
      </c>
      <c r="T15" s="10" t="str" cm="1">
        <f t="array" ref="T15">IFERROR(INDEX(_xlfn._xlws.FILTER($H15:$O15,$H15:$O15&lt;&gt;0),T$4),"N/A")</f>
        <v>N/A</v>
      </c>
      <c r="U15" s="10" t="str" cm="1">
        <f t="array" ref="U15">IFERROR(INDEX(_xlfn._xlws.FILTER($H15:$O15,$H15:$O15&lt;&gt;0),U$4),"N/A")</f>
        <v>N/A</v>
      </c>
      <c r="V15" s="10" t="str" cm="1">
        <f t="array" ref="V15">IFERROR(INDEX(_xlfn._xlws.FILTER($H15:$O15,$H15:$O15&lt;&gt;0),V$4),"N/A")</f>
        <v>N/A</v>
      </c>
      <c r="X15" s="13" t="str" cm="1">
        <f t="array" ref="X15">IFERROR(INDEX(_xlfn._xlws.FILTER($H$4:$O$4,$H15:$O15&lt;&gt;0),X$4),"N/A")</f>
        <v>Northeast</v>
      </c>
      <c r="Y15" s="13" t="str" cm="1">
        <f t="array" ref="Y15">IFERROR(INDEX(_xlfn._xlws.FILTER($H$4:$O$4,$H15:$O15&lt;&gt;0),Y$4),"N/A")</f>
        <v>N/A</v>
      </c>
      <c r="Z15" s="13" t="str" cm="1">
        <f t="array" ref="Z15">IFERROR(INDEX(_xlfn._xlws.FILTER($H$4:$O$4,$H15:$O15&lt;&gt;0),Z$4),"N/A")</f>
        <v>N/A</v>
      </c>
      <c r="AA15" s="13" t="str" cm="1">
        <f t="array" ref="AA15">IFERROR(INDEX(_xlfn._xlws.FILTER($H$4:$O$4,$H15:$O15&lt;&gt;0),AA$4),"N/A")</f>
        <v>N/A</v>
      </c>
      <c r="AB15" s="13" t="str" cm="1">
        <f t="array" ref="AB15">IFERROR(INDEX(_xlfn._xlws.FILTER($H$4:$O$4,$H15:$O15&lt;&gt;0),AB$4),"N/A")</f>
        <v>N/A</v>
      </c>
    </row>
    <row r="16" spans="2:28" s="6" customFormat="1" ht="11.4" x14ac:dyDescent="0.2">
      <c r="B16" s="34" t="s">
        <v>24</v>
      </c>
      <c r="C16" s="4" t="str">
        <f t="shared" ref="C16:C41" si="0">C7</f>
        <v>No</v>
      </c>
      <c r="D16" s="15"/>
      <c r="F16" s="63" t="s">
        <v>451</v>
      </c>
      <c r="H16" s="4"/>
      <c r="I16" s="4">
        <v>5.2</v>
      </c>
      <c r="J16" s="4"/>
      <c r="K16" s="4">
        <v>0</v>
      </c>
      <c r="L16" s="4"/>
      <c r="M16" s="4">
        <v>0</v>
      </c>
      <c r="N16" s="4"/>
      <c r="O16" s="4">
        <v>0</v>
      </c>
      <c r="P16" s="5"/>
      <c r="R16" s="10" cm="1">
        <f t="array" ref="R16">IFERROR(INDEX(_xlfn._xlws.FILTER($H16:$O16,$H16:$O16&lt;&gt;0),R$4),"N/A")</f>
        <v>5.2</v>
      </c>
      <c r="S16" s="10" t="str" cm="1">
        <f t="array" ref="S16">IFERROR(INDEX(_xlfn._xlws.FILTER($H16:$O16,$H16:$O16&lt;&gt;0),S$4),"N/A")</f>
        <v>N/A</v>
      </c>
      <c r="T16" s="10" t="str" cm="1">
        <f t="array" ref="T16">IFERROR(INDEX(_xlfn._xlws.FILTER($H16:$O16,$H16:$O16&lt;&gt;0),T$4),"N/A")</f>
        <v>N/A</v>
      </c>
      <c r="U16" s="10" t="str" cm="1">
        <f t="array" ref="U16">IFERROR(INDEX(_xlfn._xlws.FILTER($H16:$O16,$H16:$O16&lt;&gt;0),U$4),"N/A")</f>
        <v>N/A</v>
      </c>
      <c r="V16" s="10" t="str" cm="1">
        <f t="array" ref="V16">IFERROR(INDEX(_xlfn._xlws.FILTER($H16:$O16,$H16:$O16&lt;&gt;0),V$4),"N/A")</f>
        <v>N/A</v>
      </c>
      <c r="X16" s="13" t="str" cm="1">
        <f t="array" ref="X16">IFERROR(INDEX(_xlfn._xlws.FILTER($H$4:$O$4,$H16:$O16&lt;&gt;0),X$4),"N/A")</f>
        <v>Northeast</v>
      </c>
      <c r="Y16" s="13" t="str" cm="1">
        <f t="array" ref="Y16">IFERROR(INDEX(_xlfn._xlws.FILTER($H$4:$O$4,$H16:$O16&lt;&gt;0),Y$4),"N/A")</f>
        <v>N/A</v>
      </c>
      <c r="Z16" s="13" t="str" cm="1">
        <f t="array" ref="Z16">IFERROR(INDEX(_xlfn._xlws.FILTER($H$4:$O$4,$H16:$O16&lt;&gt;0),Z$4),"N/A")</f>
        <v>N/A</v>
      </c>
      <c r="AA16" s="13" t="str" cm="1">
        <f t="array" ref="AA16">IFERROR(INDEX(_xlfn._xlws.FILTER($H$4:$O$4,$H16:$O16&lt;&gt;0),AA$4),"N/A")</f>
        <v>N/A</v>
      </c>
      <c r="AB16" s="13" t="str" cm="1">
        <f t="array" ref="AB16">IFERROR(INDEX(_xlfn._xlws.FILTER($H$4:$O$4,$H16:$O16&lt;&gt;0),AB$4),"N/A")</f>
        <v>N/A</v>
      </c>
    </row>
    <row r="17" spans="2:31" s="6" customFormat="1" ht="11.4" x14ac:dyDescent="0.2">
      <c r="B17" s="34" t="s">
        <v>25</v>
      </c>
      <c r="C17" s="4" t="str">
        <f t="shared" si="0"/>
        <v>No</v>
      </c>
      <c r="D17" s="15"/>
      <c r="F17" s="63" t="s">
        <v>452</v>
      </c>
      <c r="H17" s="4"/>
      <c r="I17" s="4">
        <v>5.2</v>
      </c>
      <c r="J17" s="4"/>
      <c r="K17" s="4">
        <v>0</v>
      </c>
      <c r="L17" s="4"/>
      <c r="M17" s="4">
        <v>0</v>
      </c>
      <c r="N17" s="4"/>
      <c r="O17" s="4">
        <v>0</v>
      </c>
      <c r="P17" s="5"/>
      <c r="R17" s="10" cm="1">
        <f t="array" ref="R17">IFERROR(INDEX(_xlfn._xlws.FILTER($H17:$O17,$H17:$O17&lt;&gt;0),R$4),"N/A")</f>
        <v>5.2</v>
      </c>
      <c r="S17" s="10" t="str" cm="1">
        <f t="array" ref="S17">IFERROR(INDEX(_xlfn._xlws.FILTER($H17:$O17,$H17:$O17&lt;&gt;0),S$4),"N/A")</f>
        <v>N/A</v>
      </c>
      <c r="T17" s="10" t="str" cm="1">
        <f t="array" ref="T17">IFERROR(INDEX(_xlfn._xlws.FILTER($H17:$O17,$H17:$O17&lt;&gt;0),T$4),"N/A")</f>
        <v>N/A</v>
      </c>
      <c r="U17" s="10" t="str" cm="1">
        <f t="array" ref="U17">IFERROR(INDEX(_xlfn._xlws.FILTER($H17:$O17,$H17:$O17&lt;&gt;0),U$4),"N/A")</f>
        <v>N/A</v>
      </c>
      <c r="V17" s="10" t="str" cm="1">
        <f t="array" ref="V17">IFERROR(INDEX(_xlfn._xlws.FILTER($H17:$O17,$H17:$O17&lt;&gt;0),V$4),"N/A")</f>
        <v>N/A</v>
      </c>
      <c r="X17" s="13" t="str" cm="1">
        <f t="array" ref="X17">IFERROR(INDEX(_xlfn._xlws.FILTER($H$4:$O$4,$H17:$O17&lt;&gt;0),X$4),"N/A")</f>
        <v>Northeast</v>
      </c>
      <c r="Y17" s="13" t="str" cm="1">
        <f t="array" ref="Y17">IFERROR(INDEX(_xlfn._xlws.FILTER($H$4:$O$4,$H17:$O17&lt;&gt;0),Y$4),"N/A")</f>
        <v>N/A</v>
      </c>
      <c r="Z17" s="13" t="str" cm="1">
        <f t="array" ref="Z17">IFERROR(INDEX(_xlfn._xlws.FILTER($H$4:$O$4,$H17:$O17&lt;&gt;0),Z$4),"N/A")</f>
        <v>N/A</v>
      </c>
      <c r="AA17" s="13" t="str" cm="1">
        <f t="array" ref="AA17">IFERROR(INDEX(_xlfn._xlws.FILTER($H$4:$O$4,$H17:$O17&lt;&gt;0),AA$4),"N/A")</f>
        <v>N/A</v>
      </c>
      <c r="AB17" s="13" t="str" cm="1">
        <f t="array" ref="AB17">IFERROR(INDEX(_xlfn._xlws.FILTER($H$4:$O$4,$H17:$O17&lt;&gt;0),AB$4),"N/A")</f>
        <v>N/A</v>
      </c>
    </row>
    <row r="18" spans="2:31" s="6" customFormat="1" ht="11.4" x14ac:dyDescent="0.2">
      <c r="B18" s="34" t="s">
        <v>26</v>
      </c>
      <c r="C18" s="4" t="str">
        <f t="shared" si="0"/>
        <v>No</v>
      </c>
      <c r="D18" s="15"/>
      <c r="F18" s="63" t="s">
        <v>453</v>
      </c>
      <c r="H18" s="4"/>
      <c r="I18" s="4">
        <v>2.6</v>
      </c>
      <c r="J18" s="4"/>
      <c r="K18" s="4">
        <v>5.2</v>
      </c>
      <c r="L18" s="4"/>
      <c r="M18" s="4">
        <v>0</v>
      </c>
      <c r="N18" s="4"/>
      <c r="O18" s="4">
        <v>0</v>
      </c>
      <c r="P18" s="5"/>
      <c r="R18" s="10" cm="1">
        <f t="array" ref="R18">IFERROR(INDEX(_xlfn._xlws.FILTER($H18:$O18,$H18:$O18&lt;&gt;0),R$4),"N/A")</f>
        <v>2.6</v>
      </c>
      <c r="S18" s="10" cm="1">
        <f t="array" ref="S18">IFERROR(INDEX(_xlfn._xlws.FILTER($H18:$O18,$H18:$O18&lt;&gt;0),S$4),"N/A")</f>
        <v>5.2</v>
      </c>
      <c r="T18" s="10" t="str" cm="1">
        <f t="array" ref="T18">IFERROR(INDEX(_xlfn._xlws.FILTER($H18:$O18,$H18:$O18&lt;&gt;0),T$4),"N/A")</f>
        <v>N/A</v>
      </c>
      <c r="U18" s="10" t="str" cm="1">
        <f t="array" ref="U18">IFERROR(INDEX(_xlfn._xlws.FILTER($H18:$O18,$H18:$O18&lt;&gt;0),U$4),"N/A")</f>
        <v>N/A</v>
      </c>
      <c r="V18" s="10" t="str" cm="1">
        <f t="array" ref="V18">IFERROR(INDEX(_xlfn._xlws.FILTER($H18:$O18,$H18:$O18&lt;&gt;0),V$4),"N/A")</f>
        <v>N/A</v>
      </c>
      <c r="X18" s="13" t="str" cm="1">
        <f t="array" ref="X18">IFERROR(INDEX(_xlfn._xlws.FILTER($H$4:$O$4,$H18:$O18&lt;&gt;0),X$4),"N/A")</f>
        <v>Northeast</v>
      </c>
      <c r="Y18" s="13" t="str" cm="1">
        <f t="array" ref="Y18">IFERROR(INDEX(_xlfn._xlws.FILTER($H$4:$O$4,$H18:$O18&lt;&gt;0),Y$4),"N/A")</f>
        <v>Southeast</v>
      </c>
      <c r="Z18" s="13" t="str" cm="1">
        <f t="array" ref="Z18">IFERROR(INDEX(_xlfn._xlws.FILTER($H$4:$O$4,$H18:$O18&lt;&gt;0),Z$4),"N/A")</f>
        <v>N/A</v>
      </c>
      <c r="AA18" s="13" t="str" cm="1">
        <f t="array" ref="AA18">IFERROR(INDEX(_xlfn._xlws.FILTER($H$4:$O$4,$H18:$O18&lt;&gt;0),AA$4),"N/A")</f>
        <v>N/A</v>
      </c>
      <c r="AB18" s="13" t="str" cm="1">
        <f t="array" ref="AB18">IFERROR(INDEX(_xlfn._xlws.FILTER($H$4:$O$4,$H18:$O18&lt;&gt;0),AB$4),"N/A")</f>
        <v>N/A</v>
      </c>
    </row>
    <row r="19" spans="2:31" s="6" customFormat="1" ht="11.4" x14ac:dyDescent="0.2">
      <c r="B19" s="34" t="s">
        <v>27</v>
      </c>
      <c r="C19" s="4" t="str">
        <f t="shared" si="0"/>
        <v>No</v>
      </c>
      <c r="D19" s="15"/>
      <c r="F19" s="63" t="s">
        <v>454</v>
      </c>
      <c r="H19" s="4"/>
      <c r="I19" s="4">
        <v>0</v>
      </c>
      <c r="J19" s="4"/>
      <c r="K19" s="4">
        <v>5.2</v>
      </c>
      <c r="L19" s="4"/>
      <c r="M19" s="4">
        <v>0</v>
      </c>
      <c r="N19" s="4"/>
      <c r="O19" s="4">
        <v>0</v>
      </c>
      <c r="P19" s="5"/>
      <c r="R19" s="10" cm="1">
        <f t="array" ref="R19">IFERROR(INDEX(_xlfn._xlws.FILTER($H19:$O19,$H19:$O19&lt;&gt;0),R$4),"N/A")</f>
        <v>5.2</v>
      </c>
      <c r="S19" s="10" t="str" cm="1">
        <f t="array" ref="S19">IFERROR(INDEX(_xlfn._xlws.FILTER($H19:$O19,$H19:$O19&lt;&gt;0),S$4),"N/A")</f>
        <v>N/A</v>
      </c>
      <c r="T19" s="10" t="str" cm="1">
        <f t="array" ref="T19">IFERROR(INDEX(_xlfn._xlws.FILTER($H19:$O19,$H19:$O19&lt;&gt;0),T$4),"N/A")</f>
        <v>N/A</v>
      </c>
      <c r="U19" s="10" t="str" cm="1">
        <f t="array" ref="U19">IFERROR(INDEX(_xlfn._xlws.FILTER($H19:$O19,$H19:$O19&lt;&gt;0),U$4),"N/A")</f>
        <v>N/A</v>
      </c>
      <c r="V19" s="10" t="str" cm="1">
        <f t="array" ref="V19">IFERROR(INDEX(_xlfn._xlws.FILTER($H19:$O19,$H19:$O19&lt;&gt;0),V$4),"N/A")</f>
        <v>N/A</v>
      </c>
      <c r="X19" s="13" t="str" cm="1">
        <f t="array" ref="X19">IFERROR(INDEX(_xlfn._xlws.FILTER($H$4:$O$4,$H19:$O19&lt;&gt;0),X$4),"N/A")</f>
        <v>Southeast</v>
      </c>
      <c r="Y19" s="13" t="str" cm="1">
        <f t="array" ref="Y19">IFERROR(INDEX(_xlfn._xlws.FILTER($H$4:$O$4,$H19:$O19&lt;&gt;0),Y$4),"N/A")</f>
        <v>N/A</v>
      </c>
      <c r="Z19" s="13" t="str" cm="1">
        <f t="array" ref="Z19">IFERROR(INDEX(_xlfn._xlws.FILTER($H$4:$O$4,$H19:$O19&lt;&gt;0),Z$4),"N/A")</f>
        <v>N/A</v>
      </c>
      <c r="AA19" s="13" t="str" cm="1">
        <f t="array" ref="AA19">IFERROR(INDEX(_xlfn._xlws.FILTER($H$4:$O$4,$H19:$O19&lt;&gt;0),AA$4),"N/A")</f>
        <v>N/A</v>
      </c>
      <c r="AB19" s="13" t="str" cm="1">
        <f t="array" ref="AB19">IFERROR(INDEX(_xlfn._xlws.FILTER($H$4:$O$4,$H19:$O19&lt;&gt;0),AB$4),"N/A")</f>
        <v>N/A</v>
      </c>
    </row>
    <row r="20" spans="2:31" s="6" customFormat="1" ht="11.4" x14ac:dyDescent="0.2">
      <c r="B20" s="34" t="s">
        <v>28</v>
      </c>
      <c r="C20" s="4" t="str">
        <f t="shared" si="0"/>
        <v>Yes</v>
      </c>
      <c r="D20" s="15"/>
      <c r="F20" s="63" t="s">
        <v>455</v>
      </c>
      <c r="H20" s="4"/>
      <c r="I20" s="4">
        <v>0</v>
      </c>
      <c r="J20" s="4"/>
      <c r="K20" s="4">
        <v>5.2</v>
      </c>
      <c r="L20" s="4"/>
      <c r="M20" s="4">
        <v>2.6</v>
      </c>
      <c r="N20" s="4"/>
      <c r="O20" s="4">
        <v>0</v>
      </c>
      <c r="P20" s="5"/>
      <c r="R20" s="10" cm="1">
        <f t="array" ref="R20">IFERROR(INDEX(_xlfn._xlws.FILTER($H20:$O20,$H20:$O20&lt;&gt;0),R$4),"N/A")</f>
        <v>5.2</v>
      </c>
      <c r="S20" s="10" cm="1">
        <f t="array" ref="S20">IFERROR(INDEX(_xlfn._xlws.FILTER($H20:$O20,$H20:$O20&lt;&gt;0),S$4),"N/A")</f>
        <v>2.6</v>
      </c>
      <c r="T20" s="10" t="str" cm="1">
        <f t="array" ref="T20">IFERROR(INDEX(_xlfn._xlws.FILTER($H20:$O20,$H20:$O20&lt;&gt;0),T$4),"N/A")</f>
        <v>N/A</v>
      </c>
      <c r="U20" s="10" t="str" cm="1">
        <f t="array" ref="U20">IFERROR(INDEX(_xlfn._xlws.FILTER($H20:$O20,$H20:$O20&lt;&gt;0),U$4),"N/A")</f>
        <v>N/A</v>
      </c>
      <c r="V20" s="10" t="str" cm="1">
        <f t="array" ref="V20">IFERROR(INDEX(_xlfn._xlws.FILTER($H20:$O20,$H20:$O20&lt;&gt;0),V$4),"N/A")</f>
        <v>N/A</v>
      </c>
      <c r="X20" s="13" t="str" cm="1">
        <f t="array" ref="X20">IFERROR(INDEX(_xlfn._xlws.FILTER($H$4:$O$4,$H20:$O20&lt;&gt;0),X$4),"N/A")</f>
        <v>Southeast</v>
      </c>
      <c r="Y20" s="13" t="str" cm="1">
        <f t="array" ref="Y20">IFERROR(INDEX(_xlfn._xlws.FILTER($H$4:$O$4,$H20:$O20&lt;&gt;0),Y$4),"N/A")</f>
        <v>Southwest</v>
      </c>
      <c r="Z20" s="13" t="str" cm="1">
        <f t="array" ref="Z20">IFERROR(INDEX(_xlfn._xlws.FILTER($H$4:$O$4,$H20:$O20&lt;&gt;0),Z$4),"N/A")</f>
        <v>N/A</v>
      </c>
      <c r="AA20" s="13" t="str" cm="1">
        <f t="array" ref="AA20">IFERROR(INDEX(_xlfn._xlws.FILTER($H$4:$O$4,$H20:$O20&lt;&gt;0),AA$4),"N/A")</f>
        <v>N/A</v>
      </c>
      <c r="AB20" s="13" t="str" cm="1">
        <f t="array" ref="AB20">IFERROR(INDEX(_xlfn._xlws.FILTER($H$4:$O$4,$H20:$O20&lt;&gt;0),AB$4),"N/A")</f>
        <v>N/A</v>
      </c>
    </row>
    <row r="21" spans="2:31" s="6" customFormat="1" ht="11.4" x14ac:dyDescent="0.2">
      <c r="B21" s="34" t="s">
        <v>29</v>
      </c>
      <c r="C21" s="4" t="str">
        <f t="shared" si="0"/>
        <v>No</v>
      </c>
      <c r="D21" s="15"/>
      <c r="F21" s="63" t="s">
        <v>456</v>
      </c>
      <c r="H21" s="4"/>
      <c r="I21" s="4">
        <v>0</v>
      </c>
      <c r="J21" s="4"/>
      <c r="K21" s="4">
        <v>0</v>
      </c>
      <c r="L21" s="4"/>
      <c r="M21" s="4">
        <v>5.2</v>
      </c>
      <c r="N21" s="4"/>
      <c r="O21" s="4">
        <v>2.6</v>
      </c>
      <c r="P21" s="5"/>
      <c r="R21" s="10" cm="1">
        <f t="array" ref="R21">IFERROR(INDEX(_xlfn._xlws.FILTER($H21:$O21,$H21:$O21&lt;&gt;0),R$4),"N/A")</f>
        <v>5.2</v>
      </c>
      <c r="S21" s="10" cm="1">
        <f t="array" ref="S21">IFERROR(INDEX(_xlfn._xlws.FILTER($H21:$O21,$H21:$O21&lt;&gt;0),S$4),"N/A")</f>
        <v>2.6</v>
      </c>
      <c r="T21" s="10" t="str" cm="1">
        <f t="array" ref="T21">IFERROR(INDEX(_xlfn._xlws.FILTER($H21:$O21,$H21:$O21&lt;&gt;0),T$4),"N/A")</f>
        <v>N/A</v>
      </c>
      <c r="U21" s="10" t="str" cm="1">
        <f t="array" ref="U21">IFERROR(INDEX(_xlfn._xlws.FILTER($H21:$O21,$H21:$O21&lt;&gt;0),U$4),"N/A")</f>
        <v>N/A</v>
      </c>
      <c r="V21" s="10" t="str" cm="1">
        <f t="array" ref="V21">IFERROR(INDEX(_xlfn._xlws.FILTER($H21:$O21,$H21:$O21&lt;&gt;0),V$4),"N/A")</f>
        <v>N/A</v>
      </c>
      <c r="X21" s="13" t="str" cm="1">
        <f t="array" ref="X21">IFERROR(INDEX(_xlfn._xlws.FILTER($H$4:$O$4,$H21:$O21&lt;&gt;0),X$4),"N/A")</f>
        <v>Southwest</v>
      </c>
      <c r="Y21" s="13" t="str" cm="1">
        <f t="array" ref="Y21">IFERROR(INDEX(_xlfn._xlws.FILTER($H$4:$O$4,$H21:$O21&lt;&gt;0),Y$4),"N/A")</f>
        <v>Northwest</v>
      </c>
      <c r="Z21" s="13" t="str" cm="1">
        <f t="array" ref="Z21">IFERROR(INDEX(_xlfn._xlws.FILTER($H$4:$O$4,$H21:$O21&lt;&gt;0),Z$4),"N/A")</f>
        <v>N/A</v>
      </c>
      <c r="AA21" s="13" t="str" cm="1">
        <f t="array" ref="AA21">IFERROR(INDEX(_xlfn._xlws.FILTER($H$4:$O$4,$H21:$O21&lt;&gt;0),AA$4),"N/A")</f>
        <v>N/A</v>
      </c>
      <c r="AB21" s="13" t="str" cm="1">
        <f t="array" ref="AB21">IFERROR(INDEX(_xlfn._xlws.FILTER($H$4:$O$4,$H21:$O21&lt;&gt;0),AB$4),"N/A")</f>
        <v>N/A</v>
      </c>
    </row>
    <row r="22" spans="2:31" s="6" customFormat="1" ht="11.4" x14ac:dyDescent="0.2">
      <c r="B22" s="34" t="s">
        <v>30</v>
      </c>
      <c r="C22" s="4" t="str">
        <f t="shared" si="0"/>
        <v>No</v>
      </c>
      <c r="D22" s="15"/>
      <c r="F22" s="63" t="s">
        <v>457</v>
      </c>
      <c r="H22" s="4"/>
      <c r="I22" s="4">
        <v>2.6</v>
      </c>
      <c r="J22" s="4"/>
      <c r="K22" s="4">
        <v>5.2</v>
      </c>
      <c r="L22" s="4"/>
      <c r="M22" s="4">
        <v>0</v>
      </c>
      <c r="N22" s="4"/>
      <c r="O22" s="4">
        <v>0</v>
      </c>
      <c r="P22" s="5"/>
      <c r="R22" s="10" cm="1">
        <f t="array" ref="R22">IFERROR(INDEX(_xlfn._xlws.FILTER($H22:$O22,$H22:$O22&lt;&gt;0),R$4),"N/A")</f>
        <v>2.6</v>
      </c>
      <c r="S22" s="10" cm="1">
        <f t="array" ref="S22">IFERROR(INDEX(_xlfn._xlws.FILTER($H22:$O22,$H22:$O22&lt;&gt;0),S$4),"N/A")</f>
        <v>5.2</v>
      </c>
      <c r="T22" s="10" t="str" cm="1">
        <f t="array" ref="T22">IFERROR(INDEX(_xlfn._xlws.FILTER($H22:$O22,$H22:$O22&lt;&gt;0),T$4),"N/A")</f>
        <v>N/A</v>
      </c>
      <c r="U22" s="10" t="str" cm="1">
        <f t="array" ref="U22">IFERROR(INDEX(_xlfn._xlws.FILTER($H22:$O22,$H22:$O22&lt;&gt;0),U$4),"N/A")</f>
        <v>N/A</v>
      </c>
      <c r="V22" s="10" t="str" cm="1">
        <f t="array" ref="V22">IFERROR(INDEX(_xlfn._xlws.FILTER($H22:$O22,$H22:$O22&lt;&gt;0),V$4),"N/A")</f>
        <v>N/A</v>
      </c>
      <c r="X22" s="13" t="str" cm="1">
        <f t="array" ref="X22">IFERROR(INDEX(_xlfn._xlws.FILTER($H$4:$O$4,$H22:$O22&lt;&gt;0),X$4),"N/A")</f>
        <v>Northeast</v>
      </c>
      <c r="Y22" s="13" t="str" cm="1">
        <f t="array" ref="Y22">IFERROR(INDEX(_xlfn._xlws.FILTER($H$4:$O$4,$H22:$O22&lt;&gt;0),Y$4),"N/A")</f>
        <v>Southeast</v>
      </c>
      <c r="Z22" s="13" t="str" cm="1">
        <f t="array" ref="Z22">IFERROR(INDEX(_xlfn._xlws.FILTER($H$4:$O$4,$H22:$O22&lt;&gt;0),Z$4),"N/A")</f>
        <v>N/A</v>
      </c>
      <c r="AA22" s="13" t="str" cm="1">
        <f t="array" ref="AA22">IFERROR(INDEX(_xlfn._xlws.FILTER($H$4:$O$4,$H22:$O22&lt;&gt;0),AA$4),"N/A")</f>
        <v>N/A</v>
      </c>
      <c r="AB22" s="13" t="str" cm="1">
        <f t="array" ref="AB22">IFERROR(INDEX(_xlfn._xlws.FILTER($H$4:$O$4,$H22:$O22&lt;&gt;0),AB$4),"N/A")</f>
        <v>N/A</v>
      </c>
    </row>
    <row r="23" spans="2:31" s="6" customFormat="1" ht="11.4" x14ac:dyDescent="0.2">
      <c r="B23" s="34" t="s">
        <v>31</v>
      </c>
      <c r="C23" s="4" t="str">
        <f t="shared" si="0"/>
        <v>Yes</v>
      </c>
      <c r="D23" s="15"/>
      <c r="F23" s="63" t="s">
        <v>458</v>
      </c>
      <c r="H23" s="4"/>
      <c r="I23" s="4">
        <v>2.6</v>
      </c>
      <c r="J23" s="4"/>
      <c r="K23" s="4">
        <v>0</v>
      </c>
      <c r="L23" s="4"/>
      <c r="M23" s="4">
        <v>0</v>
      </c>
      <c r="N23" s="4"/>
      <c r="O23" s="4">
        <v>5.2</v>
      </c>
      <c r="P23" s="5"/>
      <c r="R23" s="10" cm="1">
        <f t="array" ref="R23">IFERROR(INDEX(_xlfn._xlws.FILTER($H23:$O23,$H23:$O23&lt;&gt;0),R$4),"N/A")</f>
        <v>2.6</v>
      </c>
      <c r="S23" s="10" cm="1">
        <f t="array" ref="S23">IFERROR(INDEX(_xlfn._xlws.FILTER($H23:$O23,$H23:$O23&lt;&gt;0),S$4),"N/A")</f>
        <v>5.2</v>
      </c>
      <c r="T23" s="10" t="str" cm="1">
        <f t="array" ref="T23">IFERROR(INDEX(_xlfn._xlws.FILTER($H23:$O23,$H23:$O23&lt;&gt;0),T$4),"N/A")</f>
        <v>N/A</v>
      </c>
      <c r="U23" s="10" t="str" cm="1">
        <f t="array" ref="U23">IFERROR(INDEX(_xlfn._xlws.FILTER($H23:$O23,$H23:$O23&lt;&gt;0),U$4),"N/A")</f>
        <v>N/A</v>
      </c>
      <c r="V23" s="10" t="str" cm="1">
        <f t="array" ref="V23">IFERROR(INDEX(_xlfn._xlws.FILTER($H23:$O23,$H23:$O23&lt;&gt;0),V$4),"N/A")</f>
        <v>N/A</v>
      </c>
      <c r="X23" s="13" t="str" cm="1">
        <f t="array" ref="X23">IFERROR(INDEX(_xlfn._xlws.FILTER($H$4:$O$4,$H23:$O23&lt;&gt;0),X$4),"N/A")</f>
        <v>Northeast</v>
      </c>
      <c r="Y23" s="13" t="str" cm="1">
        <f t="array" ref="Y23">IFERROR(INDEX(_xlfn._xlws.FILTER($H$4:$O$4,$H23:$O23&lt;&gt;0),Y$4),"N/A")</f>
        <v>Northwest</v>
      </c>
      <c r="Z23" s="13" t="str" cm="1">
        <f t="array" ref="Z23">IFERROR(INDEX(_xlfn._xlws.FILTER($H$4:$O$4,$H23:$O23&lt;&gt;0),Z$4),"N/A")</f>
        <v>N/A</v>
      </c>
      <c r="AA23" s="13" t="str" cm="1">
        <f t="array" ref="AA23">IFERROR(INDEX(_xlfn._xlws.FILTER($H$4:$O$4,$H23:$O23&lt;&gt;0),AA$4),"N/A")</f>
        <v>N/A</v>
      </c>
      <c r="AB23" s="13" t="str" cm="1">
        <f t="array" ref="AB23">IFERROR(INDEX(_xlfn._xlws.FILTER($H$4:$O$4,$H23:$O23&lt;&gt;0),AB$4),"N/A")</f>
        <v>N/A</v>
      </c>
    </row>
    <row r="24" spans="2:31" s="6" customFormat="1" ht="11.4" x14ac:dyDescent="0.2">
      <c r="B24" s="29" t="s">
        <v>32</v>
      </c>
      <c r="C24" s="4" t="str">
        <f t="shared" si="0"/>
        <v>No</v>
      </c>
      <c r="D24" s="15"/>
      <c r="F24" s="63" t="s">
        <v>459</v>
      </c>
      <c r="H24" s="4"/>
      <c r="I24" s="4">
        <v>0</v>
      </c>
      <c r="J24" s="4"/>
      <c r="K24" s="4">
        <v>5.2</v>
      </c>
      <c r="L24" s="4"/>
      <c r="M24" s="4">
        <v>0</v>
      </c>
      <c r="N24" s="4"/>
      <c r="O24" s="4">
        <v>0</v>
      </c>
      <c r="P24" s="5"/>
      <c r="R24" s="10" cm="1">
        <f t="array" ref="R24">IFERROR(INDEX(_xlfn._xlws.FILTER($H24:$O24,$H24:$O24&lt;&gt;0),R$4),"N/A")</f>
        <v>5.2</v>
      </c>
      <c r="S24" s="10" t="str" cm="1">
        <f t="array" ref="S24">IFERROR(INDEX(_xlfn._xlws.FILTER($H24:$O24,$H24:$O24&lt;&gt;0),S$4),"N/A")</f>
        <v>N/A</v>
      </c>
      <c r="T24" s="10" t="str" cm="1">
        <f t="array" ref="T24">IFERROR(INDEX(_xlfn._xlws.FILTER($H24:$O24,$H24:$O24&lt;&gt;0),T$4),"N/A")</f>
        <v>N/A</v>
      </c>
      <c r="U24" s="10" t="str" cm="1">
        <f t="array" ref="U24">IFERROR(INDEX(_xlfn._xlws.FILTER($H24:$O24,$H24:$O24&lt;&gt;0),U$4),"N/A")</f>
        <v>N/A</v>
      </c>
      <c r="V24" s="10" t="str" cm="1">
        <f t="array" ref="V24">IFERROR(INDEX(_xlfn._xlws.FILTER($H24:$O24,$H24:$O24&lt;&gt;0),V$4),"N/A")</f>
        <v>N/A</v>
      </c>
      <c r="X24" s="13" t="str" cm="1">
        <f t="array" ref="X24">IFERROR(INDEX(_xlfn._xlws.FILTER($H$4:$O$4,$H24:$O24&lt;&gt;0),X$4),"N/A")</f>
        <v>Southeast</v>
      </c>
      <c r="Y24" s="13" t="str" cm="1">
        <f t="array" ref="Y24">IFERROR(INDEX(_xlfn._xlws.FILTER($H$4:$O$4,$H24:$O24&lt;&gt;0),Y$4),"N/A")</f>
        <v>N/A</v>
      </c>
      <c r="Z24" s="13" t="str" cm="1">
        <f t="array" ref="Z24">IFERROR(INDEX(_xlfn._xlws.FILTER($H$4:$O$4,$H24:$O24&lt;&gt;0),Z$4),"N/A")</f>
        <v>N/A</v>
      </c>
      <c r="AA24" s="13" t="str" cm="1">
        <f t="array" ref="AA24">IFERROR(INDEX(_xlfn._xlws.FILTER($H$4:$O$4,$H24:$O24&lt;&gt;0),AA$4),"N/A")</f>
        <v>N/A</v>
      </c>
      <c r="AB24" s="13" t="str" cm="1">
        <f t="array" ref="AB24">IFERROR(INDEX(_xlfn._xlws.FILTER($H$4:$O$4,$H24:$O24&lt;&gt;0),AB$4),"N/A")</f>
        <v>N/A</v>
      </c>
    </row>
    <row r="25" spans="2:31" s="6" customFormat="1" ht="11.4" x14ac:dyDescent="0.2">
      <c r="B25" s="29" t="s">
        <v>33</v>
      </c>
      <c r="C25" s="4" t="str">
        <f t="shared" si="0"/>
        <v>No</v>
      </c>
      <c r="D25" s="15"/>
      <c r="F25" s="63" t="s">
        <v>460</v>
      </c>
      <c r="H25" s="4"/>
      <c r="I25" s="4">
        <v>0</v>
      </c>
      <c r="J25" s="4"/>
      <c r="K25" s="4">
        <v>0</v>
      </c>
      <c r="L25" s="4"/>
      <c r="M25" s="4">
        <v>0</v>
      </c>
      <c r="N25" s="4"/>
      <c r="O25" s="4">
        <v>5.2</v>
      </c>
      <c r="P25" s="5"/>
      <c r="R25" s="10" cm="1">
        <f t="array" ref="R25">IFERROR(INDEX(_xlfn._xlws.FILTER($H25:$O25,$H25:$O25&lt;&gt;0),R$4),"N/A")</f>
        <v>5.2</v>
      </c>
      <c r="S25" s="10" t="str" cm="1">
        <f t="array" ref="S25">IFERROR(INDEX(_xlfn._xlws.FILTER($H25:$O25,$H25:$O25&lt;&gt;0),S$4),"N/A")</f>
        <v>N/A</v>
      </c>
      <c r="T25" s="10" t="str" cm="1">
        <f t="array" ref="T25">IFERROR(INDEX(_xlfn._xlws.FILTER($H25:$O25,$H25:$O25&lt;&gt;0),T$4),"N/A")</f>
        <v>N/A</v>
      </c>
      <c r="U25" s="10" t="str" cm="1">
        <f t="array" ref="U25">IFERROR(INDEX(_xlfn._xlws.FILTER($H25:$O25,$H25:$O25&lt;&gt;0),U$4),"N/A")</f>
        <v>N/A</v>
      </c>
      <c r="V25" s="10" t="str" cm="1">
        <f t="array" ref="V25">IFERROR(INDEX(_xlfn._xlws.FILTER($H25:$O25,$H25:$O25&lt;&gt;0),V$4),"N/A")</f>
        <v>N/A</v>
      </c>
      <c r="X25" s="13" t="str" cm="1">
        <f t="array" ref="X25">IFERROR(INDEX(_xlfn._xlws.FILTER($H$4:$O$4,$H25:$O25&lt;&gt;0),X$4),"N/A")</f>
        <v>Northwest</v>
      </c>
      <c r="Y25" s="13" t="str" cm="1">
        <f t="array" ref="Y25">IFERROR(INDEX(_xlfn._xlws.FILTER($H$4:$O$4,$H25:$O25&lt;&gt;0),Y$4),"N/A")</f>
        <v>N/A</v>
      </c>
      <c r="Z25" s="13" t="str" cm="1">
        <f t="array" ref="Z25">IFERROR(INDEX(_xlfn._xlws.FILTER($H$4:$O$4,$H25:$O25&lt;&gt;0),Z$4),"N/A")</f>
        <v>N/A</v>
      </c>
      <c r="AA25" s="13" t="str" cm="1">
        <f t="array" ref="AA25">IFERROR(INDEX(_xlfn._xlws.FILTER($H$4:$O$4,$H25:$O25&lt;&gt;0),AA$4),"N/A")</f>
        <v>N/A</v>
      </c>
      <c r="AB25" s="13" t="str" cm="1">
        <f t="array" ref="AB25">IFERROR(INDEX(_xlfn._xlws.FILTER($H$4:$O$4,$H25:$O25&lt;&gt;0),AB$4),"N/A")</f>
        <v>N/A</v>
      </c>
    </row>
    <row r="26" spans="2:31" s="6" customFormat="1" ht="11.4" x14ac:dyDescent="0.2">
      <c r="B26" s="29" t="s">
        <v>34</v>
      </c>
      <c r="C26" s="4" t="str">
        <f t="shared" si="0"/>
        <v>No</v>
      </c>
      <c r="D26" s="15"/>
      <c r="F26" s="63" t="s">
        <v>461</v>
      </c>
      <c r="H26" s="4"/>
      <c r="I26" s="4">
        <v>0</v>
      </c>
      <c r="J26" s="4"/>
      <c r="K26" s="4">
        <v>5.2</v>
      </c>
      <c r="L26" s="4"/>
      <c r="M26" s="4">
        <v>0</v>
      </c>
      <c r="N26" s="4"/>
      <c r="O26" s="4">
        <v>0</v>
      </c>
      <c r="P26" s="5"/>
      <c r="R26" s="10" cm="1">
        <f t="array" ref="R26">IFERROR(INDEX(_xlfn._xlws.FILTER($H26:$O26,$H26:$O26&lt;&gt;0),R$4),"N/A")</f>
        <v>5.2</v>
      </c>
      <c r="S26" s="10" t="str" cm="1">
        <f t="array" ref="S26">IFERROR(INDEX(_xlfn._xlws.FILTER($H26:$O26,$H26:$O26&lt;&gt;0),S$4),"N/A")</f>
        <v>N/A</v>
      </c>
      <c r="T26" s="10" t="str" cm="1">
        <f t="array" ref="T26">IFERROR(INDEX(_xlfn._xlws.FILTER($H26:$O26,$H26:$O26&lt;&gt;0),T$4),"N/A")</f>
        <v>N/A</v>
      </c>
      <c r="U26" s="10" t="str" cm="1">
        <f t="array" ref="U26">IFERROR(INDEX(_xlfn._xlws.FILTER($H26:$O26,$H26:$O26&lt;&gt;0),U$4),"N/A")</f>
        <v>N/A</v>
      </c>
      <c r="V26" s="10" t="str" cm="1">
        <f t="array" ref="V26">IFERROR(INDEX(_xlfn._xlws.FILTER($H26:$O26,$H26:$O26&lt;&gt;0),V$4),"N/A")</f>
        <v>N/A</v>
      </c>
      <c r="X26" s="13" t="str" cm="1">
        <f t="array" ref="X26">IFERROR(INDEX(_xlfn._xlws.FILTER($H$4:$O$4,$H26:$O26&lt;&gt;0),X$4),"N/A")</f>
        <v>Southeast</v>
      </c>
      <c r="Y26" s="13" t="str" cm="1">
        <f t="array" ref="Y26">IFERROR(INDEX(_xlfn._xlws.FILTER($H$4:$O$4,$H26:$O26&lt;&gt;0),Y$4),"N/A")</f>
        <v>N/A</v>
      </c>
      <c r="Z26" s="13" t="str" cm="1">
        <f t="array" ref="Z26">IFERROR(INDEX(_xlfn._xlws.FILTER($H$4:$O$4,$H26:$O26&lt;&gt;0),Z$4),"N/A")</f>
        <v>N/A</v>
      </c>
      <c r="AA26" s="13" t="str" cm="1">
        <f t="array" ref="AA26">IFERROR(INDEX(_xlfn._xlws.FILTER($H$4:$O$4,$H26:$O26&lt;&gt;0),AA$4),"N/A")</f>
        <v>N/A</v>
      </c>
      <c r="AB26" s="13" t="str" cm="1">
        <f t="array" ref="AB26">IFERROR(INDEX(_xlfn._xlws.FILTER($H$4:$O$4,$H26:$O26&lt;&gt;0),AB$4),"N/A")</f>
        <v>N/A</v>
      </c>
    </row>
    <row r="27" spans="2:31" s="6" customFormat="1" x14ac:dyDescent="0.25">
      <c r="B27" s="29" t="s">
        <v>35</v>
      </c>
      <c r="C27" s="4" t="str">
        <f t="shared" si="0"/>
        <v>No</v>
      </c>
      <c r="D27" s="15"/>
      <c r="F27" s="63" t="s">
        <v>462</v>
      </c>
      <c r="G27"/>
      <c r="H27" s="4"/>
      <c r="I27" s="4">
        <v>0</v>
      </c>
      <c r="J27" s="4"/>
      <c r="K27" s="4">
        <v>0</v>
      </c>
      <c r="L27" s="4"/>
      <c r="M27" s="4">
        <v>0</v>
      </c>
      <c r="N27" s="4"/>
      <c r="O27" s="4">
        <v>5.2</v>
      </c>
      <c r="P27"/>
      <c r="Q27"/>
      <c r="R27" s="10" cm="1">
        <f t="array" ref="R27">IFERROR(INDEX(_xlfn._xlws.FILTER($H27:$O27,$H27:$O27&lt;&gt;0),R$4),"N/A")</f>
        <v>5.2</v>
      </c>
      <c r="S27" s="10" t="str" cm="1">
        <f t="array" ref="S27">IFERROR(INDEX(_xlfn._xlws.FILTER($H27:$O27,$H27:$O27&lt;&gt;0),S$4),"N/A")</f>
        <v>N/A</v>
      </c>
      <c r="T27" s="10" t="str" cm="1">
        <f t="array" ref="T27">IFERROR(INDEX(_xlfn._xlws.FILTER($H27:$O27,$H27:$O27&lt;&gt;0),T$4),"N/A")</f>
        <v>N/A</v>
      </c>
      <c r="U27" s="10" t="str" cm="1">
        <f t="array" ref="U27">IFERROR(INDEX(_xlfn._xlws.FILTER($H27:$O27,$H27:$O27&lt;&gt;0),U$4),"N/A")</f>
        <v>N/A</v>
      </c>
      <c r="V27" s="10" t="str" cm="1">
        <f t="array" ref="V27">IFERROR(INDEX(_xlfn._xlws.FILTER($H27:$O27,$H27:$O27&lt;&gt;0),V$4),"N/A")</f>
        <v>N/A</v>
      </c>
      <c r="W27"/>
      <c r="X27" s="13" t="str" cm="1">
        <f t="array" ref="X27">IFERROR(INDEX(_xlfn._xlws.FILTER($H$4:$O$4,$H27:$O27&lt;&gt;0),X$4),"N/A")</f>
        <v>Northwest</v>
      </c>
      <c r="Y27" s="13" t="str" cm="1">
        <f t="array" ref="Y27">IFERROR(INDEX(_xlfn._xlws.FILTER($H$4:$O$4,$H27:$O27&lt;&gt;0),Y$4),"N/A")</f>
        <v>N/A</v>
      </c>
      <c r="Z27" s="13" t="str" cm="1">
        <f t="array" ref="Z27">IFERROR(INDEX(_xlfn._xlws.FILTER($H$4:$O$4,$H27:$O27&lt;&gt;0),Z$4),"N/A")</f>
        <v>N/A</v>
      </c>
      <c r="AA27" s="13" t="str" cm="1">
        <f t="array" ref="AA27">IFERROR(INDEX(_xlfn._xlws.FILTER($H$4:$O$4,$H27:$O27&lt;&gt;0),AA$4),"N/A")</f>
        <v>N/A</v>
      </c>
      <c r="AB27" s="13" t="str" cm="1">
        <f t="array" ref="AB27">IFERROR(INDEX(_xlfn._xlws.FILTER($H$4:$O$4,$H27:$O27&lt;&gt;0),AB$4),"N/A")</f>
        <v>N/A</v>
      </c>
      <c r="AC27"/>
      <c r="AD27"/>
      <c r="AE27"/>
    </row>
    <row r="28" spans="2:31" s="6" customFormat="1" x14ac:dyDescent="0.25">
      <c r="B28" s="29" t="s">
        <v>36</v>
      </c>
      <c r="C28" s="4" t="str">
        <f t="shared" si="0"/>
        <v>No</v>
      </c>
      <c r="D28" s="15"/>
      <c r="F28" s="63" t="s">
        <v>463</v>
      </c>
      <c r="G28"/>
      <c r="H28" s="4"/>
      <c r="I28" s="4">
        <v>0</v>
      </c>
      <c r="J28" s="4"/>
      <c r="K28" s="4">
        <v>0</v>
      </c>
      <c r="L28" s="4"/>
      <c r="M28" s="4">
        <v>0</v>
      </c>
      <c r="N28" s="4"/>
      <c r="O28" s="4">
        <v>4.5299999999999994</v>
      </c>
      <c r="P28"/>
      <c r="Q28"/>
      <c r="R28" s="10" cm="1">
        <f t="array" ref="R28">IFERROR(INDEX(_xlfn._xlws.FILTER($H28:$O28,$H28:$O28&lt;&gt;0),R$4),"N/A")</f>
        <v>4.5299999999999994</v>
      </c>
      <c r="S28" s="10" t="str" cm="1">
        <f t="array" ref="S28">IFERROR(INDEX(_xlfn._xlws.FILTER($H28:$O28,$H28:$O28&lt;&gt;0),S$4),"N/A")</f>
        <v>N/A</v>
      </c>
      <c r="T28" s="10" t="str" cm="1">
        <f t="array" ref="T28">IFERROR(INDEX(_xlfn._xlws.FILTER($H28:$O28,$H28:$O28&lt;&gt;0),T$4),"N/A")</f>
        <v>N/A</v>
      </c>
      <c r="U28" s="10" t="str" cm="1">
        <f t="array" ref="U28">IFERROR(INDEX(_xlfn._xlws.FILTER($H28:$O28,$H28:$O28&lt;&gt;0),U$4),"N/A")</f>
        <v>N/A</v>
      </c>
      <c r="V28" s="10" t="str" cm="1">
        <f t="array" ref="V28">IFERROR(INDEX(_xlfn._xlws.FILTER($H28:$O28,$H28:$O28&lt;&gt;0),V$4),"N/A")</f>
        <v>N/A</v>
      </c>
      <c r="W28"/>
      <c r="X28" s="13" t="str" cm="1">
        <f t="array" ref="X28">IFERROR(INDEX(_xlfn._xlws.FILTER($H$4:$O$4,$H28:$O28&lt;&gt;0),X$4),"N/A")</f>
        <v>Northwest</v>
      </c>
      <c r="Y28" s="13" t="str" cm="1">
        <f t="array" ref="Y28">IFERROR(INDEX(_xlfn._xlws.FILTER($H$4:$O$4,$H28:$O28&lt;&gt;0),Y$4),"N/A")</f>
        <v>N/A</v>
      </c>
      <c r="Z28" s="13" t="str" cm="1">
        <f t="array" ref="Z28">IFERROR(INDEX(_xlfn._xlws.FILTER($H$4:$O$4,$H28:$O28&lt;&gt;0),Z$4),"N/A")</f>
        <v>N/A</v>
      </c>
      <c r="AA28" s="13" t="str" cm="1">
        <f t="array" ref="AA28">IFERROR(INDEX(_xlfn._xlws.FILTER($H$4:$O$4,$H28:$O28&lt;&gt;0),AA$4),"N/A")</f>
        <v>N/A</v>
      </c>
      <c r="AB28" s="13" t="str" cm="1">
        <f t="array" ref="AB28">IFERROR(INDEX(_xlfn._xlws.FILTER($H$4:$O$4,$H28:$O28&lt;&gt;0),AB$4),"N/A")</f>
        <v>N/A</v>
      </c>
      <c r="AC28"/>
      <c r="AD28"/>
      <c r="AE28"/>
    </row>
    <row r="29" spans="2:31" s="6" customFormat="1" x14ac:dyDescent="0.25">
      <c r="B29" s="29" t="s">
        <v>37</v>
      </c>
      <c r="C29" s="4" t="str">
        <f t="shared" si="0"/>
        <v>Yes</v>
      </c>
      <c r="D29" s="15"/>
      <c r="F29" s="63" t="s">
        <v>464</v>
      </c>
      <c r="G29"/>
      <c r="H29" s="4"/>
      <c r="I29" s="4">
        <v>0</v>
      </c>
      <c r="J29" s="4"/>
      <c r="K29" s="4">
        <v>0</v>
      </c>
      <c r="L29" s="4"/>
      <c r="M29" s="4">
        <v>0</v>
      </c>
      <c r="N29" s="4"/>
      <c r="O29" s="4">
        <v>4.5299999999999994</v>
      </c>
      <c r="P29"/>
      <c r="Q29"/>
      <c r="R29" s="10" cm="1">
        <f t="array" ref="R29">IFERROR(INDEX(_xlfn._xlws.FILTER($H29:$O29,$H29:$O29&lt;&gt;0),R$4),"N/A")</f>
        <v>4.5299999999999994</v>
      </c>
      <c r="S29" s="10" t="str" cm="1">
        <f t="array" ref="S29">IFERROR(INDEX(_xlfn._xlws.FILTER($H29:$O29,$H29:$O29&lt;&gt;0),S$4),"N/A")</f>
        <v>N/A</v>
      </c>
      <c r="T29" s="10" t="str" cm="1">
        <f t="array" ref="T29">IFERROR(INDEX(_xlfn._xlws.FILTER($H29:$O29,$H29:$O29&lt;&gt;0),T$4),"N/A")</f>
        <v>N/A</v>
      </c>
      <c r="U29" s="10" t="str" cm="1">
        <f t="array" ref="U29">IFERROR(INDEX(_xlfn._xlws.FILTER($H29:$O29,$H29:$O29&lt;&gt;0),U$4),"N/A")</f>
        <v>N/A</v>
      </c>
      <c r="V29" s="10" t="str" cm="1">
        <f t="array" ref="V29">IFERROR(INDEX(_xlfn._xlws.FILTER($H29:$O29,$H29:$O29&lt;&gt;0),V$4),"N/A")</f>
        <v>N/A</v>
      </c>
      <c r="W29"/>
      <c r="X29" s="13" t="str" cm="1">
        <f t="array" ref="X29">IFERROR(INDEX(_xlfn._xlws.FILTER($H$4:$O$4,$H29:$O29&lt;&gt;0),X$4),"N/A")</f>
        <v>Northwest</v>
      </c>
      <c r="Y29" s="13" t="str" cm="1">
        <f t="array" ref="Y29">IFERROR(INDEX(_xlfn._xlws.FILTER($H$4:$O$4,$H29:$O29&lt;&gt;0),Y$4),"N/A")</f>
        <v>N/A</v>
      </c>
      <c r="Z29" s="13" t="str" cm="1">
        <f t="array" ref="Z29">IFERROR(INDEX(_xlfn._xlws.FILTER($H$4:$O$4,$H29:$O29&lt;&gt;0),Z$4),"N/A")</f>
        <v>N/A</v>
      </c>
      <c r="AA29" s="13" t="str" cm="1">
        <f t="array" ref="AA29">IFERROR(INDEX(_xlfn._xlws.FILTER($H$4:$O$4,$H29:$O29&lt;&gt;0),AA$4),"N/A")</f>
        <v>N/A</v>
      </c>
      <c r="AB29" s="13" t="str" cm="1">
        <f t="array" ref="AB29">IFERROR(INDEX(_xlfn._xlws.FILTER($H$4:$O$4,$H29:$O29&lt;&gt;0),AB$4),"N/A")</f>
        <v>N/A</v>
      </c>
      <c r="AC29"/>
      <c r="AD29"/>
      <c r="AE29"/>
    </row>
    <row r="30" spans="2:31" s="6" customFormat="1" x14ac:dyDescent="0.25">
      <c r="B30" s="29" t="s">
        <v>38</v>
      </c>
      <c r="C30" s="4" t="str">
        <f t="shared" si="0"/>
        <v>No</v>
      </c>
      <c r="D30" s="15"/>
      <c r="F30" s="63" t="s">
        <v>465</v>
      </c>
      <c r="G30"/>
      <c r="H30" s="4"/>
      <c r="I30" s="4">
        <v>0</v>
      </c>
      <c r="J30" s="4"/>
      <c r="K30" s="4">
        <v>0</v>
      </c>
      <c r="L30" s="4"/>
      <c r="M30" s="4">
        <v>5.2</v>
      </c>
      <c r="N30" s="4"/>
      <c r="O30" s="4">
        <v>2.6</v>
      </c>
      <c r="P30"/>
      <c r="Q30"/>
      <c r="R30" s="10" cm="1">
        <f t="array" ref="R30">IFERROR(INDEX(_xlfn._xlws.FILTER($H30:$O30,$H30:$O30&lt;&gt;0),R$4),"N/A")</f>
        <v>5.2</v>
      </c>
      <c r="S30" s="10" cm="1">
        <f t="array" ref="S30">IFERROR(INDEX(_xlfn._xlws.FILTER($H30:$O30,$H30:$O30&lt;&gt;0),S$4),"N/A")</f>
        <v>2.6</v>
      </c>
      <c r="T30" s="10" t="str" cm="1">
        <f t="array" ref="T30">IFERROR(INDEX(_xlfn._xlws.FILTER($H30:$O30,$H30:$O30&lt;&gt;0),T$4),"N/A")</f>
        <v>N/A</v>
      </c>
      <c r="U30" s="10" t="str" cm="1">
        <f t="array" ref="U30">IFERROR(INDEX(_xlfn._xlws.FILTER($H30:$O30,$H30:$O30&lt;&gt;0),U$4),"N/A")</f>
        <v>N/A</v>
      </c>
      <c r="V30" s="10" t="str" cm="1">
        <f t="array" ref="V30">IFERROR(INDEX(_xlfn._xlws.FILTER($H30:$O30,$H30:$O30&lt;&gt;0),V$4),"N/A")</f>
        <v>N/A</v>
      </c>
      <c r="W30"/>
      <c r="X30" s="13" t="str" cm="1">
        <f t="array" ref="X30">IFERROR(INDEX(_xlfn._xlws.FILTER($H$4:$O$4,$H30:$O30&lt;&gt;0),X$4),"N/A")</f>
        <v>Southwest</v>
      </c>
      <c r="Y30" s="13" t="str" cm="1">
        <f t="array" ref="Y30">IFERROR(INDEX(_xlfn._xlws.FILTER($H$4:$O$4,$H30:$O30&lt;&gt;0),Y$4),"N/A")</f>
        <v>Northwest</v>
      </c>
      <c r="Z30" s="13" t="str" cm="1">
        <f t="array" ref="Z30">IFERROR(INDEX(_xlfn._xlws.FILTER($H$4:$O$4,$H30:$O30&lt;&gt;0),Z$4),"N/A")</f>
        <v>N/A</v>
      </c>
      <c r="AA30" s="13" t="str" cm="1">
        <f t="array" ref="AA30">IFERROR(INDEX(_xlfn._xlws.FILTER($H$4:$O$4,$H30:$O30&lt;&gt;0),AA$4),"N/A")</f>
        <v>N/A</v>
      </c>
      <c r="AB30" s="13" t="str" cm="1">
        <f t="array" ref="AB30">IFERROR(INDEX(_xlfn._xlws.FILTER($H$4:$O$4,$H30:$O30&lt;&gt;0),AB$4),"N/A")</f>
        <v>N/A</v>
      </c>
      <c r="AC30"/>
      <c r="AD30"/>
      <c r="AE30"/>
    </row>
    <row r="31" spans="2:31" s="6" customFormat="1" x14ac:dyDescent="0.25">
      <c r="B31" s="29" t="s">
        <v>39</v>
      </c>
      <c r="C31" s="4" t="str">
        <f>C22</f>
        <v>No</v>
      </c>
      <c r="D31" s="15"/>
      <c r="F31" s="63" t="s">
        <v>466</v>
      </c>
      <c r="G31"/>
      <c r="H31" s="4"/>
      <c r="I31" s="4">
        <v>0</v>
      </c>
      <c r="J31" s="4"/>
      <c r="K31" s="4">
        <v>2.6</v>
      </c>
      <c r="L31" s="4"/>
      <c r="M31" s="4">
        <v>5.2</v>
      </c>
      <c r="N31" s="4"/>
      <c r="O31" s="4">
        <v>0</v>
      </c>
      <c r="P31"/>
      <c r="Q31"/>
      <c r="R31" s="10" cm="1">
        <f t="array" ref="R31">IFERROR(INDEX(_xlfn._xlws.FILTER($H31:$O31,$H31:$O31&lt;&gt;0),R$4),"N/A")</f>
        <v>2.6</v>
      </c>
      <c r="S31" s="10" cm="1">
        <f t="array" ref="S31">IFERROR(INDEX(_xlfn._xlws.FILTER($H31:$O31,$H31:$O31&lt;&gt;0),S$4),"N/A")</f>
        <v>5.2</v>
      </c>
      <c r="T31" s="10" t="str" cm="1">
        <f t="array" ref="T31">IFERROR(INDEX(_xlfn._xlws.FILTER($H31:$O31,$H31:$O31&lt;&gt;0),T$4),"N/A")</f>
        <v>N/A</v>
      </c>
      <c r="U31" s="10" t="str" cm="1">
        <f t="array" ref="U31">IFERROR(INDEX(_xlfn._xlws.FILTER($H31:$O31,$H31:$O31&lt;&gt;0),U$4),"N/A")</f>
        <v>N/A</v>
      </c>
      <c r="V31" s="10" t="str" cm="1">
        <f t="array" ref="V31">IFERROR(INDEX(_xlfn._xlws.FILTER($H31:$O31,$H31:$O31&lt;&gt;0),V$4),"N/A")</f>
        <v>N/A</v>
      </c>
      <c r="W31"/>
      <c r="X31" s="13" t="str" cm="1">
        <f t="array" ref="X31">IFERROR(INDEX(_xlfn._xlws.FILTER($H$4:$O$4,$H31:$O31&lt;&gt;0),X$4),"N/A")</f>
        <v>Southeast</v>
      </c>
      <c r="Y31" s="13" t="str" cm="1">
        <f t="array" ref="Y31">IFERROR(INDEX(_xlfn._xlws.FILTER($H$4:$O$4,$H31:$O31&lt;&gt;0),Y$4),"N/A")</f>
        <v>Southwest</v>
      </c>
      <c r="Z31" s="13" t="str" cm="1">
        <f t="array" ref="Z31">IFERROR(INDEX(_xlfn._xlws.FILTER($H$4:$O$4,$H31:$O31&lt;&gt;0),Z$4),"N/A")</f>
        <v>N/A</v>
      </c>
      <c r="AA31" s="13" t="str" cm="1">
        <f t="array" ref="AA31">IFERROR(INDEX(_xlfn._xlws.FILTER($H$4:$O$4,$H31:$O31&lt;&gt;0),AA$4),"N/A")</f>
        <v>N/A</v>
      </c>
      <c r="AB31" s="13" t="str" cm="1">
        <f t="array" ref="AB31">IFERROR(INDEX(_xlfn._xlws.FILTER($H$4:$O$4,$H31:$O31&lt;&gt;0),AB$4),"N/A")</f>
        <v>N/A</v>
      </c>
      <c r="AC31"/>
      <c r="AD31"/>
      <c r="AE31"/>
    </row>
    <row r="32" spans="2:31" s="6" customFormat="1" x14ac:dyDescent="0.25">
      <c r="B32" s="29" t="s">
        <v>40</v>
      </c>
      <c r="C32" s="4" t="str">
        <f t="shared" si="0"/>
        <v>Yes</v>
      </c>
      <c r="D32" s="15"/>
      <c r="F32" s="63" t="s">
        <v>467</v>
      </c>
      <c r="G32"/>
      <c r="H32" s="4"/>
      <c r="I32" s="4">
        <v>0</v>
      </c>
      <c r="J32" s="4"/>
      <c r="K32" s="4">
        <v>0</v>
      </c>
      <c r="L32" s="4"/>
      <c r="M32" s="4">
        <v>5.2</v>
      </c>
      <c r="N32" s="4"/>
      <c r="O32" s="4">
        <v>0</v>
      </c>
      <c r="P32"/>
      <c r="Q32"/>
      <c r="R32" s="10" cm="1">
        <f t="array" ref="R32">IFERROR(INDEX(_xlfn._xlws.FILTER($H32:$O32,$H32:$O32&lt;&gt;0),R$4),"N/A")</f>
        <v>5.2</v>
      </c>
      <c r="S32" s="10" t="str" cm="1">
        <f t="array" ref="S32">IFERROR(INDEX(_xlfn._xlws.FILTER($H32:$O32,$H32:$O32&lt;&gt;0),S$4),"N/A")</f>
        <v>N/A</v>
      </c>
      <c r="T32" s="10" t="str" cm="1">
        <f t="array" ref="T32">IFERROR(INDEX(_xlfn._xlws.FILTER($H32:$O32,$H32:$O32&lt;&gt;0),T$4),"N/A")</f>
        <v>N/A</v>
      </c>
      <c r="U32" s="10" t="str" cm="1">
        <f t="array" ref="U32">IFERROR(INDEX(_xlfn._xlws.FILTER($H32:$O32,$H32:$O32&lt;&gt;0),U$4),"N/A")</f>
        <v>N/A</v>
      </c>
      <c r="V32" s="10" t="str" cm="1">
        <f t="array" ref="V32">IFERROR(INDEX(_xlfn._xlws.FILTER($H32:$O32,$H32:$O32&lt;&gt;0),V$4),"N/A")</f>
        <v>N/A</v>
      </c>
      <c r="W32"/>
      <c r="X32" s="13" t="str" cm="1">
        <f t="array" ref="X32">IFERROR(INDEX(_xlfn._xlws.FILTER($H$4:$O$4,$H32:$O32&lt;&gt;0),X$4),"N/A")</f>
        <v>Southwest</v>
      </c>
      <c r="Y32" s="13" t="str" cm="1">
        <f t="array" ref="Y32">IFERROR(INDEX(_xlfn._xlws.FILTER($H$4:$O$4,$H32:$O32&lt;&gt;0),Y$4),"N/A")</f>
        <v>N/A</v>
      </c>
      <c r="Z32" s="13" t="str" cm="1">
        <f t="array" ref="Z32">IFERROR(INDEX(_xlfn._xlws.FILTER($H$4:$O$4,$H32:$O32&lt;&gt;0),Z$4),"N/A")</f>
        <v>N/A</v>
      </c>
      <c r="AA32" s="13" t="str" cm="1">
        <f t="array" ref="AA32">IFERROR(INDEX(_xlfn._xlws.FILTER($H$4:$O$4,$H32:$O32&lt;&gt;0),AA$4),"N/A")</f>
        <v>N/A</v>
      </c>
      <c r="AB32" s="13" t="str" cm="1">
        <f t="array" ref="AB32">IFERROR(INDEX(_xlfn._xlws.FILTER($H$4:$O$4,$H32:$O32&lt;&gt;0),AB$4),"N/A")</f>
        <v>N/A</v>
      </c>
      <c r="AC32"/>
      <c r="AD32"/>
      <c r="AE32"/>
    </row>
    <row r="33" spans="2:31" s="6" customFormat="1" x14ac:dyDescent="0.25">
      <c r="B33" s="34" t="s">
        <v>41</v>
      </c>
      <c r="C33" s="4" t="str">
        <f t="shared" si="0"/>
        <v>No</v>
      </c>
      <c r="D33" s="15"/>
      <c r="F33" s="63" t="s">
        <v>468</v>
      </c>
      <c r="G33"/>
      <c r="H33" s="4"/>
      <c r="I33" s="4">
        <v>2.6</v>
      </c>
      <c r="J33" s="4"/>
      <c r="K33" s="4">
        <v>0</v>
      </c>
      <c r="L33" s="4"/>
      <c r="M33" s="4">
        <v>0</v>
      </c>
      <c r="N33" s="4"/>
      <c r="O33" s="4">
        <v>0</v>
      </c>
      <c r="P33"/>
      <c r="Q33"/>
      <c r="R33" s="10" cm="1">
        <f t="array" ref="R33">IFERROR(INDEX(_xlfn._xlws.FILTER($H33:$O33,$H33:$O33&lt;&gt;0),R$4),"N/A")</f>
        <v>2.6</v>
      </c>
      <c r="S33" s="10" t="str" cm="1">
        <f t="array" ref="S33">IFERROR(INDEX(_xlfn._xlws.FILTER($H33:$O33,$H33:$O33&lt;&gt;0),S$4),"N/A")</f>
        <v>N/A</v>
      </c>
      <c r="T33" s="10" t="str" cm="1">
        <f t="array" ref="T33">IFERROR(INDEX(_xlfn._xlws.FILTER($H33:$O33,$H33:$O33&lt;&gt;0),T$4),"N/A")</f>
        <v>N/A</v>
      </c>
      <c r="U33" s="10" t="str" cm="1">
        <f t="array" ref="U33">IFERROR(INDEX(_xlfn._xlws.FILTER($H33:$O33,$H33:$O33&lt;&gt;0),U$4),"N/A")</f>
        <v>N/A</v>
      </c>
      <c r="V33" s="10" t="str" cm="1">
        <f t="array" ref="V33">IFERROR(INDEX(_xlfn._xlws.FILTER($H33:$O33,$H33:$O33&lt;&gt;0),V$4),"N/A")</f>
        <v>N/A</v>
      </c>
      <c r="W33"/>
      <c r="X33" s="13" t="str" cm="1">
        <f t="array" ref="X33">IFERROR(INDEX(_xlfn._xlws.FILTER($H$4:$O$4,$H33:$O33&lt;&gt;0),X$4),"N/A")</f>
        <v>Northeast</v>
      </c>
      <c r="Y33" s="13" t="str" cm="1">
        <f t="array" ref="Y33">IFERROR(INDEX(_xlfn._xlws.FILTER($H$4:$O$4,$H33:$O33&lt;&gt;0),Y$4),"N/A")</f>
        <v>N/A</v>
      </c>
      <c r="Z33" s="13" t="str" cm="1">
        <f t="array" ref="Z33">IFERROR(INDEX(_xlfn._xlws.FILTER($H$4:$O$4,$H33:$O33&lt;&gt;0),Z$4),"N/A")</f>
        <v>N/A</v>
      </c>
      <c r="AA33" s="13" t="str" cm="1">
        <f t="array" ref="AA33">IFERROR(INDEX(_xlfn._xlws.FILTER($H$4:$O$4,$H33:$O33&lt;&gt;0),AA$4),"N/A")</f>
        <v>N/A</v>
      </c>
      <c r="AB33" s="13" t="str" cm="1">
        <f t="array" ref="AB33">IFERROR(INDEX(_xlfn._xlws.FILTER($H$4:$O$4,$H33:$O33&lt;&gt;0),AB$4),"N/A")</f>
        <v>N/A</v>
      </c>
      <c r="AC33"/>
      <c r="AD33"/>
      <c r="AE33"/>
    </row>
    <row r="34" spans="2:31" s="6" customFormat="1" x14ac:dyDescent="0.25">
      <c r="B34" s="34" t="s">
        <v>42</v>
      </c>
      <c r="C34" s="4" t="str">
        <f t="shared" si="0"/>
        <v>No</v>
      </c>
      <c r="D34" s="15"/>
      <c r="F34" s="63" t="s">
        <v>469</v>
      </c>
      <c r="G34"/>
      <c r="H34" s="4"/>
      <c r="I34" s="4">
        <v>5.2</v>
      </c>
      <c r="J34" s="4"/>
      <c r="K34" s="4">
        <v>0</v>
      </c>
      <c r="L34" s="4"/>
      <c r="M34" s="4">
        <v>0</v>
      </c>
      <c r="N34" s="4"/>
      <c r="O34" s="4">
        <v>0</v>
      </c>
      <c r="P34"/>
      <c r="Q34"/>
      <c r="R34" s="10" cm="1">
        <f t="array" ref="R34">IFERROR(INDEX(_xlfn._xlws.FILTER($H34:$O34,$H34:$O34&lt;&gt;0),R$4),"N/A")</f>
        <v>5.2</v>
      </c>
      <c r="S34" s="10" t="str" cm="1">
        <f t="array" ref="S34">IFERROR(INDEX(_xlfn._xlws.FILTER($H34:$O34,$H34:$O34&lt;&gt;0),S$4),"N/A")</f>
        <v>N/A</v>
      </c>
      <c r="T34" s="10" t="str" cm="1">
        <f t="array" ref="T34">IFERROR(INDEX(_xlfn._xlws.FILTER($H34:$O34,$H34:$O34&lt;&gt;0),T$4),"N/A")</f>
        <v>N/A</v>
      </c>
      <c r="U34" s="10" t="str" cm="1">
        <f t="array" ref="U34">IFERROR(INDEX(_xlfn._xlws.FILTER($H34:$O34,$H34:$O34&lt;&gt;0),U$4),"N/A")</f>
        <v>N/A</v>
      </c>
      <c r="V34" s="10" t="str" cm="1">
        <f t="array" ref="V34">IFERROR(INDEX(_xlfn._xlws.FILTER($H34:$O34,$H34:$O34&lt;&gt;0),V$4),"N/A")</f>
        <v>N/A</v>
      </c>
      <c r="W34"/>
      <c r="X34" s="13" t="str" cm="1">
        <f t="array" ref="X34">IFERROR(INDEX(_xlfn._xlws.FILTER($H$4:$O$4,$H34:$O34&lt;&gt;0),X$4),"N/A")</f>
        <v>Northeast</v>
      </c>
      <c r="Y34" s="13" t="str" cm="1">
        <f t="array" ref="Y34">IFERROR(INDEX(_xlfn._xlws.FILTER($H$4:$O$4,$H34:$O34&lt;&gt;0),Y$4),"N/A")</f>
        <v>N/A</v>
      </c>
      <c r="Z34" s="13" t="str" cm="1">
        <f t="array" ref="Z34">IFERROR(INDEX(_xlfn._xlws.FILTER($H$4:$O$4,$H34:$O34&lt;&gt;0),Z$4),"N/A")</f>
        <v>N/A</v>
      </c>
      <c r="AA34" s="13" t="str" cm="1">
        <f t="array" ref="AA34">IFERROR(INDEX(_xlfn._xlws.FILTER($H$4:$O$4,$H34:$O34&lt;&gt;0),AA$4),"N/A")</f>
        <v>N/A</v>
      </c>
      <c r="AB34" s="13" t="str" cm="1">
        <f t="array" ref="AB34">IFERROR(INDEX(_xlfn._xlws.FILTER($H$4:$O$4,$H34:$O34&lt;&gt;0),AB$4),"N/A")</f>
        <v>N/A</v>
      </c>
      <c r="AC34"/>
      <c r="AD34"/>
      <c r="AE34"/>
    </row>
    <row r="35" spans="2:31" s="6" customFormat="1" x14ac:dyDescent="0.25">
      <c r="B35" s="34" t="s">
        <v>43</v>
      </c>
      <c r="C35" s="4" t="str">
        <f t="shared" si="0"/>
        <v>No</v>
      </c>
      <c r="D35" s="15"/>
      <c r="F35" s="63" t="s">
        <v>470</v>
      </c>
      <c r="G35"/>
      <c r="H35" s="4"/>
      <c r="I35" s="4">
        <v>0</v>
      </c>
      <c r="J35" s="4"/>
      <c r="K35" s="4">
        <v>0</v>
      </c>
      <c r="L35" s="4"/>
      <c r="M35" s="4">
        <v>5.2</v>
      </c>
      <c r="N35" s="4"/>
      <c r="O35" s="4">
        <v>0</v>
      </c>
      <c r="P35"/>
      <c r="Q35"/>
      <c r="R35" s="10" cm="1">
        <f t="array" ref="R35">IFERROR(INDEX(_xlfn._xlws.FILTER($H35:$O35,$H35:$O35&lt;&gt;0),R$4),"N/A")</f>
        <v>5.2</v>
      </c>
      <c r="S35" s="10" t="str" cm="1">
        <f t="array" ref="S35">IFERROR(INDEX(_xlfn._xlws.FILTER($H35:$O35,$H35:$O35&lt;&gt;0),S$4),"N/A")</f>
        <v>N/A</v>
      </c>
      <c r="T35" s="10" t="str" cm="1">
        <f t="array" ref="T35">IFERROR(INDEX(_xlfn._xlws.FILTER($H35:$O35,$H35:$O35&lt;&gt;0),T$4),"N/A")</f>
        <v>N/A</v>
      </c>
      <c r="U35" s="10" t="str" cm="1">
        <f t="array" ref="U35">IFERROR(INDEX(_xlfn._xlws.FILTER($H35:$O35,$H35:$O35&lt;&gt;0),U$4),"N/A")</f>
        <v>N/A</v>
      </c>
      <c r="V35" s="10" t="str" cm="1">
        <f t="array" ref="V35">IFERROR(INDEX(_xlfn._xlws.FILTER($H35:$O35,$H35:$O35&lt;&gt;0),V$4),"N/A")</f>
        <v>N/A</v>
      </c>
      <c r="W35"/>
      <c r="X35" s="13" t="str" cm="1">
        <f t="array" ref="X35">IFERROR(INDEX(_xlfn._xlws.FILTER($H$4:$O$4,$H35:$O35&lt;&gt;0),X$4),"N/A")</f>
        <v>Southwest</v>
      </c>
      <c r="Y35" s="13" t="str" cm="1">
        <f t="array" ref="Y35">IFERROR(INDEX(_xlfn._xlws.FILTER($H$4:$O$4,$H35:$O35&lt;&gt;0),Y$4),"N/A")</f>
        <v>N/A</v>
      </c>
      <c r="Z35" s="13" t="str" cm="1">
        <f t="array" ref="Z35">IFERROR(INDEX(_xlfn._xlws.FILTER($H$4:$O$4,$H35:$O35&lt;&gt;0),Z$4),"N/A")</f>
        <v>N/A</v>
      </c>
      <c r="AA35" s="13" t="str" cm="1">
        <f t="array" ref="AA35">IFERROR(INDEX(_xlfn._xlws.FILTER($H$4:$O$4,$H35:$O35&lt;&gt;0),AA$4),"N/A")</f>
        <v>N/A</v>
      </c>
      <c r="AB35" s="13" t="str" cm="1">
        <f t="array" ref="AB35">IFERROR(INDEX(_xlfn._xlws.FILTER($H$4:$O$4,$H35:$O35&lt;&gt;0),AB$4),"N/A")</f>
        <v>N/A</v>
      </c>
      <c r="AC35"/>
      <c r="AD35"/>
      <c r="AE35"/>
    </row>
    <row r="36" spans="2:31" s="6" customFormat="1" x14ac:dyDescent="0.25">
      <c r="B36" s="34" t="s">
        <v>44</v>
      </c>
      <c r="C36" s="4" t="str">
        <f t="shared" si="0"/>
        <v>No</v>
      </c>
      <c r="D36" s="15"/>
      <c r="F36" s="63" t="s">
        <v>471</v>
      </c>
      <c r="G36"/>
      <c r="H36" s="4"/>
      <c r="I36" s="4">
        <v>5.2</v>
      </c>
      <c r="J36" s="4"/>
      <c r="K36" s="4">
        <v>0</v>
      </c>
      <c r="L36" s="4"/>
      <c r="M36" s="4">
        <v>0</v>
      </c>
      <c r="N36" s="4"/>
      <c r="O36" s="4">
        <v>0</v>
      </c>
      <c r="P36"/>
      <c r="Q36"/>
      <c r="R36" s="10" cm="1">
        <f t="array" ref="R36">IFERROR(INDEX(_xlfn._xlws.FILTER($H36:$O36,$H36:$O36&lt;&gt;0),R$4),"N/A")</f>
        <v>5.2</v>
      </c>
      <c r="S36" s="10" t="str" cm="1">
        <f t="array" ref="S36">IFERROR(INDEX(_xlfn._xlws.FILTER($H36:$O36,$H36:$O36&lt;&gt;0),S$4),"N/A")</f>
        <v>N/A</v>
      </c>
      <c r="T36" s="10" t="str" cm="1">
        <f t="array" ref="T36">IFERROR(INDEX(_xlfn._xlws.FILTER($H36:$O36,$H36:$O36&lt;&gt;0),T$4),"N/A")</f>
        <v>N/A</v>
      </c>
      <c r="U36" s="10" t="str" cm="1">
        <f t="array" ref="U36">IFERROR(INDEX(_xlfn._xlws.FILTER($H36:$O36,$H36:$O36&lt;&gt;0),U$4),"N/A")</f>
        <v>N/A</v>
      </c>
      <c r="V36" s="10" t="str" cm="1">
        <f t="array" ref="V36">IFERROR(INDEX(_xlfn._xlws.FILTER($H36:$O36,$H36:$O36&lt;&gt;0),V$4),"N/A")</f>
        <v>N/A</v>
      </c>
      <c r="W36"/>
      <c r="X36" s="13" t="str" cm="1">
        <f t="array" ref="X36">IFERROR(INDEX(_xlfn._xlws.FILTER($H$4:$O$4,$H36:$O36&lt;&gt;0),X$4),"N/A")</f>
        <v>Northeast</v>
      </c>
      <c r="Y36" s="13" t="str" cm="1">
        <f t="array" ref="Y36">IFERROR(INDEX(_xlfn._xlws.FILTER($H$4:$O$4,$H36:$O36&lt;&gt;0),Y$4),"N/A")</f>
        <v>N/A</v>
      </c>
      <c r="Z36" s="13" t="str" cm="1">
        <f t="array" ref="Z36">IFERROR(INDEX(_xlfn._xlws.FILTER($H$4:$O$4,$H36:$O36&lt;&gt;0),Z$4),"N/A")</f>
        <v>N/A</v>
      </c>
      <c r="AA36" s="13" t="str" cm="1">
        <f t="array" ref="AA36">IFERROR(INDEX(_xlfn._xlws.FILTER($H$4:$O$4,$H36:$O36&lt;&gt;0),AA$4),"N/A")</f>
        <v>N/A</v>
      </c>
      <c r="AB36" s="13" t="str" cm="1">
        <f t="array" ref="AB36">IFERROR(INDEX(_xlfn._xlws.FILTER($H$4:$O$4,$H36:$O36&lt;&gt;0),AB$4),"N/A")</f>
        <v>N/A</v>
      </c>
      <c r="AC36"/>
      <c r="AD36"/>
      <c r="AE36"/>
    </row>
    <row r="37" spans="2:31" s="6" customFormat="1" x14ac:dyDescent="0.25">
      <c r="B37" s="34" t="s">
        <v>45</v>
      </c>
      <c r="C37" s="4" t="str">
        <f t="shared" si="0"/>
        <v>No</v>
      </c>
      <c r="D37" s="15"/>
      <c r="F37" s="63" t="s">
        <v>472</v>
      </c>
      <c r="G37"/>
      <c r="H37" s="4"/>
      <c r="I37" s="4">
        <v>2.6</v>
      </c>
      <c r="J37" s="4"/>
      <c r="K37" s="4">
        <v>5.2</v>
      </c>
      <c r="L37" s="4"/>
      <c r="M37" s="4">
        <v>0</v>
      </c>
      <c r="N37" s="4"/>
      <c r="O37" s="4">
        <v>0</v>
      </c>
      <c r="P37"/>
      <c r="Q37"/>
      <c r="R37" s="10" cm="1">
        <f t="array" ref="R37">IFERROR(INDEX(_xlfn._xlws.FILTER($H37:$O37,$H37:$O37&lt;&gt;0),R$4),"N/A")</f>
        <v>2.6</v>
      </c>
      <c r="S37" s="10" cm="1">
        <f t="array" ref="S37">IFERROR(INDEX(_xlfn._xlws.FILTER($H37:$O37,$H37:$O37&lt;&gt;0),S$4),"N/A")</f>
        <v>5.2</v>
      </c>
      <c r="T37" s="10" t="str" cm="1">
        <f t="array" ref="T37">IFERROR(INDEX(_xlfn._xlws.FILTER($H37:$O37,$H37:$O37&lt;&gt;0),T$4),"N/A")</f>
        <v>N/A</v>
      </c>
      <c r="U37" s="10" t="str" cm="1">
        <f t="array" ref="U37">IFERROR(INDEX(_xlfn._xlws.FILTER($H37:$O37,$H37:$O37&lt;&gt;0),U$4),"N/A")</f>
        <v>N/A</v>
      </c>
      <c r="V37" s="10" t="str" cm="1">
        <f t="array" ref="V37">IFERROR(INDEX(_xlfn._xlws.FILTER($H37:$O37,$H37:$O37&lt;&gt;0),V$4),"N/A")</f>
        <v>N/A</v>
      </c>
      <c r="W37"/>
      <c r="X37" s="13" t="str" cm="1">
        <f t="array" ref="X37">IFERROR(INDEX(_xlfn._xlws.FILTER($H$4:$O$4,$H37:$O37&lt;&gt;0),X$4),"N/A")</f>
        <v>Northeast</v>
      </c>
      <c r="Y37" s="13" t="str" cm="1">
        <f t="array" ref="Y37">IFERROR(INDEX(_xlfn._xlws.FILTER($H$4:$O$4,$H37:$O37&lt;&gt;0),Y$4),"N/A")</f>
        <v>Southeast</v>
      </c>
      <c r="Z37" s="13" t="str" cm="1">
        <f t="array" ref="Z37">IFERROR(INDEX(_xlfn._xlws.FILTER($H$4:$O$4,$H37:$O37&lt;&gt;0),Z$4),"N/A")</f>
        <v>N/A</v>
      </c>
      <c r="AA37" s="13" t="str" cm="1">
        <f t="array" ref="AA37">IFERROR(INDEX(_xlfn._xlws.FILTER($H$4:$O$4,$H37:$O37&lt;&gt;0),AA$4),"N/A")</f>
        <v>N/A</v>
      </c>
      <c r="AB37" s="13" t="str" cm="1">
        <f t="array" ref="AB37">IFERROR(INDEX(_xlfn._xlws.FILTER($H$4:$O$4,$H37:$O37&lt;&gt;0),AB$4),"N/A")</f>
        <v>N/A</v>
      </c>
      <c r="AC37"/>
      <c r="AD37"/>
      <c r="AE37"/>
    </row>
    <row r="38" spans="2:31" s="6" customFormat="1" x14ac:dyDescent="0.25">
      <c r="B38" s="34" t="s">
        <v>46</v>
      </c>
      <c r="C38" s="4" t="str">
        <f t="shared" si="0"/>
        <v>Yes</v>
      </c>
      <c r="D38" s="15"/>
      <c r="F38" s="63" t="s">
        <v>473</v>
      </c>
      <c r="G38"/>
      <c r="H38" s="4"/>
      <c r="I38" s="4">
        <v>0</v>
      </c>
      <c r="J38" s="4"/>
      <c r="K38" s="4">
        <v>5.2</v>
      </c>
      <c r="L38" s="4"/>
      <c r="M38" s="4">
        <v>0</v>
      </c>
      <c r="N38" s="4"/>
      <c r="O38" s="4">
        <v>0</v>
      </c>
      <c r="P38"/>
      <c r="Q38"/>
      <c r="R38" s="10" cm="1">
        <f t="array" ref="R38">IFERROR(INDEX(_xlfn._xlws.FILTER($H38:$O38,$H38:$O38&lt;&gt;0),R$4),"N/A")</f>
        <v>5.2</v>
      </c>
      <c r="S38" s="10" t="str" cm="1">
        <f t="array" ref="S38">IFERROR(INDEX(_xlfn._xlws.FILTER($H38:$O38,$H38:$O38&lt;&gt;0),S$4),"N/A")</f>
        <v>N/A</v>
      </c>
      <c r="T38" s="10" t="str" cm="1">
        <f t="array" ref="T38">IFERROR(INDEX(_xlfn._xlws.FILTER($H38:$O38,$H38:$O38&lt;&gt;0),T$4),"N/A")</f>
        <v>N/A</v>
      </c>
      <c r="U38" s="10" t="str" cm="1">
        <f t="array" ref="U38">IFERROR(INDEX(_xlfn._xlws.FILTER($H38:$O38,$H38:$O38&lt;&gt;0),U$4),"N/A")</f>
        <v>N/A</v>
      </c>
      <c r="V38" s="10" t="str" cm="1">
        <f t="array" ref="V38">IFERROR(INDEX(_xlfn._xlws.FILTER($H38:$O38,$H38:$O38&lt;&gt;0),V$4),"N/A")</f>
        <v>N/A</v>
      </c>
      <c r="W38"/>
      <c r="X38" s="13" t="str" cm="1">
        <f t="array" ref="X38">IFERROR(INDEX(_xlfn._xlws.FILTER($H$4:$O$4,$H38:$O38&lt;&gt;0),X$4),"N/A")</f>
        <v>Southeast</v>
      </c>
      <c r="Y38" s="13" t="str" cm="1">
        <f t="array" ref="Y38">IFERROR(INDEX(_xlfn._xlws.FILTER($H$4:$O$4,$H38:$O38&lt;&gt;0),Y$4),"N/A")</f>
        <v>N/A</v>
      </c>
      <c r="Z38" s="13" t="str" cm="1">
        <f t="array" ref="Z38">IFERROR(INDEX(_xlfn._xlws.FILTER($H$4:$O$4,$H38:$O38&lt;&gt;0),Z$4),"N/A")</f>
        <v>N/A</v>
      </c>
      <c r="AA38" s="13" t="str" cm="1">
        <f t="array" ref="AA38">IFERROR(INDEX(_xlfn._xlws.FILTER($H$4:$O$4,$H38:$O38&lt;&gt;0),AA$4),"N/A")</f>
        <v>N/A</v>
      </c>
      <c r="AB38" s="13" t="str" cm="1">
        <f t="array" ref="AB38">IFERROR(INDEX(_xlfn._xlws.FILTER($H$4:$O$4,$H38:$O38&lt;&gt;0),AB$4),"N/A")</f>
        <v>N/A</v>
      </c>
      <c r="AC38"/>
      <c r="AD38"/>
      <c r="AE38"/>
    </row>
    <row r="39" spans="2:31" s="6" customFormat="1" x14ac:dyDescent="0.25">
      <c r="B39" s="34" t="s">
        <v>47</v>
      </c>
      <c r="C39" s="4" t="str">
        <f t="shared" si="0"/>
        <v>No</v>
      </c>
      <c r="D39" s="15"/>
      <c r="F39" s="63" t="s">
        <v>474</v>
      </c>
      <c r="G39"/>
      <c r="H39" s="4"/>
      <c r="I39" s="4">
        <v>0</v>
      </c>
      <c r="J39" s="4"/>
      <c r="K39" s="4">
        <v>5.2</v>
      </c>
      <c r="L39" s="4"/>
      <c r="M39" s="4">
        <v>2.6</v>
      </c>
      <c r="N39" s="4"/>
      <c r="O39" s="4">
        <v>0</v>
      </c>
      <c r="P39"/>
      <c r="Q39"/>
      <c r="R39" s="10" cm="1">
        <f t="array" ref="R39">IFERROR(INDEX(_xlfn._xlws.FILTER($H39:$O39,$H39:$O39&lt;&gt;0),R$4),"N/A")</f>
        <v>5.2</v>
      </c>
      <c r="S39" s="10" cm="1">
        <f t="array" ref="S39">IFERROR(INDEX(_xlfn._xlws.FILTER($H39:$O39,$H39:$O39&lt;&gt;0),S$4),"N/A")</f>
        <v>2.6</v>
      </c>
      <c r="T39" s="10" t="str" cm="1">
        <f t="array" ref="T39">IFERROR(INDEX(_xlfn._xlws.FILTER($H39:$O39,$H39:$O39&lt;&gt;0),T$4),"N/A")</f>
        <v>N/A</v>
      </c>
      <c r="U39" s="10" t="str" cm="1">
        <f t="array" ref="U39">IFERROR(INDEX(_xlfn._xlws.FILTER($H39:$O39,$H39:$O39&lt;&gt;0),U$4),"N/A")</f>
        <v>N/A</v>
      </c>
      <c r="V39" s="10" t="str" cm="1">
        <f t="array" ref="V39">IFERROR(INDEX(_xlfn._xlws.FILTER($H39:$O39,$H39:$O39&lt;&gt;0),V$4),"N/A")</f>
        <v>N/A</v>
      </c>
      <c r="W39"/>
      <c r="X39" s="13" t="str" cm="1">
        <f t="array" ref="X39">IFERROR(INDEX(_xlfn._xlws.FILTER($H$4:$O$4,$H39:$O39&lt;&gt;0),X$4),"N/A")</f>
        <v>Southeast</v>
      </c>
      <c r="Y39" s="13" t="str" cm="1">
        <f t="array" ref="Y39">IFERROR(INDEX(_xlfn._xlws.FILTER($H$4:$O$4,$H39:$O39&lt;&gt;0),Y$4),"N/A")</f>
        <v>Southwest</v>
      </c>
      <c r="Z39" s="13" t="str" cm="1">
        <f t="array" ref="Z39">IFERROR(INDEX(_xlfn._xlws.FILTER($H$4:$O$4,$H39:$O39&lt;&gt;0),Z$4),"N/A")</f>
        <v>N/A</v>
      </c>
      <c r="AA39" s="13" t="str" cm="1">
        <f t="array" ref="AA39">IFERROR(INDEX(_xlfn._xlws.FILTER($H$4:$O$4,$H39:$O39&lt;&gt;0),AA$4),"N/A")</f>
        <v>N/A</v>
      </c>
      <c r="AB39" s="13" t="str" cm="1">
        <f t="array" ref="AB39">IFERROR(INDEX(_xlfn._xlws.FILTER($H$4:$O$4,$H39:$O39&lt;&gt;0),AB$4),"N/A")</f>
        <v>N/A</v>
      </c>
      <c r="AC39"/>
      <c r="AD39"/>
      <c r="AE39"/>
    </row>
    <row r="40" spans="2:31" s="6" customFormat="1" x14ac:dyDescent="0.25">
      <c r="B40" s="34" t="s">
        <v>48</v>
      </c>
      <c r="C40" s="4" t="str">
        <f t="shared" si="0"/>
        <v>No</v>
      </c>
      <c r="D40" s="15"/>
      <c r="F40" s="63" t="s">
        <v>475</v>
      </c>
      <c r="G40"/>
      <c r="H40" s="4"/>
      <c r="I40" s="4">
        <v>0</v>
      </c>
      <c r="J40" s="4"/>
      <c r="K40" s="4">
        <v>0</v>
      </c>
      <c r="L40" s="4"/>
      <c r="M40" s="4">
        <v>5.2</v>
      </c>
      <c r="N40" s="4"/>
      <c r="O40" s="4">
        <v>2.6</v>
      </c>
      <c r="P40"/>
      <c r="Q40"/>
      <c r="R40" s="10" cm="1">
        <f t="array" ref="R40">IFERROR(INDEX(_xlfn._xlws.FILTER($H40:$O40,$H40:$O40&lt;&gt;0),R$4),"N/A")</f>
        <v>5.2</v>
      </c>
      <c r="S40" s="10" cm="1">
        <f t="array" ref="S40">IFERROR(INDEX(_xlfn._xlws.FILTER($H40:$O40,$H40:$O40&lt;&gt;0),S$4),"N/A")</f>
        <v>2.6</v>
      </c>
      <c r="T40" s="10" t="str" cm="1">
        <f t="array" ref="T40">IFERROR(INDEX(_xlfn._xlws.FILTER($H40:$O40,$H40:$O40&lt;&gt;0),T$4),"N/A")</f>
        <v>N/A</v>
      </c>
      <c r="U40" s="10" t="str" cm="1">
        <f t="array" ref="U40">IFERROR(INDEX(_xlfn._xlws.FILTER($H40:$O40,$H40:$O40&lt;&gt;0),U$4),"N/A")</f>
        <v>N/A</v>
      </c>
      <c r="V40" s="10" t="str" cm="1">
        <f t="array" ref="V40">IFERROR(INDEX(_xlfn._xlws.FILTER($H40:$O40,$H40:$O40&lt;&gt;0),V$4),"N/A")</f>
        <v>N/A</v>
      </c>
      <c r="W40"/>
      <c r="X40" s="13" t="str" cm="1">
        <f t="array" ref="X40">IFERROR(INDEX(_xlfn._xlws.FILTER($H$4:$O$4,$H40:$O40&lt;&gt;0),X$4),"N/A")</f>
        <v>Southwest</v>
      </c>
      <c r="Y40" s="13" t="str" cm="1">
        <f t="array" ref="Y40">IFERROR(INDEX(_xlfn._xlws.FILTER($H$4:$O$4,$H40:$O40&lt;&gt;0),Y$4),"N/A")</f>
        <v>Northwest</v>
      </c>
      <c r="Z40" s="13" t="str" cm="1">
        <f t="array" ref="Z40">IFERROR(INDEX(_xlfn._xlws.FILTER($H$4:$O$4,$H40:$O40&lt;&gt;0),Z$4),"N/A")</f>
        <v>N/A</v>
      </c>
      <c r="AA40" s="13" t="str" cm="1">
        <f t="array" ref="AA40">IFERROR(INDEX(_xlfn._xlws.FILTER($H$4:$O$4,$H40:$O40&lt;&gt;0),AA$4),"N/A")</f>
        <v>N/A</v>
      </c>
      <c r="AB40" s="13" t="str" cm="1">
        <f t="array" ref="AB40">IFERROR(INDEX(_xlfn._xlws.FILTER($H$4:$O$4,$H40:$O40&lt;&gt;0),AB$4),"N/A")</f>
        <v>N/A</v>
      </c>
      <c r="AC40"/>
      <c r="AD40"/>
      <c r="AE40"/>
    </row>
    <row r="41" spans="2:31" s="6" customFormat="1" x14ac:dyDescent="0.25">
      <c r="B41" s="34" t="s">
        <v>49</v>
      </c>
      <c r="C41" s="4" t="str">
        <f t="shared" si="0"/>
        <v>Yes</v>
      </c>
      <c r="D41" s="15"/>
      <c r="F41" s="63" t="s">
        <v>476</v>
      </c>
      <c r="G41"/>
      <c r="H41" s="4"/>
      <c r="I41" s="4">
        <v>0</v>
      </c>
      <c r="J41" s="4"/>
      <c r="K41" s="4">
        <v>0</v>
      </c>
      <c r="L41" s="4"/>
      <c r="M41" s="4">
        <v>0</v>
      </c>
      <c r="N41" s="4"/>
      <c r="O41" s="4">
        <v>4.5299999999999994</v>
      </c>
      <c r="P41"/>
      <c r="Q41"/>
      <c r="R41" s="10" cm="1">
        <f t="array" ref="R41">IFERROR(INDEX(_xlfn._xlws.FILTER($H41:$O41,$H41:$O41&lt;&gt;0),R$4),"N/A")</f>
        <v>4.5299999999999994</v>
      </c>
      <c r="S41" s="10" t="str" cm="1">
        <f t="array" ref="S41">IFERROR(INDEX(_xlfn._xlws.FILTER($H41:$O41,$H41:$O41&lt;&gt;0),S$4),"N/A")</f>
        <v>N/A</v>
      </c>
      <c r="T41" s="10" t="str" cm="1">
        <f t="array" ref="T41">IFERROR(INDEX(_xlfn._xlws.FILTER($H41:$O41,$H41:$O41&lt;&gt;0),T$4),"N/A")</f>
        <v>N/A</v>
      </c>
      <c r="U41" s="10" t="str" cm="1">
        <f t="array" ref="U41">IFERROR(INDEX(_xlfn._xlws.FILTER($H41:$O41,$H41:$O41&lt;&gt;0),U$4),"N/A")</f>
        <v>N/A</v>
      </c>
      <c r="V41" s="10" t="str" cm="1">
        <f t="array" ref="V41">IFERROR(INDEX(_xlfn._xlws.FILTER($H41:$O41,$H41:$O41&lt;&gt;0),V$4),"N/A")</f>
        <v>N/A</v>
      </c>
      <c r="W41"/>
      <c r="X41" s="13" t="str" cm="1">
        <f t="array" ref="X41">IFERROR(INDEX(_xlfn._xlws.FILTER($H$4:$O$4,$H41:$O41&lt;&gt;0),X$4),"N/A")</f>
        <v>Northwest</v>
      </c>
      <c r="Y41" s="13" t="str" cm="1">
        <f t="array" ref="Y41">IFERROR(INDEX(_xlfn._xlws.FILTER($H$4:$O$4,$H41:$O41&lt;&gt;0),Y$4),"N/A")</f>
        <v>N/A</v>
      </c>
      <c r="Z41" s="13" t="str" cm="1">
        <f t="array" ref="Z41">IFERROR(INDEX(_xlfn._xlws.FILTER($H$4:$O$4,$H41:$O41&lt;&gt;0),Z$4),"N/A")</f>
        <v>N/A</v>
      </c>
      <c r="AA41" s="13" t="str" cm="1">
        <f t="array" ref="AA41">IFERROR(INDEX(_xlfn._xlws.FILTER($H$4:$O$4,$H41:$O41&lt;&gt;0),AA$4),"N/A")</f>
        <v>N/A</v>
      </c>
      <c r="AB41" s="13" t="str" cm="1">
        <f t="array" ref="AB41">IFERROR(INDEX(_xlfn._xlws.FILTER($H$4:$O$4,$H41:$O41&lt;&gt;0),AB$4),"N/A")</f>
        <v>N/A</v>
      </c>
      <c r="AC41"/>
      <c r="AD41"/>
      <c r="AE41"/>
    </row>
    <row r="42" spans="2:31" s="6" customFormat="1" x14ac:dyDescent="0.25">
      <c r="B42" s="29" t="s">
        <v>50</v>
      </c>
      <c r="C42" s="15"/>
      <c r="D42" s="15" t="s">
        <v>260</v>
      </c>
      <c r="F42" s="63" t="s">
        <v>477</v>
      </c>
      <c r="G42"/>
      <c r="H42" s="4"/>
      <c r="I42" s="4">
        <v>0</v>
      </c>
      <c r="J42" s="4"/>
      <c r="K42" s="4">
        <v>0</v>
      </c>
      <c r="L42" s="4"/>
      <c r="M42" s="4">
        <v>2.6</v>
      </c>
      <c r="N42" s="4"/>
      <c r="O42" s="4">
        <v>4.5299999999999994</v>
      </c>
      <c r="P42"/>
      <c r="Q42"/>
      <c r="R42" s="10" cm="1">
        <f t="array" ref="R42">IFERROR(INDEX(_xlfn._xlws.FILTER($H42:$O42,$H42:$O42&lt;&gt;0),R$4),"N/A")</f>
        <v>2.6</v>
      </c>
      <c r="S42" s="10" cm="1">
        <f t="array" ref="S42">IFERROR(INDEX(_xlfn._xlws.FILTER($H42:$O42,$H42:$O42&lt;&gt;0),S$4),"N/A")</f>
        <v>4.5299999999999994</v>
      </c>
      <c r="T42" s="10" t="str" cm="1">
        <f t="array" ref="T42">IFERROR(INDEX(_xlfn._xlws.FILTER($H42:$O42,$H42:$O42&lt;&gt;0),T$4),"N/A")</f>
        <v>N/A</v>
      </c>
      <c r="U42" s="10" t="str" cm="1">
        <f t="array" ref="U42">IFERROR(INDEX(_xlfn._xlws.FILTER($H42:$O42,$H42:$O42&lt;&gt;0),U$4),"N/A")</f>
        <v>N/A</v>
      </c>
      <c r="V42" s="10" t="str" cm="1">
        <f t="array" ref="V42">IFERROR(INDEX(_xlfn._xlws.FILTER($H42:$O42,$H42:$O42&lt;&gt;0),V$4),"N/A")</f>
        <v>N/A</v>
      </c>
      <c r="W42"/>
      <c r="X42" s="13" t="str" cm="1">
        <f t="array" ref="X42">IFERROR(INDEX(_xlfn._xlws.FILTER($H$4:$O$4,$H42:$O42&lt;&gt;0),X$4),"N/A")</f>
        <v>Southwest</v>
      </c>
      <c r="Y42" s="13" t="str" cm="1">
        <f t="array" ref="Y42">IFERROR(INDEX(_xlfn._xlws.FILTER($H$4:$O$4,$H42:$O42&lt;&gt;0),Y$4),"N/A")</f>
        <v>Northwest</v>
      </c>
      <c r="Z42" s="13" t="str" cm="1">
        <f t="array" ref="Z42">IFERROR(INDEX(_xlfn._xlws.FILTER($H$4:$O$4,$H42:$O42&lt;&gt;0),Z$4),"N/A")</f>
        <v>N/A</v>
      </c>
      <c r="AA42" s="13" t="str" cm="1">
        <f t="array" ref="AA42">IFERROR(INDEX(_xlfn._xlws.FILTER($H$4:$O$4,$H42:$O42&lt;&gt;0),AA$4),"N/A")</f>
        <v>N/A</v>
      </c>
      <c r="AB42" s="13" t="str" cm="1">
        <f t="array" ref="AB42">IFERROR(INDEX(_xlfn._xlws.FILTER($H$4:$O$4,$H42:$O42&lt;&gt;0),AB$4),"N/A")</f>
        <v>N/A</v>
      </c>
      <c r="AC42"/>
      <c r="AD42"/>
      <c r="AE42"/>
    </row>
    <row r="43" spans="2:31" s="6" customFormat="1" x14ac:dyDescent="0.25">
      <c r="B43" s="29" t="s">
        <v>51</v>
      </c>
      <c r="C43" s="15"/>
      <c r="D43" s="15"/>
      <c r="F43" s="63" t="s">
        <v>478</v>
      </c>
      <c r="G43"/>
      <c r="H43" s="4"/>
      <c r="I43" s="4">
        <v>0</v>
      </c>
      <c r="J43" s="4"/>
      <c r="K43" s="4">
        <v>0</v>
      </c>
      <c r="L43" s="4"/>
      <c r="M43" s="4">
        <v>5.2</v>
      </c>
      <c r="N43" s="4"/>
      <c r="O43" s="4">
        <v>0</v>
      </c>
      <c r="P43"/>
      <c r="Q43"/>
      <c r="R43" s="10" cm="1">
        <f t="array" ref="R43">IFERROR(INDEX(_xlfn._xlws.FILTER($H43:$O43,$H43:$O43&lt;&gt;0),R$4),"N/A")</f>
        <v>5.2</v>
      </c>
      <c r="S43" s="10" t="str" cm="1">
        <f t="array" ref="S43">IFERROR(INDEX(_xlfn._xlws.FILTER($H43:$O43,$H43:$O43&lt;&gt;0),S$4),"N/A")</f>
        <v>N/A</v>
      </c>
      <c r="T43" s="10" t="str" cm="1">
        <f t="array" ref="T43">IFERROR(INDEX(_xlfn._xlws.FILTER($H43:$O43,$H43:$O43&lt;&gt;0),T$4),"N/A")</f>
        <v>N/A</v>
      </c>
      <c r="U43" s="10" t="str" cm="1">
        <f t="array" ref="U43">IFERROR(INDEX(_xlfn._xlws.FILTER($H43:$O43,$H43:$O43&lt;&gt;0),U$4),"N/A")</f>
        <v>N/A</v>
      </c>
      <c r="V43" s="10" t="str" cm="1">
        <f t="array" ref="V43">IFERROR(INDEX(_xlfn._xlws.FILTER($H43:$O43,$H43:$O43&lt;&gt;0),V$4),"N/A")</f>
        <v>N/A</v>
      </c>
      <c r="W43"/>
      <c r="X43" s="13" t="str" cm="1">
        <f t="array" ref="X43">IFERROR(INDEX(_xlfn._xlws.FILTER($H$4:$O$4,$H43:$O43&lt;&gt;0),X$4),"N/A")</f>
        <v>Southwest</v>
      </c>
      <c r="Y43" s="13" t="str" cm="1">
        <f t="array" ref="Y43">IFERROR(INDEX(_xlfn._xlws.FILTER($H$4:$O$4,$H43:$O43&lt;&gt;0),Y$4),"N/A")</f>
        <v>N/A</v>
      </c>
      <c r="Z43" s="13" t="str" cm="1">
        <f t="array" ref="Z43">IFERROR(INDEX(_xlfn._xlws.FILTER($H$4:$O$4,$H43:$O43&lt;&gt;0),Z$4),"N/A")</f>
        <v>N/A</v>
      </c>
      <c r="AA43" s="13" t="str" cm="1">
        <f t="array" ref="AA43">IFERROR(INDEX(_xlfn._xlws.FILTER($H$4:$O$4,$H43:$O43&lt;&gt;0),AA$4),"N/A")</f>
        <v>N/A</v>
      </c>
      <c r="AB43" s="13" t="str" cm="1">
        <f t="array" ref="AB43">IFERROR(INDEX(_xlfn._xlws.FILTER($H$4:$O$4,$H43:$O43&lt;&gt;0),AB$4),"N/A")</f>
        <v>N/A</v>
      </c>
      <c r="AC43"/>
      <c r="AD43"/>
      <c r="AE43"/>
    </row>
    <row r="44" spans="2:31" x14ac:dyDescent="0.25">
      <c r="B44" s="29" t="s">
        <v>52</v>
      </c>
      <c r="C44" s="24"/>
      <c r="D44" s="24"/>
      <c r="F44" s="63" t="s">
        <v>479</v>
      </c>
      <c r="G44"/>
      <c r="H44" s="4"/>
      <c r="I44" s="4">
        <v>2.6</v>
      </c>
      <c r="J44" s="4"/>
      <c r="K44" s="4">
        <v>0</v>
      </c>
      <c r="L44" s="4"/>
      <c r="M44" s="4">
        <v>0</v>
      </c>
      <c r="N44" s="4"/>
      <c r="O44" s="4">
        <v>0</v>
      </c>
      <c r="P44"/>
      <c r="Q44"/>
      <c r="R44" s="10" cm="1">
        <f t="array" ref="R44">IFERROR(INDEX(_xlfn._xlws.FILTER($H44:$O44,$H44:$O44&lt;&gt;0),R$4),"N/A")</f>
        <v>2.6</v>
      </c>
      <c r="S44" s="10" t="str" cm="1">
        <f t="array" ref="S44">IFERROR(INDEX(_xlfn._xlws.FILTER($H44:$O44,$H44:$O44&lt;&gt;0),S$4),"N/A")</f>
        <v>N/A</v>
      </c>
      <c r="T44" s="10" t="str" cm="1">
        <f t="array" ref="T44">IFERROR(INDEX(_xlfn._xlws.FILTER($H44:$O44,$H44:$O44&lt;&gt;0),T$4),"N/A")</f>
        <v>N/A</v>
      </c>
      <c r="U44" s="10" t="str" cm="1">
        <f t="array" ref="U44">IFERROR(INDEX(_xlfn._xlws.FILTER($H44:$O44,$H44:$O44&lt;&gt;0),U$4),"N/A")</f>
        <v>N/A</v>
      </c>
      <c r="V44" s="10" t="str" cm="1">
        <f t="array" ref="V44">IFERROR(INDEX(_xlfn._xlws.FILTER($H44:$O44,$H44:$O44&lt;&gt;0),V$4),"N/A")</f>
        <v>N/A</v>
      </c>
      <c r="W44"/>
      <c r="X44" s="13" t="str" cm="1">
        <f t="array" ref="X44">IFERROR(INDEX(_xlfn._xlws.FILTER($H$4:$O$4,$H44:$O44&lt;&gt;0),X$4),"N/A")</f>
        <v>Northeast</v>
      </c>
      <c r="Y44" s="13" t="str" cm="1">
        <f t="array" ref="Y44">IFERROR(INDEX(_xlfn._xlws.FILTER($H$4:$O$4,$H44:$O44&lt;&gt;0),Y$4),"N/A")</f>
        <v>N/A</v>
      </c>
      <c r="Z44" s="13" t="str" cm="1">
        <f t="array" ref="Z44">IFERROR(INDEX(_xlfn._xlws.FILTER($H$4:$O$4,$H44:$O44&lt;&gt;0),Z$4),"N/A")</f>
        <v>N/A</v>
      </c>
      <c r="AA44" s="13" t="str" cm="1">
        <f t="array" ref="AA44">IFERROR(INDEX(_xlfn._xlws.FILTER($H$4:$O$4,$H44:$O44&lt;&gt;0),AA$4),"N/A")</f>
        <v>N/A</v>
      </c>
      <c r="AB44" s="13" t="str" cm="1">
        <f t="array" ref="AB44">IFERROR(INDEX(_xlfn._xlws.FILTER($H$4:$O$4,$H44:$O44&lt;&gt;0),AB$4),"N/A")</f>
        <v>N/A</v>
      </c>
      <c r="AC44"/>
      <c r="AD44"/>
      <c r="AE44"/>
    </row>
    <row r="45" spans="2:31" x14ac:dyDescent="0.25">
      <c r="B45" s="29" t="s">
        <v>53</v>
      </c>
      <c r="C45" s="24"/>
      <c r="D45" s="24"/>
      <c r="F45" s="63" t="s">
        <v>480</v>
      </c>
      <c r="G45"/>
      <c r="H45" s="4"/>
      <c r="I45" s="4">
        <v>0</v>
      </c>
      <c r="J45" s="4"/>
      <c r="K45" s="4">
        <v>0</v>
      </c>
      <c r="L45" s="4"/>
      <c r="M45" s="4">
        <v>5.2</v>
      </c>
      <c r="N45" s="4"/>
      <c r="O45" s="4">
        <v>0</v>
      </c>
      <c r="P45"/>
      <c r="Q45"/>
      <c r="R45" s="10" cm="1">
        <f t="array" ref="R45">IFERROR(INDEX(_xlfn._xlws.FILTER($H45:$O45,$H45:$O45&lt;&gt;0),R$4),"N/A")</f>
        <v>5.2</v>
      </c>
      <c r="S45" s="10" t="str" cm="1">
        <f t="array" ref="S45">IFERROR(INDEX(_xlfn._xlws.FILTER($H45:$O45,$H45:$O45&lt;&gt;0),S$4),"N/A")</f>
        <v>N/A</v>
      </c>
      <c r="T45" s="10" t="str" cm="1">
        <f t="array" ref="T45">IFERROR(INDEX(_xlfn._xlws.FILTER($H45:$O45,$H45:$O45&lt;&gt;0),T$4),"N/A")</f>
        <v>N/A</v>
      </c>
      <c r="U45" s="10" t="str" cm="1">
        <f t="array" ref="U45">IFERROR(INDEX(_xlfn._xlws.FILTER($H45:$O45,$H45:$O45&lt;&gt;0),U$4),"N/A")</f>
        <v>N/A</v>
      </c>
      <c r="V45" s="10" t="str" cm="1">
        <f t="array" ref="V45">IFERROR(INDEX(_xlfn._xlws.FILTER($H45:$O45,$H45:$O45&lt;&gt;0),V$4),"N/A")</f>
        <v>N/A</v>
      </c>
      <c r="W45"/>
      <c r="X45" s="13" t="str" cm="1">
        <f t="array" ref="X45">IFERROR(INDEX(_xlfn._xlws.FILTER($H$4:$O$4,$H45:$O45&lt;&gt;0),X$4),"N/A")</f>
        <v>Southwest</v>
      </c>
      <c r="Y45" s="13" t="str" cm="1">
        <f t="array" ref="Y45">IFERROR(INDEX(_xlfn._xlws.FILTER($H$4:$O$4,$H45:$O45&lt;&gt;0),Y$4),"N/A")</f>
        <v>N/A</v>
      </c>
      <c r="Z45" s="13" t="str" cm="1">
        <f t="array" ref="Z45">IFERROR(INDEX(_xlfn._xlws.FILTER($H$4:$O$4,$H45:$O45&lt;&gt;0),Z$4),"N/A")</f>
        <v>N/A</v>
      </c>
      <c r="AA45" s="13" t="str" cm="1">
        <f t="array" ref="AA45">IFERROR(INDEX(_xlfn._xlws.FILTER($H$4:$O$4,$H45:$O45&lt;&gt;0),AA$4),"N/A")</f>
        <v>N/A</v>
      </c>
      <c r="AB45" s="13" t="str" cm="1">
        <f t="array" ref="AB45">IFERROR(INDEX(_xlfn._xlws.FILTER($H$4:$O$4,$H45:$O45&lt;&gt;0),AB$4),"N/A")</f>
        <v>N/A</v>
      </c>
      <c r="AC45"/>
      <c r="AD45"/>
      <c r="AE45"/>
    </row>
    <row r="46" spans="2:31" x14ac:dyDescent="0.25">
      <c r="B46" s="29" t="s">
        <v>54</v>
      </c>
      <c r="C46" s="24"/>
      <c r="D46" s="24"/>
      <c r="F46" s="63" t="s">
        <v>481</v>
      </c>
      <c r="G46"/>
      <c r="H46" s="4"/>
      <c r="I46" s="4">
        <v>5.2</v>
      </c>
      <c r="J46" s="4"/>
      <c r="K46" s="4">
        <v>0</v>
      </c>
      <c r="L46" s="4"/>
      <c r="M46" s="4">
        <v>0</v>
      </c>
      <c r="N46" s="4"/>
      <c r="O46" s="4">
        <v>0</v>
      </c>
      <c r="P46"/>
      <c r="Q46"/>
      <c r="R46" s="10" cm="1">
        <f t="array" ref="R46">IFERROR(INDEX(_xlfn._xlws.FILTER($H46:$O46,$H46:$O46&lt;&gt;0),R$4),"N/A")</f>
        <v>5.2</v>
      </c>
      <c r="S46" s="10" t="str" cm="1">
        <f t="array" ref="S46">IFERROR(INDEX(_xlfn._xlws.FILTER($H46:$O46,$H46:$O46&lt;&gt;0),S$4),"N/A")</f>
        <v>N/A</v>
      </c>
      <c r="T46" s="10" t="str" cm="1">
        <f t="array" ref="T46">IFERROR(INDEX(_xlfn._xlws.FILTER($H46:$O46,$H46:$O46&lt;&gt;0),T$4),"N/A")</f>
        <v>N/A</v>
      </c>
      <c r="U46" s="10" t="str" cm="1">
        <f t="array" ref="U46">IFERROR(INDEX(_xlfn._xlws.FILTER($H46:$O46,$H46:$O46&lt;&gt;0),U$4),"N/A")</f>
        <v>N/A</v>
      </c>
      <c r="V46" s="10" t="str" cm="1">
        <f t="array" ref="V46">IFERROR(INDEX(_xlfn._xlws.FILTER($H46:$O46,$H46:$O46&lt;&gt;0),V$4),"N/A")</f>
        <v>N/A</v>
      </c>
      <c r="W46"/>
      <c r="X46" s="13" t="str" cm="1">
        <f t="array" ref="X46">IFERROR(INDEX(_xlfn._xlws.FILTER($H$4:$O$4,$H46:$O46&lt;&gt;0),X$4),"N/A")</f>
        <v>Northeast</v>
      </c>
      <c r="Y46" s="13" t="str" cm="1">
        <f t="array" ref="Y46">IFERROR(INDEX(_xlfn._xlws.FILTER($H$4:$O$4,$H46:$O46&lt;&gt;0),Y$4),"N/A")</f>
        <v>N/A</v>
      </c>
      <c r="Z46" s="13" t="str" cm="1">
        <f t="array" ref="Z46">IFERROR(INDEX(_xlfn._xlws.FILTER($H$4:$O$4,$H46:$O46&lt;&gt;0),Z$4),"N/A")</f>
        <v>N/A</v>
      </c>
      <c r="AA46" s="13" t="str" cm="1">
        <f t="array" ref="AA46">IFERROR(INDEX(_xlfn._xlws.FILTER($H$4:$O$4,$H46:$O46&lt;&gt;0),AA$4),"N/A")</f>
        <v>N/A</v>
      </c>
      <c r="AB46" s="13" t="str" cm="1">
        <f t="array" ref="AB46">IFERROR(INDEX(_xlfn._xlws.FILTER($H$4:$O$4,$H46:$O46&lt;&gt;0),AB$4),"N/A")</f>
        <v>N/A</v>
      </c>
      <c r="AC46"/>
      <c r="AD46"/>
      <c r="AE46"/>
    </row>
    <row r="47" spans="2:31" x14ac:dyDescent="0.25">
      <c r="B47" s="29" t="s">
        <v>55</v>
      </c>
      <c r="C47" s="24"/>
      <c r="D47" s="24"/>
      <c r="F47" s="63" t="s">
        <v>482</v>
      </c>
      <c r="G47"/>
      <c r="H47" s="4"/>
      <c r="I47" s="4">
        <v>0</v>
      </c>
      <c r="J47" s="4"/>
      <c r="K47" s="4">
        <v>0</v>
      </c>
      <c r="L47" s="4"/>
      <c r="M47" s="4">
        <v>2.6</v>
      </c>
      <c r="N47" s="4"/>
      <c r="O47" s="4">
        <v>0</v>
      </c>
      <c r="P47"/>
      <c r="Q47"/>
      <c r="R47" s="10" cm="1">
        <f t="array" ref="R47">IFERROR(INDEX(_xlfn._xlws.FILTER($H47:$O47,$H47:$O47&lt;&gt;0),R$4),"N/A")</f>
        <v>2.6</v>
      </c>
      <c r="S47" s="10" t="str" cm="1">
        <f t="array" ref="S47">IFERROR(INDEX(_xlfn._xlws.FILTER($H47:$O47,$H47:$O47&lt;&gt;0),S$4),"N/A")</f>
        <v>N/A</v>
      </c>
      <c r="T47" s="10" t="str" cm="1">
        <f t="array" ref="T47">IFERROR(INDEX(_xlfn._xlws.FILTER($H47:$O47,$H47:$O47&lt;&gt;0),T$4),"N/A")</f>
        <v>N/A</v>
      </c>
      <c r="U47" s="10" t="str" cm="1">
        <f t="array" ref="U47">IFERROR(INDEX(_xlfn._xlws.FILTER($H47:$O47,$H47:$O47&lt;&gt;0),U$4),"N/A")</f>
        <v>N/A</v>
      </c>
      <c r="V47" s="10" t="str" cm="1">
        <f t="array" ref="V47">IFERROR(INDEX(_xlfn._xlws.FILTER($H47:$O47,$H47:$O47&lt;&gt;0),V$4),"N/A")</f>
        <v>N/A</v>
      </c>
      <c r="W47"/>
      <c r="X47" s="13" t="str" cm="1">
        <f t="array" ref="X47">IFERROR(INDEX(_xlfn._xlws.FILTER($H$4:$O$4,$H47:$O47&lt;&gt;0),X$4),"N/A")</f>
        <v>Southwest</v>
      </c>
      <c r="Y47" s="13" t="str" cm="1">
        <f t="array" ref="Y47">IFERROR(INDEX(_xlfn._xlws.FILTER($H$4:$O$4,$H47:$O47&lt;&gt;0),Y$4),"N/A")</f>
        <v>N/A</v>
      </c>
      <c r="Z47" s="13" t="str" cm="1">
        <f t="array" ref="Z47">IFERROR(INDEX(_xlfn._xlws.FILTER($H$4:$O$4,$H47:$O47&lt;&gt;0),Z$4),"N/A")</f>
        <v>N/A</v>
      </c>
      <c r="AA47" s="13" t="str" cm="1">
        <f t="array" ref="AA47">IFERROR(INDEX(_xlfn._xlws.FILTER($H$4:$O$4,$H47:$O47&lt;&gt;0),AA$4),"N/A")</f>
        <v>N/A</v>
      </c>
      <c r="AB47" s="13" t="str" cm="1">
        <f t="array" ref="AB47">IFERROR(INDEX(_xlfn._xlws.FILTER($H$4:$O$4,$H47:$O47&lt;&gt;0),AB$4),"N/A")</f>
        <v>N/A</v>
      </c>
      <c r="AC47"/>
      <c r="AD47"/>
      <c r="AE47"/>
    </row>
    <row r="48" spans="2:31" x14ac:dyDescent="0.25">
      <c r="B48" s="29" t="s">
        <v>56</v>
      </c>
      <c r="C48" s="24"/>
      <c r="D48" s="24"/>
      <c r="F48" s="63" t="s">
        <v>483</v>
      </c>
      <c r="G48"/>
      <c r="H48" s="4"/>
      <c r="I48" s="4">
        <v>5.2</v>
      </c>
      <c r="J48" s="4"/>
      <c r="K48" s="4">
        <v>0</v>
      </c>
      <c r="L48" s="4"/>
      <c r="M48" s="4">
        <v>0</v>
      </c>
      <c r="N48" s="4"/>
      <c r="O48" s="4">
        <v>0</v>
      </c>
      <c r="P48"/>
      <c r="Q48"/>
      <c r="R48" s="10" cm="1">
        <f t="array" ref="R48">IFERROR(INDEX(_xlfn._xlws.FILTER($H48:$O48,$H48:$O48&lt;&gt;0),R$4),"N/A")</f>
        <v>5.2</v>
      </c>
      <c r="S48" s="10" t="str" cm="1">
        <f t="array" ref="S48">IFERROR(INDEX(_xlfn._xlws.FILTER($H48:$O48,$H48:$O48&lt;&gt;0),S$4),"N/A")</f>
        <v>N/A</v>
      </c>
      <c r="T48" s="10" t="str" cm="1">
        <f t="array" ref="T48">IFERROR(INDEX(_xlfn._xlws.FILTER($H48:$O48,$H48:$O48&lt;&gt;0),T$4),"N/A")</f>
        <v>N/A</v>
      </c>
      <c r="U48" s="10" t="str" cm="1">
        <f t="array" ref="U48">IFERROR(INDEX(_xlfn._xlws.FILTER($H48:$O48,$H48:$O48&lt;&gt;0),U$4),"N/A")</f>
        <v>N/A</v>
      </c>
      <c r="V48" s="10" t="str" cm="1">
        <f t="array" ref="V48">IFERROR(INDEX(_xlfn._xlws.FILTER($H48:$O48,$H48:$O48&lt;&gt;0),V$4),"N/A")</f>
        <v>N/A</v>
      </c>
      <c r="W48"/>
      <c r="X48" s="13" t="str" cm="1">
        <f t="array" ref="X48">IFERROR(INDEX(_xlfn._xlws.FILTER($H$4:$O$4,$H48:$O48&lt;&gt;0),X$4),"N/A")</f>
        <v>Northeast</v>
      </c>
      <c r="Y48" s="13" t="str" cm="1">
        <f t="array" ref="Y48">IFERROR(INDEX(_xlfn._xlws.FILTER($H$4:$O$4,$H48:$O48&lt;&gt;0),Y$4),"N/A")</f>
        <v>N/A</v>
      </c>
      <c r="Z48" s="13" t="str" cm="1">
        <f t="array" ref="Z48">IFERROR(INDEX(_xlfn._xlws.FILTER($H$4:$O$4,$H48:$O48&lt;&gt;0),Z$4),"N/A")</f>
        <v>N/A</v>
      </c>
      <c r="AA48" s="13" t="str" cm="1">
        <f t="array" ref="AA48">IFERROR(INDEX(_xlfn._xlws.FILTER($H$4:$O$4,$H48:$O48&lt;&gt;0),AA$4),"N/A")</f>
        <v>N/A</v>
      </c>
      <c r="AB48" s="13" t="str" cm="1">
        <f t="array" ref="AB48">IFERROR(INDEX(_xlfn._xlws.FILTER($H$4:$O$4,$H48:$O48&lt;&gt;0),AB$4),"N/A")</f>
        <v>N/A</v>
      </c>
      <c r="AC48"/>
      <c r="AD48"/>
      <c r="AE48"/>
    </row>
    <row r="49" spans="2:31" x14ac:dyDescent="0.25">
      <c r="B49" s="29" t="s">
        <v>57</v>
      </c>
      <c r="C49" s="24"/>
      <c r="D49" s="24"/>
      <c r="F49" s="63" t="s">
        <v>484</v>
      </c>
      <c r="G49"/>
      <c r="H49" s="4"/>
      <c r="I49" s="4">
        <v>2.6</v>
      </c>
      <c r="J49" s="4"/>
      <c r="K49" s="4">
        <v>5.2</v>
      </c>
      <c r="L49" s="4"/>
      <c r="M49" s="4">
        <v>0</v>
      </c>
      <c r="N49" s="4"/>
      <c r="O49" s="4">
        <v>0</v>
      </c>
      <c r="P49"/>
      <c r="Q49"/>
      <c r="R49" s="10" cm="1">
        <f t="array" ref="R49">IFERROR(INDEX(_xlfn._xlws.FILTER($H49:$O49,$H49:$O49&lt;&gt;0),R$4),"N/A")</f>
        <v>2.6</v>
      </c>
      <c r="S49" s="10" cm="1">
        <f t="array" ref="S49">IFERROR(INDEX(_xlfn._xlws.FILTER($H49:$O49,$H49:$O49&lt;&gt;0),S$4),"N/A")</f>
        <v>5.2</v>
      </c>
      <c r="T49" s="10" t="str" cm="1">
        <f t="array" ref="T49">IFERROR(INDEX(_xlfn._xlws.FILTER($H49:$O49,$H49:$O49&lt;&gt;0),T$4),"N/A")</f>
        <v>N/A</v>
      </c>
      <c r="U49" s="10" t="str" cm="1">
        <f t="array" ref="U49">IFERROR(INDEX(_xlfn._xlws.FILTER($H49:$O49,$H49:$O49&lt;&gt;0),U$4),"N/A")</f>
        <v>N/A</v>
      </c>
      <c r="V49" s="10" t="str" cm="1">
        <f t="array" ref="V49">IFERROR(INDEX(_xlfn._xlws.FILTER($H49:$O49,$H49:$O49&lt;&gt;0),V$4),"N/A")</f>
        <v>N/A</v>
      </c>
      <c r="W49"/>
      <c r="X49" s="13" t="str" cm="1">
        <f t="array" ref="X49">IFERROR(INDEX(_xlfn._xlws.FILTER($H$4:$O$4,$H49:$O49&lt;&gt;0),X$4),"N/A")</f>
        <v>Northeast</v>
      </c>
      <c r="Y49" s="13" t="str" cm="1">
        <f t="array" ref="Y49">IFERROR(INDEX(_xlfn._xlws.FILTER($H$4:$O$4,$H49:$O49&lt;&gt;0),Y$4),"N/A")</f>
        <v>Southeast</v>
      </c>
      <c r="Z49" s="13" t="str" cm="1">
        <f t="array" ref="Z49">IFERROR(INDEX(_xlfn._xlws.FILTER($H$4:$O$4,$H49:$O49&lt;&gt;0),Z$4),"N/A")</f>
        <v>N/A</v>
      </c>
      <c r="AA49" s="13" t="str" cm="1">
        <f t="array" ref="AA49">IFERROR(INDEX(_xlfn._xlws.FILTER($H$4:$O$4,$H49:$O49&lt;&gt;0),AA$4),"N/A")</f>
        <v>N/A</v>
      </c>
      <c r="AB49" s="13" t="str" cm="1">
        <f t="array" ref="AB49">IFERROR(INDEX(_xlfn._xlws.FILTER($H$4:$O$4,$H49:$O49&lt;&gt;0),AB$4),"N/A")</f>
        <v>N/A</v>
      </c>
      <c r="AC49"/>
      <c r="AD49"/>
      <c r="AE49"/>
    </row>
    <row r="50" spans="2:31" x14ac:dyDescent="0.25">
      <c r="B50" s="29" t="s">
        <v>58</v>
      </c>
      <c r="C50" s="24"/>
      <c r="D50" s="24"/>
      <c r="F50" s="63" t="s">
        <v>485</v>
      </c>
      <c r="G50"/>
      <c r="H50" s="4"/>
      <c r="I50" s="4">
        <v>0</v>
      </c>
      <c r="J50" s="4"/>
      <c r="K50" s="4">
        <v>5.2</v>
      </c>
      <c r="L50" s="4"/>
      <c r="M50" s="4">
        <v>0</v>
      </c>
      <c r="N50" s="4"/>
      <c r="O50" s="4">
        <v>0</v>
      </c>
      <c r="P50"/>
      <c r="Q50"/>
      <c r="R50" s="10" cm="1">
        <f t="array" ref="R50">IFERROR(INDEX(_xlfn._xlws.FILTER($H50:$O50,$H50:$O50&lt;&gt;0),R$4),"N/A")</f>
        <v>5.2</v>
      </c>
      <c r="S50" s="10" t="str" cm="1">
        <f t="array" ref="S50">IFERROR(INDEX(_xlfn._xlws.FILTER($H50:$O50,$H50:$O50&lt;&gt;0),S$4),"N/A")</f>
        <v>N/A</v>
      </c>
      <c r="T50" s="10" t="str" cm="1">
        <f t="array" ref="T50">IFERROR(INDEX(_xlfn._xlws.FILTER($H50:$O50,$H50:$O50&lt;&gt;0),T$4),"N/A")</f>
        <v>N/A</v>
      </c>
      <c r="U50" s="10" t="str" cm="1">
        <f t="array" ref="U50">IFERROR(INDEX(_xlfn._xlws.FILTER($H50:$O50,$H50:$O50&lt;&gt;0),U$4),"N/A")</f>
        <v>N/A</v>
      </c>
      <c r="V50" s="10" t="str" cm="1">
        <f t="array" ref="V50">IFERROR(INDEX(_xlfn._xlws.FILTER($H50:$O50,$H50:$O50&lt;&gt;0),V$4),"N/A")</f>
        <v>N/A</v>
      </c>
      <c r="W50"/>
      <c r="X50" s="13" t="str" cm="1">
        <f t="array" ref="X50">IFERROR(INDEX(_xlfn._xlws.FILTER($H$4:$O$4,$H50:$O50&lt;&gt;0),X$4),"N/A")</f>
        <v>Southeast</v>
      </c>
      <c r="Y50" s="13" t="str" cm="1">
        <f t="array" ref="Y50">IFERROR(INDEX(_xlfn._xlws.FILTER($H$4:$O$4,$H50:$O50&lt;&gt;0),Y$4),"N/A")</f>
        <v>N/A</v>
      </c>
      <c r="Z50" s="13" t="str" cm="1">
        <f t="array" ref="Z50">IFERROR(INDEX(_xlfn._xlws.FILTER($H$4:$O$4,$H50:$O50&lt;&gt;0),Z$4),"N/A")</f>
        <v>N/A</v>
      </c>
      <c r="AA50" s="13" t="str" cm="1">
        <f t="array" ref="AA50">IFERROR(INDEX(_xlfn._xlws.FILTER($H$4:$O$4,$H50:$O50&lt;&gt;0),AA$4),"N/A")</f>
        <v>N/A</v>
      </c>
      <c r="AB50" s="13" t="str" cm="1">
        <f t="array" ref="AB50">IFERROR(INDEX(_xlfn._xlws.FILTER($H$4:$O$4,$H50:$O50&lt;&gt;0),AB$4),"N/A")</f>
        <v>N/A</v>
      </c>
      <c r="AC50"/>
      <c r="AD50"/>
      <c r="AE50"/>
    </row>
    <row r="51" spans="2:31" x14ac:dyDescent="0.25">
      <c r="B51" s="34" t="s">
        <v>102</v>
      </c>
      <c r="C51" s="24"/>
      <c r="D51" s="24"/>
      <c r="F51" s="63" t="s">
        <v>486</v>
      </c>
      <c r="G51"/>
      <c r="H51" s="4"/>
      <c r="I51" s="4">
        <v>0</v>
      </c>
      <c r="J51" s="4"/>
      <c r="K51" s="4">
        <v>5.2</v>
      </c>
      <c r="L51" s="4"/>
      <c r="M51" s="4">
        <v>2.6</v>
      </c>
      <c r="N51" s="4"/>
      <c r="O51" s="4">
        <v>0</v>
      </c>
      <c r="P51"/>
      <c r="Q51"/>
      <c r="R51" s="10" cm="1">
        <f t="array" ref="R51">IFERROR(INDEX(_xlfn._xlws.FILTER($H51:$O51,$H51:$O51&lt;&gt;0),R$4),"N/A")</f>
        <v>5.2</v>
      </c>
      <c r="S51" s="10" cm="1">
        <f t="array" ref="S51">IFERROR(INDEX(_xlfn._xlws.FILTER($H51:$O51,$H51:$O51&lt;&gt;0),S$4),"N/A")</f>
        <v>2.6</v>
      </c>
      <c r="T51" s="10" t="str" cm="1">
        <f t="array" ref="T51">IFERROR(INDEX(_xlfn._xlws.FILTER($H51:$O51,$H51:$O51&lt;&gt;0),T$4),"N/A")</f>
        <v>N/A</v>
      </c>
      <c r="U51" s="10" t="str" cm="1">
        <f t="array" ref="U51">IFERROR(INDEX(_xlfn._xlws.FILTER($H51:$O51,$H51:$O51&lt;&gt;0),U$4),"N/A")</f>
        <v>N/A</v>
      </c>
      <c r="V51" s="10" t="str" cm="1">
        <f t="array" ref="V51">IFERROR(INDEX(_xlfn._xlws.FILTER($H51:$O51,$H51:$O51&lt;&gt;0),V$4),"N/A")</f>
        <v>N/A</v>
      </c>
      <c r="W51"/>
      <c r="X51" s="13" t="str" cm="1">
        <f t="array" ref="X51">IFERROR(INDEX(_xlfn._xlws.FILTER($H$4:$O$4,$H51:$O51&lt;&gt;0),X$4),"N/A")</f>
        <v>Southeast</v>
      </c>
      <c r="Y51" s="13" t="str" cm="1">
        <f t="array" ref="Y51">IFERROR(INDEX(_xlfn._xlws.FILTER($H$4:$O$4,$H51:$O51&lt;&gt;0),Y$4),"N/A")</f>
        <v>Southwest</v>
      </c>
      <c r="Z51" s="13" t="str" cm="1">
        <f t="array" ref="Z51">IFERROR(INDEX(_xlfn._xlws.FILTER($H$4:$O$4,$H51:$O51&lt;&gt;0),Z$4),"N/A")</f>
        <v>N/A</v>
      </c>
      <c r="AA51" s="13" t="str" cm="1">
        <f t="array" ref="AA51">IFERROR(INDEX(_xlfn._xlws.FILTER($H$4:$O$4,$H51:$O51&lt;&gt;0),AA$4),"N/A")</f>
        <v>N/A</v>
      </c>
      <c r="AB51" s="13" t="str" cm="1">
        <f t="array" ref="AB51">IFERROR(INDEX(_xlfn._xlws.FILTER($H$4:$O$4,$H51:$O51&lt;&gt;0),AB$4),"N/A")</f>
        <v>N/A</v>
      </c>
      <c r="AC51"/>
      <c r="AD51"/>
      <c r="AE51"/>
    </row>
    <row r="52" spans="2:31" x14ac:dyDescent="0.25">
      <c r="B52" s="34" t="s">
        <v>103</v>
      </c>
      <c r="C52" s="24"/>
      <c r="D52" s="24"/>
      <c r="F52" s="63" t="s">
        <v>487</v>
      </c>
      <c r="G52"/>
      <c r="H52" s="4"/>
      <c r="I52" s="4">
        <v>0</v>
      </c>
      <c r="J52" s="4"/>
      <c r="K52" s="4">
        <v>0</v>
      </c>
      <c r="L52" s="4"/>
      <c r="M52" s="4">
        <v>5.2</v>
      </c>
      <c r="N52" s="4"/>
      <c r="O52" s="4">
        <v>2.6</v>
      </c>
      <c r="P52"/>
      <c r="Q52"/>
      <c r="R52" s="10" cm="1">
        <f t="array" ref="R52">IFERROR(INDEX(_xlfn._xlws.FILTER($H52:$O52,$H52:$O52&lt;&gt;0),R$4),"N/A")</f>
        <v>5.2</v>
      </c>
      <c r="S52" s="10" cm="1">
        <f t="array" ref="S52">IFERROR(INDEX(_xlfn._xlws.FILTER($H52:$O52,$H52:$O52&lt;&gt;0),S$4),"N/A")</f>
        <v>2.6</v>
      </c>
      <c r="T52" s="10" t="str" cm="1">
        <f t="array" ref="T52">IFERROR(INDEX(_xlfn._xlws.FILTER($H52:$O52,$H52:$O52&lt;&gt;0),T$4),"N/A")</f>
        <v>N/A</v>
      </c>
      <c r="U52" s="10" t="str" cm="1">
        <f t="array" ref="U52">IFERROR(INDEX(_xlfn._xlws.FILTER($H52:$O52,$H52:$O52&lt;&gt;0),U$4),"N/A")</f>
        <v>N/A</v>
      </c>
      <c r="V52" s="10" t="str" cm="1">
        <f t="array" ref="V52">IFERROR(INDEX(_xlfn._xlws.FILTER($H52:$O52,$H52:$O52&lt;&gt;0),V$4),"N/A")</f>
        <v>N/A</v>
      </c>
      <c r="W52"/>
      <c r="X52" s="13" t="str" cm="1">
        <f t="array" ref="X52">IFERROR(INDEX(_xlfn._xlws.FILTER($H$4:$O$4,$H52:$O52&lt;&gt;0),X$4),"N/A")</f>
        <v>Southwest</v>
      </c>
      <c r="Y52" s="13" t="str" cm="1">
        <f t="array" ref="Y52">IFERROR(INDEX(_xlfn._xlws.FILTER($H$4:$O$4,$H52:$O52&lt;&gt;0),Y$4),"N/A")</f>
        <v>Northwest</v>
      </c>
      <c r="Z52" s="13" t="str" cm="1">
        <f t="array" ref="Z52">IFERROR(INDEX(_xlfn._xlws.FILTER($H$4:$O$4,$H52:$O52&lt;&gt;0),Z$4),"N/A")</f>
        <v>N/A</v>
      </c>
      <c r="AA52" s="13" t="str" cm="1">
        <f t="array" ref="AA52">IFERROR(INDEX(_xlfn._xlws.FILTER($H$4:$O$4,$H52:$O52&lt;&gt;0),AA$4),"N/A")</f>
        <v>N/A</v>
      </c>
      <c r="AB52" s="13" t="str" cm="1">
        <f t="array" ref="AB52">IFERROR(INDEX(_xlfn._xlws.FILTER($H$4:$O$4,$H52:$O52&lt;&gt;0),AB$4),"N/A")</f>
        <v>N/A</v>
      </c>
      <c r="AC52"/>
      <c r="AD52"/>
      <c r="AE52"/>
    </row>
    <row r="53" spans="2:31" x14ac:dyDescent="0.25">
      <c r="B53" s="34" t="s">
        <v>104</v>
      </c>
      <c r="C53" s="24"/>
      <c r="D53" s="24"/>
      <c r="F53" s="63" t="s">
        <v>488</v>
      </c>
      <c r="G53"/>
      <c r="H53" s="4"/>
      <c r="I53" s="4">
        <v>0</v>
      </c>
      <c r="J53" s="4"/>
      <c r="K53" s="4">
        <v>0</v>
      </c>
      <c r="L53" s="4"/>
      <c r="M53" s="4">
        <v>0</v>
      </c>
      <c r="N53" s="4"/>
      <c r="O53" s="4">
        <v>4.5299999999999994</v>
      </c>
      <c r="P53"/>
      <c r="Q53"/>
      <c r="R53" s="10" cm="1">
        <f t="array" ref="R53">IFERROR(INDEX(_xlfn._xlws.FILTER($H53:$O53,$H53:$O53&lt;&gt;0),R$4),"N/A")</f>
        <v>4.5299999999999994</v>
      </c>
      <c r="S53" s="10" t="str" cm="1">
        <f t="array" ref="S53">IFERROR(INDEX(_xlfn._xlws.FILTER($H53:$O53,$H53:$O53&lt;&gt;0),S$4),"N/A")</f>
        <v>N/A</v>
      </c>
      <c r="T53" s="10" t="str" cm="1">
        <f t="array" ref="T53">IFERROR(INDEX(_xlfn._xlws.FILTER($H53:$O53,$H53:$O53&lt;&gt;0),T$4),"N/A")</f>
        <v>N/A</v>
      </c>
      <c r="U53" s="10" t="str" cm="1">
        <f t="array" ref="U53">IFERROR(INDEX(_xlfn._xlws.FILTER($H53:$O53,$H53:$O53&lt;&gt;0),U$4),"N/A")</f>
        <v>N/A</v>
      </c>
      <c r="V53" s="10" t="str" cm="1">
        <f t="array" ref="V53">IFERROR(INDEX(_xlfn._xlws.FILTER($H53:$O53,$H53:$O53&lt;&gt;0),V$4),"N/A")</f>
        <v>N/A</v>
      </c>
      <c r="W53"/>
      <c r="X53" s="13" t="str" cm="1">
        <f t="array" ref="X53">IFERROR(INDEX(_xlfn._xlws.FILTER($H$4:$O$4,$H53:$O53&lt;&gt;0),X$4),"N/A")</f>
        <v>Northwest</v>
      </c>
      <c r="Y53" s="13" t="str" cm="1">
        <f t="array" ref="Y53">IFERROR(INDEX(_xlfn._xlws.FILTER($H$4:$O$4,$H53:$O53&lt;&gt;0),Y$4),"N/A")</f>
        <v>N/A</v>
      </c>
      <c r="Z53" s="13" t="str" cm="1">
        <f t="array" ref="Z53">IFERROR(INDEX(_xlfn._xlws.FILTER($H$4:$O$4,$H53:$O53&lt;&gt;0),Z$4),"N/A")</f>
        <v>N/A</v>
      </c>
      <c r="AA53" s="13" t="str" cm="1">
        <f t="array" ref="AA53">IFERROR(INDEX(_xlfn._xlws.FILTER($H$4:$O$4,$H53:$O53&lt;&gt;0),AA$4),"N/A")</f>
        <v>N/A</v>
      </c>
      <c r="AB53" s="13" t="str" cm="1">
        <f t="array" ref="AB53">IFERROR(INDEX(_xlfn._xlws.FILTER($H$4:$O$4,$H53:$O53&lt;&gt;0),AB$4),"N/A")</f>
        <v>N/A</v>
      </c>
      <c r="AC53"/>
      <c r="AD53"/>
      <c r="AE53"/>
    </row>
    <row r="54" spans="2:31" x14ac:dyDescent="0.25">
      <c r="B54" s="34" t="s">
        <v>105</v>
      </c>
      <c r="C54" s="24"/>
      <c r="D54" s="24"/>
      <c r="F54" s="63" t="s">
        <v>489</v>
      </c>
      <c r="G54"/>
      <c r="H54" s="4"/>
      <c r="I54" s="4">
        <v>0</v>
      </c>
      <c r="J54" s="4"/>
      <c r="K54" s="4">
        <v>0</v>
      </c>
      <c r="L54" s="4"/>
      <c r="M54" s="4">
        <v>2.6</v>
      </c>
      <c r="N54" s="4"/>
      <c r="O54" s="4">
        <v>4.5299999999999994</v>
      </c>
      <c r="P54"/>
      <c r="Q54"/>
      <c r="R54" s="10" cm="1">
        <f t="array" ref="R54">IFERROR(INDEX(_xlfn._xlws.FILTER($H54:$O54,$H54:$O54&lt;&gt;0),R$4),"N/A")</f>
        <v>2.6</v>
      </c>
      <c r="S54" s="10" cm="1">
        <f t="array" ref="S54">IFERROR(INDEX(_xlfn._xlws.FILTER($H54:$O54,$H54:$O54&lt;&gt;0),S$4),"N/A")</f>
        <v>4.5299999999999994</v>
      </c>
      <c r="T54" s="10" t="str" cm="1">
        <f t="array" ref="T54">IFERROR(INDEX(_xlfn._xlws.FILTER($H54:$O54,$H54:$O54&lt;&gt;0),T$4),"N/A")</f>
        <v>N/A</v>
      </c>
      <c r="U54" s="10" t="str" cm="1">
        <f t="array" ref="U54">IFERROR(INDEX(_xlfn._xlws.FILTER($H54:$O54,$H54:$O54&lt;&gt;0),U$4),"N/A")</f>
        <v>N/A</v>
      </c>
      <c r="V54" s="10" t="str" cm="1">
        <f t="array" ref="V54">IFERROR(INDEX(_xlfn._xlws.FILTER($H54:$O54,$H54:$O54&lt;&gt;0),V$4),"N/A")</f>
        <v>N/A</v>
      </c>
      <c r="W54"/>
      <c r="X54" s="13" t="str" cm="1">
        <f t="array" ref="X54">IFERROR(INDEX(_xlfn._xlws.FILTER($H$4:$O$4,$H54:$O54&lt;&gt;0),X$4),"N/A")</f>
        <v>Southwest</v>
      </c>
      <c r="Y54" s="13" t="str" cm="1">
        <f t="array" ref="Y54">IFERROR(INDEX(_xlfn._xlws.FILTER($H$4:$O$4,$H54:$O54&lt;&gt;0),Y$4),"N/A")</f>
        <v>Northwest</v>
      </c>
      <c r="Z54" s="13" t="str" cm="1">
        <f t="array" ref="Z54">IFERROR(INDEX(_xlfn._xlws.FILTER($H$4:$O$4,$H54:$O54&lt;&gt;0),Z$4),"N/A")</f>
        <v>N/A</v>
      </c>
      <c r="AA54" s="13" t="str" cm="1">
        <f t="array" ref="AA54">IFERROR(INDEX(_xlfn._xlws.FILTER($H$4:$O$4,$H54:$O54&lt;&gt;0),AA$4),"N/A")</f>
        <v>N/A</v>
      </c>
      <c r="AB54" s="13" t="str" cm="1">
        <f t="array" ref="AB54">IFERROR(INDEX(_xlfn._xlws.FILTER($H$4:$O$4,$H54:$O54&lt;&gt;0),AB$4),"N/A")</f>
        <v>N/A</v>
      </c>
      <c r="AC54"/>
      <c r="AD54"/>
      <c r="AE54"/>
    </row>
    <row r="55" spans="2:31" x14ac:dyDescent="0.25">
      <c r="B55" s="34" t="s">
        <v>106</v>
      </c>
      <c r="C55" s="24"/>
      <c r="D55" s="24"/>
      <c r="F55" s="63" t="s">
        <v>490</v>
      </c>
      <c r="G55"/>
      <c r="H55" s="4"/>
      <c r="I55" s="4">
        <v>0</v>
      </c>
      <c r="J55" s="4"/>
      <c r="K55" s="4">
        <v>0</v>
      </c>
      <c r="L55" s="4"/>
      <c r="M55" s="4">
        <v>5.2</v>
      </c>
      <c r="N55" s="4"/>
      <c r="O55" s="4">
        <v>0</v>
      </c>
      <c r="P55"/>
      <c r="Q55"/>
      <c r="R55" s="10" cm="1">
        <f t="array" ref="R55">IFERROR(INDEX(_xlfn._xlws.FILTER($H55:$O55,$H55:$O55&lt;&gt;0),R$4),"N/A")</f>
        <v>5.2</v>
      </c>
      <c r="S55" s="10" t="str" cm="1">
        <f t="array" ref="S55">IFERROR(INDEX(_xlfn._xlws.FILTER($H55:$O55,$H55:$O55&lt;&gt;0),S$4),"N/A")</f>
        <v>N/A</v>
      </c>
      <c r="T55" s="10" t="str" cm="1">
        <f t="array" ref="T55">IFERROR(INDEX(_xlfn._xlws.FILTER($H55:$O55,$H55:$O55&lt;&gt;0),T$4),"N/A")</f>
        <v>N/A</v>
      </c>
      <c r="U55" s="10" t="str" cm="1">
        <f t="array" ref="U55">IFERROR(INDEX(_xlfn._xlws.FILTER($H55:$O55,$H55:$O55&lt;&gt;0),U$4),"N/A")</f>
        <v>N/A</v>
      </c>
      <c r="V55" s="10" t="str" cm="1">
        <f t="array" ref="V55">IFERROR(INDEX(_xlfn._xlws.FILTER($H55:$O55,$H55:$O55&lt;&gt;0),V$4),"N/A")</f>
        <v>N/A</v>
      </c>
      <c r="W55"/>
      <c r="X55" s="13" t="str" cm="1">
        <f t="array" ref="X55">IFERROR(INDEX(_xlfn._xlws.FILTER($H$4:$O$4,$H55:$O55&lt;&gt;0),X$4),"N/A")</f>
        <v>Southwest</v>
      </c>
      <c r="Y55" s="13" t="str" cm="1">
        <f t="array" ref="Y55">IFERROR(INDEX(_xlfn._xlws.FILTER($H$4:$O$4,$H55:$O55&lt;&gt;0),Y$4),"N/A")</f>
        <v>N/A</v>
      </c>
      <c r="Z55" s="13" t="str" cm="1">
        <f t="array" ref="Z55">IFERROR(INDEX(_xlfn._xlws.FILTER($H$4:$O$4,$H55:$O55&lt;&gt;0),Z$4),"N/A")</f>
        <v>N/A</v>
      </c>
      <c r="AA55" s="13" t="str" cm="1">
        <f t="array" ref="AA55">IFERROR(INDEX(_xlfn._xlws.FILTER($H$4:$O$4,$H55:$O55&lt;&gt;0),AA$4),"N/A")</f>
        <v>N/A</v>
      </c>
      <c r="AB55" s="13" t="str" cm="1">
        <f t="array" ref="AB55">IFERROR(INDEX(_xlfn._xlws.FILTER($H$4:$O$4,$H55:$O55&lt;&gt;0),AB$4),"N/A")</f>
        <v>N/A</v>
      </c>
      <c r="AC55"/>
      <c r="AD55"/>
      <c r="AE55"/>
    </row>
    <row r="56" spans="2:31" x14ac:dyDescent="0.25">
      <c r="B56" s="34" t="s">
        <v>107</v>
      </c>
      <c r="C56" s="24"/>
      <c r="D56" s="24"/>
      <c r="F56" s="63" t="s">
        <v>491</v>
      </c>
      <c r="G56"/>
      <c r="H56" s="4"/>
      <c r="I56" s="4">
        <v>2.6</v>
      </c>
      <c r="J56" s="4"/>
      <c r="K56" s="4">
        <v>0</v>
      </c>
      <c r="L56" s="4"/>
      <c r="M56" s="4">
        <v>0</v>
      </c>
      <c r="N56" s="4"/>
      <c r="O56" s="4">
        <v>0</v>
      </c>
      <c r="P56"/>
      <c r="Q56"/>
      <c r="R56" s="10" cm="1">
        <f t="array" ref="R56">IFERROR(INDEX(_xlfn._xlws.FILTER($H56:$O56,$H56:$O56&lt;&gt;0),R$4),"N/A")</f>
        <v>2.6</v>
      </c>
      <c r="S56" s="10" t="str" cm="1">
        <f t="array" ref="S56">IFERROR(INDEX(_xlfn._xlws.FILTER($H56:$O56,$H56:$O56&lt;&gt;0),S$4),"N/A")</f>
        <v>N/A</v>
      </c>
      <c r="T56" s="10" t="str" cm="1">
        <f t="array" ref="T56">IFERROR(INDEX(_xlfn._xlws.FILTER($H56:$O56,$H56:$O56&lt;&gt;0),T$4),"N/A")</f>
        <v>N/A</v>
      </c>
      <c r="U56" s="10" t="str" cm="1">
        <f t="array" ref="U56">IFERROR(INDEX(_xlfn._xlws.FILTER($H56:$O56,$H56:$O56&lt;&gt;0),U$4),"N/A")</f>
        <v>N/A</v>
      </c>
      <c r="V56" s="10" t="str" cm="1">
        <f t="array" ref="V56">IFERROR(INDEX(_xlfn._xlws.FILTER($H56:$O56,$H56:$O56&lt;&gt;0),V$4),"N/A")</f>
        <v>N/A</v>
      </c>
      <c r="W56"/>
      <c r="X56" s="13" t="str" cm="1">
        <f t="array" ref="X56">IFERROR(INDEX(_xlfn._xlws.FILTER($H$4:$O$4,$H56:$O56&lt;&gt;0),X$4),"N/A")</f>
        <v>Northeast</v>
      </c>
      <c r="Y56" s="13" t="str" cm="1">
        <f t="array" ref="Y56">IFERROR(INDEX(_xlfn._xlws.FILTER($H$4:$O$4,$H56:$O56&lt;&gt;0),Y$4),"N/A")</f>
        <v>N/A</v>
      </c>
      <c r="Z56" s="13" t="str" cm="1">
        <f t="array" ref="Z56">IFERROR(INDEX(_xlfn._xlws.FILTER($H$4:$O$4,$H56:$O56&lt;&gt;0),Z$4),"N/A")</f>
        <v>N/A</v>
      </c>
      <c r="AA56" s="13" t="str" cm="1">
        <f t="array" ref="AA56">IFERROR(INDEX(_xlfn._xlws.FILTER($H$4:$O$4,$H56:$O56&lt;&gt;0),AA$4),"N/A")</f>
        <v>N/A</v>
      </c>
      <c r="AB56" s="13" t="str" cm="1">
        <f t="array" ref="AB56">IFERROR(INDEX(_xlfn._xlws.FILTER($H$4:$O$4,$H56:$O56&lt;&gt;0),AB$4),"N/A")</f>
        <v>N/A</v>
      </c>
      <c r="AC56"/>
      <c r="AD56"/>
      <c r="AE56"/>
    </row>
    <row r="57" spans="2:31" x14ac:dyDescent="0.25">
      <c r="B57" s="34" t="s">
        <v>108</v>
      </c>
      <c r="C57" s="24"/>
      <c r="D57" s="24"/>
      <c r="F57" s="63" t="s">
        <v>492</v>
      </c>
      <c r="G57"/>
      <c r="H57" s="4"/>
      <c r="I57" s="4">
        <v>0</v>
      </c>
      <c r="J57" s="4"/>
      <c r="K57" s="4">
        <v>0</v>
      </c>
      <c r="L57" s="4"/>
      <c r="M57" s="4">
        <v>5.2</v>
      </c>
      <c r="N57" s="4"/>
      <c r="O57" s="4">
        <v>0</v>
      </c>
      <c r="P57"/>
      <c r="Q57"/>
      <c r="R57" s="10" cm="1">
        <f t="array" ref="R57">IFERROR(INDEX(_xlfn._xlws.FILTER($H57:$O57,$H57:$O57&lt;&gt;0),R$4),"N/A")</f>
        <v>5.2</v>
      </c>
      <c r="S57" s="10" t="str" cm="1">
        <f t="array" ref="S57">IFERROR(INDEX(_xlfn._xlws.FILTER($H57:$O57,$H57:$O57&lt;&gt;0),S$4),"N/A")</f>
        <v>N/A</v>
      </c>
      <c r="T57" s="10" t="str" cm="1">
        <f t="array" ref="T57">IFERROR(INDEX(_xlfn._xlws.FILTER($H57:$O57,$H57:$O57&lt;&gt;0),T$4),"N/A")</f>
        <v>N/A</v>
      </c>
      <c r="U57" s="10" t="str" cm="1">
        <f t="array" ref="U57">IFERROR(INDEX(_xlfn._xlws.FILTER($H57:$O57,$H57:$O57&lt;&gt;0),U$4),"N/A")</f>
        <v>N/A</v>
      </c>
      <c r="V57" s="10" t="str" cm="1">
        <f t="array" ref="V57">IFERROR(INDEX(_xlfn._xlws.FILTER($H57:$O57,$H57:$O57&lt;&gt;0),V$4),"N/A")</f>
        <v>N/A</v>
      </c>
      <c r="W57"/>
      <c r="X57" s="13" t="str" cm="1">
        <f t="array" ref="X57">IFERROR(INDEX(_xlfn._xlws.FILTER($H$4:$O$4,$H57:$O57&lt;&gt;0),X$4),"N/A")</f>
        <v>Southwest</v>
      </c>
      <c r="Y57" s="13" t="str" cm="1">
        <f t="array" ref="Y57">IFERROR(INDEX(_xlfn._xlws.FILTER($H$4:$O$4,$H57:$O57&lt;&gt;0),Y$4),"N/A")</f>
        <v>N/A</v>
      </c>
      <c r="Z57" s="13" t="str" cm="1">
        <f t="array" ref="Z57">IFERROR(INDEX(_xlfn._xlws.FILTER($H$4:$O$4,$H57:$O57&lt;&gt;0),Z$4),"N/A")</f>
        <v>N/A</v>
      </c>
      <c r="AA57" s="13" t="str" cm="1">
        <f t="array" ref="AA57">IFERROR(INDEX(_xlfn._xlws.FILTER($H$4:$O$4,$H57:$O57&lt;&gt;0),AA$4),"N/A")</f>
        <v>N/A</v>
      </c>
      <c r="AB57" s="13" t="str" cm="1">
        <f t="array" ref="AB57">IFERROR(INDEX(_xlfn._xlws.FILTER($H$4:$O$4,$H57:$O57&lt;&gt;0),AB$4),"N/A")</f>
        <v>N/A</v>
      </c>
      <c r="AC57"/>
      <c r="AD57"/>
      <c r="AE57"/>
    </row>
    <row r="58" spans="2:31" x14ac:dyDescent="0.25">
      <c r="B58" s="34" t="s">
        <v>109</v>
      </c>
      <c r="C58" s="24"/>
      <c r="D58" s="24"/>
      <c r="F58" s="63" t="s">
        <v>493</v>
      </c>
      <c r="G58"/>
      <c r="H58" s="4"/>
      <c r="I58" s="4">
        <v>5.2</v>
      </c>
      <c r="J58" s="4"/>
      <c r="K58" s="4">
        <v>0</v>
      </c>
      <c r="L58" s="4"/>
      <c r="M58" s="4">
        <v>0</v>
      </c>
      <c r="N58" s="4"/>
      <c r="O58" s="4">
        <v>0</v>
      </c>
      <c r="P58"/>
      <c r="Q58"/>
      <c r="R58" s="10" cm="1">
        <f t="array" ref="R58">IFERROR(INDEX(_xlfn._xlws.FILTER($H58:$O58,$H58:$O58&lt;&gt;0),R$4),"N/A")</f>
        <v>5.2</v>
      </c>
      <c r="S58" s="10" t="str" cm="1">
        <f t="array" ref="S58">IFERROR(INDEX(_xlfn._xlws.FILTER($H58:$O58,$H58:$O58&lt;&gt;0),S$4),"N/A")</f>
        <v>N/A</v>
      </c>
      <c r="T58" s="10" t="str" cm="1">
        <f t="array" ref="T58">IFERROR(INDEX(_xlfn._xlws.FILTER($H58:$O58,$H58:$O58&lt;&gt;0),T$4),"N/A")</f>
        <v>N/A</v>
      </c>
      <c r="U58" s="10" t="str" cm="1">
        <f t="array" ref="U58">IFERROR(INDEX(_xlfn._xlws.FILTER($H58:$O58,$H58:$O58&lt;&gt;0),U$4),"N/A")</f>
        <v>N/A</v>
      </c>
      <c r="V58" s="10" t="str" cm="1">
        <f t="array" ref="V58">IFERROR(INDEX(_xlfn._xlws.FILTER($H58:$O58,$H58:$O58&lt;&gt;0),V$4),"N/A")</f>
        <v>N/A</v>
      </c>
      <c r="W58"/>
      <c r="X58" s="13" t="str" cm="1">
        <f t="array" ref="X58">IFERROR(INDEX(_xlfn._xlws.FILTER($H$4:$O$4,$H58:$O58&lt;&gt;0),X$4),"N/A")</f>
        <v>Northeast</v>
      </c>
      <c r="Y58" s="13" t="str" cm="1">
        <f t="array" ref="Y58">IFERROR(INDEX(_xlfn._xlws.FILTER($H$4:$O$4,$H58:$O58&lt;&gt;0),Y$4),"N/A")</f>
        <v>N/A</v>
      </c>
      <c r="Z58" s="13" t="str" cm="1">
        <f t="array" ref="Z58">IFERROR(INDEX(_xlfn._xlws.FILTER($H$4:$O$4,$H58:$O58&lt;&gt;0),Z$4),"N/A")</f>
        <v>N/A</v>
      </c>
      <c r="AA58" s="13" t="str" cm="1">
        <f t="array" ref="AA58">IFERROR(INDEX(_xlfn._xlws.FILTER($H$4:$O$4,$H58:$O58&lt;&gt;0),AA$4),"N/A")</f>
        <v>N/A</v>
      </c>
      <c r="AB58" s="13" t="str" cm="1">
        <f t="array" ref="AB58">IFERROR(INDEX(_xlfn._xlws.FILTER($H$4:$O$4,$H58:$O58&lt;&gt;0),AB$4),"N/A")</f>
        <v>N/A</v>
      </c>
      <c r="AC58"/>
      <c r="AD58"/>
      <c r="AE58"/>
    </row>
    <row r="59" spans="2:31" x14ac:dyDescent="0.25">
      <c r="B59" s="34" t="s">
        <v>110</v>
      </c>
      <c r="C59" s="24"/>
      <c r="D59" s="24"/>
      <c r="F59" s="63" t="s">
        <v>494</v>
      </c>
      <c r="G59"/>
      <c r="H59" s="4"/>
      <c r="I59" s="4">
        <v>0</v>
      </c>
      <c r="J59" s="4"/>
      <c r="K59" s="4">
        <v>0</v>
      </c>
      <c r="L59" s="4"/>
      <c r="M59" s="4">
        <v>2.6</v>
      </c>
      <c r="N59" s="4"/>
      <c r="O59" s="4">
        <v>0</v>
      </c>
      <c r="P59"/>
      <c r="Q59"/>
      <c r="R59" s="10" cm="1">
        <f t="array" ref="R59">IFERROR(INDEX(_xlfn._xlws.FILTER($H59:$O59,$H59:$O59&lt;&gt;0),R$4),"N/A")</f>
        <v>2.6</v>
      </c>
      <c r="S59" s="10" t="str" cm="1">
        <f t="array" ref="S59">IFERROR(INDEX(_xlfn._xlws.FILTER($H59:$O59,$H59:$O59&lt;&gt;0),S$4),"N/A")</f>
        <v>N/A</v>
      </c>
      <c r="T59" s="10" t="str" cm="1">
        <f t="array" ref="T59">IFERROR(INDEX(_xlfn._xlws.FILTER($H59:$O59,$H59:$O59&lt;&gt;0),T$4),"N/A")</f>
        <v>N/A</v>
      </c>
      <c r="U59" s="10" t="str" cm="1">
        <f t="array" ref="U59">IFERROR(INDEX(_xlfn._xlws.FILTER($H59:$O59,$H59:$O59&lt;&gt;0),U$4),"N/A")</f>
        <v>N/A</v>
      </c>
      <c r="V59" s="10" t="str" cm="1">
        <f t="array" ref="V59">IFERROR(INDEX(_xlfn._xlws.FILTER($H59:$O59,$H59:$O59&lt;&gt;0),V$4),"N/A")</f>
        <v>N/A</v>
      </c>
      <c r="W59"/>
      <c r="X59" s="13" t="str" cm="1">
        <f t="array" ref="X59">IFERROR(INDEX(_xlfn._xlws.FILTER($H$4:$O$4,$H59:$O59&lt;&gt;0),X$4),"N/A")</f>
        <v>Southwest</v>
      </c>
      <c r="Y59" s="13" t="str" cm="1">
        <f t="array" ref="Y59">IFERROR(INDEX(_xlfn._xlws.FILTER($H$4:$O$4,$H59:$O59&lt;&gt;0),Y$4),"N/A")</f>
        <v>N/A</v>
      </c>
      <c r="Z59" s="13" t="str" cm="1">
        <f t="array" ref="Z59">IFERROR(INDEX(_xlfn._xlws.FILTER($H$4:$O$4,$H59:$O59&lt;&gt;0),Z$4),"N/A")</f>
        <v>N/A</v>
      </c>
      <c r="AA59" s="13" t="str" cm="1">
        <f t="array" ref="AA59">IFERROR(INDEX(_xlfn._xlws.FILTER($H$4:$O$4,$H59:$O59&lt;&gt;0),AA$4),"N/A")</f>
        <v>N/A</v>
      </c>
      <c r="AB59" s="13" t="str" cm="1">
        <f t="array" ref="AB59">IFERROR(INDEX(_xlfn._xlws.FILTER($H$4:$O$4,$H59:$O59&lt;&gt;0),AB$4),"N/A")</f>
        <v>N/A</v>
      </c>
      <c r="AC59"/>
      <c r="AD59"/>
      <c r="AE59"/>
    </row>
    <row r="60" spans="2:31" x14ac:dyDescent="0.25">
      <c r="B60" s="29" t="s">
        <v>111</v>
      </c>
      <c r="C60" s="24"/>
      <c r="D60" s="24"/>
      <c r="F60" s="63" t="s">
        <v>495</v>
      </c>
      <c r="G60"/>
      <c r="H60" s="4"/>
      <c r="I60" s="4">
        <v>5.2</v>
      </c>
      <c r="J60" s="4"/>
      <c r="K60" s="4">
        <v>0</v>
      </c>
      <c r="L60" s="4"/>
      <c r="M60" s="4">
        <v>0</v>
      </c>
      <c r="N60" s="4"/>
      <c r="O60" s="4">
        <v>0</v>
      </c>
      <c r="P60"/>
      <c r="Q60"/>
      <c r="R60" s="10" cm="1">
        <f t="array" ref="R60">IFERROR(INDEX(_xlfn._xlws.FILTER($H60:$O60,$H60:$O60&lt;&gt;0),R$4),"N/A")</f>
        <v>5.2</v>
      </c>
      <c r="S60" s="10" t="str" cm="1">
        <f t="array" ref="S60">IFERROR(INDEX(_xlfn._xlws.FILTER($H60:$O60,$H60:$O60&lt;&gt;0),S$4),"N/A")</f>
        <v>N/A</v>
      </c>
      <c r="T60" s="10" t="str" cm="1">
        <f t="array" ref="T60">IFERROR(INDEX(_xlfn._xlws.FILTER($H60:$O60,$H60:$O60&lt;&gt;0),T$4),"N/A")</f>
        <v>N/A</v>
      </c>
      <c r="U60" s="10" t="str" cm="1">
        <f t="array" ref="U60">IFERROR(INDEX(_xlfn._xlws.FILTER($H60:$O60,$H60:$O60&lt;&gt;0),U$4),"N/A")</f>
        <v>N/A</v>
      </c>
      <c r="V60" s="10" t="str" cm="1">
        <f t="array" ref="V60">IFERROR(INDEX(_xlfn._xlws.FILTER($H60:$O60,$H60:$O60&lt;&gt;0),V$4),"N/A")</f>
        <v>N/A</v>
      </c>
      <c r="W60"/>
      <c r="X60" s="13" t="str" cm="1">
        <f t="array" ref="X60">IFERROR(INDEX(_xlfn._xlws.FILTER($H$4:$O$4,$H60:$O60&lt;&gt;0),X$4),"N/A")</f>
        <v>Northeast</v>
      </c>
      <c r="Y60" s="13" t="str" cm="1">
        <f t="array" ref="Y60">IFERROR(INDEX(_xlfn._xlws.FILTER($H$4:$O$4,$H60:$O60&lt;&gt;0),Y$4),"N/A")</f>
        <v>N/A</v>
      </c>
      <c r="Z60" s="13" t="str" cm="1">
        <f t="array" ref="Z60">IFERROR(INDEX(_xlfn._xlws.FILTER($H$4:$O$4,$H60:$O60&lt;&gt;0),Z$4),"N/A")</f>
        <v>N/A</v>
      </c>
      <c r="AA60" s="13" t="str" cm="1">
        <f t="array" ref="AA60">IFERROR(INDEX(_xlfn._xlws.FILTER($H$4:$O$4,$H60:$O60&lt;&gt;0),AA$4),"N/A")</f>
        <v>N/A</v>
      </c>
      <c r="AB60" s="13" t="str" cm="1">
        <f t="array" ref="AB60">IFERROR(INDEX(_xlfn._xlws.FILTER($H$4:$O$4,$H60:$O60&lt;&gt;0),AB$4),"N/A")</f>
        <v>N/A</v>
      </c>
      <c r="AC60"/>
      <c r="AD60"/>
      <c r="AE60"/>
    </row>
    <row r="61" spans="2:31" x14ac:dyDescent="0.25">
      <c r="B61" s="29" t="s">
        <v>112</v>
      </c>
      <c r="C61" s="24"/>
      <c r="D61" s="24"/>
      <c r="F61" s="63" t="s">
        <v>496</v>
      </c>
      <c r="G61"/>
      <c r="H61" s="4"/>
      <c r="I61" s="4">
        <v>2.6</v>
      </c>
      <c r="J61" s="4"/>
      <c r="K61" s="4">
        <v>5.2</v>
      </c>
      <c r="L61" s="4"/>
      <c r="M61" s="4">
        <v>0</v>
      </c>
      <c r="N61" s="4"/>
      <c r="O61" s="4">
        <v>0</v>
      </c>
      <c r="P61"/>
      <c r="Q61"/>
      <c r="R61" s="10" cm="1">
        <f t="array" ref="R61">IFERROR(INDEX(_xlfn._xlws.FILTER($H61:$O61,$H61:$O61&lt;&gt;0),R$4),"N/A")</f>
        <v>2.6</v>
      </c>
      <c r="S61" s="10" cm="1">
        <f t="array" ref="S61">IFERROR(INDEX(_xlfn._xlws.FILTER($H61:$O61,$H61:$O61&lt;&gt;0),S$4),"N/A")</f>
        <v>5.2</v>
      </c>
      <c r="T61" s="10" t="str" cm="1">
        <f t="array" ref="T61">IFERROR(INDEX(_xlfn._xlws.FILTER($H61:$O61,$H61:$O61&lt;&gt;0),T$4),"N/A")</f>
        <v>N/A</v>
      </c>
      <c r="U61" s="10" t="str" cm="1">
        <f t="array" ref="U61">IFERROR(INDEX(_xlfn._xlws.FILTER($H61:$O61,$H61:$O61&lt;&gt;0),U$4),"N/A")</f>
        <v>N/A</v>
      </c>
      <c r="V61" s="10" t="str" cm="1">
        <f t="array" ref="V61">IFERROR(INDEX(_xlfn._xlws.FILTER($H61:$O61,$H61:$O61&lt;&gt;0),V$4),"N/A")</f>
        <v>N/A</v>
      </c>
      <c r="W61"/>
      <c r="X61" s="13" t="str" cm="1">
        <f t="array" ref="X61">IFERROR(INDEX(_xlfn._xlws.FILTER($H$4:$O$4,$H61:$O61&lt;&gt;0),X$4),"N/A")</f>
        <v>Northeast</v>
      </c>
      <c r="Y61" s="13" t="str" cm="1">
        <f t="array" ref="Y61">IFERROR(INDEX(_xlfn._xlws.FILTER($H$4:$O$4,$H61:$O61&lt;&gt;0),Y$4),"N/A")</f>
        <v>Southeast</v>
      </c>
      <c r="Z61" s="13" t="str" cm="1">
        <f t="array" ref="Z61">IFERROR(INDEX(_xlfn._xlws.FILTER($H$4:$O$4,$H61:$O61&lt;&gt;0),Z$4),"N/A")</f>
        <v>N/A</v>
      </c>
      <c r="AA61" s="13" t="str" cm="1">
        <f t="array" ref="AA61">IFERROR(INDEX(_xlfn._xlws.FILTER($H$4:$O$4,$H61:$O61&lt;&gt;0),AA$4),"N/A")</f>
        <v>N/A</v>
      </c>
      <c r="AB61" s="13" t="str" cm="1">
        <f t="array" ref="AB61">IFERROR(INDEX(_xlfn._xlws.FILTER($H$4:$O$4,$H61:$O61&lt;&gt;0),AB$4),"N/A")</f>
        <v>N/A</v>
      </c>
      <c r="AC61"/>
      <c r="AD61"/>
      <c r="AE61"/>
    </row>
    <row r="62" spans="2:31" x14ac:dyDescent="0.25">
      <c r="B62" s="29" t="s">
        <v>113</v>
      </c>
      <c r="C62" s="24"/>
      <c r="D62" s="24"/>
      <c r="F62" s="63" t="s">
        <v>497</v>
      </c>
      <c r="G62"/>
      <c r="H62" s="4"/>
      <c r="I62" s="4">
        <v>0</v>
      </c>
      <c r="J62" s="4"/>
      <c r="K62" s="4">
        <v>5.2</v>
      </c>
      <c r="L62" s="4"/>
      <c r="M62" s="4">
        <v>0</v>
      </c>
      <c r="N62" s="4"/>
      <c r="O62" s="4">
        <v>0</v>
      </c>
      <c r="P62"/>
      <c r="Q62"/>
      <c r="R62" s="10" cm="1">
        <f t="array" ref="R62">IFERROR(INDEX(_xlfn._xlws.FILTER($H62:$O62,$H62:$O62&lt;&gt;0),R$4),"N/A")</f>
        <v>5.2</v>
      </c>
      <c r="S62" s="10" t="str" cm="1">
        <f t="array" ref="S62">IFERROR(INDEX(_xlfn._xlws.FILTER($H62:$O62,$H62:$O62&lt;&gt;0),S$4),"N/A")</f>
        <v>N/A</v>
      </c>
      <c r="T62" s="10" t="str" cm="1">
        <f t="array" ref="T62">IFERROR(INDEX(_xlfn._xlws.FILTER($H62:$O62,$H62:$O62&lt;&gt;0),T$4),"N/A")</f>
        <v>N/A</v>
      </c>
      <c r="U62" s="10" t="str" cm="1">
        <f t="array" ref="U62">IFERROR(INDEX(_xlfn._xlws.FILTER($H62:$O62,$H62:$O62&lt;&gt;0),U$4),"N/A")</f>
        <v>N/A</v>
      </c>
      <c r="V62" s="10" t="str" cm="1">
        <f t="array" ref="V62">IFERROR(INDEX(_xlfn._xlws.FILTER($H62:$O62,$H62:$O62&lt;&gt;0),V$4),"N/A")</f>
        <v>N/A</v>
      </c>
      <c r="W62"/>
      <c r="X62" s="13" t="str" cm="1">
        <f t="array" ref="X62">IFERROR(INDEX(_xlfn._xlws.FILTER($H$4:$O$4,$H62:$O62&lt;&gt;0),X$4),"N/A")</f>
        <v>Southeast</v>
      </c>
      <c r="Y62" s="13" t="str" cm="1">
        <f t="array" ref="Y62">IFERROR(INDEX(_xlfn._xlws.FILTER($H$4:$O$4,$H62:$O62&lt;&gt;0),Y$4),"N/A")</f>
        <v>N/A</v>
      </c>
      <c r="Z62" s="13" t="str" cm="1">
        <f t="array" ref="Z62">IFERROR(INDEX(_xlfn._xlws.FILTER($H$4:$O$4,$H62:$O62&lt;&gt;0),Z$4),"N/A")</f>
        <v>N/A</v>
      </c>
      <c r="AA62" s="13" t="str" cm="1">
        <f t="array" ref="AA62">IFERROR(INDEX(_xlfn._xlws.FILTER($H$4:$O$4,$H62:$O62&lt;&gt;0),AA$4),"N/A")</f>
        <v>N/A</v>
      </c>
      <c r="AB62" s="13" t="str" cm="1">
        <f t="array" ref="AB62">IFERROR(INDEX(_xlfn._xlws.FILTER($H$4:$O$4,$H62:$O62&lt;&gt;0),AB$4),"N/A")</f>
        <v>N/A</v>
      </c>
      <c r="AC62"/>
      <c r="AD62"/>
      <c r="AE62"/>
    </row>
    <row r="63" spans="2:31" x14ac:dyDescent="0.25">
      <c r="B63" s="29" t="s">
        <v>114</v>
      </c>
      <c r="C63" s="24"/>
      <c r="D63" s="24"/>
      <c r="F63" s="63" t="s">
        <v>498</v>
      </c>
      <c r="G63"/>
      <c r="H63" s="4"/>
      <c r="I63" s="4">
        <v>0</v>
      </c>
      <c r="J63" s="4"/>
      <c r="K63" s="4">
        <v>5.2</v>
      </c>
      <c r="L63" s="4"/>
      <c r="M63" s="4">
        <v>2.6</v>
      </c>
      <c r="N63" s="4"/>
      <c r="O63" s="4">
        <v>0</v>
      </c>
      <c r="P63"/>
      <c r="Q63"/>
      <c r="R63" s="10" cm="1">
        <f t="array" ref="R63">IFERROR(INDEX(_xlfn._xlws.FILTER($H63:$O63,$H63:$O63&lt;&gt;0),R$4),"N/A")</f>
        <v>5.2</v>
      </c>
      <c r="S63" s="10" cm="1">
        <f t="array" ref="S63">IFERROR(INDEX(_xlfn._xlws.FILTER($H63:$O63,$H63:$O63&lt;&gt;0),S$4),"N/A")</f>
        <v>2.6</v>
      </c>
      <c r="T63" s="10" t="str" cm="1">
        <f t="array" ref="T63">IFERROR(INDEX(_xlfn._xlws.FILTER($H63:$O63,$H63:$O63&lt;&gt;0),T$4),"N/A")</f>
        <v>N/A</v>
      </c>
      <c r="U63" s="10" t="str" cm="1">
        <f t="array" ref="U63">IFERROR(INDEX(_xlfn._xlws.FILTER($H63:$O63,$H63:$O63&lt;&gt;0),U$4),"N/A")</f>
        <v>N/A</v>
      </c>
      <c r="V63" s="10" t="str" cm="1">
        <f t="array" ref="V63">IFERROR(INDEX(_xlfn._xlws.FILTER($H63:$O63,$H63:$O63&lt;&gt;0),V$4),"N/A")</f>
        <v>N/A</v>
      </c>
      <c r="W63"/>
      <c r="X63" s="13" t="str" cm="1">
        <f t="array" ref="X63">IFERROR(INDEX(_xlfn._xlws.FILTER($H$4:$O$4,$H63:$O63&lt;&gt;0),X$4),"N/A")</f>
        <v>Southeast</v>
      </c>
      <c r="Y63" s="13" t="str" cm="1">
        <f t="array" ref="Y63">IFERROR(INDEX(_xlfn._xlws.FILTER($H$4:$O$4,$H63:$O63&lt;&gt;0),Y$4),"N/A")</f>
        <v>Southwest</v>
      </c>
      <c r="Z63" s="13" t="str" cm="1">
        <f t="array" ref="Z63">IFERROR(INDEX(_xlfn._xlws.FILTER($H$4:$O$4,$H63:$O63&lt;&gt;0),Z$4),"N/A")</f>
        <v>N/A</v>
      </c>
      <c r="AA63" s="13" t="str" cm="1">
        <f t="array" ref="AA63">IFERROR(INDEX(_xlfn._xlws.FILTER($H$4:$O$4,$H63:$O63&lt;&gt;0),AA$4),"N/A")</f>
        <v>N/A</v>
      </c>
      <c r="AB63" s="13" t="str" cm="1">
        <f t="array" ref="AB63">IFERROR(INDEX(_xlfn._xlws.FILTER($H$4:$O$4,$H63:$O63&lt;&gt;0),AB$4),"N/A")</f>
        <v>N/A</v>
      </c>
      <c r="AC63"/>
      <c r="AD63"/>
      <c r="AE63"/>
    </row>
    <row r="64" spans="2:31" x14ac:dyDescent="0.25">
      <c r="B64" s="29" t="s">
        <v>115</v>
      </c>
      <c r="C64" s="24"/>
      <c r="D64" s="24"/>
      <c r="F64" s="63" t="s">
        <v>499</v>
      </c>
      <c r="G64"/>
      <c r="H64" s="4"/>
      <c r="I64" s="4">
        <v>0</v>
      </c>
      <c r="J64" s="4"/>
      <c r="K64" s="4">
        <v>0</v>
      </c>
      <c r="L64" s="4"/>
      <c r="M64" s="4">
        <v>5.2</v>
      </c>
      <c r="N64" s="4"/>
      <c r="O64" s="4">
        <v>2.6</v>
      </c>
      <c r="P64"/>
      <c r="Q64"/>
      <c r="R64" s="10" cm="1">
        <f t="array" ref="R64">IFERROR(INDEX(_xlfn._xlws.FILTER($H64:$O64,$H64:$O64&lt;&gt;0),R$4),"N/A")</f>
        <v>5.2</v>
      </c>
      <c r="S64" s="10" cm="1">
        <f t="array" ref="S64">IFERROR(INDEX(_xlfn._xlws.FILTER($H64:$O64,$H64:$O64&lt;&gt;0),S$4),"N/A")</f>
        <v>2.6</v>
      </c>
      <c r="T64" s="10" t="str" cm="1">
        <f t="array" ref="T64">IFERROR(INDEX(_xlfn._xlws.FILTER($H64:$O64,$H64:$O64&lt;&gt;0),T$4),"N/A")</f>
        <v>N/A</v>
      </c>
      <c r="U64" s="10" t="str" cm="1">
        <f t="array" ref="U64">IFERROR(INDEX(_xlfn._xlws.FILTER($H64:$O64,$H64:$O64&lt;&gt;0),U$4),"N/A")</f>
        <v>N/A</v>
      </c>
      <c r="V64" s="10" t="str" cm="1">
        <f t="array" ref="V64">IFERROR(INDEX(_xlfn._xlws.FILTER($H64:$O64,$H64:$O64&lt;&gt;0),V$4),"N/A")</f>
        <v>N/A</v>
      </c>
      <c r="W64"/>
      <c r="X64" s="13" t="str" cm="1">
        <f t="array" ref="X64">IFERROR(INDEX(_xlfn._xlws.FILTER($H$4:$O$4,$H64:$O64&lt;&gt;0),X$4),"N/A")</f>
        <v>Southwest</v>
      </c>
      <c r="Y64" s="13" t="str" cm="1">
        <f t="array" ref="Y64">IFERROR(INDEX(_xlfn._xlws.FILTER($H$4:$O$4,$H64:$O64&lt;&gt;0),Y$4),"N/A")</f>
        <v>Northwest</v>
      </c>
      <c r="Z64" s="13" t="str" cm="1">
        <f t="array" ref="Z64">IFERROR(INDEX(_xlfn._xlws.FILTER($H$4:$O$4,$H64:$O64&lt;&gt;0),Z$4),"N/A")</f>
        <v>N/A</v>
      </c>
      <c r="AA64" s="13" t="str" cm="1">
        <f t="array" ref="AA64">IFERROR(INDEX(_xlfn._xlws.FILTER($H$4:$O$4,$H64:$O64&lt;&gt;0),AA$4),"N/A")</f>
        <v>N/A</v>
      </c>
      <c r="AB64" s="13" t="str" cm="1">
        <f t="array" ref="AB64">IFERROR(INDEX(_xlfn._xlws.FILTER($H$4:$O$4,$H64:$O64&lt;&gt;0),AB$4),"N/A")</f>
        <v>N/A</v>
      </c>
      <c r="AC64"/>
      <c r="AD64"/>
      <c r="AE64"/>
    </row>
    <row r="65" spans="2:31" x14ac:dyDescent="0.25">
      <c r="B65" s="29" t="s">
        <v>116</v>
      </c>
      <c r="C65" s="24"/>
      <c r="D65" s="24"/>
      <c r="F65" s="63" t="s">
        <v>500</v>
      </c>
      <c r="G65"/>
      <c r="H65" s="4"/>
      <c r="I65" s="4">
        <v>0</v>
      </c>
      <c r="J65" s="4"/>
      <c r="K65" s="4">
        <v>0</v>
      </c>
      <c r="L65" s="4"/>
      <c r="M65" s="4">
        <v>0</v>
      </c>
      <c r="N65" s="4"/>
      <c r="O65" s="4">
        <v>4.5299999999999994</v>
      </c>
      <c r="P65"/>
      <c r="Q65"/>
      <c r="R65" s="10" cm="1">
        <f t="array" ref="R65">IFERROR(INDEX(_xlfn._xlws.FILTER($H65:$O65,$H65:$O65&lt;&gt;0),R$4),"N/A")</f>
        <v>4.5299999999999994</v>
      </c>
      <c r="S65" s="10" t="str" cm="1">
        <f t="array" ref="S65">IFERROR(INDEX(_xlfn._xlws.FILTER($H65:$O65,$H65:$O65&lt;&gt;0),S$4),"N/A")</f>
        <v>N/A</v>
      </c>
      <c r="T65" s="10" t="str" cm="1">
        <f t="array" ref="T65">IFERROR(INDEX(_xlfn._xlws.FILTER($H65:$O65,$H65:$O65&lt;&gt;0),T$4),"N/A")</f>
        <v>N/A</v>
      </c>
      <c r="U65" s="10" t="str" cm="1">
        <f t="array" ref="U65">IFERROR(INDEX(_xlfn._xlws.FILTER($H65:$O65,$H65:$O65&lt;&gt;0),U$4),"N/A")</f>
        <v>N/A</v>
      </c>
      <c r="V65" s="10" t="str" cm="1">
        <f t="array" ref="V65">IFERROR(INDEX(_xlfn._xlws.FILTER($H65:$O65,$H65:$O65&lt;&gt;0),V$4),"N/A")</f>
        <v>N/A</v>
      </c>
      <c r="W65"/>
      <c r="X65" s="13" t="str" cm="1">
        <f t="array" ref="X65">IFERROR(INDEX(_xlfn._xlws.FILTER($H$4:$O$4,$H65:$O65&lt;&gt;0),X$4),"N/A")</f>
        <v>Northwest</v>
      </c>
      <c r="Y65" s="13" t="str" cm="1">
        <f t="array" ref="Y65">IFERROR(INDEX(_xlfn._xlws.FILTER($H$4:$O$4,$H65:$O65&lt;&gt;0),Y$4),"N/A")</f>
        <v>N/A</v>
      </c>
      <c r="Z65" s="13" t="str" cm="1">
        <f t="array" ref="Z65">IFERROR(INDEX(_xlfn._xlws.FILTER($H$4:$O$4,$H65:$O65&lt;&gt;0),Z$4),"N/A")</f>
        <v>N/A</v>
      </c>
      <c r="AA65" s="13" t="str" cm="1">
        <f t="array" ref="AA65">IFERROR(INDEX(_xlfn._xlws.FILTER($H$4:$O$4,$H65:$O65&lt;&gt;0),AA$4),"N/A")</f>
        <v>N/A</v>
      </c>
      <c r="AB65" s="13" t="str" cm="1">
        <f t="array" ref="AB65">IFERROR(INDEX(_xlfn._xlws.FILTER($H$4:$O$4,$H65:$O65&lt;&gt;0),AB$4),"N/A")</f>
        <v>N/A</v>
      </c>
      <c r="AC65"/>
      <c r="AD65"/>
      <c r="AE65"/>
    </row>
    <row r="66" spans="2:31" x14ac:dyDescent="0.25">
      <c r="B66" s="29" t="s">
        <v>117</v>
      </c>
      <c r="C66" s="24"/>
      <c r="D66" s="24"/>
      <c r="F66" s="63" t="s">
        <v>501</v>
      </c>
      <c r="G66"/>
      <c r="H66" s="4"/>
      <c r="I66" s="4">
        <v>0</v>
      </c>
      <c r="J66" s="4"/>
      <c r="K66" s="4">
        <v>0</v>
      </c>
      <c r="L66" s="4"/>
      <c r="M66" s="4">
        <v>2.6</v>
      </c>
      <c r="N66" s="4"/>
      <c r="O66" s="4">
        <v>4.5299999999999994</v>
      </c>
      <c r="P66"/>
      <c r="Q66"/>
      <c r="R66" s="10" cm="1">
        <f t="array" ref="R66">IFERROR(INDEX(_xlfn._xlws.FILTER($H66:$O66,$H66:$O66&lt;&gt;0),R$4),"N/A")</f>
        <v>2.6</v>
      </c>
      <c r="S66" s="10" cm="1">
        <f t="array" ref="S66">IFERROR(INDEX(_xlfn._xlws.FILTER($H66:$O66,$H66:$O66&lt;&gt;0),S$4),"N/A")</f>
        <v>4.5299999999999994</v>
      </c>
      <c r="T66" s="10" t="str" cm="1">
        <f t="array" ref="T66">IFERROR(INDEX(_xlfn._xlws.FILTER($H66:$O66,$H66:$O66&lt;&gt;0),T$4),"N/A")</f>
        <v>N/A</v>
      </c>
      <c r="U66" s="10" t="str" cm="1">
        <f t="array" ref="U66">IFERROR(INDEX(_xlfn._xlws.FILTER($H66:$O66,$H66:$O66&lt;&gt;0),U$4),"N/A")</f>
        <v>N/A</v>
      </c>
      <c r="V66" s="10" t="str" cm="1">
        <f t="array" ref="V66">IFERROR(INDEX(_xlfn._xlws.FILTER($H66:$O66,$H66:$O66&lt;&gt;0),V$4),"N/A")</f>
        <v>N/A</v>
      </c>
      <c r="W66"/>
      <c r="X66" s="13" t="str" cm="1">
        <f t="array" ref="X66">IFERROR(INDEX(_xlfn._xlws.FILTER($H$4:$O$4,$H66:$O66&lt;&gt;0),X$4),"N/A")</f>
        <v>Southwest</v>
      </c>
      <c r="Y66" s="13" t="str" cm="1">
        <f t="array" ref="Y66">IFERROR(INDEX(_xlfn._xlws.FILTER($H$4:$O$4,$H66:$O66&lt;&gt;0),Y$4),"N/A")</f>
        <v>Northwest</v>
      </c>
      <c r="Z66" s="13" t="str" cm="1">
        <f t="array" ref="Z66">IFERROR(INDEX(_xlfn._xlws.FILTER($H$4:$O$4,$H66:$O66&lt;&gt;0),Z$4),"N/A")</f>
        <v>N/A</v>
      </c>
      <c r="AA66" s="13" t="str" cm="1">
        <f t="array" ref="AA66">IFERROR(INDEX(_xlfn._xlws.FILTER($H$4:$O$4,$H66:$O66&lt;&gt;0),AA$4),"N/A")</f>
        <v>N/A</v>
      </c>
      <c r="AB66" s="13" t="str" cm="1">
        <f t="array" ref="AB66">IFERROR(INDEX(_xlfn._xlws.FILTER($H$4:$O$4,$H66:$O66&lt;&gt;0),AB$4),"N/A")</f>
        <v>N/A</v>
      </c>
      <c r="AC66"/>
      <c r="AD66"/>
      <c r="AE66"/>
    </row>
    <row r="67" spans="2:31" x14ac:dyDescent="0.25">
      <c r="B67" s="29" t="s">
        <v>118</v>
      </c>
      <c r="C67" s="24"/>
      <c r="D67" s="24"/>
      <c r="F67" s="63" t="s">
        <v>502</v>
      </c>
      <c r="G67"/>
      <c r="H67" s="4"/>
      <c r="I67" s="4">
        <v>0</v>
      </c>
      <c r="J67" s="4"/>
      <c r="K67" s="4">
        <v>0</v>
      </c>
      <c r="L67" s="4"/>
      <c r="M67" s="4">
        <v>5.2</v>
      </c>
      <c r="N67" s="4"/>
      <c r="O67" s="4">
        <v>0</v>
      </c>
      <c r="P67"/>
      <c r="Q67"/>
      <c r="R67" s="10" cm="1">
        <f t="array" ref="R67">IFERROR(INDEX(_xlfn._xlws.FILTER($H67:$O67,$H67:$O67&lt;&gt;0),R$4),"N/A")</f>
        <v>5.2</v>
      </c>
      <c r="S67" s="10" t="str" cm="1">
        <f t="array" ref="S67">IFERROR(INDEX(_xlfn._xlws.FILTER($H67:$O67,$H67:$O67&lt;&gt;0),S$4),"N/A")</f>
        <v>N/A</v>
      </c>
      <c r="T67" s="10" t="str" cm="1">
        <f t="array" ref="T67">IFERROR(INDEX(_xlfn._xlws.FILTER($H67:$O67,$H67:$O67&lt;&gt;0),T$4),"N/A")</f>
        <v>N/A</v>
      </c>
      <c r="U67" s="10" t="str" cm="1">
        <f t="array" ref="U67">IFERROR(INDEX(_xlfn._xlws.FILTER($H67:$O67,$H67:$O67&lt;&gt;0),U$4),"N/A")</f>
        <v>N/A</v>
      </c>
      <c r="V67" s="10" t="str" cm="1">
        <f t="array" ref="V67">IFERROR(INDEX(_xlfn._xlws.FILTER($H67:$O67,$H67:$O67&lt;&gt;0),V$4),"N/A")</f>
        <v>N/A</v>
      </c>
      <c r="W67"/>
      <c r="X67" s="13" t="str" cm="1">
        <f t="array" ref="X67">IFERROR(INDEX(_xlfn._xlws.FILTER($H$4:$O$4,$H67:$O67&lt;&gt;0),X$4),"N/A")</f>
        <v>Southwest</v>
      </c>
      <c r="Y67" s="13" t="str" cm="1">
        <f t="array" ref="Y67">IFERROR(INDEX(_xlfn._xlws.FILTER($H$4:$O$4,$H67:$O67&lt;&gt;0),Y$4),"N/A")</f>
        <v>N/A</v>
      </c>
      <c r="Z67" s="13" t="str" cm="1">
        <f t="array" ref="Z67">IFERROR(INDEX(_xlfn._xlws.FILTER($H$4:$O$4,$H67:$O67&lt;&gt;0),Z$4),"N/A")</f>
        <v>N/A</v>
      </c>
      <c r="AA67" s="13" t="str" cm="1">
        <f t="array" ref="AA67">IFERROR(INDEX(_xlfn._xlws.FILTER($H$4:$O$4,$H67:$O67&lt;&gt;0),AA$4),"N/A")</f>
        <v>N/A</v>
      </c>
      <c r="AB67" s="13" t="str" cm="1">
        <f t="array" ref="AB67">IFERROR(INDEX(_xlfn._xlws.FILTER($H$4:$O$4,$H67:$O67&lt;&gt;0),AB$4),"N/A")</f>
        <v>N/A</v>
      </c>
      <c r="AC67"/>
      <c r="AD67"/>
      <c r="AE67"/>
    </row>
    <row r="68" spans="2:31" x14ac:dyDescent="0.25">
      <c r="B68" s="29" t="s">
        <v>119</v>
      </c>
      <c r="C68" s="24"/>
      <c r="D68" s="24"/>
      <c r="F68" s="63" t="s">
        <v>503</v>
      </c>
      <c r="G68"/>
      <c r="H68" s="4"/>
      <c r="I68" s="4">
        <v>2.6</v>
      </c>
      <c r="J68" s="4"/>
      <c r="K68" s="4">
        <v>0</v>
      </c>
      <c r="L68" s="4"/>
      <c r="M68" s="4">
        <v>0</v>
      </c>
      <c r="N68" s="4"/>
      <c r="O68" s="4">
        <v>0</v>
      </c>
      <c r="P68"/>
      <c r="Q68"/>
      <c r="R68" s="10" cm="1">
        <f t="array" ref="R68">IFERROR(INDEX(_xlfn._xlws.FILTER($H68:$O68,$H68:$O68&lt;&gt;0),R$4),"N/A")</f>
        <v>2.6</v>
      </c>
      <c r="S68" s="10" t="str" cm="1">
        <f t="array" ref="S68">IFERROR(INDEX(_xlfn._xlws.FILTER($H68:$O68,$H68:$O68&lt;&gt;0),S$4),"N/A")</f>
        <v>N/A</v>
      </c>
      <c r="T68" s="10" t="str" cm="1">
        <f t="array" ref="T68">IFERROR(INDEX(_xlfn._xlws.FILTER($H68:$O68,$H68:$O68&lt;&gt;0),T$4),"N/A")</f>
        <v>N/A</v>
      </c>
      <c r="U68" s="10" t="str" cm="1">
        <f t="array" ref="U68">IFERROR(INDEX(_xlfn._xlws.FILTER($H68:$O68,$H68:$O68&lt;&gt;0),U$4),"N/A")</f>
        <v>N/A</v>
      </c>
      <c r="V68" s="10" t="str" cm="1">
        <f t="array" ref="V68">IFERROR(INDEX(_xlfn._xlws.FILTER($H68:$O68,$H68:$O68&lt;&gt;0),V$4),"N/A")</f>
        <v>N/A</v>
      </c>
      <c r="W68"/>
      <c r="X68" s="13" t="str" cm="1">
        <f t="array" ref="X68">IFERROR(INDEX(_xlfn._xlws.FILTER($H$4:$O$4,$H68:$O68&lt;&gt;0),X$4),"N/A")</f>
        <v>Northeast</v>
      </c>
      <c r="Y68" s="13" t="str" cm="1">
        <f t="array" ref="Y68">IFERROR(INDEX(_xlfn._xlws.FILTER($H$4:$O$4,$H68:$O68&lt;&gt;0),Y$4),"N/A")</f>
        <v>N/A</v>
      </c>
      <c r="Z68" s="13" t="str" cm="1">
        <f t="array" ref="Z68">IFERROR(INDEX(_xlfn._xlws.FILTER($H$4:$O$4,$H68:$O68&lt;&gt;0),Z$4),"N/A")</f>
        <v>N/A</v>
      </c>
      <c r="AA68" s="13" t="str" cm="1">
        <f t="array" ref="AA68">IFERROR(INDEX(_xlfn._xlws.FILTER($H$4:$O$4,$H68:$O68&lt;&gt;0),AA$4),"N/A")</f>
        <v>N/A</v>
      </c>
      <c r="AB68" s="13" t="str" cm="1">
        <f t="array" ref="AB68">IFERROR(INDEX(_xlfn._xlws.FILTER($H$4:$O$4,$H68:$O68&lt;&gt;0),AB$4),"N/A")</f>
        <v>N/A</v>
      </c>
      <c r="AC68"/>
      <c r="AD68"/>
      <c r="AE68"/>
    </row>
    <row r="69" spans="2:31" x14ac:dyDescent="0.25">
      <c r="B69" s="34" t="s">
        <v>120</v>
      </c>
      <c r="C69" s="24"/>
      <c r="D69" s="24"/>
      <c r="F69" s="63" t="s">
        <v>504</v>
      </c>
      <c r="G69"/>
      <c r="H69" s="4"/>
      <c r="I69" s="4">
        <v>0</v>
      </c>
      <c r="J69" s="4"/>
      <c r="K69" s="4">
        <v>0</v>
      </c>
      <c r="L69" s="4"/>
      <c r="M69" s="4">
        <v>5.2</v>
      </c>
      <c r="N69" s="4"/>
      <c r="O69" s="4">
        <v>0</v>
      </c>
      <c r="P69"/>
      <c r="Q69"/>
      <c r="R69" s="10" cm="1">
        <f t="array" ref="R69">IFERROR(INDEX(_xlfn._xlws.FILTER($H69:$O69,$H69:$O69&lt;&gt;0),R$4),"N/A")</f>
        <v>5.2</v>
      </c>
      <c r="S69" s="10" t="str" cm="1">
        <f t="array" ref="S69">IFERROR(INDEX(_xlfn._xlws.FILTER($H69:$O69,$H69:$O69&lt;&gt;0),S$4),"N/A")</f>
        <v>N/A</v>
      </c>
      <c r="T69" s="10" t="str" cm="1">
        <f t="array" ref="T69">IFERROR(INDEX(_xlfn._xlws.FILTER($H69:$O69,$H69:$O69&lt;&gt;0),T$4),"N/A")</f>
        <v>N/A</v>
      </c>
      <c r="U69" s="10" t="str" cm="1">
        <f t="array" ref="U69">IFERROR(INDEX(_xlfn._xlws.FILTER($H69:$O69,$H69:$O69&lt;&gt;0),U$4),"N/A")</f>
        <v>N/A</v>
      </c>
      <c r="V69" s="10" t="str" cm="1">
        <f t="array" ref="V69">IFERROR(INDEX(_xlfn._xlws.FILTER($H69:$O69,$H69:$O69&lt;&gt;0),V$4),"N/A")</f>
        <v>N/A</v>
      </c>
      <c r="W69"/>
      <c r="X69" s="13" t="str" cm="1">
        <f t="array" ref="X69">IFERROR(INDEX(_xlfn._xlws.FILTER($H$4:$O$4,$H69:$O69&lt;&gt;0),X$4),"N/A")</f>
        <v>Southwest</v>
      </c>
      <c r="Y69" s="13" t="str" cm="1">
        <f t="array" ref="Y69">IFERROR(INDEX(_xlfn._xlws.FILTER($H$4:$O$4,$H69:$O69&lt;&gt;0),Y$4),"N/A")</f>
        <v>N/A</v>
      </c>
      <c r="Z69" s="13" t="str" cm="1">
        <f t="array" ref="Z69">IFERROR(INDEX(_xlfn._xlws.FILTER($H$4:$O$4,$H69:$O69&lt;&gt;0),Z$4),"N/A")</f>
        <v>N/A</v>
      </c>
      <c r="AA69" s="13" t="str" cm="1">
        <f t="array" ref="AA69">IFERROR(INDEX(_xlfn._xlws.FILTER($H$4:$O$4,$H69:$O69&lt;&gt;0),AA$4),"N/A")</f>
        <v>N/A</v>
      </c>
      <c r="AB69" s="13" t="str" cm="1">
        <f t="array" ref="AB69">IFERROR(INDEX(_xlfn._xlws.FILTER($H$4:$O$4,$H69:$O69&lt;&gt;0),AB$4),"N/A")</f>
        <v>N/A</v>
      </c>
      <c r="AC69"/>
      <c r="AD69"/>
      <c r="AE69"/>
    </row>
    <row r="70" spans="2:31" x14ac:dyDescent="0.25">
      <c r="B70" s="34" t="s">
        <v>121</v>
      </c>
      <c r="C70" s="24"/>
      <c r="D70" s="24"/>
      <c r="F70" s="63" t="s">
        <v>505</v>
      </c>
      <c r="G70"/>
      <c r="H70" s="4"/>
      <c r="I70" s="4">
        <v>5.2</v>
      </c>
      <c r="J70" s="4"/>
      <c r="K70" s="4">
        <v>0</v>
      </c>
      <c r="L70" s="4"/>
      <c r="M70" s="4">
        <v>0</v>
      </c>
      <c r="N70" s="4"/>
      <c r="O70" s="4">
        <v>0</v>
      </c>
      <c r="P70"/>
      <c r="Q70"/>
      <c r="R70" s="10" cm="1">
        <f t="array" ref="R70">IFERROR(INDEX(_xlfn._xlws.FILTER($H70:$O70,$H70:$O70&lt;&gt;0),R$4),"N/A")</f>
        <v>5.2</v>
      </c>
      <c r="S70" s="10" t="str" cm="1">
        <f t="array" ref="S70">IFERROR(INDEX(_xlfn._xlws.FILTER($H70:$O70,$H70:$O70&lt;&gt;0),S$4),"N/A")</f>
        <v>N/A</v>
      </c>
      <c r="T70" s="10" t="str" cm="1">
        <f t="array" ref="T70">IFERROR(INDEX(_xlfn._xlws.FILTER($H70:$O70,$H70:$O70&lt;&gt;0),T$4),"N/A")</f>
        <v>N/A</v>
      </c>
      <c r="U70" s="10" t="str" cm="1">
        <f t="array" ref="U70">IFERROR(INDEX(_xlfn._xlws.FILTER($H70:$O70,$H70:$O70&lt;&gt;0),U$4),"N/A")</f>
        <v>N/A</v>
      </c>
      <c r="V70" s="10" t="str" cm="1">
        <f t="array" ref="V70">IFERROR(INDEX(_xlfn._xlws.FILTER($H70:$O70,$H70:$O70&lt;&gt;0),V$4),"N/A")</f>
        <v>N/A</v>
      </c>
      <c r="W70"/>
      <c r="X70" s="13" t="str" cm="1">
        <f t="array" ref="X70">IFERROR(INDEX(_xlfn._xlws.FILTER($H$4:$O$4,$H70:$O70&lt;&gt;0),X$4),"N/A")</f>
        <v>Northeast</v>
      </c>
      <c r="Y70" s="13" t="str" cm="1">
        <f t="array" ref="Y70">IFERROR(INDEX(_xlfn._xlws.FILTER($H$4:$O$4,$H70:$O70&lt;&gt;0),Y$4),"N/A")</f>
        <v>N/A</v>
      </c>
      <c r="Z70" s="13" t="str" cm="1">
        <f t="array" ref="Z70">IFERROR(INDEX(_xlfn._xlws.FILTER($H$4:$O$4,$H70:$O70&lt;&gt;0),Z$4),"N/A")</f>
        <v>N/A</v>
      </c>
      <c r="AA70" s="13" t="str" cm="1">
        <f t="array" ref="AA70">IFERROR(INDEX(_xlfn._xlws.FILTER($H$4:$O$4,$H70:$O70&lt;&gt;0),AA$4),"N/A")</f>
        <v>N/A</v>
      </c>
      <c r="AB70" s="13" t="str" cm="1">
        <f t="array" ref="AB70">IFERROR(INDEX(_xlfn._xlws.FILTER($H$4:$O$4,$H70:$O70&lt;&gt;0),AB$4),"N/A")</f>
        <v>N/A</v>
      </c>
      <c r="AC70"/>
      <c r="AD70"/>
      <c r="AE70"/>
    </row>
    <row r="71" spans="2:31" x14ac:dyDescent="0.25">
      <c r="B71" s="34" t="s">
        <v>122</v>
      </c>
      <c r="C71" s="24"/>
      <c r="D71" s="24"/>
      <c r="F71" s="63" t="s">
        <v>506</v>
      </c>
      <c r="G71"/>
      <c r="H71" s="4"/>
      <c r="I71" s="4">
        <v>0</v>
      </c>
      <c r="J71" s="4"/>
      <c r="K71" s="4">
        <v>0</v>
      </c>
      <c r="L71" s="4"/>
      <c r="M71" s="4">
        <v>2.6</v>
      </c>
      <c r="N71" s="4"/>
      <c r="O71" s="4">
        <v>0</v>
      </c>
      <c r="P71"/>
      <c r="Q71"/>
      <c r="R71" s="10" cm="1">
        <f t="array" ref="R71">IFERROR(INDEX(_xlfn._xlws.FILTER($H71:$O71,$H71:$O71&lt;&gt;0),R$4),"N/A")</f>
        <v>2.6</v>
      </c>
      <c r="S71" s="10" t="str" cm="1">
        <f t="array" ref="S71">IFERROR(INDEX(_xlfn._xlws.FILTER($H71:$O71,$H71:$O71&lt;&gt;0),S$4),"N/A")</f>
        <v>N/A</v>
      </c>
      <c r="T71" s="10" t="str" cm="1">
        <f t="array" ref="T71">IFERROR(INDEX(_xlfn._xlws.FILTER($H71:$O71,$H71:$O71&lt;&gt;0),T$4),"N/A")</f>
        <v>N/A</v>
      </c>
      <c r="U71" s="10" t="str" cm="1">
        <f t="array" ref="U71">IFERROR(INDEX(_xlfn._xlws.FILTER($H71:$O71,$H71:$O71&lt;&gt;0),U$4),"N/A")</f>
        <v>N/A</v>
      </c>
      <c r="V71" s="10" t="str" cm="1">
        <f t="array" ref="V71">IFERROR(INDEX(_xlfn._xlws.FILTER($H71:$O71,$H71:$O71&lt;&gt;0),V$4),"N/A")</f>
        <v>N/A</v>
      </c>
      <c r="W71"/>
      <c r="X71" s="13" t="str" cm="1">
        <f t="array" ref="X71">IFERROR(INDEX(_xlfn._xlws.FILTER($H$4:$O$4,$H71:$O71&lt;&gt;0),X$4),"N/A")</f>
        <v>Southwest</v>
      </c>
      <c r="Y71" s="13" t="str" cm="1">
        <f t="array" ref="Y71">IFERROR(INDEX(_xlfn._xlws.FILTER($H$4:$O$4,$H71:$O71&lt;&gt;0),Y$4),"N/A")</f>
        <v>N/A</v>
      </c>
      <c r="Z71" s="13" t="str" cm="1">
        <f t="array" ref="Z71">IFERROR(INDEX(_xlfn._xlws.FILTER($H$4:$O$4,$H71:$O71&lt;&gt;0),Z$4),"N/A")</f>
        <v>N/A</v>
      </c>
      <c r="AA71" s="13" t="str" cm="1">
        <f t="array" ref="AA71">IFERROR(INDEX(_xlfn._xlws.FILTER($H$4:$O$4,$H71:$O71&lt;&gt;0),AA$4),"N/A")</f>
        <v>N/A</v>
      </c>
      <c r="AB71" s="13" t="str" cm="1">
        <f t="array" ref="AB71">IFERROR(INDEX(_xlfn._xlws.FILTER($H$4:$O$4,$H71:$O71&lt;&gt;0),AB$4),"N/A")</f>
        <v>N/A</v>
      </c>
      <c r="AC71"/>
      <c r="AD71"/>
      <c r="AE71"/>
    </row>
    <row r="72" spans="2:31" x14ac:dyDescent="0.25">
      <c r="B72" s="34" t="s">
        <v>123</v>
      </c>
      <c r="C72" s="24"/>
      <c r="D72" s="24"/>
      <c r="F72" s="63" t="s">
        <v>507</v>
      </c>
      <c r="G72"/>
      <c r="H72" s="4"/>
      <c r="I72" s="4">
        <v>5.2</v>
      </c>
      <c r="J72" s="4"/>
      <c r="K72" s="4">
        <v>0</v>
      </c>
      <c r="L72" s="4"/>
      <c r="M72" s="4">
        <v>0</v>
      </c>
      <c r="N72" s="4"/>
      <c r="O72" s="4">
        <v>0</v>
      </c>
      <c r="P72"/>
      <c r="Q72"/>
      <c r="R72" s="10" cm="1">
        <f t="array" ref="R72">IFERROR(INDEX(_xlfn._xlws.FILTER($H72:$O72,$H72:$O72&lt;&gt;0),R$4),"N/A")</f>
        <v>5.2</v>
      </c>
      <c r="S72" s="10" t="str" cm="1">
        <f t="array" ref="S72">IFERROR(INDEX(_xlfn._xlws.FILTER($H72:$O72,$H72:$O72&lt;&gt;0),S$4),"N/A")</f>
        <v>N/A</v>
      </c>
      <c r="T72" s="10" t="str" cm="1">
        <f t="array" ref="T72">IFERROR(INDEX(_xlfn._xlws.FILTER($H72:$O72,$H72:$O72&lt;&gt;0),T$4),"N/A")</f>
        <v>N/A</v>
      </c>
      <c r="U72" s="10" t="str" cm="1">
        <f t="array" ref="U72">IFERROR(INDEX(_xlfn._xlws.FILTER($H72:$O72,$H72:$O72&lt;&gt;0),U$4),"N/A")</f>
        <v>N/A</v>
      </c>
      <c r="V72" s="10" t="str" cm="1">
        <f t="array" ref="V72">IFERROR(INDEX(_xlfn._xlws.FILTER($H72:$O72,$H72:$O72&lt;&gt;0),V$4),"N/A")</f>
        <v>N/A</v>
      </c>
      <c r="W72"/>
      <c r="X72" s="13" t="str" cm="1">
        <f t="array" ref="X72">IFERROR(INDEX(_xlfn._xlws.FILTER($H$4:$O$4,$H72:$O72&lt;&gt;0),X$4),"N/A")</f>
        <v>Northeast</v>
      </c>
      <c r="Y72" s="13" t="str" cm="1">
        <f t="array" ref="Y72">IFERROR(INDEX(_xlfn._xlws.FILTER($H$4:$O$4,$H72:$O72&lt;&gt;0),Y$4),"N/A")</f>
        <v>N/A</v>
      </c>
      <c r="Z72" s="13" t="str" cm="1">
        <f t="array" ref="Z72">IFERROR(INDEX(_xlfn._xlws.FILTER($H$4:$O$4,$H72:$O72&lt;&gt;0),Z$4),"N/A")</f>
        <v>N/A</v>
      </c>
      <c r="AA72" s="13" t="str" cm="1">
        <f t="array" ref="AA72">IFERROR(INDEX(_xlfn._xlws.FILTER($H$4:$O$4,$H72:$O72&lt;&gt;0),AA$4),"N/A")</f>
        <v>N/A</v>
      </c>
      <c r="AB72" s="13" t="str" cm="1">
        <f t="array" ref="AB72">IFERROR(INDEX(_xlfn._xlws.FILTER($H$4:$O$4,$H72:$O72&lt;&gt;0),AB$4),"N/A")</f>
        <v>N/A</v>
      </c>
      <c r="AC72"/>
      <c r="AD72"/>
      <c r="AE72"/>
    </row>
    <row r="73" spans="2:31" x14ac:dyDescent="0.25">
      <c r="B73" s="34" t="s">
        <v>124</v>
      </c>
      <c r="C73" s="24"/>
      <c r="D73" s="24"/>
      <c r="F73" s="63" t="s">
        <v>508</v>
      </c>
      <c r="G73"/>
      <c r="H73" s="4"/>
      <c r="I73" s="4">
        <v>2.6</v>
      </c>
      <c r="J73" s="4"/>
      <c r="K73" s="4">
        <v>5.2</v>
      </c>
      <c r="L73" s="4"/>
      <c r="M73" s="4">
        <v>0</v>
      </c>
      <c r="N73" s="4"/>
      <c r="O73" s="4">
        <v>0</v>
      </c>
      <c r="P73"/>
      <c r="Q73"/>
      <c r="R73" s="10" cm="1">
        <f t="array" ref="R73">IFERROR(INDEX(_xlfn._xlws.FILTER($H73:$O73,$H73:$O73&lt;&gt;0),R$4),"N/A")</f>
        <v>2.6</v>
      </c>
      <c r="S73" s="10" cm="1">
        <f t="array" ref="S73">IFERROR(INDEX(_xlfn._xlws.FILTER($H73:$O73,$H73:$O73&lt;&gt;0),S$4),"N/A")</f>
        <v>5.2</v>
      </c>
      <c r="T73" s="10" t="str" cm="1">
        <f t="array" ref="T73">IFERROR(INDEX(_xlfn._xlws.FILTER($H73:$O73,$H73:$O73&lt;&gt;0),T$4),"N/A")</f>
        <v>N/A</v>
      </c>
      <c r="U73" s="10" t="str" cm="1">
        <f t="array" ref="U73">IFERROR(INDEX(_xlfn._xlws.FILTER($H73:$O73,$H73:$O73&lt;&gt;0),U$4),"N/A")</f>
        <v>N/A</v>
      </c>
      <c r="V73" s="10" t="str" cm="1">
        <f t="array" ref="V73">IFERROR(INDEX(_xlfn._xlws.FILTER($H73:$O73,$H73:$O73&lt;&gt;0),V$4),"N/A")</f>
        <v>N/A</v>
      </c>
      <c r="W73"/>
      <c r="X73" s="13" t="str" cm="1">
        <f t="array" ref="X73">IFERROR(INDEX(_xlfn._xlws.FILTER($H$4:$O$4,$H73:$O73&lt;&gt;0),X$4),"N/A")</f>
        <v>Northeast</v>
      </c>
      <c r="Y73" s="13" t="str" cm="1">
        <f t="array" ref="Y73">IFERROR(INDEX(_xlfn._xlws.FILTER($H$4:$O$4,$H73:$O73&lt;&gt;0),Y$4),"N/A")</f>
        <v>Southeast</v>
      </c>
      <c r="Z73" s="13" t="str" cm="1">
        <f t="array" ref="Z73">IFERROR(INDEX(_xlfn._xlws.FILTER($H$4:$O$4,$H73:$O73&lt;&gt;0),Z$4),"N/A")</f>
        <v>N/A</v>
      </c>
      <c r="AA73" s="13" t="str" cm="1">
        <f t="array" ref="AA73">IFERROR(INDEX(_xlfn._xlws.FILTER($H$4:$O$4,$H73:$O73&lt;&gt;0),AA$4),"N/A")</f>
        <v>N/A</v>
      </c>
      <c r="AB73" s="13" t="str" cm="1">
        <f t="array" ref="AB73">IFERROR(INDEX(_xlfn._xlws.FILTER($H$4:$O$4,$H73:$O73&lt;&gt;0),AB$4),"N/A")</f>
        <v>N/A</v>
      </c>
      <c r="AC73"/>
      <c r="AD73"/>
      <c r="AE73"/>
    </row>
    <row r="74" spans="2:31" x14ac:dyDescent="0.25">
      <c r="B74" s="34" t="s">
        <v>125</v>
      </c>
      <c r="C74" s="24"/>
      <c r="D74" s="24"/>
      <c r="F74" s="63" t="s">
        <v>509</v>
      </c>
      <c r="G74"/>
      <c r="H74" s="4"/>
      <c r="I74" s="4">
        <v>0</v>
      </c>
      <c r="J74" s="4"/>
      <c r="K74" s="4">
        <v>5.2</v>
      </c>
      <c r="L74" s="4"/>
      <c r="M74" s="4">
        <v>0</v>
      </c>
      <c r="N74" s="4"/>
      <c r="O74" s="4">
        <v>0</v>
      </c>
      <c r="P74"/>
      <c r="Q74"/>
      <c r="R74" s="10" cm="1">
        <f t="array" ref="R74">IFERROR(INDEX(_xlfn._xlws.FILTER($H74:$O74,$H74:$O74&lt;&gt;0),R$4),"N/A")</f>
        <v>5.2</v>
      </c>
      <c r="S74" s="10" t="str" cm="1">
        <f t="array" ref="S74">IFERROR(INDEX(_xlfn._xlws.FILTER($H74:$O74,$H74:$O74&lt;&gt;0),S$4),"N/A")</f>
        <v>N/A</v>
      </c>
      <c r="T74" s="10" t="str" cm="1">
        <f t="array" ref="T74">IFERROR(INDEX(_xlfn._xlws.FILTER($H74:$O74,$H74:$O74&lt;&gt;0),T$4),"N/A")</f>
        <v>N/A</v>
      </c>
      <c r="U74" s="10" t="str" cm="1">
        <f t="array" ref="U74">IFERROR(INDEX(_xlfn._xlws.FILTER($H74:$O74,$H74:$O74&lt;&gt;0),U$4),"N/A")</f>
        <v>N/A</v>
      </c>
      <c r="V74" s="10" t="str" cm="1">
        <f t="array" ref="V74">IFERROR(INDEX(_xlfn._xlws.FILTER($H74:$O74,$H74:$O74&lt;&gt;0),V$4),"N/A")</f>
        <v>N/A</v>
      </c>
      <c r="W74"/>
      <c r="X74" s="13" t="str" cm="1">
        <f t="array" ref="X74">IFERROR(INDEX(_xlfn._xlws.FILTER($H$4:$O$4,$H74:$O74&lt;&gt;0),X$4),"N/A")</f>
        <v>Southeast</v>
      </c>
      <c r="Y74" s="13" t="str" cm="1">
        <f t="array" ref="Y74">IFERROR(INDEX(_xlfn._xlws.FILTER($H$4:$O$4,$H74:$O74&lt;&gt;0),Y$4),"N/A")</f>
        <v>N/A</v>
      </c>
      <c r="Z74" s="13" t="str" cm="1">
        <f t="array" ref="Z74">IFERROR(INDEX(_xlfn._xlws.FILTER($H$4:$O$4,$H74:$O74&lt;&gt;0),Z$4),"N/A")</f>
        <v>N/A</v>
      </c>
      <c r="AA74" s="13" t="str" cm="1">
        <f t="array" ref="AA74">IFERROR(INDEX(_xlfn._xlws.FILTER($H$4:$O$4,$H74:$O74&lt;&gt;0),AA$4),"N/A")</f>
        <v>N/A</v>
      </c>
      <c r="AB74" s="13" t="str" cm="1">
        <f t="array" ref="AB74">IFERROR(INDEX(_xlfn._xlws.FILTER($H$4:$O$4,$H74:$O74&lt;&gt;0),AB$4),"N/A")</f>
        <v>N/A</v>
      </c>
      <c r="AC74"/>
      <c r="AD74"/>
      <c r="AE74"/>
    </row>
    <row r="75" spans="2:31" x14ac:dyDescent="0.25">
      <c r="B75" s="34" t="s">
        <v>126</v>
      </c>
      <c r="C75" s="24"/>
      <c r="D75" s="24"/>
      <c r="F75" s="63" t="s">
        <v>510</v>
      </c>
      <c r="G75"/>
      <c r="H75" s="4"/>
      <c r="I75" s="4">
        <v>0</v>
      </c>
      <c r="J75" s="4"/>
      <c r="K75" s="4">
        <v>5.2</v>
      </c>
      <c r="L75" s="4"/>
      <c r="M75" s="4">
        <v>2.6</v>
      </c>
      <c r="N75" s="4"/>
      <c r="O75" s="4">
        <v>0</v>
      </c>
      <c r="P75"/>
      <c r="Q75"/>
      <c r="R75" s="10" cm="1">
        <f t="array" ref="R75">IFERROR(INDEX(_xlfn._xlws.FILTER($H75:$O75,$H75:$O75&lt;&gt;0),R$4),"N/A")</f>
        <v>5.2</v>
      </c>
      <c r="S75" s="10" cm="1">
        <f t="array" ref="S75">IFERROR(INDEX(_xlfn._xlws.FILTER($H75:$O75,$H75:$O75&lt;&gt;0),S$4),"N/A")</f>
        <v>2.6</v>
      </c>
      <c r="T75" s="10" t="str" cm="1">
        <f t="array" ref="T75">IFERROR(INDEX(_xlfn._xlws.FILTER($H75:$O75,$H75:$O75&lt;&gt;0),T$4),"N/A")</f>
        <v>N/A</v>
      </c>
      <c r="U75" s="10" t="str" cm="1">
        <f t="array" ref="U75">IFERROR(INDEX(_xlfn._xlws.FILTER($H75:$O75,$H75:$O75&lt;&gt;0),U$4),"N/A")</f>
        <v>N/A</v>
      </c>
      <c r="V75" s="10" t="str" cm="1">
        <f t="array" ref="V75">IFERROR(INDEX(_xlfn._xlws.FILTER($H75:$O75,$H75:$O75&lt;&gt;0),V$4),"N/A")</f>
        <v>N/A</v>
      </c>
      <c r="W75"/>
      <c r="X75" s="13" t="str" cm="1">
        <f t="array" ref="X75">IFERROR(INDEX(_xlfn._xlws.FILTER($H$4:$O$4,$H75:$O75&lt;&gt;0),X$4),"N/A")</f>
        <v>Southeast</v>
      </c>
      <c r="Y75" s="13" t="str" cm="1">
        <f t="array" ref="Y75">IFERROR(INDEX(_xlfn._xlws.FILTER($H$4:$O$4,$H75:$O75&lt;&gt;0),Y$4),"N/A")</f>
        <v>Southwest</v>
      </c>
      <c r="Z75" s="13" t="str" cm="1">
        <f t="array" ref="Z75">IFERROR(INDEX(_xlfn._xlws.FILTER($H$4:$O$4,$H75:$O75&lt;&gt;0),Z$4),"N/A")</f>
        <v>N/A</v>
      </c>
      <c r="AA75" s="13" t="str" cm="1">
        <f t="array" ref="AA75">IFERROR(INDEX(_xlfn._xlws.FILTER($H$4:$O$4,$H75:$O75&lt;&gt;0),AA$4),"N/A")</f>
        <v>N/A</v>
      </c>
      <c r="AB75" s="13" t="str" cm="1">
        <f t="array" ref="AB75">IFERROR(INDEX(_xlfn._xlws.FILTER($H$4:$O$4,$H75:$O75&lt;&gt;0),AB$4),"N/A")</f>
        <v>N/A</v>
      </c>
      <c r="AC75"/>
      <c r="AD75"/>
      <c r="AE75"/>
    </row>
    <row r="76" spans="2:31" x14ac:dyDescent="0.25">
      <c r="B76" s="34" t="s">
        <v>127</v>
      </c>
      <c r="C76" s="24"/>
      <c r="D76" s="24"/>
      <c r="F76" s="63" t="s">
        <v>511</v>
      </c>
      <c r="G76"/>
      <c r="H76" s="4"/>
      <c r="I76" s="4">
        <v>0</v>
      </c>
      <c r="J76" s="4"/>
      <c r="K76" s="4">
        <v>0</v>
      </c>
      <c r="L76" s="4"/>
      <c r="M76" s="4">
        <v>5.2</v>
      </c>
      <c r="N76" s="4"/>
      <c r="O76" s="4">
        <v>2.6</v>
      </c>
      <c r="P76"/>
      <c r="Q76"/>
      <c r="R76" s="10" cm="1">
        <f t="array" ref="R76">IFERROR(INDEX(_xlfn._xlws.FILTER($H76:$O76,$H76:$O76&lt;&gt;0),R$4),"N/A")</f>
        <v>5.2</v>
      </c>
      <c r="S76" s="10" cm="1">
        <f t="array" ref="S76">IFERROR(INDEX(_xlfn._xlws.FILTER($H76:$O76,$H76:$O76&lt;&gt;0),S$4),"N/A")</f>
        <v>2.6</v>
      </c>
      <c r="T76" s="10" t="str" cm="1">
        <f t="array" ref="T76">IFERROR(INDEX(_xlfn._xlws.FILTER($H76:$O76,$H76:$O76&lt;&gt;0),T$4),"N/A")</f>
        <v>N/A</v>
      </c>
      <c r="U76" s="10" t="str" cm="1">
        <f t="array" ref="U76">IFERROR(INDEX(_xlfn._xlws.FILTER($H76:$O76,$H76:$O76&lt;&gt;0),U$4),"N/A")</f>
        <v>N/A</v>
      </c>
      <c r="V76" s="10" t="str" cm="1">
        <f t="array" ref="V76">IFERROR(INDEX(_xlfn._xlws.FILTER($H76:$O76,$H76:$O76&lt;&gt;0),V$4),"N/A")</f>
        <v>N/A</v>
      </c>
      <c r="W76"/>
      <c r="X76" s="13" t="str" cm="1">
        <f t="array" ref="X76">IFERROR(INDEX(_xlfn._xlws.FILTER($H$4:$O$4,$H76:$O76&lt;&gt;0),X$4),"N/A")</f>
        <v>Southwest</v>
      </c>
      <c r="Y76" s="13" t="str" cm="1">
        <f t="array" ref="Y76">IFERROR(INDEX(_xlfn._xlws.FILTER($H$4:$O$4,$H76:$O76&lt;&gt;0),Y$4),"N/A")</f>
        <v>Northwest</v>
      </c>
      <c r="Z76" s="13" t="str" cm="1">
        <f t="array" ref="Z76">IFERROR(INDEX(_xlfn._xlws.FILTER($H$4:$O$4,$H76:$O76&lt;&gt;0),Z$4),"N/A")</f>
        <v>N/A</v>
      </c>
      <c r="AA76" s="13" t="str" cm="1">
        <f t="array" ref="AA76">IFERROR(INDEX(_xlfn._xlws.FILTER($H$4:$O$4,$H76:$O76&lt;&gt;0),AA$4),"N/A")</f>
        <v>N/A</v>
      </c>
      <c r="AB76" s="13" t="str" cm="1">
        <f t="array" ref="AB76">IFERROR(INDEX(_xlfn._xlws.FILTER($H$4:$O$4,$H76:$O76&lt;&gt;0),AB$4),"N/A")</f>
        <v>N/A</v>
      </c>
      <c r="AC76"/>
      <c r="AD76"/>
      <c r="AE76"/>
    </row>
    <row r="77" spans="2:31" x14ac:dyDescent="0.25">
      <c r="B77" s="34" t="s">
        <v>128</v>
      </c>
      <c r="C77" s="24"/>
      <c r="D77" s="24"/>
      <c r="F77" s="63" t="s">
        <v>512</v>
      </c>
      <c r="G77"/>
      <c r="H77" s="4"/>
      <c r="I77" s="4">
        <v>0</v>
      </c>
      <c r="J77" s="4"/>
      <c r="K77" s="4">
        <v>0</v>
      </c>
      <c r="L77" s="4"/>
      <c r="M77" s="4">
        <v>0</v>
      </c>
      <c r="N77" s="4"/>
      <c r="O77" s="4">
        <v>4.5299999999999994</v>
      </c>
      <c r="P77"/>
      <c r="Q77"/>
      <c r="R77" s="10" cm="1">
        <f t="array" ref="R77">IFERROR(INDEX(_xlfn._xlws.FILTER($H77:$O77,$H77:$O77&lt;&gt;0),R$4),"N/A")</f>
        <v>4.5299999999999994</v>
      </c>
      <c r="S77" s="10" t="str" cm="1">
        <f t="array" ref="S77">IFERROR(INDEX(_xlfn._xlws.FILTER($H77:$O77,$H77:$O77&lt;&gt;0),S$4),"N/A")</f>
        <v>N/A</v>
      </c>
      <c r="T77" s="10" t="str" cm="1">
        <f t="array" ref="T77">IFERROR(INDEX(_xlfn._xlws.FILTER($H77:$O77,$H77:$O77&lt;&gt;0),T$4),"N/A")</f>
        <v>N/A</v>
      </c>
      <c r="U77" s="10" t="str" cm="1">
        <f t="array" ref="U77">IFERROR(INDEX(_xlfn._xlws.FILTER($H77:$O77,$H77:$O77&lt;&gt;0),U$4),"N/A")</f>
        <v>N/A</v>
      </c>
      <c r="V77" s="10" t="str" cm="1">
        <f t="array" ref="V77">IFERROR(INDEX(_xlfn._xlws.FILTER($H77:$O77,$H77:$O77&lt;&gt;0),V$4),"N/A")</f>
        <v>N/A</v>
      </c>
      <c r="W77"/>
      <c r="X77" s="13" t="str" cm="1">
        <f t="array" ref="X77">IFERROR(INDEX(_xlfn._xlws.FILTER($H$4:$O$4,$H77:$O77&lt;&gt;0),X$4),"N/A")</f>
        <v>Northwest</v>
      </c>
      <c r="Y77" s="13" t="str" cm="1">
        <f t="array" ref="Y77">IFERROR(INDEX(_xlfn._xlws.FILTER($H$4:$O$4,$H77:$O77&lt;&gt;0),Y$4),"N/A")</f>
        <v>N/A</v>
      </c>
      <c r="Z77" s="13" t="str" cm="1">
        <f t="array" ref="Z77">IFERROR(INDEX(_xlfn._xlws.FILTER($H$4:$O$4,$H77:$O77&lt;&gt;0),Z$4),"N/A")</f>
        <v>N/A</v>
      </c>
      <c r="AA77" s="13" t="str" cm="1">
        <f t="array" ref="AA77">IFERROR(INDEX(_xlfn._xlws.FILTER($H$4:$O$4,$H77:$O77&lt;&gt;0),AA$4),"N/A")</f>
        <v>N/A</v>
      </c>
      <c r="AB77" s="13" t="str" cm="1">
        <f t="array" ref="AB77">IFERROR(INDEX(_xlfn._xlws.FILTER($H$4:$O$4,$H77:$O77&lt;&gt;0),AB$4),"N/A")</f>
        <v>N/A</v>
      </c>
      <c r="AC77"/>
      <c r="AD77"/>
      <c r="AE77"/>
    </row>
    <row r="78" spans="2:31" x14ac:dyDescent="0.25">
      <c r="B78" s="29" t="s">
        <v>129</v>
      </c>
      <c r="C78" s="24"/>
      <c r="D78" s="24"/>
      <c r="F78" s="63" t="s">
        <v>513</v>
      </c>
      <c r="G78"/>
      <c r="H78" s="4"/>
      <c r="I78" s="4">
        <v>0</v>
      </c>
      <c r="J78" s="4"/>
      <c r="K78" s="4">
        <v>0</v>
      </c>
      <c r="L78" s="4"/>
      <c r="M78" s="4">
        <v>2.6</v>
      </c>
      <c r="N78" s="4"/>
      <c r="O78" s="4">
        <v>4.5299999999999994</v>
      </c>
      <c r="P78"/>
      <c r="Q78"/>
      <c r="R78" s="10" cm="1">
        <f t="array" ref="R78">IFERROR(INDEX(_xlfn._xlws.FILTER($H78:$O78,$H78:$O78&lt;&gt;0),R$4),"N/A")</f>
        <v>2.6</v>
      </c>
      <c r="S78" s="10" cm="1">
        <f t="array" ref="S78">IFERROR(INDEX(_xlfn._xlws.FILTER($H78:$O78,$H78:$O78&lt;&gt;0),S$4),"N/A")</f>
        <v>4.5299999999999994</v>
      </c>
      <c r="T78" s="10" t="str" cm="1">
        <f t="array" ref="T78">IFERROR(INDEX(_xlfn._xlws.FILTER($H78:$O78,$H78:$O78&lt;&gt;0),T$4),"N/A")</f>
        <v>N/A</v>
      </c>
      <c r="U78" s="10" t="str" cm="1">
        <f t="array" ref="U78">IFERROR(INDEX(_xlfn._xlws.FILTER($H78:$O78,$H78:$O78&lt;&gt;0),U$4),"N/A")</f>
        <v>N/A</v>
      </c>
      <c r="V78" s="10" t="str" cm="1">
        <f t="array" ref="V78">IFERROR(INDEX(_xlfn._xlws.FILTER($H78:$O78,$H78:$O78&lt;&gt;0),V$4),"N/A")</f>
        <v>N/A</v>
      </c>
      <c r="W78"/>
      <c r="X78" s="13" t="str" cm="1">
        <f t="array" ref="X78">IFERROR(INDEX(_xlfn._xlws.FILTER($H$4:$O$4,$H78:$O78&lt;&gt;0),X$4),"N/A")</f>
        <v>Southwest</v>
      </c>
      <c r="Y78" s="13" t="str" cm="1">
        <f t="array" ref="Y78">IFERROR(INDEX(_xlfn._xlws.FILTER($H$4:$O$4,$H78:$O78&lt;&gt;0),Y$4),"N/A")</f>
        <v>Northwest</v>
      </c>
      <c r="Z78" s="13" t="str" cm="1">
        <f t="array" ref="Z78">IFERROR(INDEX(_xlfn._xlws.FILTER($H$4:$O$4,$H78:$O78&lt;&gt;0),Z$4),"N/A")</f>
        <v>N/A</v>
      </c>
      <c r="AA78" s="13" t="str" cm="1">
        <f t="array" ref="AA78">IFERROR(INDEX(_xlfn._xlws.FILTER($H$4:$O$4,$H78:$O78&lt;&gt;0),AA$4),"N/A")</f>
        <v>N/A</v>
      </c>
      <c r="AB78" s="13" t="str" cm="1">
        <f t="array" ref="AB78">IFERROR(INDEX(_xlfn._xlws.FILTER($H$4:$O$4,$H78:$O78&lt;&gt;0),AB$4),"N/A")</f>
        <v>N/A</v>
      </c>
      <c r="AC78"/>
      <c r="AD78"/>
      <c r="AE78"/>
    </row>
    <row r="79" spans="2:31" x14ac:dyDescent="0.25">
      <c r="B79" s="29" t="s">
        <v>130</v>
      </c>
      <c r="C79" s="24"/>
      <c r="D79" s="24"/>
      <c r="F79" s="63" t="s">
        <v>514</v>
      </c>
      <c r="G79"/>
      <c r="H79" s="4"/>
      <c r="I79" s="4">
        <v>0</v>
      </c>
      <c r="J79" s="4"/>
      <c r="K79" s="4">
        <v>0</v>
      </c>
      <c r="L79" s="4"/>
      <c r="M79" s="4">
        <v>5.2</v>
      </c>
      <c r="N79" s="4"/>
      <c r="O79" s="4">
        <v>0</v>
      </c>
      <c r="P79"/>
      <c r="Q79"/>
      <c r="R79" s="10" cm="1">
        <f t="array" ref="R79">IFERROR(INDEX(_xlfn._xlws.FILTER($H79:$O79,$H79:$O79&lt;&gt;0),R$4),"N/A")</f>
        <v>5.2</v>
      </c>
      <c r="S79" s="10" t="str" cm="1">
        <f t="array" ref="S79">IFERROR(INDEX(_xlfn._xlws.FILTER($H79:$O79,$H79:$O79&lt;&gt;0),S$4),"N/A")</f>
        <v>N/A</v>
      </c>
      <c r="T79" s="10" t="str" cm="1">
        <f t="array" ref="T79">IFERROR(INDEX(_xlfn._xlws.FILTER($H79:$O79,$H79:$O79&lt;&gt;0),T$4),"N/A")</f>
        <v>N/A</v>
      </c>
      <c r="U79" s="10" t="str" cm="1">
        <f t="array" ref="U79">IFERROR(INDEX(_xlfn._xlws.FILTER($H79:$O79,$H79:$O79&lt;&gt;0),U$4),"N/A")</f>
        <v>N/A</v>
      </c>
      <c r="V79" s="10" t="str" cm="1">
        <f t="array" ref="V79">IFERROR(INDEX(_xlfn._xlws.FILTER($H79:$O79,$H79:$O79&lt;&gt;0),V$4),"N/A")</f>
        <v>N/A</v>
      </c>
      <c r="W79"/>
      <c r="X79" s="13" t="str" cm="1">
        <f t="array" ref="X79">IFERROR(INDEX(_xlfn._xlws.FILTER($H$4:$O$4,$H79:$O79&lt;&gt;0),X$4),"N/A")</f>
        <v>Southwest</v>
      </c>
      <c r="Y79" s="13" t="str" cm="1">
        <f t="array" ref="Y79">IFERROR(INDEX(_xlfn._xlws.FILTER($H$4:$O$4,$H79:$O79&lt;&gt;0),Y$4),"N/A")</f>
        <v>N/A</v>
      </c>
      <c r="Z79" s="13" t="str" cm="1">
        <f t="array" ref="Z79">IFERROR(INDEX(_xlfn._xlws.FILTER($H$4:$O$4,$H79:$O79&lt;&gt;0),Z$4),"N/A")</f>
        <v>N/A</v>
      </c>
      <c r="AA79" s="13" t="str" cm="1">
        <f t="array" ref="AA79">IFERROR(INDEX(_xlfn._xlws.FILTER($H$4:$O$4,$H79:$O79&lt;&gt;0),AA$4),"N/A")</f>
        <v>N/A</v>
      </c>
      <c r="AB79" s="13" t="str" cm="1">
        <f t="array" ref="AB79">IFERROR(INDEX(_xlfn._xlws.FILTER($H$4:$O$4,$H79:$O79&lt;&gt;0),AB$4),"N/A")</f>
        <v>N/A</v>
      </c>
      <c r="AC79"/>
      <c r="AD79"/>
      <c r="AE79"/>
    </row>
    <row r="80" spans="2:31" x14ac:dyDescent="0.25">
      <c r="B80" s="29" t="s">
        <v>131</v>
      </c>
      <c r="C80" s="24"/>
      <c r="D80" s="24"/>
      <c r="F80" s="63" t="s">
        <v>515</v>
      </c>
      <c r="G80"/>
      <c r="H80" s="4"/>
      <c r="I80" s="4">
        <v>2.6</v>
      </c>
      <c r="J80" s="4"/>
      <c r="K80" s="4">
        <v>0</v>
      </c>
      <c r="L80" s="4"/>
      <c r="M80" s="4">
        <v>0</v>
      </c>
      <c r="N80" s="4"/>
      <c r="O80" s="4">
        <v>0</v>
      </c>
      <c r="P80"/>
      <c r="Q80"/>
      <c r="R80" s="10" cm="1">
        <f t="array" ref="R80">IFERROR(INDEX(_xlfn._xlws.FILTER($H80:$O80,$H80:$O80&lt;&gt;0),R$4),"N/A")</f>
        <v>2.6</v>
      </c>
      <c r="S80" s="10" t="str" cm="1">
        <f t="array" ref="S80">IFERROR(INDEX(_xlfn._xlws.FILTER($H80:$O80,$H80:$O80&lt;&gt;0),S$4),"N/A")</f>
        <v>N/A</v>
      </c>
      <c r="T80" s="10" t="str" cm="1">
        <f t="array" ref="T80">IFERROR(INDEX(_xlfn._xlws.FILTER($H80:$O80,$H80:$O80&lt;&gt;0),T$4),"N/A")</f>
        <v>N/A</v>
      </c>
      <c r="U80" s="10" t="str" cm="1">
        <f t="array" ref="U80">IFERROR(INDEX(_xlfn._xlws.FILTER($H80:$O80,$H80:$O80&lt;&gt;0),U$4),"N/A")</f>
        <v>N/A</v>
      </c>
      <c r="V80" s="10" t="str" cm="1">
        <f t="array" ref="V80">IFERROR(INDEX(_xlfn._xlws.FILTER($H80:$O80,$H80:$O80&lt;&gt;0),V$4),"N/A")</f>
        <v>N/A</v>
      </c>
      <c r="W80"/>
      <c r="X80" s="13" t="str" cm="1">
        <f t="array" ref="X80">IFERROR(INDEX(_xlfn._xlws.FILTER($H$4:$O$4,$H80:$O80&lt;&gt;0),X$4),"N/A")</f>
        <v>Northeast</v>
      </c>
      <c r="Y80" s="13" t="str" cm="1">
        <f t="array" ref="Y80">IFERROR(INDEX(_xlfn._xlws.FILTER($H$4:$O$4,$H80:$O80&lt;&gt;0),Y$4),"N/A")</f>
        <v>N/A</v>
      </c>
      <c r="Z80" s="13" t="str" cm="1">
        <f t="array" ref="Z80">IFERROR(INDEX(_xlfn._xlws.FILTER($H$4:$O$4,$H80:$O80&lt;&gt;0),Z$4),"N/A")</f>
        <v>N/A</v>
      </c>
      <c r="AA80" s="13" t="str" cm="1">
        <f t="array" ref="AA80">IFERROR(INDEX(_xlfn._xlws.FILTER($H$4:$O$4,$H80:$O80&lt;&gt;0),AA$4),"N/A")</f>
        <v>N/A</v>
      </c>
      <c r="AB80" s="13" t="str" cm="1">
        <f t="array" ref="AB80">IFERROR(INDEX(_xlfn._xlws.FILTER($H$4:$O$4,$H80:$O80&lt;&gt;0),AB$4),"N/A")</f>
        <v>N/A</v>
      </c>
      <c r="AC80"/>
      <c r="AD80"/>
      <c r="AE80"/>
    </row>
    <row r="81" spans="2:31" x14ac:dyDescent="0.25">
      <c r="B81" s="29" t="s">
        <v>132</v>
      </c>
      <c r="C81" s="24"/>
      <c r="D81" s="24"/>
      <c r="F81" s="63" t="s">
        <v>516</v>
      </c>
      <c r="G81"/>
      <c r="H81" s="4"/>
      <c r="I81" s="4">
        <v>0</v>
      </c>
      <c r="J81" s="4"/>
      <c r="K81" s="4">
        <v>0</v>
      </c>
      <c r="L81" s="4"/>
      <c r="M81" s="4">
        <v>5.2</v>
      </c>
      <c r="N81" s="4"/>
      <c r="O81" s="4">
        <v>0</v>
      </c>
      <c r="P81"/>
      <c r="Q81"/>
      <c r="R81" s="10" cm="1">
        <f t="array" ref="R81">IFERROR(INDEX(_xlfn._xlws.FILTER($H81:$O81,$H81:$O81&lt;&gt;0),R$4),"N/A")</f>
        <v>5.2</v>
      </c>
      <c r="S81" s="10" t="str" cm="1">
        <f t="array" ref="S81">IFERROR(INDEX(_xlfn._xlws.FILTER($H81:$O81,$H81:$O81&lt;&gt;0),S$4),"N/A")</f>
        <v>N/A</v>
      </c>
      <c r="T81" s="10" t="str" cm="1">
        <f t="array" ref="T81">IFERROR(INDEX(_xlfn._xlws.FILTER($H81:$O81,$H81:$O81&lt;&gt;0),T$4),"N/A")</f>
        <v>N/A</v>
      </c>
      <c r="U81" s="10" t="str" cm="1">
        <f t="array" ref="U81">IFERROR(INDEX(_xlfn._xlws.FILTER($H81:$O81,$H81:$O81&lt;&gt;0),U$4),"N/A")</f>
        <v>N/A</v>
      </c>
      <c r="V81" s="10" t="str" cm="1">
        <f t="array" ref="V81">IFERROR(INDEX(_xlfn._xlws.FILTER($H81:$O81,$H81:$O81&lt;&gt;0),V$4),"N/A")</f>
        <v>N/A</v>
      </c>
      <c r="W81"/>
      <c r="X81" s="13" t="str" cm="1">
        <f t="array" ref="X81">IFERROR(INDEX(_xlfn._xlws.FILTER($H$4:$O$4,$H81:$O81&lt;&gt;0),X$4),"N/A")</f>
        <v>Southwest</v>
      </c>
      <c r="Y81" s="13" t="str" cm="1">
        <f t="array" ref="Y81">IFERROR(INDEX(_xlfn._xlws.FILTER($H$4:$O$4,$H81:$O81&lt;&gt;0),Y$4),"N/A")</f>
        <v>N/A</v>
      </c>
      <c r="Z81" s="13" t="str" cm="1">
        <f t="array" ref="Z81">IFERROR(INDEX(_xlfn._xlws.FILTER($H$4:$O$4,$H81:$O81&lt;&gt;0),Z$4),"N/A")</f>
        <v>N/A</v>
      </c>
      <c r="AA81" s="13" t="str" cm="1">
        <f t="array" ref="AA81">IFERROR(INDEX(_xlfn._xlws.FILTER($H$4:$O$4,$H81:$O81&lt;&gt;0),AA$4),"N/A")</f>
        <v>N/A</v>
      </c>
      <c r="AB81" s="13" t="str" cm="1">
        <f t="array" ref="AB81">IFERROR(INDEX(_xlfn._xlws.FILTER($H$4:$O$4,$H81:$O81&lt;&gt;0),AB$4),"N/A")</f>
        <v>N/A</v>
      </c>
      <c r="AC81"/>
      <c r="AD81"/>
      <c r="AE81"/>
    </row>
    <row r="82" spans="2:31" x14ac:dyDescent="0.25">
      <c r="B82" s="29" t="s">
        <v>133</v>
      </c>
      <c r="C82" s="24"/>
      <c r="D82" s="24"/>
      <c r="F82" s="63" t="s">
        <v>517</v>
      </c>
      <c r="G82"/>
      <c r="H82" s="4"/>
      <c r="I82" s="4">
        <v>5.2</v>
      </c>
      <c r="J82" s="4"/>
      <c r="K82" s="4">
        <v>0</v>
      </c>
      <c r="L82" s="4"/>
      <c r="M82" s="4">
        <v>0</v>
      </c>
      <c r="N82" s="4"/>
      <c r="O82" s="4">
        <v>0</v>
      </c>
      <c r="P82"/>
      <c r="Q82"/>
      <c r="R82" s="10" cm="1">
        <f t="array" ref="R82">IFERROR(INDEX(_xlfn._xlws.FILTER($H82:$O82,$H82:$O82&lt;&gt;0),R$4),"N/A")</f>
        <v>5.2</v>
      </c>
      <c r="S82" s="10" t="str" cm="1">
        <f t="array" ref="S82">IFERROR(INDEX(_xlfn._xlws.FILTER($H82:$O82,$H82:$O82&lt;&gt;0),S$4),"N/A")</f>
        <v>N/A</v>
      </c>
      <c r="T82" s="10" t="str" cm="1">
        <f t="array" ref="T82">IFERROR(INDEX(_xlfn._xlws.FILTER($H82:$O82,$H82:$O82&lt;&gt;0),T$4),"N/A")</f>
        <v>N/A</v>
      </c>
      <c r="U82" s="10" t="str" cm="1">
        <f t="array" ref="U82">IFERROR(INDEX(_xlfn._xlws.FILTER($H82:$O82,$H82:$O82&lt;&gt;0),U$4),"N/A")</f>
        <v>N/A</v>
      </c>
      <c r="V82" s="10" t="str" cm="1">
        <f t="array" ref="V82">IFERROR(INDEX(_xlfn._xlws.FILTER($H82:$O82,$H82:$O82&lt;&gt;0),V$4),"N/A")</f>
        <v>N/A</v>
      </c>
      <c r="W82"/>
      <c r="X82" s="13" t="str" cm="1">
        <f t="array" ref="X82">IFERROR(INDEX(_xlfn._xlws.FILTER($H$4:$O$4,$H82:$O82&lt;&gt;0),X$4),"N/A")</f>
        <v>Northeast</v>
      </c>
      <c r="Y82" s="13" t="str" cm="1">
        <f t="array" ref="Y82">IFERROR(INDEX(_xlfn._xlws.FILTER($H$4:$O$4,$H82:$O82&lt;&gt;0),Y$4),"N/A")</f>
        <v>N/A</v>
      </c>
      <c r="Z82" s="13" t="str" cm="1">
        <f t="array" ref="Z82">IFERROR(INDEX(_xlfn._xlws.FILTER($H$4:$O$4,$H82:$O82&lt;&gt;0),Z$4),"N/A")</f>
        <v>N/A</v>
      </c>
      <c r="AA82" s="13" t="str" cm="1">
        <f t="array" ref="AA82">IFERROR(INDEX(_xlfn._xlws.FILTER($H$4:$O$4,$H82:$O82&lt;&gt;0),AA$4),"N/A")</f>
        <v>N/A</v>
      </c>
      <c r="AB82" s="13" t="str" cm="1">
        <f t="array" ref="AB82">IFERROR(INDEX(_xlfn._xlws.FILTER($H$4:$O$4,$H82:$O82&lt;&gt;0),AB$4),"N/A")</f>
        <v>N/A</v>
      </c>
      <c r="AC82"/>
      <c r="AD82"/>
      <c r="AE82"/>
    </row>
    <row r="83" spans="2:31" x14ac:dyDescent="0.25">
      <c r="B83" s="29" t="s">
        <v>134</v>
      </c>
      <c r="C83" s="24"/>
      <c r="D83" s="24"/>
      <c r="F83" s="63" t="s">
        <v>518</v>
      </c>
      <c r="G83"/>
      <c r="H83" s="4"/>
      <c r="I83" s="4">
        <v>0</v>
      </c>
      <c r="J83" s="4"/>
      <c r="K83" s="4">
        <v>0</v>
      </c>
      <c r="L83" s="4"/>
      <c r="M83" s="4">
        <v>2.6</v>
      </c>
      <c r="N83" s="4"/>
      <c r="O83" s="4">
        <v>0</v>
      </c>
      <c r="P83"/>
      <c r="Q83"/>
      <c r="R83" s="10" cm="1">
        <f t="array" ref="R83">IFERROR(INDEX(_xlfn._xlws.FILTER($H83:$O83,$H83:$O83&lt;&gt;0),R$4),"N/A")</f>
        <v>2.6</v>
      </c>
      <c r="S83" s="10" t="str" cm="1">
        <f t="array" ref="S83">IFERROR(INDEX(_xlfn._xlws.FILTER($H83:$O83,$H83:$O83&lt;&gt;0),S$4),"N/A")</f>
        <v>N/A</v>
      </c>
      <c r="T83" s="10" t="str" cm="1">
        <f t="array" ref="T83">IFERROR(INDEX(_xlfn._xlws.FILTER($H83:$O83,$H83:$O83&lt;&gt;0),T$4),"N/A")</f>
        <v>N/A</v>
      </c>
      <c r="U83" s="10" t="str" cm="1">
        <f t="array" ref="U83">IFERROR(INDEX(_xlfn._xlws.FILTER($H83:$O83,$H83:$O83&lt;&gt;0),U$4),"N/A")</f>
        <v>N/A</v>
      </c>
      <c r="V83" s="10" t="str" cm="1">
        <f t="array" ref="V83">IFERROR(INDEX(_xlfn._xlws.FILTER($H83:$O83,$H83:$O83&lt;&gt;0),V$4),"N/A")</f>
        <v>N/A</v>
      </c>
      <c r="W83"/>
      <c r="X83" s="13" t="str" cm="1">
        <f t="array" ref="X83">IFERROR(INDEX(_xlfn._xlws.FILTER($H$4:$O$4,$H83:$O83&lt;&gt;0),X$4),"N/A")</f>
        <v>Southwest</v>
      </c>
      <c r="Y83" s="13" t="str" cm="1">
        <f t="array" ref="Y83">IFERROR(INDEX(_xlfn._xlws.FILTER($H$4:$O$4,$H83:$O83&lt;&gt;0),Y$4),"N/A")</f>
        <v>N/A</v>
      </c>
      <c r="Z83" s="13" t="str" cm="1">
        <f t="array" ref="Z83">IFERROR(INDEX(_xlfn._xlws.FILTER($H$4:$O$4,$H83:$O83&lt;&gt;0),Z$4),"N/A")</f>
        <v>N/A</v>
      </c>
      <c r="AA83" s="13" t="str" cm="1">
        <f t="array" ref="AA83">IFERROR(INDEX(_xlfn._xlws.FILTER($H$4:$O$4,$H83:$O83&lt;&gt;0),AA$4),"N/A")</f>
        <v>N/A</v>
      </c>
      <c r="AB83" s="13" t="str" cm="1">
        <f t="array" ref="AB83">IFERROR(INDEX(_xlfn._xlws.FILTER($H$4:$O$4,$H83:$O83&lt;&gt;0),AB$4),"N/A")</f>
        <v>N/A</v>
      </c>
      <c r="AC83"/>
      <c r="AD83"/>
      <c r="AE83"/>
    </row>
    <row r="84" spans="2:31" x14ac:dyDescent="0.25">
      <c r="B84" s="29" t="s">
        <v>135</v>
      </c>
      <c r="C84" s="24"/>
      <c r="D84" s="24"/>
      <c r="F84" s="63" t="s">
        <v>519</v>
      </c>
      <c r="G84"/>
      <c r="H84" s="4"/>
      <c r="I84" s="4">
        <v>5.2</v>
      </c>
      <c r="J84" s="4"/>
      <c r="K84" s="4">
        <v>0</v>
      </c>
      <c r="L84" s="4"/>
      <c r="M84" s="4">
        <v>0</v>
      </c>
      <c r="N84" s="4"/>
      <c r="O84" s="4">
        <v>0</v>
      </c>
      <c r="P84"/>
      <c r="Q84"/>
      <c r="R84" s="10" cm="1">
        <f t="array" ref="R84">IFERROR(INDEX(_xlfn._xlws.FILTER($H84:$O84,$H84:$O84&lt;&gt;0),R$4),"N/A")</f>
        <v>5.2</v>
      </c>
      <c r="S84" s="10" t="str" cm="1">
        <f t="array" ref="S84">IFERROR(INDEX(_xlfn._xlws.FILTER($H84:$O84,$H84:$O84&lt;&gt;0),S$4),"N/A")</f>
        <v>N/A</v>
      </c>
      <c r="T84" s="10" t="str" cm="1">
        <f t="array" ref="T84">IFERROR(INDEX(_xlfn._xlws.FILTER($H84:$O84,$H84:$O84&lt;&gt;0),T$4),"N/A")</f>
        <v>N/A</v>
      </c>
      <c r="U84" s="10" t="str" cm="1">
        <f t="array" ref="U84">IFERROR(INDEX(_xlfn._xlws.FILTER($H84:$O84,$H84:$O84&lt;&gt;0),U$4),"N/A")</f>
        <v>N/A</v>
      </c>
      <c r="V84" s="10" t="str" cm="1">
        <f t="array" ref="V84">IFERROR(INDEX(_xlfn._xlws.FILTER($H84:$O84,$H84:$O84&lt;&gt;0),V$4),"N/A")</f>
        <v>N/A</v>
      </c>
      <c r="W84"/>
      <c r="X84" s="13" t="str" cm="1">
        <f t="array" ref="X84">IFERROR(INDEX(_xlfn._xlws.FILTER($H$4:$O$4,$H84:$O84&lt;&gt;0),X$4),"N/A")</f>
        <v>Northeast</v>
      </c>
      <c r="Y84" s="13" t="str" cm="1">
        <f t="array" ref="Y84">IFERROR(INDEX(_xlfn._xlws.FILTER($H$4:$O$4,$H84:$O84&lt;&gt;0),Y$4),"N/A")</f>
        <v>N/A</v>
      </c>
      <c r="Z84" s="13" t="str" cm="1">
        <f t="array" ref="Z84">IFERROR(INDEX(_xlfn._xlws.FILTER($H$4:$O$4,$H84:$O84&lt;&gt;0),Z$4),"N/A")</f>
        <v>N/A</v>
      </c>
      <c r="AA84" s="13" t="str" cm="1">
        <f t="array" ref="AA84">IFERROR(INDEX(_xlfn._xlws.FILTER($H$4:$O$4,$H84:$O84&lt;&gt;0),AA$4),"N/A")</f>
        <v>N/A</v>
      </c>
      <c r="AB84" s="13" t="str" cm="1">
        <f t="array" ref="AB84">IFERROR(INDEX(_xlfn._xlws.FILTER($H$4:$O$4,$H84:$O84&lt;&gt;0),AB$4),"N/A")</f>
        <v>N/A</v>
      </c>
      <c r="AC84"/>
      <c r="AD84"/>
      <c r="AE84"/>
    </row>
    <row r="85" spans="2:31" x14ac:dyDescent="0.25">
      <c r="B85" s="29" t="s">
        <v>136</v>
      </c>
      <c r="C85" s="24"/>
      <c r="D85" s="24"/>
      <c r="F85" s="63" t="s">
        <v>520</v>
      </c>
      <c r="G85"/>
      <c r="H85" s="4"/>
      <c r="I85" s="4">
        <v>2.6</v>
      </c>
      <c r="J85" s="4"/>
      <c r="K85" s="4">
        <v>5.2</v>
      </c>
      <c r="L85" s="4"/>
      <c r="M85" s="4">
        <v>0</v>
      </c>
      <c r="N85" s="4"/>
      <c r="O85" s="4">
        <v>0</v>
      </c>
      <c r="P85"/>
      <c r="Q85"/>
      <c r="R85" s="10" cm="1">
        <f t="array" ref="R85">IFERROR(INDEX(_xlfn._xlws.FILTER($H85:$O85,$H85:$O85&lt;&gt;0),R$4),"N/A")</f>
        <v>2.6</v>
      </c>
      <c r="S85" s="10" cm="1">
        <f t="array" ref="S85">IFERROR(INDEX(_xlfn._xlws.FILTER($H85:$O85,$H85:$O85&lt;&gt;0),S$4),"N/A")</f>
        <v>5.2</v>
      </c>
      <c r="T85" s="10" t="str" cm="1">
        <f t="array" ref="T85">IFERROR(INDEX(_xlfn._xlws.FILTER($H85:$O85,$H85:$O85&lt;&gt;0),T$4),"N/A")</f>
        <v>N/A</v>
      </c>
      <c r="U85" s="10" t="str" cm="1">
        <f t="array" ref="U85">IFERROR(INDEX(_xlfn._xlws.FILTER($H85:$O85,$H85:$O85&lt;&gt;0),U$4),"N/A")</f>
        <v>N/A</v>
      </c>
      <c r="V85" s="10" t="str" cm="1">
        <f t="array" ref="V85">IFERROR(INDEX(_xlfn._xlws.FILTER($H85:$O85,$H85:$O85&lt;&gt;0),V$4),"N/A")</f>
        <v>N/A</v>
      </c>
      <c r="W85"/>
      <c r="X85" s="13" t="str" cm="1">
        <f t="array" ref="X85">IFERROR(INDEX(_xlfn._xlws.FILTER($H$4:$O$4,$H85:$O85&lt;&gt;0),X$4),"N/A")</f>
        <v>Northeast</v>
      </c>
      <c r="Y85" s="13" t="str" cm="1">
        <f t="array" ref="Y85">IFERROR(INDEX(_xlfn._xlws.FILTER($H$4:$O$4,$H85:$O85&lt;&gt;0),Y$4),"N/A")</f>
        <v>Southeast</v>
      </c>
      <c r="Z85" s="13" t="str" cm="1">
        <f t="array" ref="Z85">IFERROR(INDEX(_xlfn._xlws.FILTER($H$4:$O$4,$H85:$O85&lt;&gt;0),Z$4),"N/A")</f>
        <v>N/A</v>
      </c>
      <c r="AA85" s="13" t="str" cm="1">
        <f t="array" ref="AA85">IFERROR(INDEX(_xlfn._xlws.FILTER($H$4:$O$4,$H85:$O85&lt;&gt;0),AA$4),"N/A")</f>
        <v>N/A</v>
      </c>
      <c r="AB85" s="13" t="str" cm="1">
        <f t="array" ref="AB85">IFERROR(INDEX(_xlfn._xlws.FILTER($H$4:$O$4,$H85:$O85&lt;&gt;0),AB$4),"N/A")</f>
        <v>N/A</v>
      </c>
      <c r="AC85"/>
      <c r="AD85"/>
      <c r="AE85"/>
    </row>
    <row r="86" spans="2:31" x14ac:dyDescent="0.25">
      <c r="B86" s="29" t="s">
        <v>137</v>
      </c>
      <c r="C86" s="24"/>
      <c r="D86" s="24"/>
      <c r="F86" s="63" t="s">
        <v>521</v>
      </c>
      <c r="G86"/>
      <c r="H86" s="4"/>
      <c r="I86" s="4">
        <v>0</v>
      </c>
      <c r="J86" s="4"/>
      <c r="K86" s="4">
        <v>5.2</v>
      </c>
      <c r="L86" s="4"/>
      <c r="M86" s="4">
        <v>0</v>
      </c>
      <c r="N86" s="4"/>
      <c r="O86" s="4">
        <v>0</v>
      </c>
      <c r="P86"/>
      <c r="Q86"/>
      <c r="R86" s="10" cm="1">
        <f t="array" ref="R86">IFERROR(INDEX(_xlfn._xlws.FILTER($H86:$O86,$H86:$O86&lt;&gt;0),R$4),"N/A")</f>
        <v>5.2</v>
      </c>
      <c r="S86" s="10" t="str" cm="1">
        <f t="array" ref="S86">IFERROR(INDEX(_xlfn._xlws.FILTER($H86:$O86,$H86:$O86&lt;&gt;0),S$4),"N/A")</f>
        <v>N/A</v>
      </c>
      <c r="T86" s="10" t="str" cm="1">
        <f t="array" ref="T86">IFERROR(INDEX(_xlfn._xlws.FILTER($H86:$O86,$H86:$O86&lt;&gt;0),T$4),"N/A")</f>
        <v>N/A</v>
      </c>
      <c r="U86" s="10" t="str" cm="1">
        <f t="array" ref="U86">IFERROR(INDEX(_xlfn._xlws.FILTER($H86:$O86,$H86:$O86&lt;&gt;0),U$4),"N/A")</f>
        <v>N/A</v>
      </c>
      <c r="V86" s="10" t="str" cm="1">
        <f t="array" ref="V86">IFERROR(INDEX(_xlfn._xlws.FILTER($H86:$O86,$H86:$O86&lt;&gt;0),V$4),"N/A")</f>
        <v>N/A</v>
      </c>
      <c r="W86"/>
      <c r="X86" s="13" t="str" cm="1">
        <f t="array" ref="X86">IFERROR(INDEX(_xlfn._xlws.FILTER($H$4:$O$4,$H86:$O86&lt;&gt;0),X$4),"N/A")</f>
        <v>Southeast</v>
      </c>
      <c r="Y86" s="13" t="str" cm="1">
        <f t="array" ref="Y86">IFERROR(INDEX(_xlfn._xlws.FILTER($H$4:$O$4,$H86:$O86&lt;&gt;0),Y$4),"N/A")</f>
        <v>N/A</v>
      </c>
      <c r="Z86" s="13" t="str" cm="1">
        <f t="array" ref="Z86">IFERROR(INDEX(_xlfn._xlws.FILTER($H$4:$O$4,$H86:$O86&lt;&gt;0),Z$4),"N/A")</f>
        <v>N/A</v>
      </c>
      <c r="AA86" s="13" t="str" cm="1">
        <f t="array" ref="AA86">IFERROR(INDEX(_xlfn._xlws.FILTER($H$4:$O$4,$H86:$O86&lt;&gt;0),AA$4),"N/A")</f>
        <v>N/A</v>
      </c>
      <c r="AB86" s="13" t="str" cm="1">
        <f t="array" ref="AB86">IFERROR(INDEX(_xlfn._xlws.FILTER($H$4:$O$4,$H86:$O86&lt;&gt;0),AB$4),"N/A")</f>
        <v>N/A</v>
      </c>
      <c r="AC86"/>
      <c r="AD86"/>
      <c r="AE86"/>
    </row>
    <row r="87" spans="2:31" x14ac:dyDescent="0.25">
      <c r="B87" s="34" t="s">
        <v>138</v>
      </c>
      <c r="C87" s="24"/>
      <c r="D87" s="24"/>
      <c r="F87" s="63" t="s">
        <v>522</v>
      </c>
      <c r="G87"/>
      <c r="H87" s="4"/>
      <c r="I87" s="4">
        <v>0</v>
      </c>
      <c r="J87" s="4"/>
      <c r="K87" s="4">
        <v>5.2</v>
      </c>
      <c r="L87" s="4"/>
      <c r="M87" s="4">
        <v>2.6</v>
      </c>
      <c r="N87" s="4"/>
      <c r="O87" s="4">
        <v>0</v>
      </c>
      <c r="P87"/>
      <c r="Q87"/>
      <c r="R87" s="10" cm="1">
        <f t="array" ref="R87">IFERROR(INDEX(_xlfn._xlws.FILTER($H87:$O87,$H87:$O87&lt;&gt;0),R$4),"N/A")</f>
        <v>5.2</v>
      </c>
      <c r="S87" s="10" cm="1">
        <f t="array" ref="S87">IFERROR(INDEX(_xlfn._xlws.FILTER($H87:$O87,$H87:$O87&lt;&gt;0),S$4),"N/A")</f>
        <v>2.6</v>
      </c>
      <c r="T87" s="10" t="str" cm="1">
        <f t="array" ref="T87">IFERROR(INDEX(_xlfn._xlws.FILTER($H87:$O87,$H87:$O87&lt;&gt;0),T$4),"N/A")</f>
        <v>N/A</v>
      </c>
      <c r="U87" s="10" t="str" cm="1">
        <f t="array" ref="U87">IFERROR(INDEX(_xlfn._xlws.FILTER($H87:$O87,$H87:$O87&lt;&gt;0),U$4),"N/A")</f>
        <v>N/A</v>
      </c>
      <c r="V87" s="10" t="str" cm="1">
        <f t="array" ref="V87">IFERROR(INDEX(_xlfn._xlws.FILTER($H87:$O87,$H87:$O87&lt;&gt;0),V$4),"N/A")</f>
        <v>N/A</v>
      </c>
      <c r="W87"/>
      <c r="X87" s="13" t="str" cm="1">
        <f t="array" ref="X87">IFERROR(INDEX(_xlfn._xlws.FILTER($H$4:$O$4,$H87:$O87&lt;&gt;0),X$4),"N/A")</f>
        <v>Southeast</v>
      </c>
      <c r="Y87" s="13" t="str" cm="1">
        <f t="array" ref="Y87">IFERROR(INDEX(_xlfn._xlws.FILTER($H$4:$O$4,$H87:$O87&lt;&gt;0),Y$4),"N/A")</f>
        <v>Southwest</v>
      </c>
      <c r="Z87" s="13" t="str" cm="1">
        <f t="array" ref="Z87">IFERROR(INDEX(_xlfn._xlws.FILTER($H$4:$O$4,$H87:$O87&lt;&gt;0),Z$4),"N/A")</f>
        <v>N/A</v>
      </c>
      <c r="AA87" s="13" t="str" cm="1">
        <f t="array" ref="AA87">IFERROR(INDEX(_xlfn._xlws.FILTER($H$4:$O$4,$H87:$O87&lt;&gt;0),AA$4),"N/A")</f>
        <v>N/A</v>
      </c>
      <c r="AB87" s="13" t="str" cm="1">
        <f t="array" ref="AB87">IFERROR(INDEX(_xlfn._xlws.FILTER($H$4:$O$4,$H87:$O87&lt;&gt;0),AB$4),"N/A")</f>
        <v>N/A</v>
      </c>
      <c r="AC87"/>
      <c r="AD87"/>
      <c r="AE87"/>
    </row>
    <row r="88" spans="2:31" x14ac:dyDescent="0.25">
      <c r="B88" s="34" t="s">
        <v>139</v>
      </c>
      <c r="C88" s="24"/>
      <c r="D88" s="24"/>
      <c r="F88" s="63" t="s">
        <v>523</v>
      </c>
      <c r="G88"/>
      <c r="H88" s="4"/>
      <c r="I88" s="4">
        <v>0</v>
      </c>
      <c r="J88" s="4"/>
      <c r="K88" s="4">
        <v>0</v>
      </c>
      <c r="L88" s="4"/>
      <c r="M88" s="4">
        <v>5.2</v>
      </c>
      <c r="N88" s="4"/>
      <c r="O88" s="4">
        <v>2.6</v>
      </c>
      <c r="P88"/>
      <c r="Q88"/>
      <c r="R88" s="10" cm="1">
        <f t="array" ref="R88">IFERROR(INDEX(_xlfn._xlws.FILTER($H88:$O88,$H88:$O88&lt;&gt;0),R$4),"N/A")</f>
        <v>5.2</v>
      </c>
      <c r="S88" s="10" cm="1">
        <f t="array" ref="S88">IFERROR(INDEX(_xlfn._xlws.FILTER($H88:$O88,$H88:$O88&lt;&gt;0),S$4),"N/A")</f>
        <v>2.6</v>
      </c>
      <c r="T88" s="10" t="str" cm="1">
        <f t="array" ref="T88">IFERROR(INDEX(_xlfn._xlws.FILTER($H88:$O88,$H88:$O88&lt;&gt;0),T$4),"N/A")</f>
        <v>N/A</v>
      </c>
      <c r="U88" s="10" t="str" cm="1">
        <f t="array" ref="U88">IFERROR(INDEX(_xlfn._xlws.FILTER($H88:$O88,$H88:$O88&lt;&gt;0),U$4),"N/A")</f>
        <v>N/A</v>
      </c>
      <c r="V88" s="10" t="str" cm="1">
        <f t="array" ref="V88">IFERROR(INDEX(_xlfn._xlws.FILTER($H88:$O88,$H88:$O88&lt;&gt;0),V$4),"N/A")</f>
        <v>N/A</v>
      </c>
      <c r="W88"/>
      <c r="X88" s="13" t="str" cm="1">
        <f t="array" ref="X88">IFERROR(INDEX(_xlfn._xlws.FILTER($H$4:$O$4,$H88:$O88&lt;&gt;0),X$4),"N/A")</f>
        <v>Southwest</v>
      </c>
      <c r="Y88" s="13" t="str" cm="1">
        <f t="array" ref="Y88">IFERROR(INDEX(_xlfn._xlws.FILTER($H$4:$O$4,$H88:$O88&lt;&gt;0),Y$4),"N/A")</f>
        <v>Northwest</v>
      </c>
      <c r="Z88" s="13" t="str" cm="1">
        <f t="array" ref="Z88">IFERROR(INDEX(_xlfn._xlws.FILTER($H$4:$O$4,$H88:$O88&lt;&gt;0),Z$4),"N/A")</f>
        <v>N/A</v>
      </c>
      <c r="AA88" s="13" t="str" cm="1">
        <f t="array" ref="AA88">IFERROR(INDEX(_xlfn._xlws.FILTER($H$4:$O$4,$H88:$O88&lt;&gt;0),AA$4),"N/A")</f>
        <v>N/A</v>
      </c>
      <c r="AB88" s="13" t="str" cm="1">
        <f t="array" ref="AB88">IFERROR(INDEX(_xlfn._xlws.FILTER($H$4:$O$4,$H88:$O88&lt;&gt;0),AB$4),"N/A")</f>
        <v>N/A</v>
      </c>
      <c r="AC88"/>
      <c r="AD88"/>
      <c r="AE88"/>
    </row>
    <row r="89" spans="2:31" x14ac:dyDescent="0.25">
      <c r="B89" s="34" t="s">
        <v>140</v>
      </c>
      <c r="C89" s="24"/>
      <c r="D89" s="24"/>
      <c r="F89" s="63" t="s">
        <v>524</v>
      </c>
      <c r="G89"/>
      <c r="H89" s="4"/>
      <c r="I89" s="4">
        <v>0</v>
      </c>
      <c r="J89" s="4"/>
      <c r="K89" s="4">
        <v>0</v>
      </c>
      <c r="L89" s="4"/>
      <c r="M89" s="4">
        <v>0</v>
      </c>
      <c r="N89" s="4"/>
      <c r="O89" s="4">
        <v>4.5299999999999994</v>
      </c>
      <c r="P89"/>
      <c r="Q89"/>
      <c r="R89" s="10" cm="1">
        <f t="array" ref="R89">IFERROR(INDEX(_xlfn._xlws.FILTER($H89:$O89,$H89:$O89&lt;&gt;0),R$4),"N/A")</f>
        <v>4.5299999999999994</v>
      </c>
      <c r="S89" s="10" t="str" cm="1">
        <f t="array" ref="S89">IFERROR(INDEX(_xlfn._xlws.FILTER($H89:$O89,$H89:$O89&lt;&gt;0),S$4),"N/A")</f>
        <v>N/A</v>
      </c>
      <c r="T89" s="10" t="str" cm="1">
        <f t="array" ref="T89">IFERROR(INDEX(_xlfn._xlws.FILTER($H89:$O89,$H89:$O89&lt;&gt;0),T$4),"N/A")</f>
        <v>N/A</v>
      </c>
      <c r="U89" s="10" t="str" cm="1">
        <f t="array" ref="U89">IFERROR(INDEX(_xlfn._xlws.FILTER($H89:$O89,$H89:$O89&lt;&gt;0),U$4),"N/A")</f>
        <v>N/A</v>
      </c>
      <c r="V89" s="10" t="str" cm="1">
        <f t="array" ref="V89">IFERROR(INDEX(_xlfn._xlws.FILTER($H89:$O89,$H89:$O89&lt;&gt;0),V$4),"N/A")</f>
        <v>N/A</v>
      </c>
      <c r="W89"/>
      <c r="X89" s="13" t="str" cm="1">
        <f t="array" ref="X89">IFERROR(INDEX(_xlfn._xlws.FILTER($H$4:$O$4,$H89:$O89&lt;&gt;0),X$4),"N/A")</f>
        <v>Northwest</v>
      </c>
      <c r="Y89" s="13" t="str" cm="1">
        <f t="array" ref="Y89">IFERROR(INDEX(_xlfn._xlws.FILTER($H$4:$O$4,$H89:$O89&lt;&gt;0),Y$4),"N/A")</f>
        <v>N/A</v>
      </c>
      <c r="Z89" s="13" t="str" cm="1">
        <f t="array" ref="Z89">IFERROR(INDEX(_xlfn._xlws.FILTER($H$4:$O$4,$H89:$O89&lt;&gt;0),Z$4),"N/A")</f>
        <v>N/A</v>
      </c>
      <c r="AA89" s="13" t="str" cm="1">
        <f t="array" ref="AA89">IFERROR(INDEX(_xlfn._xlws.FILTER($H$4:$O$4,$H89:$O89&lt;&gt;0),AA$4),"N/A")</f>
        <v>N/A</v>
      </c>
      <c r="AB89" s="13" t="str" cm="1">
        <f t="array" ref="AB89">IFERROR(INDEX(_xlfn._xlws.FILTER($H$4:$O$4,$H89:$O89&lt;&gt;0),AB$4),"N/A")</f>
        <v>N/A</v>
      </c>
      <c r="AC89"/>
      <c r="AD89"/>
      <c r="AE89"/>
    </row>
    <row r="90" spans="2:31" x14ac:dyDescent="0.25">
      <c r="B90" s="34" t="s">
        <v>141</v>
      </c>
      <c r="C90" s="24"/>
      <c r="D90" s="24"/>
      <c r="F90" s="63" t="s">
        <v>525</v>
      </c>
      <c r="G90"/>
      <c r="H90" s="4"/>
      <c r="I90" s="4">
        <v>0</v>
      </c>
      <c r="J90" s="4"/>
      <c r="K90" s="4">
        <v>0</v>
      </c>
      <c r="L90" s="4"/>
      <c r="M90" s="4">
        <v>2.6</v>
      </c>
      <c r="N90" s="4"/>
      <c r="O90" s="4">
        <v>4.5299999999999994</v>
      </c>
      <c r="P90"/>
      <c r="Q90"/>
      <c r="R90" s="10" cm="1">
        <f t="array" ref="R90">IFERROR(INDEX(_xlfn._xlws.FILTER($H90:$O90,$H90:$O90&lt;&gt;0),R$4),"N/A")</f>
        <v>2.6</v>
      </c>
      <c r="S90" s="10" cm="1">
        <f t="array" ref="S90">IFERROR(INDEX(_xlfn._xlws.FILTER($H90:$O90,$H90:$O90&lt;&gt;0),S$4),"N/A")</f>
        <v>4.5299999999999994</v>
      </c>
      <c r="T90" s="10" t="str" cm="1">
        <f t="array" ref="T90">IFERROR(INDEX(_xlfn._xlws.FILTER($H90:$O90,$H90:$O90&lt;&gt;0),T$4),"N/A")</f>
        <v>N/A</v>
      </c>
      <c r="U90" s="10" t="str" cm="1">
        <f t="array" ref="U90">IFERROR(INDEX(_xlfn._xlws.FILTER($H90:$O90,$H90:$O90&lt;&gt;0),U$4),"N/A")</f>
        <v>N/A</v>
      </c>
      <c r="V90" s="10" t="str" cm="1">
        <f t="array" ref="V90">IFERROR(INDEX(_xlfn._xlws.FILTER($H90:$O90,$H90:$O90&lt;&gt;0),V$4),"N/A")</f>
        <v>N/A</v>
      </c>
      <c r="W90"/>
      <c r="X90" s="13" t="str" cm="1">
        <f t="array" ref="X90">IFERROR(INDEX(_xlfn._xlws.FILTER($H$4:$O$4,$H90:$O90&lt;&gt;0),X$4),"N/A")</f>
        <v>Southwest</v>
      </c>
      <c r="Y90" s="13" t="str" cm="1">
        <f t="array" ref="Y90">IFERROR(INDEX(_xlfn._xlws.FILTER($H$4:$O$4,$H90:$O90&lt;&gt;0),Y$4),"N/A")</f>
        <v>Northwest</v>
      </c>
      <c r="Z90" s="13" t="str" cm="1">
        <f t="array" ref="Z90">IFERROR(INDEX(_xlfn._xlws.FILTER($H$4:$O$4,$H90:$O90&lt;&gt;0),Z$4),"N/A")</f>
        <v>N/A</v>
      </c>
      <c r="AA90" s="13" t="str" cm="1">
        <f t="array" ref="AA90">IFERROR(INDEX(_xlfn._xlws.FILTER($H$4:$O$4,$H90:$O90&lt;&gt;0),AA$4),"N/A")</f>
        <v>N/A</v>
      </c>
      <c r="AB90" s="13" t="str" cm="1">
        <f t="array" ref="AB90">IFERROR(INDEX(_xlfn._xlws.FILTER($H$4:$O$4,$H90:$O90&lt;&gt;0),AB$4),"N/A")</f>
        <v>N/A</v>
      </c>
      <c r="AC90"/>
      <c r="AD90"/>
      <c r="AE90"/>
    </row>
    <row r="91" spans="2:31" x14ac:dyDescent="0.25">
      <c r="B91" s="34" t="s">
        <v>142</v>
      </c>
      <c r="C91" s="24"/>
      <c r="D91" s="24"/>
      <c r="F91" s="63" t="s">
        <v>526</v>
      </c>
      <c r="G91"/>
      <c r="H91" s="4"/>
      <c r="I91" s="4">
        <v>0</v>
      </c>
      <c r="J91" s="4"/>
      <c r="K91" s="4">
        <v>0</v>
      </c>
      <c r="L91" s="4"/>
      <c r="M91" s="4">
        <v>5.2</v>
      </c>
      <c r="N91" s="4"/>
      <c r="O91" s="4">
        <v>0</v>
      </c>
      <c r="P91"/>
      <c r="Q91"/>
      <c r="R91" s="10" cm="1">
        <f t="array" ref="R91">IFERROR(INDEX(_xlfn._xlws.FILTER($H91:$O91,$H91:$O91&lt;&gt;0),R$4),"N/A")</f>
        <v>5.2</v>
      </c>
      <c r="S91" s="10" t="str" cm="1">
        <f t="array" ref="S91">IFERROR(INDEX(_xlfn._xlws.FILTER($H91:$O91,$H91:$O91&lt;&gt;0),S$4),"N/A")</f>
        <v>N/A</v>
      </c>
      <c r="T91" s="10" t="str" cm="1">
        <f t="array" ref="T91">IFERROR(INDEX(_xlfn._xlws.FILTER($H91:$O91,$H91:$O91&lt;&gt;0),T$4),"N/A")</f>
        <v>N/A</v>
      </c>
      <c r="U91" s="10" t="str" cm="1">
        <f t="array" ref="U91">IFERROR(INDEX(_xlfn._xlws.FILTER($H91:$O91,$H91:$O91&lt;&gt;0),U$4),"N/A")</f>
        <v>N/A</v>
      </c>
      <c r="V91" s="10" t="str" cm="1">
        <f t="array" ref="V91">IFERROR(INDEX(_xlfn._xlws.FILTER($H91:$O91,$H91:$O91&lt;&gt;0),V$4),"N/A")</f>
        <v>N/A</v>
      </c>
      <c r="W91"/>
      <c r="X91" s="13" t="str" cm="1">
        <f t="array" ref="X91">IFERROR(INDEX(_xlfn._xlws.FILTER($H$4:$O$4,$H91:$O91&lt;&gt;0),X$4),"N/A")</f>
        <v>Southwest</v>
      </c>
      <c r="Y91" s="13" t="str" cm="1">
        <f t="array" ref="Y91">IFERROR(INDEX(_xlfn._xlws.FILTER($H$4:$O$4,$H91:$O91&lt;&gt;0),Y$4),"N/A")</f>
        <v>N/A</v>
      </c>
      <c r="Z91" s="13" t="str" cm="1">
        <f t="array" ref="Z91">IFERROR(INDEX(_xlfn._xlws.FILTER($H$4:$O$4,$H91:$O91&lt;&gt;0),Z$4),"N/A")</f>
        <v>N/A</v>
      </c>
      <c r="AA91" s="13" t="str" cm="1">
        <f t="array" ref="AA91">IFERROR(INDEX(_xlfn._xlws.FILTER($H$4:$O$4,$H91:$O91&lt;&gt;0),AA$4),"N/A")</f>
        <v>N/A</v>
      </c>
      <c r="AB91" s="13" t="str" cm="1">
        <f t="array" ref="AB91">IFERROR(INDEX(_xlfn._xlws.FILTER($H$4:$O$4,$H91:$O91&lt;&gt;0),AB$4),"N/A")</f>
        <v>N/A</v>
      </c>
      <c r="AC91"/>
      <c r="AD91"/>
      <c r="AE91"/>
    </row>
    <row r="92" spans="2:31" x14ac:dyDescent="0.25">
      <c r="B92" s="34" t="s">
        <v>143</v>
      </c>
      <c r="C92" s="24"/>
      <c r="D92" s="24"/>
      <c r="F92" s="63" t="s">
        <v>527</v>
      </c>
      <c r="G92"/>
      <c r="H92" s="4"/>
      <c r="I92" s="4">
        <v>2.6</v>
      </c>
      <c r="J92" s="4"/>
      <c r="K92" s="4">
        <v>0</v>
      </c>
      <c r="L92" s="4"/>
      <c r="M92" s="4">
        <v>0</v>
      </c>
      <c r="N92" s="4"/>
      <c r="O92" s="4">
        <v>0</v>
      </c>
      <c r="P92"/>
      <c r="Q92"/>
      <c r="R92" s="10" cm="1">
        <f t="array" ref="R92">IFERROR(INDEX(_xlfn._xlws.FILTER($H92:$O92,$H92:$O92&lt;&gt;0),R$4),"N/A")</f>
        <v>2.6</v>
      </c>
      <c r="S92" s="10" t="str" cm="1">
        <f t="array" ref="S92">IFERROR(INDEX(_xlfn._xlws.FILTER($H92:$O92,$H92:$O92&lt;&gt;0),S$4),"N/A")</f>
        <v>N/A</v>
      </c>
      <c r="T92" s="10" t="str" cm="1">
        <f t="array" ref="T92">IFERROR(INDEX(_xlfn._xlws.FILTER($H92:$O92,$H92:$O92&lt;&gt;0),T$4),"N/A")</f>
        <v>N/A</v>
      </c>
      <c r="U92" s="10" t="str" cm="1">
        <f t="array" ref="U92">IFERROR(INDEX(_xlfn._xlws.FILTER($H92:$O92,$H92:$O92&lt;&gt;0),U$4),"N/A")</f>
        <v>N/A</v>
      </c>
      <c r="V92" s="10" t="str" cm="1">
        <f t="array" ref="V92">IFERROR(INDEX(_xlfn._xlws.FILTER($H92:$O92,$H92:$O92&lt;&gt;0),V$4),"N/A")</f>
        <v>N/A</v>
      </c>
      <c r="W92"/>
      <c r="X92" s="13" t="str" cm="1">
        <f t="array" ref="X92">IFERROR(INDEX(_xlfn._xlws.FILTER($H$4:$O$4,$H92:$O92&lt;&gt;0),X$4),"N/A")</f>
        <v>Northeast</v>
      </c>
      <c r="Y92" s="13" t="str" cm="1">
        <f t="array" ref="Y92">IFERROR(INDEX(_xlfn._xlws.FILTER($H$4:$O$4,$H92:$O92&lt;&gt;0),Y$4),"N/A")</f>
        <v>N/A</v>
      </c>
      <c r="Z92" s="13" t="str" cm="1">
        <f t="array" ref="Z92">IFERROR(INDEX(_xlfn._xlws.FILTER($H$4:$O$4,$H92:$O92&lt;&gt;0),Z$4),"N/A")</f>
        <v>N/A</v>
      </c>
      <c r="AA92" s="13" t="str" cm="1">
        <f t="array" ref="AA92">IFERROR(INDEX(_xlfn._xlws.FILTER($H$4:$O$4,$H92:$O92&lt;&gt;0),AA$4),"N/A")</f>
        <v>N/A</v>
      </c>
      <c r="AB92" s="13" t="str" cm="1">
        <f t="array" ref="AB92">IFERROR(INDEX(_xlfn._xlws.FILTER($H$4:$O$4,$H92:$O92&lt;&gt;0),AB$4),"N/A")</f>
        <v>N/A</v>
      </c>
      <c r="AC92"/>
      <c r="AD92"/>
      <c r="AE92"/>
    </row>
    <row r="93" spans="2:31" x14ac:dyDescent="0.25">
      <c r="B93" s="34" t="s">
        <v>144</v>
      </c>
      <c r="C93" s="24"/>
      <c r="D93" s="24"/>
      <c r="F93" s="63" t="s">
        <v>528</v>
      </c>
      <c r="G93"/>
      <c r="H93" s="4"/>
      <c r="I93" s="4">
        <v>0</v>
      </c>
      <c r="J93" s="4"/>
      <c r="K93" s="4">
        <v>0</v>
      </c>
      <c r="L93" s="4"/>
      <c r="M93" s="4">
        <v>5.2</v>
      </c>
      <c r="N93" s="4"/>
      <c r="O93" s="4">
        <v>0</v>
      </c>
      <c r="P93"/>
      <c r="Q93"/>
      <c r="R93" s="10" cm="1">
        <f t="array" ref="R93">IFERROR(INDEX(_xlfn._xlws.FILTER($H93:$O93,$H93:$O93&lt;&gt;0),R$4),"N/A")</f>
        <v>5.2</v>
      </c>
      <c r="S93" s="10" t="str" cm="1">
        <f t="array" ref="S93">IFERROR(INDEX(_xlfn._xlws.FILTER($H93:$O93,$H93:$O93&lt;&gt;0),S$4),"N/A")</f>
        <v>N/A</v>
      </c>
      <c r="T93" s="10" t="str" cm="1">
        <f t="array" ref="T93">IFERROR(INDEX(_xlfn._xlws.FILTER($H93:$O93,$H93:$O93&lt;&gt;0),T$4),"N/A")</f>
        <v>N/A</v>
      </c>
      <c r="U93" s="10" t="str" cm="1">
        <f t="array" ref="U93">IFERROR(INDEX(_xlfn._xlws.FILTER($H93:$O93,$H93:$O93&lt;&gt;0),U$4),"N/A")</f>
        <v>N/A</v>
      </c>
      <c r="V93" s="10" t="str" cm="1">
        <f t="array" ref="V93">IFERROR(INDEX(_xlfn._xlws.FILTER($H93:$O93,$H93:$O93&lt;&gt;0),V$4),"N/A")</f>
        <v>N/A</v>
      </c>
      <c r="W93"/>
      <c r="X93" s="13" t="str" cm="1">
        <f t="array" ref="X93">IFERROR(INDEX(_xlfn._xlws.FILTER($H$4:$O$4,$H93:$O93&lt;&gt;0),X$4),"N/A")</f>
        <v>Southwest</v>
      </c>
      <c r="Y93" s="13" t="str" cm="1">
        <f t="array" ref="Y93">IFERROR(INDEX(_xlfn._xlws.FILTER($H$4:$O$4,$H93:$O93&lt;&gt;0),Y$4),"N/A")</f>
        <v>N/A</v>
      </c>
      <c r="Z93" s="13" t="str" cm="1">
        <f t="array" ref="Z93">IFERROR(INDEX(_xlfn._xlws.FILTER($H$4:$O$4,$H93:$O93&lt;&gt;0),Z$4),"N/A")</f>
        <v>N/A</v>
      </c>
      <c r="AA93" s="13" t="str" cm="1">
        <f t="array" ref="AA93">IFERROR(INDEX(_xlfn._xlws.FILTER($H$4:$O$4,$H93:$O93&lt;&gt;0),AA$4),"N/A")</f>
        <v>N/A</v>
      </c>
      <c r="AB93" s="13" t="str" cm="1">
        <f t="array" ref="AB93">IFERROR(INDEX(_xlfn._xlws.FILTER($H$4:$O$4,$H93:$O93&lt;&gt;0),AB$4),"N/A")</f>
        <v>N/A</v>
      </c>
      <c r="AC93"/>
      <c r="AD93"/>
      <c r="AE93"/>
    </row>
    <row r="94" spans="2:31" x14ac:dyDescent="0.25">
      <c r="B94" s="34" t="s">
        <v>145</v>
      </c>
      <c r="C94" s="24"/>
      <c r="D94" s="24"/>
      <c r="F94" s="63" t="s">
        <v>529</v>
      </c>
      <c r="G94"/>
      <c r="H94" s="4"/>
      <c r="I94" s="4">
        <v>5.2</v>
      </c>
      <c r="J94" s="4"/>
      <c r="K94" s="4">
        <v>0</v>
      </c>
      <c r="L94" s="4"/>
      <c r="M94" s="4">
        <v>0</v>
      </c>
      <c r="N94" s="4"/>
      <c r="O94" s="4">
        <v>0</v>
      </c>
      <c r="P94"/>
      <c r="Q94"/>
      <c r="R94" s="10" cm="1">
        <f t="array" ref="R94">IFERROR(INDEX(_xlfn._xlws.FILTER($H94:$O94,$H94:$O94&lt;&gt;0),R$4),"N/A")</f>
        <v>5.2</v>
      </c>
      <c r="S94" s="10" t="str" cm="1">
        <f t="array" ref="S94">IFERROR(INDEX(_xlfn._xlws.FILTER($H94:$O94,$H94:$O94&lt;&gt;0),S$4),"N/A")</f>
        <v>N/A</v>
      </c>
      <c r="T94" s="10" t="str" cm="1">
        <f t="array" ref="T94">IFERROR(INDEX(_xlfn._xlws.FILTER($H94:$O94,$H94:$O94&lt;&gt;0),T$4),"N/A")</f>
        <v>N/A</v>
      </c>
      <c r="U94" s="10" t="str" cm="1">
        <f t="array" ref="U94">IFERROR(INDEX(_xlfn._xlws.FILTER($H94:$O94,$H94:$O94&lt;&gt;0),U$4),"N/A")</f>
        <v>N/A</v>
      </c>
      <c r="V94" s="10" t="str" cm="1">
        <f t="array" ref="V94">IFERROR(INDEX(_xlfn._xlws.FILTER($H94:$O94,$H94:$O94&lt;&gt;0),V$4),"N/A")</f>
        <v>N/A</v>
      </c>
      <c r="W94"/>
      <c r="X94" s="13" t="str" cm="1">
        <f t="array" ref="X94">IFERROR(INDEX(_xlfn._xlws.FILTER($H$4:$O$4,$H94:$O94&lt;&gt;0),X$4),"N/A")</f>
        <v>Northeast</v>
      </c>
      <c r="Y94" s="13" t="str" cm="1">
        <f t="array" ref="Y94">IFERROR(INDEX(_xlfn._xlws.FILTER($H$4:$O$4,$H94:$O94&lt;&gt;0),Y$4),"N/A")</f>
        <v>N/A</v>
      </c>
      <c r="Z94" s="13" t="str" cm="1">
        <f t="array" ref="Z94">IFERROR(INDEX(_xlfn._xlws.FILTER($H$4:$O$4,$H94:$O94&lt;&gt;0),Z$4),"N/A")</f>
        <v>N/A</v>
      </c>
      <c r="AA94" s="13" t="str" cm="1">
        <f t="array" ref="AA94">IFERROR(INDEX(_xlfn._xlws.FILTER($H$4:$O$4,$H94:$O94&lt;&gt;0),AA$4),"N/A")</f>
        <v>N/A</v>
      </c>
      <c r="AB94" s="13" t="str" cm="1">
        <f t="array" ref="AB94">IFERROR(INDEX(_xlfn._xlws.FILTER($H$4:$O$4,$H94:$O94&lt;&gt;0),AB$4),"N/A")</f>
        <v>N/A</v>
      </c>
      <c r="AC94"/>
      <c r="AD94"/>
      <c r="AE94"/>
    </row>
    <row r="95" spans="2:31" x14ac:dyDescent="0.25">
      <c r="B95" s="34" t="s">
        <v>146</v>
      </c>
      <c r="C95" s="24"/>
      <c r="D95" s="24"/>
      <c r="F95" s="63" t="s">
        <v>530</v>
      </c>
      <c r="G95"/>
      <c r="H95" s="4"/>
      <c r="I95" s="4">
        <v>0</v>
      </c>
      <c r="J95" s="4"/>
      <c r="K95" s="4">
        <v>0</v>
      </c>
      <c r="L95" s="4"/>
      <c r="M95" s="4">
        <v>2.6</v>
      </c>
      <c r="N95" s="4"/>
      <c r="O95" s="4">
        <v>0</v>
      </c>
      <c r="P95"/>
      <c r="Q95"/>
      <c r="R95" s="10" cm="1">
        <f t="array" ref="R95">IFERROR(INDEX(_xlfn._xlws.FILTER($H95:$O95,$H95:$O95&lt;&gt;0),R$4),"N/A")</f>
        <v>2.6</v>
      </c>
      <c r="S95" s="10" t="str" cm="1">
        <f t="array" ref="S95">IFERROR(INDEX(_xlfn._xlws.FILTER($H95:$O95,$H95:$O95&lt;&gt;0),S$4),"N/A")</f>
        <v>N/A</v>
      </c>
      <c r="T95" s="10" t="str" cm="1">
        <f t="array" ref="T95">IFERROR(INDEX(_xlfn._xlws.FILTER($H95:$O95,$H95:$O95&lt;&gt;0),T$4),"N/A")</f>
        <v>N/A</v>
      </c>
      <c r="U95" s="10" t="str" cm="1">
        <f t="array" ref="U95">IFERROR(INDEX(_xlfn._xlws.FILTER($H95:$O95,$H95:$O95&lt;&gt;0),U$4),"N/A")</f>
        <v>N/A</v>
      </c>
      <c r="V95" s="10" t="str" cm="1">
        <f t="array" ref="V95">IFERROR(INDEX(_xlfn._xlws.FILTER($H95:$O95,$H95:$O95&lt;&gt;0),V$4),"N/A")</f>
        <v>N/A</v>
      </c>
      <c r="W95"/>
      <c r="X95" s="13" t="str" cm="1">
        <f t="array" ref="X95">IFERROR(INDEX(_xlfn._xlws.FILTER($H$4:$O$4,$H95:$O95&lt;&gt;0),X$4),"N/A")</f>
        <v>Southwest</v>
      </c>
      <c r="Y95" s="13" t="str" cm="1">
        <f t="array" ref="Y95">IFERROR(INDEX(_xlfn._xlws.FILTER($H$4:$O$4,$H95:$O95&lt;&gt;0),Y$4),"N/A")</f>
        <v>N/A</v>
      </c>
      <c r="Z95" s="13" t="str" cm="1">
        <f t="array" ref="Z95">IFERROR(INDEX(_xlfn._xlws.FILTER($H$4:$O$4,$H95:$O95&lt;&gt;0),Z$4),"N/A")</f>
        <v>N/A</v>
      </c>
      <c r="AA95" s="13" t="str" cm="1">
        <f t="array" ref="AA95">IFERROR(INDEX(_xlfn._xlws.FILTER($H$4:$O$4,$H95:$O95&lt;&gt;0),AA$4),"N/A")</f>
        <v>N/A</v>
      </c>
      <c r="AB95" s="13" t="str" cm="1">
        <f t="array" ref="AB95">IFERROR(INDEX(_xlfn._xlws.FILTER($H$4:$O$4,$H95:$O95&lt;&gt;0),AB$4),"N/A")</f>
        <v>N/A</v>
      </c>
      <c r="AC95"/>
      <c r="AD95"/>
      <c r="AE95"/>
    </row>
    <row r="96" spans="2:31" x14ac:dyDescent="0.25">
      <c r="F96" s="63" t="s">
        <v>531</v>
      </c>
      <c r="G96"/>
      <c r="H96" s="4"/>
      <c r="I96" s="4">
        <v>5.2</v>
      </c>
      <c r="J96" s="4"/>
      <c r="K96" s="4">
        <v>0</v>
      </c>
      <c r="L96" s="4"/>
      <c r="M96" s="4">
        <v>0</v>
      </c>
      <c r="N96" s="4"/>
      <c r="O96" s="4">
        <v>0</v>
      </c>
      <c r="P96"/>
      <c r="Q96"/>
      <c r="R96" s="10" cm="1">
        <f t="array" ref="R96">IFERROR(INDEX(_xlfn._xlws.FILTER($H96:$O96,$H96:$O96&lt;&gt;0),R$4),"N/A")</f>
        <v>5.2</v>
      </c>
      <c r="S96" s="10" t="str" cm="1">
        <f t="array" ref="S96">IFERROR(INDEX(_xlfn._xlws.FILTER($H96:$O96,$H96:$O96&lt;&gt;0),S$4),"N/A")</f>
        <v>N/A</v>
      </c>
      <c r="T96" s="10" t="str" cm="1">
        <f t="array" ref="T96">IFERROR(INDEX(_xlfn._xlws.FILTER($H96:$O96,$H96:$O96&lt;&gt;0),T$4),"N/A")</f>
        <v>N/A</v>
      </c>
      <c r="U96" s="10" t="str" cm="1">
        <f t="array" ref="U96">IFERROR(INDEX(_xlfn._xlws.FILTER($H96:$O96,$H96:$O96&lt;&gt;0),U$4),"N/A")</f>
        <v>N/A</v>
      </c>
      <c r="V96" s="10" t="str" cm="1">
        <f t="array" ref="V96">IFERROR(INDEX(_xlfn._xlws.FILTER($H96:$O96,$H96:$O96&lt;&gt;0),V$4),"N/A")</f>
        <v>N/A</v>
      </c>
      <c r="W96"/>
      <c r="X96" s="13" t="str" cm="1">
        <f t="array" ref="X96">IFERROR(INDEX(_xlfn._xlws.FILTER($H$4:$O$4,$H96:$O96&lt;&gt;0),X$4),"N/A")</f>
        <v>Northeast</v>
      </c>
      <c r="Y96" s="13" t="str" cm="1">
        <f t="array" ref="Y96">IFERROR(INDEX(_xlfn._xlws.FILTER($H$4:$O$4,$H96:$O96&lt;&gt;0),Y$4),"N/A")</f>
        <v>N/A</v>
      </c>
      <c r="Z96" s="13" t="str" cm="1">
        <f t="array" ref="Z96">IFERROR(INDEX(_xlfn._xlws.FILTER($H$4:$O$4,$H96:$O96&lt;&gt;0),Z$4),"N/A")</f>
        <v>N/A</v>
      </c>
      <c r="AA96" s="13" t="str" cm="1">
        <f t="array" ref="AA96">IFERROR(INDEX(_xlfn._xlws.FILTER($H$4:$O$4,$H96:$O96&lt;&gt;0),AA$4),"N/A")</f>
        <v>N/A</v>
      </c>
      <c r="AB96" s="13" t="str" cm="1">
        <f t="array" ref="AB96">IFERROR(INDEX(_xlfn._xlws.FILTER($H$4:$O$4,$H96:$O96&lt;&gt;0),AB$4),"N/A")</f>
        <v>N/A</v>
      </c>
      <c r="AC96"/>
      <c r="AD96"/>
      <c r="AE96"/>
    </row>
    <row r="97" spans="6:31" x14ac:dyDescent="0.25">
      <c r="F97" s="63" t="s">
        <v>532</v>
      </c>
      <c r="G97"/>
      <c r="H97" s="4"/>
      <c r="I97" s="4">
        <v>2.6</v>
      </c>
      <c r="J97" s="4"/>
      <c r="K97" s="4">
        <v>5.2</v>
      </c>
      <c r="L97" s="4"/>
      <c r="M97" s="4">
        <v>0</v>
      </c>
      <c r="N97" s="4"/>
      <c r="O97" s="4">
        <v>0</v>
      </c>
      <c r="P97"/>
      <c r="Q97"/>
      <c r="R97" s="10" cm="1">
        <f t="array" ref="R97">IFERROR(INDEX(_xlfn._xlws.FILTER($H97:$O97,$H97:$O97&lt;&gt;0),R$4),"N/A")</f>
        <v>2.6</v>
      </c>
      <c r="S97" s="10" cm="1">
        <f t="array" ref="S97">IFERROR(INDEX(_xlfn._xlws.FILTER($H97:$O97,$H97:$O97&lt;&gt;0),S$4),"N/A")</f>
        <v>5.2</v>
      </c>
      <c r="T97" s="10" t="str" cm="1">
        <f t="array" ref="T97">IFERROR(INDEX(_xlfn._xlws.FILTER($H97:$O97,$H97:$O97&lt;&gt;0),T$4),"N/A")</f>
        <v>N/A</v>
      </c>
      <c r="U97" s="10" t="str" cm="1">
        <f t="array" ref="U97">IFERROR(INDEX(_xlfn._xlws.FILTER($H97:$O97,$H97:$O97&lt;&gt;0),U$4),"N/A")</f>
        <v>N/A</v>
      </c>
      <c r="V97" s="10" t="str" cm="1">
        <f t="array" ref="V97">IFERROR(INDEX(_xlfn._xlws.FILTER($H97:$O97,$H97:$O97&lt;&gt;0),V$4),"N/A")</f>
        <v>N/A</v>
      </c>
      <c r="W97"/>
      <c r="X97" s="13" t="str" cm="1">
        <f t="array" ref="X97">IFERROR(INDEX(_xlfn._xlws.FILTER($H$4:$O$4,$H97:$O97&lt;&gt;0),X$4),"N/A")</f>
        <v>Northeast</v>
      </c>
      <c r="Y97" s="13" t="str" cm="1">
        <f t="array" ref="Y97">IFERROR(INDEX(_xlfn._xlws.FILTER($H$4:$O$4,$H97:$O97&lt;&gt;0),Y$4),"N/A")</f>
        <v>Southeast</v>
      </c>
      <c r="Z97" s="13" t="str" cm="1">
        <f t="array" ref="Z97">IFERROR(INDEX(_xlfn._xlws.FILTER($H$4:$O$4,$H97:$O97&lt;&gt;0),Z$4),"N/A")</f>
        <v>N/A</v>
      </c>
      <c r="AA97" s="13" t="str" cm="1">
        <f t="array" ref="AA97">IFERROR(INDEX(_xlfn._xlws.FILTER($H$4:$O$4,$H97:$O97&lt;&gt;0),AA$4),"N/A")</f>
        <v>N/A</v>
      </c>
      <c r="AB97" s="13" t="str" cm="1">
        <f t="array" ref="AB97">IFERROR(INDEX(_xlfn._xlws.FILTER($H$4:$O$4,$H97:$O97&lt;&gt;0),AB$4),"N/A")</f>
        <v>N/A</v>
      </c>
      <c r="AC97"/>
      <c r="AD97"/>
      <c r="AE97"/>
    </row>
    <row r="98" spans="6:31" x14ac:dyDescent="0.25">
      <c r="F98" s="63" t="s">
        <v>533</v>
      </c>
      <c r="G98"/>
      <c r="H98" s="4"/>
      <c r="I98" s="4">
        <v>0</v>
      </c>
      <c r="J98" s="4"/>
      <c r="K98" s="4">
        <v>5.2</v>
      </c>
      <c r="L98" s="4"/>
      <c r="M98" s="4">
        <v>0</v>
      </c>
      <c r="N98" s="4"/>
      <c r="O98" s="4">
        <v>0</v>
      </c>
      <c r="P98"/>
      <c r="Q98"/>
      <c r="R98" s="10" cm="1">
        <f t="array" ref="R98">IFERROR(INDEX(_xlfn._xlws.FILTER($H98:$O98,$H98:$O98&lt;&gt;0),R$4),"N/A")</f>
        <v>5.2</v>
      </c>
      <c r="S98" s="10" t="str" cm="1">
        <f t="array" ref="S98">IFERROR(INDEX(_xlfn._xlws.FILTER($H98:$O98,$H98:$O98&lt;&gt;0),S$4),"N/A")</f>
        <v>N/A</v>
      </c>
      <c r="T98" s="10" t="str" cm="1">
        <f t="array" ref="T98">IFERROR(INDEX(_xlfn._xlws.FILTER($H98:$O98,$H98:$O98&lt;&gt;0),T$4),"N/A")</f>
        <v>N/A</v>
      </c>
      <c r="U98" s="10" t="str" cm="1">
        <f t="array" ref="U98">IFERROR(INDEX(_xlfn._xlws.FILTER($H98:$O98,$H98:$O98&lt;&gt;0),U$4),"N/A")</f>
        <v>N/A</v>
      </c>
      <c r="V98" s="10" t="str" cm="1">
        <f t="array" ref="V98">IFERROR(INDEX(_xlfn._xlws.FILTER($H98:$O98,$H98:$O98&lt;&gt;0),V$4),"N/A")</f>
        <v>N/A</v>
      </c>
      <c r="W98"/>
      <c r="X98" s="13" t="str" cm="1">
        <f t="array" ref="X98">IFERROR(INDEX(_xlfn._xlws.FILTER($H$4:$O$4,$H98:$O98&lt;&gt;0),X$4),"N/A")</f>
        <v>Southeast</v>
      </c>
      <c r="Y98" s="13" t="str" cm="1">
        <f t="array" ref="Y98">IFERROR(INDEX(_xlfn._xlws.FILTER($H$4:$O$4,$H98:$O98&lt;&gt;0),Y$4),"N/A")</f>
        <v>N/A</v>
      </c>
      <c r="Z98" s="13" t="str" cm="1">
        <f t="array" ref="Z98">IFERROR(INDEX(_xlfn._xlws.FILTER($H$4:$O$4,$H98:$O98&lt;&gt;0),Z$4),"N/A")</f>
        <v>N/A</v>
      </c>
      <c r="AA98" s="13" t="str" cm="1">
        <f t="array" ref="AA98">IFERROR(INDEX(_xlfn._xlws.FILTER($H$4:$O$4,$H98:$O98&lt;&gt;0),AA$4),"N/A")</f>
        <v>N/A</v>
      </c>
      <c r="AB98" s="13" t="str" cm="1">
        <f t="array" ref="AB98">IFERROR(INDEX(_xlfn._xlws.FILTER($H$4:$O$4,$H98:$O98&lt;&gt;0),AB$4),"N/A")</f>
        <v>N/A</v>
      </c>
      <c r="AC98"/>
      <c r="AD98"/>
      <c r="AE98"/>
    </row>
    <row r="99" spans="6:31" x14ac:dyDescent="0.25">
      <c r="F99" s="63" t="s">
        <v>534</v>
      </c>
      <c r="G99"/>
      <c r="H99" s="4"/>
      <c r="I99" s="4">
        <v>0</v>
      </c>
      <c r="J99" s="4"/>
      <c r="K99" s="4">
        <v>5.2</v>
      </c>
      <c r="L99" s="4"/>
      <c r="M99" s="4">
        <v>2.6</v>
      </c>
      <c r="N99" s="4"/>
      <c r="O99" s="4">
        <v>0</v>
      </c>
      <c r="P99"/>
      <c r="Q99"/>
      <c r="R99" s="10" cm="1">
        <f t="array" ref="R99">IFERROR(INDEX(_xlfn._xlws.FILTER($H99:$O99,$H99:$O99&lt;&gt;0),R$4),"N/A")</f>
        <v>5.2</v>
      </c>
      <c r="S99" s="10" cm="1">
        <f t="array" ref="S99">IFERROR(INDEX(_xlfn._xlws.FILTER($H99:$O99,$H99:$O99&lt;&gt;0),S$4),"N/A")</f>
        <v>2.6</v>
      </c>
      <c r="T99" s="10" t="str" cm="1">
        <f t="array" ref="T99">IFERROR(INDEX(_xlfn._xlws.FILTER($H99:$O99,$H99:$O99&lt;&gt;0),T$4),"N/A")</f>
        <v>N/A</v>
      </c>
      <c r="U99" s="10" t="str" cm="1">
        <f t="array" ref="U99">IFERROR(INDEX(_xlfn._xlws.FILTER($H99:$O99,$H99:$O99&lt;&gt;0),U$4),"N/A")</f>
        <v>N/A</v>
      </c>
      <c r="V99" s="10" t="str" cm="1">
        <f t="array" ref="V99">IFERROR(INDEX(_xlfn._xlws.FILTER($H99:$O99,$H99:$O99&lt;&gt;0),V$4),"N/A")</f>
        <v>N/A</v>
      </c>
      <c r="W99"/>
      <c r="X99" s="13" t="str" cm="1">
        <f t="array" ref="X99">IFERROR(INDEX(_xlfn._xlws.FILTER($H$4:$O$4,$H99:$O99&lt;&gt;0),X$4),"N/A")</f>
        <v>Southeast</v>
      </c>
      <c r="Y99" s="13" t="str" cm="1">
        <f t="array" ref="Y99">IFERROR(INDEX(_xlfn._xlws.FILTER($H$4:$O$4,$H99:$O99&lt;&gt;0),Y$4),"N/A")</f>
        <v>Southwest</v>
      </c>
      <c r="Z99" s="13" t="str" cm="1">
        <f t="array" ref="Z99">IFERROR(INDEX(_xlfn._xlws.FILTER($H$4:$O$4,$H99:$O99&lt;&gt;0),Z$4),"N/A")</f>
        <v>N/A</v>
      </c>
      <c r="AA99" s="13" t="str" cm="1">
        <f t="array" ref="AA99">IFERROR(INDEX(_xlfn._xlws.FILTER($H$4:$O$4,$H99:$O99&lt;&gt;0),AA$4),"N/A")</f>
        <v>N/A</v>
      </c>
      <c r="AB99" s="13" t="str" cm="1">
        <f t="array" ref="AB99">IFERROR(INDEX(_xlfn._xlws.FILTER($H$4:$O$4,$H99:$O99&lt;&gt;0),AB$4),"N/A")</f>
        <v>N/A</v>
      </c>
      <c r="AC99"/>
      <c r="AD99"/>
      <c r="AE99"/>
    </row>
    <row r="100" spans="6:31" x14ac:dyDescent="0.25">
      <c r="F100" s="63" t="s">
        <v>535</v>
      </c>
      <c r="G100"/>
      <c r="H100" s="4"/>
      <c r="I100" s="4">
        <v>0</v>
      </c>
      <c r="J100" s="4"/>
      <c r="K100" s="4">
        <v>0</v>
      </c>
      <c r="L100" s="4"/>
      <c r="M100" s="4">
        <v>5.2</v>
      </c>
      <c r="N100" s="4"/>
      <c r="O100" s="4">
        <v>2.6</v>
      </c>
      <c r="P100"/>
      <c r="Q100"/>
      <c r="R100" s="10" cm="1">
        <f t="array" ref="R100">IFERROR(INDEX(_xlfn._xlws.FILTER($H100:$O100,$H100:$O100&lt;&gt;0),R$4),"N/A")</f>
        <v>5.2</v>
      </c>
      <c r="S100" s="10" cm="1">
        <f t="array" ref="S100">IFERROR(INDEX(_xlfn._xlws.FILTER($H100:$O100,$H100:$O100&lt;&gt;0),S$4),"N/A")</f>
        <v>2.6</v>
      </c>
      <c r="T100" s="10" t="str" cm="1">
        <f t="array" ref="T100">IFERROR(INDEX(_xlfn._xlws.FILTER($H100:$O100,$H100:$O100&lt;&gt;0),T$4),"N/A")</f>
        <v>N/A</v>
      </c>
      <c r="U100" s="10" t="str" cm="1">
        <f t="array" ref="U100">IFERROR(INDEX(_xlfn._xlws.FILTER($H100:$O100,$H100:$O100&lt;&gt;0),U$4),"N/A")</f>
        <v>N/A</v>
      </c>
      <c r="V100" s="10" t="str" cm="1">
        <f t="array" ref="V100">IFERROR(INDEX(_xlfn._xlws.FILTER($H100:$O100,$H100:$O100&lt;&gt;0),V$4),"N/A")</f>
        <v>N/A</v>
      </c>
      <c r="W100"/>
      <c r="X100" s="13" t="str" cm="1">
        <f t="array" ref="X100">IFERROR(INDEX(_xlfn._xlws.FILTER($H$4:$O$4,$H100:$O100&lt;&gt;0),X$4),"N/A")</f>
        <v>Southwest</v>
      </c>
      <c r="Y100" s="13" t="str" cm="1">
        <f t="array" ref="Y100">IFERROR(INDEX(_xlfn._xlws.FILTER($H$4:$O$4,$H100:$O100&lt;&gt;0),Y$4),"N/A")</f>
        <v>Northwest</v>
      </c>
      <c r="Z100" s="13" t="str" cm="1">
        <f t="array" ref="Z100">IFERROR(INDEX(_xlfn._xlws.FILTER($H$4:$O$4,$H100:$O100&lt;&gt;0),Z$4),"N/A")</f>
        <v>N/A</v>
      </c>
      <c r="AA100" s="13" t="str" cm="1">
        <f t="array" ref="AA100">IFERROR(INDEX(_xlfn._xlws.FILTER($H$4:$O$4,$H100:$O100&lt;&gt;0),AA$4),"N/A")</f>
        <v>N/A</v>
      </c>
      <c r="AB100" s="13" t="str" cm="1">
        <f t="array" ref="AB100">IFERROR(INDEX(_xlfn._xlws.FILTER($H$4:$O$4,$H100:$O100&lt;&gt;0),AB$4),"N/A")</f>
        <v>N/A</v>
      </c>
      <c r="AC100"/>
      <c r="AD100"/>
      <c r="AE100"/>
    </row>
  </sheetData>
  <conditionalFormatting sqref="X6:AB100">
    <cfRule type="cellIs" dxfId="195" priority="3" operator="equal">
      <formula>"H"</formula>
    </cfRule>
    <cfRule type="cellIs" dxfId="194" priority="4" operator="equal">
      <formula>"N/A"</formula>
    </cfRule>
    <cfRule type="cellIs" dxfId="193" priority="5" operator="equal">
      <formula>"North"</formula>
    </cfRule>
    <cfRule type="cellIs" dxfId="192" priority="6" operator="equal">
      <formula>"Northeast"</formula>
    </cfRule>
    <cfRule type="cellIs" dxfId="191" priority="7" operator="equal">
      <formula>"East"</formula>
    </cfRule>
    <cfRule type="cellIs" dxfId="190" priority="8" operator="equal">
      <formula>"Southeast"</formula>
    </cfRule>
    <cfRule type="cellIs" dxfId="189" priority="9" operator="equal">
      <formula>"South"</formula>
    </cfRule>
    <cfRule type="cellIs" dxfId="188" priority="10" operator="equal">
      <formula>"West"</formula>
    </cfRule>
    <cfRule type="cellIs" dxfId="187" priority="11" operator="equal">
      <formula>"Northwest"</formula>
    </cfRule>
    <cfRule type="cellIs" dxfId="186" priority="12" operator="equal">
      <formula>"Southwest"</formula>
    </cfRule>
  </conditionalFormatting>
  <conditionalFormatting sqref="C6:C41">
    <cfRule type="cellIs" dxfId="185" priority="1" operator="equal">
      <formula>"Yes"</formula>
    </cfRule>
    <cfRule type="cellIs" dxfId="184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D952-09F1-4515-82DE-824F2CF54D2F}">
  <sheetPr codeName="Sheet8">
    <tabColor theme="7" tint="0.79998168889431442"/>
  </sheetPr>
  <dimension ref="A1:CP184"/>
  <sheetViews>
    <sheetView showGridLines="0" workbookViewId="0">
      <selection activeCell="X17" sqref="X17"/>
    </sheetView>
  </sheetViews>
  <sheetFormatPr defaultRowHeight="11.4" x14ac:dyDescent="0.2"/>
  <cols>
    <col min="1" max="4" width="8.796875" style="38"/>
    <col min="5" max="5" width="10.09765625" style="38" customWidth="1"/>
    <col min="6" max="6" width="4.5" style="38" bestFit="1" customWidth="1"/>
    <col min="7" max="7" width="13.59765625" style="38" customWidth="1"/>
    <col min="8" max="9" width="4.5" style="38" bestFit="1" customWidth="1"/>
    <col min="10" max="10" width="8.3984375" style="38" customWidth="1"/>
    <col min="11" max="11" width="6.09765625" style="38" customWidth="1"/>
    <col min="12" max="12" width="6.5" style="38" customWidth="1"/>
    <col min="13" max="13" width="4.8984375" style="38" customWidth="1"/>
    <col min="14" max="14" width="9.8984375" style="38" customWidth="1"/>
    <col min="15" max="15" width="4.5" style="38" bestFit="1" customWidth="1"/>
    <col min="16" max="16" width="14.19921875" style="38" customWidth="1"/>
    <col min="17" max="18" width="4.5" style="38" bestFit="1" customWidth="1"/>
    <col min="19" max="19" width="8.8984375" style="38" customWidth="1"/>
    <col min="20" max="20" width="4.5" style="38" bestFit="1" customWidth="1"/>
    <col min="21" max="21" width="5.5" style="38" bestFit="1" customWidth="1"/>
    <col min="22" max="22" width="5.19921875" style="38" bestFit="1" customWidth="1"/>
    <col min="23" max="23" width="9.8984375" style="38" customWidth="1"/>
    <col min="24" max="24" width="6.09765625" style="38" customWidth="1"/>
    <col min="25" max="25" width="16.09765625" style="38" customWidth="1"/>
    <col min="26" max="27" width="6.09765625" style="38" customWidth="1"/>
    <col min="28" max="28" width="8.09765625" style="38" bestFit="1" customWidth="1"/>
    <col min="29" max="29" width="6.09765625" style="38" customWidth="1"/>
    <col min="30" max="30" width="6.5" style="38" customWidth="1"/>
    <col min="31" max="31" width="4.8984375" style="38" customWidth="1"/>
    <col min="32" max="32" width="9.796875" style="38" customWidth="1"/>
    <col min="33" max="33" width="6.09765625" style="38" customWidth="1"/>
    <col min="34" max="34" width="13.5" style="38" customWidth="1"/>
    <col min="35" max="39" width="6.09765625" style="38" customWidth="1"/>
    <col min="40" max="41" width="4" style="38" customWidth="1"/>
    <col min="42" max="48" width="6.09765625" style="38" customWidth="1"/>
    <col min="49" max="50" width="4" style="38" customWidth="1"/>
    <col min="51" max="57" width="6.09765625" style="38" customWidth="1"/>
    <col min="58" max="59" width="4" style="38" customWidth="1"/>
    <col min="60" max="66" width="6.09765625" style="38" customWidth="1"/>
    <col min="67" max="68" width="4" style="38" customWidth="1"/>
    <col min="69" max="75" width="6.09765625" style="38" customWidth="1"/>
    <col min="76" max="77" width="4" style="38" customWidth="1"/>
    <col min="78" max="84" width="6.09765625" style="38" customWidth="1"/>
    <col min="85" max="86" width="4" style="38" customWidth="1"/>
    <col min="87" max="88" width="6.09765625" style="38" customWidth="1"/>
    <col min="89" max="89" width="8.796875" style="38"/>
    <col min="90" max="93" width="6.09765625" style="38" customWidth="1"/>
    <col min="94" max="94" width="4" style="38" customWidth="1"/>
    <col min="95" max="16384" width="8.796875" style="38"/>
  </cols>
  <sheetData>
    <row r="1" spans="1:94" ht="87.6" customHeight="1" x14ac:dyDescent="0.2">
      <c r="A1" s="35" t="s">
        <v>93</v>
      </c>
      <c r="B1" s="35" t="s">
        <v>92</v>
      </c>
      <c r="C1" s="35" t="s">
        <v>0</v>
      </c>
      <c r="D1" s="35" t="s">
        <v>8</v>
      </c>
      <c r="E1" s="36" t="s">
        <v>14</v>
      </c>
      <c r="F1" s="36" t="s">
        <v>15</v>
      </c>
      <c r="G1" s="36" t="s">
        <v>16</v>
      </c>
      <c r="H1" s="36" t="s">
        <v>17</v>
      </c>
      <c r="I1" s="36" t="s">
        <v>18</v>
      </c>
      <c r="J1" s="36" t="s">
        <v>19</v>
      </c>
      <c r="K1" s="36" t="s">
        <v>20</v>
      </c>
      <c r="L1" s="36" t="s">
        <v>21</v>
      </c>
      <c r="M1" s="36" t="s">
        <v>22</v>
      </c>
      <c r="N1" s="37" t="s">
        <v>23</v>
      </c>
      <c r="O1" s="37" t="s">
        <v>24</v>
      </c>
      <c r="P1" s="37" t="s">
        <v>25</v>
      </c>
      <c r="Q1" s="37" t="s">
        <v>26</v>
      </c>
      <c r="R1" s="37" t="s">
        <v>27</v>
      </c>
      <c r="S1" s="37" t="s">
        <v>28</v>
      </c>
      <c r="T1" s="37" t="s">
        <v>29</v>
      </c>
      <c r="U1" s="37" t="s">
        <v>30</v>
      </c>
      <c r="V1" s="37" t="s">
        <v>31</v>
      </c>
      <c r="W1" s="36" t="s">
        <v>32</v>
      </c>
      <c r="X1" s="36" t="s">
        <v>33</v>
      </c>
      <c r="Y1" s="36" t="s">
        <v>34</v>
      </c>
      <c r="Z1" s="36" t="s">
        <v>35</v>
      </c>
      <c r="AA1" s="36" t="s">
        <v>36</v>
      </c>
      <c r="AB1" s="36" t="s">
        <v>37</v>
      </c>
      <c r="AC1" s="36" t="s">
        <v>38</v>
      </c>
      <c r="AD1" s="36" t="s">
        <v>39</v>
      </c>
      <c r="AE1" s="36" t="s">
        <v>40</v>
      </c>
      <c r="AF1" s="37" t="s">
        <v>41</v>
      </c>
      <c r="AG1" s="37" t="s">
        <v>42</v>
      </c>
      <c r="AH1" s="37" t="s">
        <v>43</v>
      </c>
      <c r="AI1" s="37" t="s">
        <v>44</v>
      </c>
      <c r="AJ1" s="37" t="s">
        <v>45</v>
      </c>
      <c r="AK1" s="37" t="s">
        <v>46</v>
      </c>
      <c r="AL1" s="37" t="s">
        <v>47</v>
      </c>
      <c r="AM1" s="37" t="s">
        <v>48</v>
      </c>
      <c r="AN1" s="37" t="s">
        <v>49</v>
      </c>
      <c r="AO1" s="36" t="s">
        <v>50</v>
      </c>
      <c r="AP1" s="36" t="s">
        <v>51</v>
      </c>
      <c r="AQ1" s="36" t="s">
        <v>52</v>
      </c>
      <c r="AR1" s="36" t="s">
        <v>53</v>
      </c>
      <c r="AS1" s="36" t="s">
        <v>54</v>
      </c>
      <c r="AT1" s="36" t="s">
        <v>55</v>
      </c>
      <c r="AU1" s="36" t="s">
        <v>56</v>
      </c>
      <c r="AV1" s="36" t="s">
        <v>57</v>
      </c>
      <c r="AW1" s="36" t="s">
        <v>58</v>
      </c>
      <c r="AX1" s="37" t="s">
        <v>102</v>
      </c>
      <c r="AY1" s="37" t="s">
        <v>103</v>
      </c>
      <c r="AZ1" s="37" t="s">
        <v>104</v>
      </c>
      <c r="BA1" s="37" t="s">
        <v>105</v>
      </c>
      <c r="BB1" s="37" t="s">
        <v>106</v>
      </c>
      <c r="BC1" s="37" t="s">
        <v>107</v>
      </c>
      <c r="BD1" s="37" t="s">
        <v>108</v>
      </c>
      <c r="BE1" s="37" t="s">
        <v>109</v>
      </c>
      <c r="BF1" s="37" t="s">
        <v>110</v>
      </c>
      <c r="BG1" s="36" t="s">
        <v>111</v>
      </c>
      <c r="BH1" s="36" t="s">
        <v>112</v>
      </c>
      <c r="BI1" s="36" t="s">
        <v>113</v>
      </c>
      <c r="BJ1" s="36" t="s">
        <v>114</v>
      </c>
      <c r="BK1" s="36" t="s">
        <v>115</v>
      </c>
      <c r="BL1" s="36" t="s">
        <v>116</v>
      </c>
      <c r="BM1" s="36" t="s">
        <v>117</v>
      </c>
      <c r="BN1" s="36" t="s">
        <v>118</v>
      </c>
      <c r="BO1" s="36" t="s">
        <v>119</v>
      </c>
      <c r="BP1" s="37" t="s">
        <v>120</v>
      </c>
      <c r="BQ1" s="37" t="s">
        <v>121</v>
      </c>
      <c r="BR1" s="37" t="s">
        <v>122</v>
      </c>
      <c r="BS1" s="37" t="s">
        <v>123</v>
      </c>
      <c r="BT1" s="37" t="s">
        <v>124</v>
      </c>
      <c r="BU1" s="37" t="s">
        <v>125</v>
      </c>
      <c r="BV1" s="37" t="s">
        <v>126</v>
      </c>
      <c r="BW1" s="37" t="s">
        <v>127</v>
      </c>
      <c r="BX1" s="37" t="s">
        <v>128</v>
      </c>
      <c r="BY1" s="36" t="s">
        <v>129</v>
      </c>
      <c r="BZ1" s="36" t="s">
        <v>130</v>
      </c>
      <c r="CA1" s="36" t="s">
        <v>131</v>
      </c>
      <c r="CB1" s="36" t="s">
        <v>132</v>
      </c>
      <c r="CC1" s="36" t="s">
        <v>133</v>
      </c>
      <c r="CD1" s="36" t="s">
        <v>134</v>
      </c>
      <c r="CE1" s="36" t="s">
        <v>135</v>
      </c>
      <c r="CF1" s="36" t="s">
        <v>136</v>
      </c>
      <c r="CG1" s="36" t="s">
        <v>137</v>
      </c>
      <c r="CH1" s="37" t="s">
        <v>138</v>
      </c>
      <c r="CI1" s="37" t="s">
        <v>139</v>
      </c>
      <c r="CJ1" s="37" t="s">
        <v>140</v>
      </c>
      <c r="CK1" s="37" t="s">
        <v>141</v>
      </c>
      <c r="CL1" s="37" t="s">
        <v>142</v>
      </c>
      <c r="CM1" s="37" t="s">
        <v>143</v>
      </c>
      <c r="CN1" s="37" t="s">
        <v>144</v>
      </c>
      <c r="CO1" s="37" t="s">
        <v>145</v>
      </c>
      <c r="CP1" s="37" t="s">
        <v>146</v>
      </c>
    </row>
    <row r="2" spans="1:94" ht="12" x14ac:dyDescent="0.25">
      <c r="A2" s="39" t="s">
        <v>441</v>
      </c>
      <c r="B2" s="39" t="s">
        <v>536</v>
      </c>
      <c r="C2" s="39" t="s">
        <v>441</v>
      </c>
      <c r="D2" s="40" t="s">
        <v>537</v>
      </c>
      <c r="E2" s="41" t="s">
        <v>538</v>
      </c>
      <c r="F2" s="40">
        <v>0</v>
      </c>
      <c r="G2" s="40" t="s">
        <v>349</v>
      </c>
      <c r="H2" s="40">
        <v>0</v>
      </c>
      <c r="I2" s="40">
        <v>0</v>
      </c>
      <c r="J2" s="13" t="s">
        <v>88</v>
      </c>
      <c r="K2" s="40" t="s">
        <v>60</v>
      </c>
      <c r="L2" s="40" t="s">
        <v>61</v>
      </c>
      <c r="M2" s="42">
        <v>2.6</v>
      </c>
      <c r="N2" s="40">
        <v>284549778</v>
      </c>
      <c r="O2" s="40">
        <v>0</v>
      </c>
      <c r="P2" s="40" t="s">
        <v>350</v>
      </c>
      <c r="Q2" s="40">
        <v>0</v>
      </c>
      <c r="R2" s="40">
        <v>0</v>
      </c>
      <c r="S2" s="13" t="s">
        <v>91</v>
      </c>
      <c r="T2" s="40" t="s">
        <v>60</v>
      </c>
      <c r="U2" s="40" t="s">
        <v>61</v>
      </c>
      <c r="V2" s="42">
        <v>5.2</v>
      </c>
      <c r="W2" s="40" t="s">
        <v>64</v>
      </c>
      <c r="X2" s="40" t="s">
        <v>64</v>
      </c>
      <c r="Y2" s="40" t="s">
        <v>64</v>
      </c>
      <c r="Z2" s="40" t="s">
        <v>64</v>
      </c>
      <c r="AA2" s="40" t="s">
        <v>64</v>
      </c>
      <c r="AB2" s="13" t="s">
        <v>64</v>
      </c>
      <c r="AC2" s="40" t="s">
        <v>64</v>
      </c>
      <c r="AD2" s="40" t="s">
        <v>64</v>
      </c>
      <c r="AE2" s="42" t="s">
        <v>64</v>
      </c>
      <c r="AF2" s="40" t="s">
        <v>64</v>
      </c>
      <c r="AG2" s="40" t="s">
        <v>64</v>
      </c>
      <c r="AH2" s="40" t="s">
        <v>64</v>
      </c>
      <c r="AI2" s="40" t="s">
        <v>64</v>
      </c>
      <c r="AJ2" s="40" t="s">
        <v>64</v>
      </c>
      <c r="AK2" s="40" t="s">
        <v>64</v>
      </c>
      <c r="AL2" s="40" t="s">
        <v>64</v>
      </c>
      <c r="AM2" s="40" t="s">
        <v>64</v>
      </c>
      <c r="AN2" s="40" t="s">
        <v>64</v>
      </c>
      <c r="AO2" s="40" t="s">
        <v>64</v>
      </c>
      <c r="AP2" s="40" t="s">
        <v>64</v>
      </c>
      <c r="AQ2" s="40" t="s">
        <v>64</v>
      </c>
      <c r="AR2" s="40" t="s">
        <v>64</v>
      </c>
      <c r="AS2" s="40" t="s">
        <v>64</v>
      </c>
      <c r="AT2" s="40" t="s">
        <v>64</v>
      </c>
      <c r="AU2" s="40" t="s">
        <v>64</v>
      </c>
      <c r="AV2" s="40" t="s">
        <v>64</v>
      </c>
      <c r="AW2" s="40" t="s">
        <v>64</v>
      </c>
      <c r="AX2" s="40" t="s">
        <v>64</v>
      </c>
      <c r="AY2" s="40" t="s">
        <v>64</v>
      </c>
      <c r="AZ2" s="40" t="s">
        <v>64</v>
      </c>
      <c r="BA2" s="40" t="s">
        <v>64</v>
      </c>
      <c r="BB2" s="40" t="s">
        <v>64</v>
      </c>
      <c r="BC2" s="40" t="s">
        <v>64</v>
      </c>
      <c r="BD2" s="40" t="s">
        <v>64</v>
      </c>
      <c r="BE2" s="40" t="s">
        <v>64</v>
      </c>
      <c r="BF2" s="40" t="s">
        <v>64</v>
      </c>
      <c r="BG2" s="40" t="s">
        <v>64</v>
      </c>
      <c r="BH2" s="40" t="s">
        <v>64</v>
      </c>
      <c r="BI2" s="40" t="s">
        <v>64</v>
      </c>
      <c r="BJ2" s="40" t="s">
        <v>64</v>
      </c>
      <c r="BK2" s="40" t="s">
        <v>64</v>
      </c>
      <c r="BL2" s="40" t="s">
        <v>64</v>
      </c>
      <c r="BM2" s="40" t="s">
        <v>64</v>
      </c>
      <c r="BN2" s="40" t="s">
        <v>64</v>
      </c>
      <c r="BO2" s="40" t="s">
        <v>64</v>
      </c>
      <c r="BP2" s="40" t="s">
        <v>64</v>
      </c>
      <c r="BQ2" s="40" t="s">
        <v>64</v>
      </c>
      <c r="BR2" s="40" t="s">
        <v>64</v>
      </c>
      <c r="BS2" s="40" t="s">
        <v>64</v>
      </c>
      <c r="BT2" s="40" t="s">
        <v>64</v>
      </c>
      <c r="BU2" s="40" t="s">
        <v>64</v>
      </c>
      <c r="BV2" s="40" t="s">
        <v>64</v>
      </c>
      <c r="BW2" s="40" t="s">
        <v>64</v>
      </c>
      <c r="BX2" s="40" t="s">
        <v>64</v>
      </c>
      <c r="BY2" s="40" t="s">
        <v>64</v>
      </c>
      <c r="BZ2" s="40" t="s">
        <v>64</v>
      </c>
      <c r="CA2" s="40" t="s">
        <v>64</v>
      </c>
      <c r="CB2" s="40" t="s">
        <v>64</v>
      </c>
      <c r="CC2" s="40" t="s">
        <v>64</v>
      </c>
      <c r="CD2" s="40" t="s">
        <v>64</v>
      </c>
      <c r="CE2" s="40" t="s">
        <v>64</v>
      </c>
      <c r="CF2" s="40" t="s">
        <v>64</v>
      </c>
      <c r="CG2" s="40" t="s">
        <v>64</v>
      </c>
      <c r="CH2" s="40" t="s">
        <v>64</v>
      </c>
      <c r="CI2" s="40" t="s">
        <v>64</v>
      </c>
      <c r="CJ2" s="40" t="s">
        <v>64</v>
      </c>
      <c r="CK2" s="40" t="s">
        <v>64</v>
      </c>
      <c r="CL2" s="40" t="s">
        <v>64</v>
      </c>
      <c r="CM2" s="40" t="s">
        <v>64</v>
      </c>
      <c r="CN2" s="40" t="s">
        <v>64</v>
      </c>
      <c r="CO2" s="40" t="s">
        <v>64</v>
      </c>
      <c r="CP2" s="40" t="s">
        <v>64</v>
      </c>
    </row>
    <row r="3" spans="1:94" ht="12" x14ac:dyDescent="0.25">
      <c r="A3" s="39" t="s">
        <v>442</v>
      </c>
      <c r="B3" s="39" t="s">
        <v>536</v>
      </c>
      <c r="C3" s="39" t="s">
        <v>442</v>
      </c>
      <c r="D3" s="40" t="s">
        <v>539</v>
      </c>
      <c r="E3" s="43">
        <v>284525061</v>
      </c>
      <c r="F3" s="40">
        <v>0</v>
      </c>
      <c r="G3" s="40" t="s">
        <v>349</v>
      </c>
      <c r="H3" s="40">
        <v>0</v>
      </c>
      <c r="I3" s="40">
        <v>0</v>
      </c>
      <c r="J3" s="13" t="s">
        <v>88</v>
      </c>
      <c r="K3" s="40" t="s">
        <v>60</v>
      </c>
      <c r="L3" s="40" t="s">
        <v>61</v>
      </c>
      <c r="M3" s="42">
        <v>2.6</v>
      </c>
      <c r="N3" s="40">
        <v>284525062</v>
      </c>
      <c r="O3" s="40">
        <v>0</v>
      </c>
      <c r="P3" s="40" t="s">
        <v>350</v>
      </c>
      <c r="Q3" s="40">
        <v>0</v>
      </c>
      <c r="R3" s="40">
        <v>0</v>
      </c>
      <c r="S3" s="13" t="s">
        <v>90</v>
      </c>
      <c r="T3" s="40" t="s">
        <v>60</v>
      </c>
      <c r="U3" s="40" t="s">
        <v>61</v>
      </c>
      <c r="V3" s="42">
        <v>5.2</v>
      </c>
      <c r="W3" s="40" t="s">
        <v>64</v>
      </c>
      <c r="X3" s="40" t="s">
        <v>64</v>
      </c>
      <c r="Y3" s="40" t="s">
        <v>64</v>
      </c>
      <c r="Z3" s="40" t="s">
        <v>64</v>
      </c>
      <c r="AA3" s="40" t="s">
        <v>64</v>
      </c>
      <c r="AB3" s="13" t="s">
        <v>64</v>
      </c>
      <c r="AC3" s="40" t="s">
        <v>64</v>
      </c>
      <c r="AD3" s="40" t="s">
        <v>64</v>
      </c>
      <c r="AE3" s="42" t="s">
        <v>64</v>
      </c>
      <c r="AF3" s="40" t="s">
        <v>64</v>
      </c>
      <c r="AG3" s="40" t="s">
        <v>64</v>
      </c>
      <c r="AH3" s="40" t="s">
        <v>64</v>
      </c>
      <c r="AI3" s="40" t="s">
        <v>64</v>
      </c>
      <c r="AJ3" s="40" t="s">
        <v>64</v>
      </c>
      <c r="AK3" s="40" t="s">
        <v>64</v>
      </c>
      <c r="AL3" s="40" t="s">
        <v>64</v>
      </c>
      <c r="AM3" s="40" t="s">
        <v>64</v>
      </c>
      <c r="AN3" s="40" t="s">
        <v>64</v>
      </c>
      <c r="AO3" s="40" t="s">
        <v>64</v>
      </c>
      <c r="AP3" s="40" t="s">
        <v>64</v>
      </c>
      <c r="AQ3" s="40" t="s">
        <v>64</v>
      </c>
      <c r="AR3" s="40" t="s">
        <v>64</v>
      </c>
      <c r="AS3" s="40" t="s">
        <v>64</v>
      </c>
      <c r="AT3" s="40" t="s">
        <v>64</v>
      </c>
      <c r="AU3" s="40" t="s">
        <v>64</v>
      </c>
      <c r="AV3" s="40" t="s">
        <v>64</v>
      </c>
      <c r="AW3" s="40" t="s">
        <v>64</v>
      </c>
      <c r="AX3" s="40" t="s">
        <v>64</v>
      </c>
      <c r="AY3" s="40" t="s">
        <v>64</v>
      </c>
      <c r="AZ3" s="40" t="s">
        <v>64</v>
      </c>
      <c r="BA3" s="40" t="s">
        <v>64</v>
      </c>
      <c r="BB3" s="40" t="s">
        <v>64</v>
      </c>
      <c r="BC3" s="40" t="s">
        <v>64</v>
      </c>
      <c r="BD3" s="40" t="s">
        <v>64</v>
      </c>
      <c r="BE3" s="40" t="s">
        <v>64</v>
      </c>
      <c r="BF3" s="40" t="s">
        <v>64</v>
      </c>
      <c r="BG3" s="40" t="s">
        <v>64</v>
      </c>
      <c r="BH3" s="40" t="s">
        <v>64</v>
      </c>
      <c r="BI3" s="40" t="s">
        <v>64</v>
      </c>
      <c r="BJ3" s="40" t="s">
        <v>64</v>
      </c>
      <c r="BK3" s="40" t="s">
        <v>64</v>
      </c>
      <c r="BL3" s="40" t="s">
        <v>64</v>
      </c>
      <c r="BM3" s="40" t="s">
        <v>64</v>
      </c>
      <c r="BN3" s="40" t="s">
        <v>64</v>
      </c>
      <c r="BO3" s="40" t="s">
        <v>64</v>
      </c>
      <c r="BP3" s="40" t="s">
        <v>64</v>
      </c>
      <c r="BQ3" s="40" t="s">
        <v>64</v>
      </c>
      <c r="BR3" s="40" t="s">
        <v>64</v>
      </c>
      <c r="BS3" s="40" t="s">
        <v>64</v>
      </c>
      <c r="BT3" s="40" t="s">
        <v>64</v>
      </c>
      <c r="BU3" s="40" t="s">
        <v>64</v>
      </c>
      <c r="BV3" s="40" t="s">
        <v>64</v>
      </c>
      <c r="BW3" s="40" t="s">
        <v>64</v>
      </c>
      <c r="BX3" s="40" t="s">
        <v>64</v>
      </c>
      <c r="BY3" s="40" t="s">
        <v>64</v>
      </c>
      <c r="BZ3" s="40" t="s">
        <v>64</v>
      </c>
      <c r="CA3" s="40" t="s">
        <v>64</v>
      </c>
      <c r="CB3" s="40" t="s">
        <v>64</v>
      </c>
      <c r="CC3" s="40" t="s">
        <v>64</v>
      </c>
      <c r="CD3" s="40" t="s">
        <v>64</v>
      </c>
      <c r="CE3" s="40" t="s">
        <v>64</v>
      </c>
      <c r="CF3" s="40" t="s">
        <v>64</v>
      </c>
      <c r="CG3" s="40" t="s">
        <v>64</v>
      </c>
      <c r="CH3" s="40" t="s">
        <v>64</v>
      </c>
      <c r="CI3" s="40" t="s">
        <v>64</v>
      </c>
      <c r="CJ3" s="40" t="s">
        <v>64</v>
      </c>
      <c r="CK3" s="40" t="s">
        <v>64</v>
      </c>
      <c r="CL3" s="40" t="s">
        <v>64</v>
      </c>
      <c r="CM3" s="40" t="s">
        <v>64</v>
      </c>
      <c r="CN3" s="40" t="s">
        <v>64</v>
      </c>
      <c r="CO3" s="40" t="s">
        <v>64</v>
      </c>
      <c r="CP3" s="40" t="s">
        <v>64</v>
      </c>
    </row>
    <row r="4" spans="1:94" ht="12" x14ac:dyDescent="0.25">
      <c r="A4" s="39" t="s">
        <v>443</v>
      </c>
      <c r="B4" s="39" t="s">
        <v>536</v>
      </c>
      <c r="C4" s="39" t="s">
        <v>443</v>
      </c>
      <c r="D4" s="40" t="s">
        <v>540</v>
      </c>
      <c r="E4" s="43">
        <v>284525060</v>
      </c>
      <c r="F4" s="40">
        <v>0</v>
      </c>
      <c r="G4" s="40" t="s">
        <v>349</v>
      </c>
      <c r="H4" s="40">
        <v>0</v>
      </c>
      <c r="I4" s="40">
        <v>0</v>
      </c>
      <c r="J4" s="13" t="s">
        <v>91</v>
      </c>
      <c r="K4" s="40" t="s">
        <v>60</v>
      </c>
      <c r="L4" s="40" t="s">
        <v>61</v>
      </c>
      <c r="M4" s="42">
        <v>5.2</v>
      </c>
      <c r="N4" s="40" t="s">
        <v>64</v>
      </c>
      <c r="O4" s="40" t="s">
        <v>64</v>
      </c>
      <c r="P4" s="40" t="s">
        <v>64</v>
      </c>
      <c r="Q4" s="40" t="s">
        <v>64</v>
      </c>
      <c r="R4" s="40" t="s">
        <v>64</v>
      </c>
      <c r="S4" s="13" t="s">
        <v>64</v>
      </c>
      <c r="T4" s="40" t="s">
        <v>64</v>
      </c>
      <c r="U4" s="40" t="s">
        <v>64</v>
      </c>
      <c r="V4" s="42" t="s">
        <v>64</v>
      </c>
      <c r="W4" s="40" t="s">
        <v>64</v>
      </c>
      <c r="X4" s="40" t="s">
        <v>64</v>
      </c>
      <c r="Y4" s="40" t="s">
        <v>64</v>
      </c>
      <c r="Z4" s="40" t="s">
        <v>64</v>
      </c>
      <c r="AA4" s="40" t="s">
        <v>64</v>
      </c>
      <c r="AB4" s="13" t="s">
        <v>64</v>
      </c>
      <c r="AC4" s="40" t="s">
        <v>64</v>
      </c>
      <c r="AD4" s="40" t="s">
        <v>64</v>
      </c>
      <c r="AE4" s="42" t="s">
        <v>64</v>
      </c>
      <c r="AF4" s="40" t="s">
        <v>64</v>
      </c>
      <c r="AG4" s="40" t="s">
        <v>64</v>
      </c>
      <c r="AH4" s="40" t="s">
        <v>64</v>
      </c>
      <c r="AI4" s="40" t="s">
        <v>64</v>
      </c>
      <c r="AJ4" s="40" t="s">
        <v>64</v>
      </c>
      <c r="AK4" s="40" t="s">
        <v>64</v>
      </c>
      <c r="AL4" s="40" t="s">
        <v>64</v>
      </c>
      <c r="AM4" s="40" t="s">
        <v>64</v>
      </c>
      <c r="AN4" s="40" t="s">
        <v>64</v>
      </c>
      <c r="AO4" s="40" t="s">
        <v>64</v>
      </c>
      <c r="AP4" s="40" t="s">
        <v>64</v>
      </c>
      <c r="AQ4" s="40" t="s">
        <v>64</v>
      </c>
      <c r="AR4" s="40" t="s">
        <v>64</v>
      </c>
      <c r="AS4" s="40" t="s">
        <v>64</v>
      </c>
      <c r="AT4" s="40" t="s">
        <v>64</v>
      </c>
      <c r="AU4" s="40" t="s">
        <v>64</v>
      </c>
      <c r="AV4" s="40" t="s">
        <v>64</v>
      </c>
      <c r="AW4" s="40" t="s">
        <v>64</v>
      </c>
      <c r="AX4" s="40" t="s">
        <v>64</v>
      </c>
      <c r="AY4" s="40" t="s">
        <v>64</v>
      </c>
      <c r="AZ4" s="40" t="s">
        <v>64</v>
      </c>
      <c r="BA4" s="40" t="s">
        <v>64</v>
      </c>
      <c r="BB4" s="40" t="s">
        <v>64</v>
      </c>
      <c r="BC4" s="40" t="s">
        <v>64</v>
      </c>
      <c r="BD4" s="40" t="s">
        <v>64</v>
      </c>
      <c r="BE4" s="40" t="s">
        <v>64</v>
      </c>
      <c r="BF4" s="40" t="s">
        <v>64</v>
      </c>
      <c r="BG4" s="40" t="s">
        <v>64</v>
      </c>
      <c r="BH4" s="40" t="s">
        <v>64</v>
      </c>
      <c r="BI4" s="40" t="s">
        <v>64</v>
      </c>
      <c r="BJ4" s="40" t="s">
        <v>64</v>
      </c>
      <c r="BK4" s="40" t="s">
        <v>64</v>
      </c>
      <c r="BL4" s="40" t="s">
        <v>64</v>
      </c>
      <c r="BM4" s="40" t="s">
        <v>64</v>
      </c>
      <c r="BN4" s="40" t="s">
        <v>64</v>
      </c>
      <c r="BO4" s="40" t="s">
        <v>64</v>
      </c>
      <c r="BP4" s="40" t="s">
        <v>64</v>
      </c>
      <c r="BQ4" s="40" t="s">
        <v>64</v>
      </c>
      <c r="BR4" s="40" t="s">
        <v>64</v>
      </c>
      <c r="BS4" s="40" t="s">
        <v>64</v>
      </c>
      <c r="BT4" s="40" t="s">
        <v>64</v>
      </c>
      <c r="BU4" s="40" t="s">
        <v>64</v>
      </c>
      <c r="BV4" s="40" t="s">
        <v>64</v>
      </c>
      <c r="BW4" s="40" t="s">
        <v>64</v>
      </c>
      <c r="BX4" s="40" t="s">
        <v>64</v>
      </c>
      <c r="BY4" s="40" t="s">
        <v>64</v>
      </c>
      <c r="BZ4" s="40" t="s">
        <v>64</v>
      </c>
      <c r="CA4" s="40" t="s">
        <v>64</v>
      </c>
      <c r="CB4" s="40" t="s">
        <v>64</v>
      </c>
      <c r="CC4" s="40" t="s">
        <v>64</v>
      </c>
      <c r="CD4" s="40" t="s">
        <v>64</v>
      </c>
      <c r="CE4" s="40" t="s">
        <v>64</v>
      </c>
      <c r="CF4" s="40" t="s">
        <v>64</v>
      </c>
      <c r="CG4" s="40" t="s">
        <v>64</v>
      </c>
      <c r="CH4" s="40" t="s">
        <v>64</v>
      </c>
      <c r="CI4" s="40" t="s">
        <v>64</v>
      </c>
      <c r="CJ4" s="40" t="s">
        <v>64</v>
      </c>
      <c r="CK4" s="40" t="s">
        <v>64</v>
      </c>
      <c r="CL4" s="40" t="s">
        <v>64</v>
      </c>
      <c r="CM4" s="40" t="s">
        <v>64</v>
      </c>
      <c r="CN4" s="40" t="s">
        <v>64</v>
      </c>
      <c r="CO4" s="40" t="s">
        <v>64</v>
      </c>
      <c r="CP4" s="40" t="s">
        <v>64</v>
      </c>
    </row>
    <row r="5" spans="1:94" ht="12" x14ac:dyDescent="0.25">
      <c r="A5" s="39" t="s">
        <v>444</v>
      </c>
      <c r="B5" s="39" t="s">
        <v>536</v>
      </c>
      <c r="C5" s="39" t="s">
        <v>444</v>
      </c>
      <c r="D5" s="40" t="s">
        <v>541</v>
      </c>
      <c r="E5" s="43">
        <v>284525065</v>
      </c>
      <c r="F5" s="40">
        <v>0</v>
      </c>
      <c r="G5" s="40" t="s">
        <v>349</v>
      </c>
      <c r="H5" s="40">
        <v>0</v>
      </c>
      <c r="I5" s="40">
        <v>0</v>
      </c>
      <c r="J5" s="13" t="s">
        <v>90</v>
      </c>
      <c r="K5" s="40" t="s">
        <v>60</v>
      </c>
      <c r="L5" s="40" t="s">
        <v>61</v>
      </c>
      <c r="M5" s="42">
        <v>5.2</v>
      </c>
      <c r="N5" s="40" t="s">
        <v>64</v>
      </c>
      <c r="O5" s="40" t="s">
        <v>64</v>
      </c>
      <c r="P5" s="40" t="s">
        <v>64</v>
      </c>
      <c r="Q5" s="40" t="s">
        <v>64</v>
      </c>
      <c r="R5" s="40" t="s">
        <v>64</v>
      </c>
      <c r="S5" s="13" t="s">
        <v>64</v>
      </c>
      <c r="T5" s="40" t="s">
        <v>64</v>
      </c>
      <c r="U5" s="40" t="s">
        <v>64</v>
      </c>
      <c r="V5" s="42" t="s">
        <v>64</v>
      </c>
      <c r="W5" s="40" t="s">
        <v>64</v>
      </c>
      <c r="X5" s="40" t="s">
        <v>64</v>
      </c>
      <c r="Y5" s="40" t="s">
        <v>64</v>
      </c>
      <c r="Z5" s="40" t="s">
        <v>64</v>
      </c>
      <c r="AA5" s="40" t="s">
        <v>64</v>
      </c>
      <c r="AB5" s="13" t="s">
        <v>64</v>
      </c>
      <c r="AC5" s="40" t="s">
        <v>64</v>
      </c>
      <c r="AD5" s="40" t="s">
        <v>64</v>
      </c>
      <c r="AE5" s="42" t="s">
        <v>64</v>
      </c>
      <c r="AF5" s="40" t="s">
        <v>64</v>
      </c>
      <c r="AG5" s="40" t="s">
        <v>64</v>
      </c>
      <c r="AH5" s="40" t="s">
        <v>64</v>
      </c>
      <c r="AI5" s="40" t="s">
        <v>64</v>
      </c>
      <c r="AJ5" s="40" t="s">
        <v>64</v>
      </c>
      <c r="AK5" s="40" t="s">
        <v>64</v>
      </c>
      <c r="AL5" s="40" t="s">
        <v>64</v>
      </c>
      <c r="AM5" s="40" t="s">
        <v>64</v>
      </c>
      <c r="AN5" s="40" t="s">
        <v>64</v>
      </c>
      <c r="AO5" s="40" t="s">
        <v>64</v>
      </c>
      <c r="AP5" s="40" t="s">
        <v>64</v>
      </c>
      <c r="AQ5" s="40" t="s">
        <v>64</v>
      </c>
      <c r="AR5" s="40" t="s">
        <v>64</v>
      </c>
      <c r="AS5" s="40" t="s">
        <v>64</v>
      </c>
      <c r="AT5" s="40" t="s">
        <v>64</v>
      </c>
      <c r="AU5" s="40" t="s">
        <v>64</v>
      </c>
      <c r="AV5" s="40" t="s">
        <v>64</v>
      </c>
      <c r="AW5" s="40" t="s">
        <v>64</v>
      </c>
      <c r="AX5" s="40" t="s">
        <v>64</v>
      </c>
      <c r="AY5" s="40" t="s">
        <v>64</v>
      </c>
      <c r="AZ5" s="40" t="s">
        <v>64</v>
      </c>
      <c r="BA5" s="40" t="s">
        <v>64</v>
      </c>
      <c r="BB5" s="40" t="s">
        <v>64</v>
      </c>
      <c r="BC5" s="40" t="s">
        <v>64</v>
      </c>
      <c r="BD5" s="40" t="s">
        <v>64</v>
      </c>
      <c r="BE5" s="40" t="s">
        <v>64</v>
      </c>
      <c r="BF5" s="40" t="s">
        <v>64</v>
      </c>
      <c r="BG5" s="40" t="s">
        <v>64</v>
      </c>
      <c r="BH5" s="40" t="s">
        <v>64</v>
      </c>
      <c r="BI5" s="40" t="s">
        <v>64</v>
      </c>
      <c r="BJ5" s="40" t="s">
        <v>64</v>
      </c>
      <c r="BK5" s="40" t="s">
        <v>64</v>
      </c>
      <c r="BL5" s="40" t="s">
        <v>64</v>
      </c>
      <c r="BM5" s="40" t="s">
        <v>64</v>
      </c>
      <c r="BN5" s="40" t="s">
        <v>64</v>
      </c>
      <c r="BO5" s="40" t="s">
        <v>64</v>
      </c>
      <c r="BP5" s="40" t="s">
        <v>64</v>
      </c>
      <c r="BQ5" s="40" t="s">
        <v>64</v>
      </c>
      <c r="BR5" s="40" t="s">
        <v>64</v>
      </c>
      <c r="BS5" s="40" t="s">
        <v>64</v>
      </c>
      <c r="BT5" s="40" t="s">
        <v>64</v>
      </c>
      <c r="BU5" s="40" t="s">
        <v>64</v>
      </c>
      <c r="BV5" s="40" t="s">
        <v>64</v>
      </c>
      <c r="BW5" s="40" t="s">
        <v>64</v>
      </c>
      <c r="BX5" s="40" t="s">
        <v>64</v>
      </c>
      <c r="BY5" s="40" t="s">
        <v>64</v>
      </c>
      <c r="BZ5" s="40" t="s">
        <v>64</v>
      </c>
      <c r="CA5" s="40" t="s">
        <v>64</v>
      </c>
      <c r="CB5" s="40" t="s">
        <v>64</v>
      </c>
      <c r="CC5" s="40" t="s">
        <v>64</v>
      </c>
      <c r="CD5" s="40" t="s">
        <v>64</v>
      </c>
      <c r="CE5" s="40" t="s">
        <v>64</v>
      </c>
      <c r="CF5" s="40" t="s">
        <v>64</v>
      </c>
      <c r="CG5" s="40" t="s">
        <v>64</v>
      </c>
      <c r="CH5" s="40" t="s">
        <v>64</v>
      </c>
      <c r="CI5" s="40" t="s">
        <v>64</v>
      </c>
      <c r="CJ5" s="40" t="s">
        <v>64</v>
      </c>
      <c r="CK5" s="40" t="s">
        <v>64</v>
      </c>
      <c r="CL5" s="40" t="s">
        <v>64</v>
      </c>
      <c r="CM5" s="40" t="s">
        <v>64</v>
      </c>
      <c r="CN5" s="40" t="s">
        <v>64</v>
      </c>
      <c r="CO5" s="40" t="s">
        <v>64</v>
      </c>
      <c r="CP5" s="40" t="s">
        <v>64</v>
      </c>
    </row>
    <row r="6" spans="1:94" ht="12" x14ac:dyDescent="0.25">
      <c r="A6" s="39" t="s">
        <v>445</v>
      </c>
      <c r="B6" s="39" t="s">
        <v>536</v>
      </c>
      <c r="C6" s="39" t="s">
        <v>445</v>
      </c>
      <c r="D6" s="40" t="s">
        <v>542</v>
      </c>
      <c r="E6" s="43">
        <v>284525059</v>
      </c>
      <c r="F6" s="40">
        <v>0</v>
      </c>
      <c r="G6" s="40" t="s">
        <v>349</v>
      </c>
      <c r="H6" s="40">
        <v>0</v>
      </c>
      <c r="I6" s="40">
        <v>0</v>
      </c>
      <c r="J6" s="13" t="s">
        <v>91</v>
      </c>
      <c r="K6" s="40" t="s">
        <v>60</v>
      </c>
      <c r="L6" s="40" t="s">
        <v>61</v>
      </c>
      <c r="M6" s="42">
        <v>5.2</v>
      </c>
      <c r="N6" s="40" t="s">
        <v>64</v>
      </c>
      <c r="O6" s="40" t="s">
        <v>64</v>
      </c>
      <c r="P6" s="40" t="s">
        <v>64</v>
      </c>
      <c r="Q6" s="40" t="s">
        <v>64</v>
      </c>
      <c r="R6" s="40" t="s">
        <v>64</v>
      </c>
      <c r="S6" s="13" t="s">
        <v>64</v>
      </c>
      <c r="T6" s="40" t="s">
        <v>64</v>
      </c>
      <c r="U6" s="40" t="s">
        <v>64</v>
      </c>
      <c r="V6" s="42" t="s">
        <v>64</v>
      </c>
      <c r="W6" s="40" t="s">
        <v>64</v>
      </c>
      <c r="X6" s="40" t="s">
        <v>64</v>
      </c>
      <c r="Y6" s="40" t="s">
        <v>64</v>
      </c>
      <c r="Z6" s="40" t="s">
        <v>64</v>
      </c>
      <c r="AA6" s="40" t="s">
        <v>64</v>
      </c>
      <c r="AB6" s="13" t="s">
        <v>64</v>
      </c>
      <c r="AC6" s="40" t="s">
        <v>64</v>
      </c>
      <c r="AD6" s="40" t="s">
        <v>64</v>
      </c>
      <c r="AE6" s="42" t="s">
        <v>64</v>
      </c>
      <c r="AF6" s="40" t="s">
        <v>64</v>
      </c>
      <c r="AG6" s="40" t="s">
        <v>64</v>
      </c>
      <c r="AH6" s="40" t="s">
        <v>64</v>
      </c>
      <c r="AI6" s="40" t="s">
        <v>64</v>
      </c>
      <c r="AJ6" s="40" t="s">
        <v>64</v>
      </c>
      <c r="AK6" s="40" t="s">
        <v>64</v>
      </c>
      <c r="AL6" s="40" t="s">
        <v>64</v>
      </c>
      <c r="AM6" s="40" t="s">
        <v>64</v>
      </c>
      <c r="AN6" s="40" t="s">
        <v>64</v>
      </c>
      <c r="AO6" s="40" t="s">
        <v>64</v>
      </c>
      <c r="AP6" s="40" t="s">
        <v>64</v>
      </c>
      <c r="AQ6" s="40" t="s">
        <v>64</v>
      </c>
      <c r="AR6" s="40" t="s">
        <v>64</v>
      </c>
      <c r="AS6" s="40" t="s">
        <v>64</v>
      </c>
      <c r="AT6" s="40" t="s">
        <v>64</v>
      </c>
      <c r="AU6" s="40" t="s">
        <v>64</v>
      </c>
      <c r="AV6" s="40" t="s">
        <v>64</v>
      </c>
      <c r="AW6" s="40" t="s">
        <v>64</v>
      </c>
      <c r="AX6" s="40" t="s">
        <v>64</v>
      </c>
      <c r="AY6" s="40" t="s">
        <v>64</v>
      </c>
      <c r="AZ6" s="40" t="s">
        <v>64</v>
      </c>
      <c r="BA6" s="40" t="s">
        <v>64</v>
      </c>
      <c r="BB6" s="40" t="s">
        <v>64</v>
      </c>
      <c r="BC6" s="40" t="s">
        <v>64</v>
      </c>
      <c r="BD6" s="40" t="s">
        <v>64</v>
      </c>
      <c r="BE6" s="40" t="s">
        <v>64</v>
      </c>
      <c r="BF6" s="40" t="s">
        <v>64</v>
      </c>
      <c r="BG6" s="40" t="s">
        <v>64</v>
      </c>
      <c r="BH6" s="40" t="s">
        <v>64</v>
      </c>
      <c r="BI6" s="40" t="s">
        <v>64</v>
      </c>
      <c r="BJ6" s="40" t="s">
        <v>64</v>
      </c>
      <c r="BK6" s="40" t="s">
        <v>64</v>
      </c>
      <c r="BL6" s="40" t="s">
        <v>64</v>
      </c>
      <c r="BM6" s="40" t="s">
        <v>64</v>
      </c>
      <c r="BN6" s="40" t="s">
        <v>64</v>
      </c>
      <c r="BO6" s="40" t="s">
        <v>64</v>
      </c>
      <c r="BP6" s="40" t="s">
        <v>64</v>
      </c>
      <c r="BQ6" s="40" t="s">
        <v>64</v>
      </c>
      <c r="BR6" s="40" t="s">
        <v>64</v>
      </c>
      <c r="BS6" s="40" t="s">
        <v>64</v>
      </c>
      <c r="BT6" s="40" t="s">
        <v>64</v>
      </c>
      <c r="BU6" s="40" t="s">
        <v>64</v>
      </c>
      <c r="BV6" s="40" t="s">
        <v>64</v>
      </c>
      <c r="BW6" s="40" t="s">
        <v>64</v>
      </c>
      <c r="BX6" s="40" t="s">
        <v>64</v>
      </c>
      <c r="BY6" s="40" t="s">
        <v>64</v>
      </c>
      <c r="BZ6" s="40" t="s">
        <v>64</v>
      </c>
      <c r="CA6" s="40" t="s">
        <v>64</v>
      </c>
      <c r="CB6" s="40" t="s">
        <v>64</v>
      </c>
      <c r="CC6" s="40" t="s">
        <v>64</v>
      </c>
      <c r="CD6" s="40" t="s">
        <v>64</v>
      </c>
      <c r="CE6" s="40" t="s">
        <v>64</v>
      </c>
      <c r="CF6" s="40" t="s">
        <v>64</v>
      </c>
      <c r="CG6" s="40" t="s">
        <v>64</v>
      </c>
      <c r="CH6" s="40" t="s">
        <v>64</v>
      </c>
      <c r="CI6" s="40" t="s">
        <v>64</v>
      </c>
      <c r="CJ6" s="40" t="s">
        <v>64</v>
      </c>
      <c r="CK6" s="40" t="s">
        <v>64</v>
      </c>
      <c r="CL6" s="40" t="s">
        <v>64</v>
      </c>
      <c r="CM6" s="40" t="s">
        <v>64</v>
      </c>
      <c r="CN6" s="40" t="s">
        <v>64</v>
      </c>
      <c r="CO6" s="40" t="s">
        <v>64</v>
      </c>
      <c r="CP6" s="40" t="s">
        <v>64</v>
      </c>
    </row>
    <row r="7" spans="1:94" ht="12" x14ac:dyDescent="0.25">
      <c r="A7" s="39" t="s">
        <v>446</v>
      </c>
      <c r="B7" s="39" t="s">
        <v>536</v>
      </c>
      <c r="C7" s="39" t="s">
        <v>446</v>
      </c>
      <c r="D7" s="40" t="s">
        <v>543</v>
      </c>
      <c r="E7" s="43">
        <v>284525091</v>
      </c>
      <c r="F7" s="40">
        <v>0</v>
      </c>
      <c r="G7" s="40" t="s">
        <v>349</v>
      </c>
      <c r="H7" s="40">
        <v>0</v>
      </c>
      <c r="I7" s="40">
        <v>0</v>
      </c>
      <c r="J7" s="13" t="s">
        <v>90</v>
      </c>
      <c r="K7" s="40" t="s">
        <v>60</v>
      </c>
      <c r="L7" s="40" t="s">
        <v>61</v>
      </c>
      <c r="M7" s="42">
        <v>5.2</v>
      </c>
      <c r="N7" s="40" t="s">
        <v>64</v>
      </c>
      <c r="O7" s="40" t="s">
        <v>64</v>
      </c>
      <c r="P7" s="40" t="s">
        <v>64</v>
      </c>
      <c r="Q7" s="40" t="s">
        <v>64</v>
      </c>
      <c r="R7" s="40" t="s">
        <v>64</v>
      </c>
      <c r="S7" s="13" t="s">
        <v>64</v>
      </c>
      <c r="T7" s="40" t="s">
        <v>64</v>
      </c>
      <c r="U7" s="40" t="s">
        <v>64</v>
      </c>
      <c r="V7" s="42" t="s">
        <v>64</v>
      </c>
      <c r="W7" s="40" t="s">
        <v>64</v>
      </c>
      <c r="X7" s="40" t="s">
        <v>64</v>
      </c>
      <c r="Y7" s="40" t="s">
        <v>64</v>
      </c>
      <c r="Z7" s="40" t="s">
        <v>64</v>
      </c>
      <c r="AA7" s="40" t="s">
        <v>64</v>
      </c>
      <c r="AB7" s="13" t="s">
        <v>64</v>
      </c>
      <c r="AC7" s="40" t="s">
        <v>64</v>
      </c>
      <c r="AD7" s="40" t="s">
        <v>64</v>
      </c>
      <c r="AE7" s="42" t="s">
        <v>64</v>
      </c>
      <c r="AF7" s="40" t="s">
        <v>64</v>
      </c>
      <c r="AG7" s="40" t="s">
        <v>64</v>
      </c>
      <c r="AH7" s="40" t="s">
        <v>64</v>
      </c>
      <c r="AI7" s="40" t="s">
        <v>64</v>
      </c>
      <c r="AJ7" s="40" t="s">
        <v>64</v>
      </c>
      <c r="AK7" s="40" t="s">
        <v>64</v>
      </c>
      <c r="AL7" s="40" t="s">
        <v>64</v>
      </c>
      <c r="AM7" s="40" t="s">
        <v>64</v>
      </c>
      <c r="AN7" s="40" t="s">
        <v>64</v>
      </c>
      <c r="AO7" s="40" t="s">
        <v>64</v>
      </c>
      <c r="AP7" s="40" t="s">
        <v>64</v>
      </c>
      <c r="AQ7" s="40" t="s">
        <v>64</v>
      </c>
      <c r="AR7" s="40" t="s">
        <v>64</v>
      </c>
      <c r="AS7" s="40" t="s">
        <v>64</v>
      </c>
      <c r="AT7" s="40" t="s">
        <v>64</v>
      </c>
      <c r="AU7" s="40" t="s">
        <v>64</v>
      </c>
      <c r="AV7" s="40" t="s">
        <v>64</v>
      </c>
      <c r="AW7" s="40" t="s">
        <v>64</v>
      </c>
      <c r="AX7" s="40" t="s">
        <v>64</v>
      </c>
      <c r="AY7" s="40" t="s">
        <v>64</v>
      </c>
      <c r="AZ7" s="40" t="s">
        <v>64</v>
      </c>
      <c r="BA7" s="40" t="s">
        <v>64</v>
      </c>
      <c r="BB7" s="40" t="s">
        <v>64</v>
      </c>
      <c r="BC7" s="40" t="s">
        <v>64</v>
      </c>
      <c r="BD7" s="40" t="s">
        <v>64</v>
      </c>
      <c r="BE7" s="40" t="s">
        <v>64</v>
      </c>
      <c r="BF7" s="40" t="s">
        <v>64</v>
      </c>
      <c r="BG7" s="40" t="s">
        <v>64</v>
      </c>
      <c r="BH7" s="40" t="s">
        <v>64</v>
      </c>
      <c r="BI7" s="40" t="s">
        <v>64</v>
      </c>
      <c r="BJ7" s="40" t="s">
        <v>64</v>
      </c>
      <c r="BK7" s="40" t="s">
        <v>64</v>
      </c>
      <c r="BL7" s="40" t="s">
        <v>64</v>
      </c>
      <c r="BM7" s="40" t="s">
        <v>64</v>
      </c>
      <c r="BN7" s="40" t="s">
        <v>64</v>
      </c>
      <c r="BO7" s="40" t="s">
        <v>64</v>
      </c>
      <c r="BP7" s="40" t="s">
        <v>64</v>
      </c>
      <c r="BQ7" s="40" t="s">
        <v>64</v>
      </c>
      <c r="BR7" s="40" t="s">
        <v>64</v>
      </c>
      <c r="BS7" s="40" t="s">
        <v>64</v>
      </c>
      <c r="BT7" s="40" t="s">
        <v>64</v>
      </c>
      <c r="BU7" s="40" t="s">
        <v>64</v>
      </c>
      <c r="BV7" s="40" t="s">
        <v>64</v>
      </c>
      <c r="BW7" s="40" t="s">
        <v>64</v>
      </c>
      <c r="BX7" s="40" t="s">
        <v>64</v>
      </c>
      <c r="BY7" s="40" t="s">
        <v>64</v>
      </c>
      <c r="BZ7" s="40" t="s">
        <v>64</v>
      </c>
      <c r="CA7" s="40" t="s">
        <v>64</v>
      </c>
      <c r="CB7" s="40" t="s">
        <v>64</v>
      </c>
      <c r="CC7" s="40" t="s">
        <v>64</v>
      </c>
      <c r="CD7" s="40" t="s">
        <v>64</v>
      </c>
      <c r="CE7" s="40" t="s">
        <v>64</v>
      </c>
      <c r="CF7" s="40" t="s">
        <v>64</v>
      </c>
      <c r="CG7" s="40" t="s">
        <v>64</v>
      </c>
      <c r="CH7" s="40" t="s">
        <v>64</v>
      </c>
      <c r="CI7" s="40" t="s">
        <v>64</v>
      </c>
      <c r="CJ7" s="40" t="s">
        <v>64</v>
      </c>
      <c r="CK7" s="40" t="s">
        <v>64</v>
      </c>
      <c r="CL7" s="40" t="s">
        <v>64</v>
      </c>
      <c r="CM7" s="40" t="s">
        <v>64</v>
      </c>
      <c r="CN7" s="40" t="s">
        <v>64</v>
      </c>
      <c r="CO7" s="40" t="s">
        <v>64</v>
      </c>
      <c r="CP7" s="40" t="s">
        <v>64</v>
      </c>
    </row>
    <row r="8" spans="1:94" ht="12" x14ac:dyDescent="0.25">
      <c r="A8" s="39" t="s">
        <v>447</v>
      </c>
      <c r="B8" s="39" t="s">
        <v>536</v>
      </c>
      <c r="C8" s="39" t="s">
        <v>447</v>
      </c>
      <c r="D8" s="40" t="s">
        <v>544</v>
      </c>
      <c r="E8" s="43">
        <v>284525090</v>
      </c>
      <c r="F8" s="40">
        <v>0</v>
      </c>
      <c r="G8" s="40" t="s">
        <v>349</v>
      </c>
      <c r="H8" s="40">
        <v>0</v>
      </c>
      <c r="I8" s="40">
        <v>0</v>
      </c>
      <c r="J8" s="13" t="s">
        <v>90</v>
      </c>
      <c r="K8" s="40" t="s">
        <v>60</v>
      </c>
      <c r="L8" s="40" t="s">
        <v>61</v>
      </c>
      <c r="M8" s="42">
        <v>4.53</v>
      </c>
      <c r="N8" s="40" t="s">
        <v>64</v>
      </c>
      <c r="O8" s="40" t="s">
        <v>64</v>
      </c>
      <c r="P8" s="40" t="s">
        <v>64</v>
      </c>
      <c r="Q8" s="40" t="s">
        <v>64</v>
      </c>
      <c r="R8" s="40" t="s">
        <v>64</v>
      </c>
      <c r="S8" s="13" t="s">
        <v>64</v>
      </c>
      <c r="T8" s="40" t="s">
        <v>64</v>
      </c>
      <c r="U8" s="40" t="s">
        <v>64</v>
      </c>
      <c r="V8" s="42" t="s">
        <v>64</v>
      </c>
      <c r="W8" s="40" t="s">
        <v>64</v>
      </c>
      <c r="X8" s="40" t="s">
        <v>64</v>
      </c>
      <c r="Y8" s="40" t="s">
        <v>64</v>
      </c>
      <c r="Z8" s="40" t="s">
        <v>64</v>
      </c>
      <c r="AA8" s="40" t="s">
        <v>64</v>
      </c>
      <c r="AB8" s="13" t="s">
        <v>64</v>
      </c>
      <c r="AC8" s="40" t="s">
        <v>64</v>
      </c>
      <c r="AD8" s="40" t="s">
        <v>64</v>
      </c>
      <c r="AE8" s="42" t="s">
        <v>64</v>
      </c>
      <c r="AF8" s="40" t="s">
        <v>64</v>
      </c>
      <c r="AG8" s="40" t="s">
        <v>64</v>
      </c>
      <c r="AH8" s="40" t="s">
        <v>64</v>
      </c>
      <c r="AI8" s="40" t="s">
        <v>64</v>
      </c>
      <c r="AJ8" s="40" t="s">
        <v>64</v>
      </c>
      <c r="AK8" s="40" t="s">
        <v>64</v>
      </c>
      <c r="AL8" s="40" t="s">
        <v>64</v>
      </c>
      <c r="AM8" s="40" t="s">
        <v>64</v>
      </c>
      <c r="AN8" s="40" t="s">
        <v>64</v>
      </c>
      <c r="AO8" s="40" t="s">
        <v>64</v>
      </c>
      <c r="AP8" s="40" t="s">
        <v>64</v>
      </c>
      <c r="AQ8" s="40" t="s">
        <v>64</v>
      </c>
      <c r="AR8" s="40" t="s">
        <v>64</v>
      </c>
      <c r="AS8" s="40" t="s">
        <v>64</v>
      </c>
      <c r="AT8" s="40" t="s">
        <v>64</v>
      </c>
      <c r="AU8" s="40" t="s">
        <v>64</v>
      </c>
      <c r="AV8" s="40" t="s">
        <v>64</v>
      </c>
      <c r="AW8" s="40" t="s">
        <v>64</v>
      </c>
      <c r="AX8" s="40" t="s">
        <v>64</v>
      </c>
      <c r="AY8" s="40" t="s">
        <v>64</v>
      </c>
      <c r="AZ8" s="40" t="s">
        <v>64</v>
      </c>
      <c r="BA8" s="40" t="s">
        <v>64</v>
      </c>
      <c r="BB8" s="40" t="s">
        <v>64</v>
      </c>
      <c r="BC8" s="40" t="s">
        <v>64</v>
      </c>
      <c r="BD8" s="40" t="s">
        <v>64</v>
      </c>
      <c r="BE8" s="40" t="s">
        <v>64</v>
      </c>
      <c r="BF8" s="40" t="s">
        <v>64</v>
      </c>
      <c r="BG8" s="40" t="s">
        <v>64</v>
      </c>
      <c r="BH8" s="40" t="s">
        <v>64</v>
      </c>
      <c r="BI8" s="40" t="s">
        <v>64</v>
      </c>
      <c r="BJ8" s="40" t="s">
        <v>64</v>
      </c>
      <c r="BK8" s="40" t="s">
        <v>64</v>
      </c>
      <c r="BL8" s="40" t="s">
        <v>64</v>
      </c>
      <c r="BM8" s="40" t="s">
        <v>64</v>
      </c>
      <c r="BN8" s="40" t="s">
        <v>64</v>
      </c>
      <c r="BO8" s="40" t="s">
        <v>64</v>
      </c>
      <c r="BP8" s="40" t="s">
        <v>64</v>
      </c>
      <c r="BQ8" s="40" t="s">
        <v>64</v>
      </c>
      <c r="BR8" s="40" t="s">
        <v>64</v>
      </c>
      <c r="BS8" s="40" t="s">
        <v>64</v>
      </c>
      <c r="BT8" s="40" t="s">
        <v>64</v>
      </c>
      <c r="BU8" s="40" t="s">
        <v>64</v>
      </c>
      <c r="BV8" s="40" t="s">
        <v>64</v>
      </c>
      <c r="BW8" s="40" t="s">
        <v>64</v>
      </c>
      <c r="BX8" s="40" t="s">
        <v>64</v>
      </c>
      <c r="BY8" s="40" t="s">
        <v>64</v>
      </c>
      <c r="BZ8" s="40" t="s">
        <v>64</v>
      </c>
      <c r="CA8" s="40" t="s">
        <v>64</v>
      </c>
      <c r="CB8" s="40" t="s">
        <v>64</v>
      </c>
      <c r="CC8" s="40" t="s">
        <v>64</v>
      </c>
      <c r="CD8" s="40" t="s">
        <v>64</v>
      </c>
      <c r="CE8" s="40" t="s">
        <v>64</v>
      </c>
      <c r="CF8" s="40" t="s">
        <v>64</v>
      </c>
      <c r="CG8" s="40" t="s">
        <v>64</v>
      </c>
      <c r="CH8" s="40" t="s">
        <v>64</v>
      </c>
      <c r="CI8" s="40" t="s">
        <v>64</v>
      </c>
      <c r="CJ8" s="40" t="s">
        <v>64</v>
      </c>
      <c r="CK8" s="40" t="s">
        <v>64</v>
      </c>
      <c r="CL8" s="40" t="s">
        <v>64</v>
      </c>
      <c r="CM8" s="40" t="s">
        <v>64</v>
      </c>
      <c r="CN8" s="40" t="s">
        <v>64</v>
      </c>
      <c r="CO8" s="40" t="s">
        <v>64</v>
      </c>
      <c r="CP8" s="40" t="s">
        <v>64</v>
      </c>
    </row>
    <row r="9" spans="1:94" ht="12" x14ac:dyDescent="0.25">
      <c r="A9" s="39" t="s">
        <v>448</v>
      </c>
      <c r="B9" s="39" t="s">
        <v>536</v>
      </c>
      <c r="C9" s="39" t="s">
        <v>448</v>
      </c>
      <c r="D9" s="40" t="s">
        <v>545</v>
      </c>
      <c r="E9" s="43">
        <v>284525093</v>
      </c>
      <c r="F9" s="40">
        <v>0</v>
      </c>
      <c r="G9" s="40" t="s">
        <v>349</v>
      </c>
      <c r="H9" s="40">
        <v>0</v>
      </c>
      <c r="I9" s="40">
        <v>0</v>
      </c>
      <c r="J9" s="13" t="s">
        <v>90</v>
      </c>
      <c r="K9" s="40" t="s">
        <v>60</v>
      </c>
      <c r="L9" s="40" t="s">
        <v>61</v>
      </c>
      <c r="M9" s="42">
        <v>4.53</v>
      </c>
      <c r="N9" s="40" t="s">
        <v>64</v>
      </c>
      <c r="O9" s="40" t="s">
        <v>64</v>
      </c>
      <c r="P9" s="40" t="s">
        <v>64</v>
      </c>
      <c r="Q9" s="40" t="s">
        <v>64</v>
      </c>
      <c r="R9" s="40" t="s">
        <v>64</v>
      </c>
      <c r="S9" s="13" t="s">
        <v>64</v>
      </c>
      <c r="T9" s="40" t="s">
        <v>64</v>
      </c>
      <c r="U9" s="40" t="s">
        <v>64</v>
      </c>
      <c r="V9" s="42" t="s">
        <v>64</v>
      </c>
      <c r="W9" s="40" t="s">
        <v>64</v>
      </c>
      <c r="X9" s="40" t="s">
        <v>64</v>
      </c>
      <c r="Y9" s="40" t="s">
        <v>64</v>
      </c>
      <c r="Z9" s="40" t="s">
        <v>64</v>
      </c>
      <c r="AA9" s="40" t="s">
        <v>64</v>
      </c>
      <c r="AB9" s="13" t="s">
        <v>64</v>
      </c>
      <c r="AC9" s="40" t="s">
        <v>64</v>
      </c>
      <c r="AD9" s="40" t="s">
        <v>64</v>
      </c>
      <c r="AE9" s="42" t="s">
        <v>64</v>
      </c>
      <c r="AF9" s="40" t="s">
        <v>64</v>
      </c>
      <c r="AG9" s="40" t="s">
        <v>64</v>
      </c>
      <c r="AH9" s="40" t="s">
        <v>64</v>
      </c>
      <c r="AI9" s="40" t="s">
        <v>64</v>
      </c>
      <c r="AJ9" s="40" t="s">
        <v>64</v>
      </c>
      <c r="AK9" s="40" t="s">
        <v>64</v>
      </c>
      <c r="AL9" s="40" t="s">
        <v>64</v>
      </c>
      <c r="AM9" s="40" t="s">
        <v>64</v>
      </c>
      <c r="AN9" s="40" t="s">
        <v>64</v>
      </c>
      <c r="AO9" s="40" t="s">
        <v>64</v>
      </c>
      <c r="AP9" s="40" t="s">
        <v>64</v>
      </c>
      <c r="AQ9" s="40" t="s">
        <v>64</v>
      </c>
      <c r="AR9" s="40" t="s">
        <v>64</v>
      </c>
      <c r="AS9" s="40" t="s">
        <v>64</v>
      </c>
      <c r="AT9" s="40" t="s">
        <v>64</v>
      </c>
      <c r="AU9" s="40" t="s">
        <v>64</v>
      </c>
      <c r="AV9" s="40" t="s">
        <v>64</v>
      </c>
      <c r="AW9" s="40" t="s">
        <v>64</v>
      </c>
      <c r="AX9" s="40" t="s">
        <v>64</v>
      </c>
      <c r="AY9" s="40" t="s">
        <v>64</v>
      </c>
      <c r="AZ9" s="40" t="s">
        <v>64</v>
      </c>
      <c r="BA9" s="40" t="s">
        <v>64</v>
      </c>
      <c r="BB9" s="40" t="s">
        <v>64</v>
      </c>
      <c r="BC9" s="40" t="s">
        <v>64</v>
      </c>
      <c r="BD9" s="40" t="s">
        <v>64</v>
      </c>
      <c r="BE9" s="40" t="s">
        <v>64</v>
      </c>
      <c r="BF9" s="40" t="s">
        <v>64</v>
      </c>
      <c r="BG9" s="40" t="s">
        <v>64</v>
      </c>
      <c r="BH9" s="40" t="s">
        <v>64</v>
      </c>
      <c r="BI9" s="40" t="s">
        <v>64</v>
      </c>
      <c r="BJ9" s="40" t="s">
        <v>64</v>
      </c>
      <c r="BK9" s="40" t="s">
        <v>64</v>
      </c>
      <c r="BL9" s="40" t="s">
        <v>64</v>
      </c>
      <c r="BM9" s="40" t="s">
        <v>64</v>
      </c>
      <c r="BN9" s="40" t="s">
        <v>64</v>
      </c>
      <c r="BO9" s="40" t="s">
        <v>64</v>
      </c>
      <c r="BP9" s="40" t="s">
        <v>64</v>
      </c>
      <c r="BQ9" s="40" t="s">
        <v>64</v>
      </c>
      <c r="BR9" s="40" t="s">
        <v>64</v>
      </c>
      <c r="BS9" s="40" t="s">
        <v>64</v>
      </c>
      <c r="BT9" s="40" t="s">
        <v>64</v>
      </c>
      <c r="BU9" s="40" t="s">
        <v>64</v>
      </c>
      <c r="BV9" s="40" t="s">
        <v>64</v>
      </c>
      <c r="BW9" s="40" t="s">
        <v>64</v>
      </c>
      <c r="BX9" s="40" t="s">
        <v>64</v>
      </c>
      <c r="BY9" s="40" t="s">
        <v>64</v>
      </c>
      <c r="BZ9" s="40" t="s">
        <v>64</v>
      </c>
      <c r="CA9" s="40" t="s">
        <v>64</v>
      </c>
      <c r="CB9" s="40" t="s">
        <v>64</v>
      </c>
      <c r="CC9" s="40" t="s">
        <v>64</v>
      </c>
      <c r="CD9" s="40" t="s">
        <v>64</v>
      </c>
      <c r="CE9" s="40" t="s">
        <v>64</v>
      </c>
      <c r="CF9" s="40" t="s">
        <v>64</v>
      </c>
      <c r="CG9" s="40" t="s">
        <v>64</v>
      </c>
      <c r="CH9" s="40" t="s">
        <v>64</v>
      </c>
      <c r="CI9" s="40" t="s">
        <v>64</v>
      </c>
      <c r="CJ9" s="40" t="s">
        <v>64</v>
      </c>
      <c r="CK9" s="40" t="s">
        <v>64</v>
      </c>
      <c r="CL9" s="40" t="s">
        <v>64</v>
      </c>
      <c r="CM9" s="40" t="s">
        <v>64</v>
      </c>
      <c r="CN9" s="40" t="s">
        <v>64</v>
      </c>
      <c r="CO9" s="40" t="s">
        <v>64</v>
      </c>
      <c r="CP9" s="40" t="s">
        <v>64</v>
      </c>
    </row>
    <row r="10" spans="1:94" ht="12" x14ac:dyDescent="0.25">
      <c r="A10" s="39" t="s">
        <v>449</v>
      </c>
      <c r="B10" s="39" t="s">
        <v>536</v>
      </c>
      <c r="C10" s="39" t="s">
        <v>449</v>
      </c>
      <c r="D10" s="40" t="s">
        <v>546</v>
      </c>
      <c r="E10" s="43">
        <v>284525094</v>
      </c>
      <c r="F10" s="40">
        <v>0</v>
      </c>
      <c r="G10" s="40" t="s">
        <v>349</v>
      </c>
      <c r="H10" s="40">
        <v>0</v>
      </c>
      <c r="I10" s="40">
        <v>0</v>
      </c>
      <c r="J10" s="13" t="s">
        <v>89</v>
      </c>
      <c r="K10" s="40" t="s">
        <v>60</v>
      </c>
      <c r="L10" s="40" t="s">
        <v>61</v>
      </c>
      <c r="M10" s="42">
        <v>5.2</v>
      </c>
      <c r="N10" s="40">
        <v>284525095</v>
      </c>
      <c r="O10" s="40">
        <v>0</v>
      </c>
      <c r="P10" s="40" t="s">
        <v>350</v>
      </c>
      <c r="Q10" s="40">
        <v>0</v>
      </c>
      <c r="R10" s="40">
        <v>0</v>
      </c>
      <c r="S10" s="13" t="s">
        <v>90</v>
      </c>
      <c r="T10" s="40" t="s">
        <v>60</v>
      </c>
      <c r="U10" s="40" t="s">
        <v>61</v>
      </c>
      <c r="V10" s="42">
        <v>2.6</v>
      </c>
      <c r="W10" s="40" t="s">
        <v>64</v>
      </c>
      <c r="X10" s="40" t="s">
        <v>64</v>
      </c>
      <c r="Y10" s="40" t="s">
        <v>64</v>
      </c>
      <c r="Z10" s="40" t="s">
        <v>64</v>
      </c>
      <c r="AA10" s="40" t="s">
        <v>64</v>
      </c>
      <c r="AB10" s="13" t="s">
        <v>64</v>
      </c>
      <c r="AC10" s="40" t="s">
        <v>64</v>
      </c>
      <c r="AD10" s="40" t="s">
        <v>64</v>
      </c>
      <c r="AE10" s="42" t="s">
        <v>64</v>
      </c>
      <c r="AF10" s="40" t="s">
        <v>64</v>
      </c>
      <c r="AG10" s="40" t="s">
        <v>64</v>
      </c>
      <c r="AH10" s="40" t="s">
        <v>64</v>
      </c>
      <c r="AI10" s="40" t="s">
        <v>64</v>
      </c>
      <c r="AJ10" s="40" t="s">
        <v>64</v>
      </c>
      <c r="AK10" s="40" t="s">
        <v>64</v>
      </c>
      <c r="AL10" s="40" t="s">
        <v>64</v>
      </c>
      <c r="AM10" s="40" t="s">
        <v>64</v>
      </c>
      <c r="AN10" s="40" t="s">
        <v>64</v>
      </c>
      <c r="AO10" s="40" t="s">
        <v>64</v>
      </c>
      <c r="AP10" s="40" t="s">
        <v>64</v>
      </c>
      <c r="AQ10" s="40" t="s">
        <v>64</v>
      </c>
      <c r="AR10" s="40" t="s">
        <v>64</v>
      </c>
      <c r="AS10" s="40" t="s">
        <v>64</v>
      </c>
      <c r="AT10" s="40" t="s">
        <v>64</v>
      </c>
      <c r="AU10" s="40" t="s">
        <v>64</v>
      </c>
      <c r="AV10" s="40" t="s">
        <v>64</v>
      </c>
      <c r="AW10" s="40" t="s">
        <v>64</v>
      </c>
      <c r="AX10" s="40" t="s">
        <v>64</v>
      </c>
      <c r="AY10" s="40" t="s">
        <v>64</v>
      </c>
      <c r="AZ10" s="40" t="s">
        <v>64</v>
      </c>
      <c r="BA10" s="40" t="s">
        <v>64</v>
      </c>
      <c r="BB10" s="40" t="s">
        <v>64</v>
      </c>
      <c r="BC10" s="40" t="s">
        <v>64</v>
      </c>
      <c r="BD10" s="40" t="s">
        <v>64</v>
      </c>
      <c r="BE10" s="40" t="s">
        <v>64</v>
      </c>
      <c r="BF10" s="40" t="s">
        <v>64</v>
      </c>
      <c r="BG10" s="40" t="s">
        <v>64</v>
      </c>
      <c r="BH10" s="40" t="s">
        <v>64</v>
      </c>
      <c r="BI10" s="40" t="s">
        <v>64</v>
      </c>
      <c r="BJ10" s="40" t="s">
        <v>64</v>
      </c>
      <c r="BK10" s="40" t="s">
        <v>64</v>
      </c>
      <c r="BL10" s="40" t="s">
        <v>64</v>
      </c>
      <c r="BM10" s="40" t="s">
        <v>64</v>
      </c>
      <c r="BN10" s="40" t="s">
        <v>64</v>
      </c>
      <c r="BO10" s="40" t="s">
        <v>64</v>
      </c>
      <c r="BP10" s="40" t="s">
        <v>64</v>
      </c>
      <c r="BQ10" s="40" t="s">
        <v>64</v>
      </c>
      <c r="BR10" s="40" t="s">
        <v>64</v>
      </c>
      <c r="BS10" s="40" t="s">
        <v>64</v>
      </c>
      <c r="BT10" s="40" t="s">
        <v>64</v>
      </c>
      <c r="BU10" s="40" t="s">
        <v>64</v>
      </c>
      <c r="BV10" s="40" t="s">
        <v>64</v>
      </c>
      <c r="BW10" s="40" t="s">
        <v>64</v>
      </c>
      <c r="BX10" s="40" t="s">
        <v>64</v>
      </c>
      <c r="BY10" s="40" t="s">
        <v>64</v>
      </c>
      <c r="BZ10" s="40" t="s">
        <v>64</v>
      </c>
      <c r="CA10" s="40" t="s">
        <v>64</v>
      </c>
      <c r="CB10" s="40" t="s">
        <v>64</v>
      </c>
      <c r="CC10" s="40" t="s">
        <v>64</v>
      </c>
      <c r="CD10" s="40" t="s">
        <v>64</v>
      </c>
      <c r="CE10" s="40" t="s">
        <v>64</v>
      </c>
      <c r="CF10" s="40" t="s">
        <v>64</v>
      </c>
      <c r="CG10" s="40" t="s">
        <v>64</v>
      </c>
      <c r="CH10" s="40" t="s">
        <v>64</v>
      </c>
      <c r="CI10" s="40" t="s">
        <v>64</v>
      </c>
      <c r="CJ10" s="40" t="s">
        <v>64</v>
      </c>
      <c r="CK10" s="40" t="s">
        <v>64</v>
      </c>
      <c r="CL10" s="40" t="s">
        <v>64</v>
      </c>
      <c r="CM10" s="40" t="s">
        <v>64</v>
      </c>
      <c r="CN10" s="40" t="s">
        <v>64</v>
      </c>
      <c r="CO10" s="40" t="s">
        <v>64</v>
      </c>
      <c r="CP10" s="40" t="s">
        <v>64</v>
      </c>
    </row>
    <row r="11" spans="1:94" ht="12" x14ac:dyDescent="0.25">
      <c r="A11" s="39" t="s">
        <v>450</v>
      </c>
      <c r="B11" s="39" t="s">
        <v>536</v>
      </c>
      <c r="C11" s="39" t="s">
        <v>450</v>
      </c>
      <c r="D11" s="40" t="s">
        <v>547</v>
      </c>
      <c r="E11" s="43">
        <v>284525092</v>
      </c>
      <c r="F11" s="40">
        <v>0</v>
      </c>
      <c r="G11" s="40" t="s">
        <v>349</v>
      </c>
      <c r="H11" s="40">
        <v>0</v>
      </c>
      <c r="I11" s="40">
        <v>0</v>
      </c>
      <c r="J11" s="13" t="s">
        <v>88</v>
      </c>
      <c r="K11" s="40" t="s">
        <v>60</v>
      </c>
      <c r="L11" s="40" t="s">
        <v>61</v>
      </c>
      <c r="M11" s="42">
        <v>2.6</v>
      </c>
      <c r="N11" s="40" t="s">
        <v>64</v>
      </c>
      <c r="O11" s="40" t="s">
        <v>64</v>
      </c>
      <c r="P11" s="40" t="s">
        <v>64</v>
      </c>
      <c r="Q11" s="40" t="s">
        <v>64</v>
      </c>
      <c r="R11" s="40" t="s">
        <v>64</v>
      </c>
      <c r="S11" s="13" t="s">
        <v>64</v>
      </c>
      <c r="T11" s="40" t="s">
        <v>64</v>
      </c>
      <c r="U11" s="40" t="s">
        <v>64</v>
      </c>
      <c r="V11" s="42" t="s">
        <v>64</v>
      </c>
      <c r="W11" s="40" t="s">
        <v>64</v>
      </c>
      <c r="X11" s="40" t="s">
        <v>64</v>
      </c>
      <c r="Y11" s="40" t="s">
        <v>64</v>
      </c>
      <c r="Z11" s="40" t="s">
        <v>64</v>
      </c>
      <c r="AA11" s="40" t="s">
        <v>64</v>
      </c>
      <c r="AB11" s="13" t="s">
        <v>64</v>
      </c>
      <c r="AC11" s="40" t="s">
        <v>64</v>
      </c>
      <c r="AD11" s="40" t="s">
        <v>64</v>
      </c>
      <c r="AE11" s="42" t="s">
        <v>64</v>
      </c>
      <c r="AF11" s="40" t="s">
        <v>64</v>
      </c>
      <c r="AG11" s="40" t="s">
        <v>64</v>
      </c>
      <c r="AH11" s="40" t="s">
        <v>64</v>
      </c>
      <c r="AI11" s="40" t="s">
        <v>64</v>
      </c>
      <c r="AJ11" s="40" t="s">
        <v>64</v>
      </c>
      <c r="AK11" s="40" t="s">
        <v>64</v>
      </c>
      <c r="AL11" s="40" t="s">
        <v>64</v>
      </c>
      <c r="AM11" s="40" t="s">
        <v>64</v>
      </c>
      <c r="AN11" s="40" t="s">
        <v>64</v>
      </c>
      <c r="AO11" s="40" t="s">
        <v>64</v>
      </c>
      <c r="AP11" s="40" t="s">
        <v>64</v>
      </c>
      <c r="AQ11" s="40" t="s">
        <v>64</v>
      </c>
      <c r="AR11" s="40" t="s">
        <v>64</v>
      </c>
      <c r="AS11" s="40" t="s">
        <v>64</v>
      </c>
      <c r="AT11" s="40" t="s">
        <v>64</v>
      </c>
      <c r="AU11" s="40" t="s">
        <v>64</v>
      </c>
      <c r="AV11" s="40" t="s">
        <v>64</v>
      </c>
      <c r="AW11" s="40" t="s">
        <v>64</v>
      </c>
      <c r="AX11" s="40" t="s">
        <v>64</v>
      </c>
      <c r="AY11" s="40" t="s">
        <v>64</v>
      </c>
      <c r="AZ11" s="40" t="s">
        <v>64</v>
      </c>
      <c r="BA11" s="40" t="s">
        <v>64</v>
      </c>
      <c r="BB11" s="40" t="s">
        <v>64</v>
      </c>
      <c r="BC11" s="40" t="s">
        <v>64</v>
      </c>
      <c r="BD11" s="40" t="s">
        <v>64</v>
      </c>
      <c r="BE11" s="40" t="s">
        <v>64</v>
      </c>
      <c r="BF11" s="40" t="s">
        <v>64</v>
      </c>
      <c r="BG11" s="40" t="s">
        <v>64</v>
      </c>
      <c r="BH11" s="40" t="s">
        <v>64</v>
      </c>
      <c r="BI11" s="40" t="s">
        <v>64</v>
      </c>
      <c r="BJ11" s="40" t="s">
        <v>64</v>
      </c>
      <c r="BK11" s="40" t="s">
        <v>64</v>
      </c>
      <c r="BL11" s="40" t="s">
        <v>64</v>
      </c>
      <c r="BM11" s="40" t="s">
        <v>64</v>
      </c>
      <c r="BN11" s="40" t="s">
        <v>64</v>
      </c>
      <c r="BO11" s="40" t="s">
        <v>64</v>
      </c>
      <c r="BP11" s="40" t="s">
        <v>64</v>
      </c>
      <c r="BQ11" s="40" t="s">
        <v>64</v>
      </c>
      <c r="BR11" s="40" t="s">
        <v>64</v>
      </c>
      <c r="BS11" s="40" t="s">
        <v>64</v>
      </c>
      <c r="BT11" s="40" t="s">
        <v>64</v>
      </c>
      <c r="BU11" s="40" t="s">
        <v>64</v>
      </c>
      <c r="BV11" s="40" t="s">
        <v>64</v>
      </c>
      <c r="BW11" s="40" t="s">
        <v>64</v>
      </c>
      <c r="BX11" s="40" t="s">
        <v>64</v>
      </c>
      <c r="BY11" s="40" t="s">
        <v>64</v>
      </c>
      <c r="BZ11" s="40" t="s">
        <v>64</v>
      </c>
      <c r="CA11" s="40" t="s">
        <v>64</v>
      </c>
      <c r="CB11" s="40" t="s">
        <v>64</v>
      </c>
      <c r="CC11" s="40" t="s">
        <v>64</v>
      </c>
      <c r="CD11" s="40" t="s">
        <v>64</v>
      </c>
      <c r="CE11" s="40" t="s">
        <v>64</v>
      </c>
      <c r="CF11" s="40" t="s">
        <v>64</v>
      </c>
      <c r="CG11" s="40" t="s">
        <v>64</v>
      </c>
      <c r="CH11" s="40" t="s">
        <v>64</v>
      </c>
      <c r="CI11" s="40" t="s">
        <v>64</v>
      </c>
      <c r="CJ11" s="40" t="s">
        <v>64</v>
      </c>
      <c r="CK11" s="40" t="s">
        <v>64</v>
      </c>
      <c r="CL11" s="40" t="s">
        <v>64</v>
      </c>
      <c r="CM11" s="40" t="s">
        <v>64</v>
      </c>
      <c r="CN11" s="40" t="s">
        <v>64</v>
      </c>
      <c r="CO11" s="40" t="s">
        <v>64</v>
      </c>
      <c r="CP11" s="40" t="s">
        <v>64</v>
      </c>
    </row>
    <row r="12" spans="1:94" ht="12" x14ac:dyDescent="0.25">
      <c r="A12" s="39" t="s">
        <v>451</v>
      </c>
      <c r="B12" s="39" t="s">
        <v>536</v>
      </c>
      <c r="C12" s="39" t="s">
        <v>451</v>
      </c>
      <c r="D12" s="40" t="s">
        <v>548</v>
      </c>
      <c r="E12" s="43">
        <v>284525119</v>
      </c>
      <c r="F12" s="40">
        <v>0</v>
      </c>
      <c r="G12" s="40" t="s">
        <v>349</v>
      </c>
      <c r="H12" s="40">
        <v>0</v>
      </c>
      <c r="I12" s="40">
        <v>0</v>
      </c>
      <c r="J12" s="13" t="s">
        <v>88</v>
      </c>
      <c r="K12" s="40" t="s">
        <v>60</v>
      </c>
      <c r="L12" s="40" t="s">
        <v>61</v>
      </c>
      <c r="M12" s="42">
        <v>5.2</v>
      </c>
      <c r="N12" s="40" t="s">
        <v>64</v>
      </c>
      <c r="O12" s="40" t="s">
        <v>64</v>
      </c>
      <c r="P12" s="40" t="s">
        <v>64</v>
      </c>
      <c r="Q12" s="40" t="s">
        <v>64</v>
      </c>
      <c r="R12" s="40" t="s">
        <v>64</v>
      </c>
      <c r="S12" s="13" t="s">
        <v>64</v>
      </c>
      <c r="T12" s="40" t="s">
        <v>64</v>
      </c>
      <c r="U12" s="40" t="s">
        <v>64</v>
      </c>
      <c r="V12" s="42" t="s">
        <v>64</v>
      </c>
      <c r="W12" s="40" t="s">
        <v>64</v>
      </c>
      <c r="X12" s="40" t="s">
        <v>64</v>
      </c>
      <c r="Y12" s="40" t="s">
        <v>64</v>
      </c>
      <c r="Z12" s="40" t="s">
        <v>64</v>
      </c>
      <c r="AA12" s="40" t="s">
        <v>64</v>
      </c>
      <c r="AB12" s="13" t="s">
        <v>64</v>
      </c>
      <c r="AC12" s="40" t="s">
        <v>64</v>
      </c>
      <c r="AD12" s="40" t="s">
        <v>64</v>
      </c>
      <c r="AE12" s="42" t="s">
        <v>64</v>
      </c>
      <c r="AF12" s="40" t="s">
        <v>64</v>
      </c>
      <c r="AG12" s="40" t="s">
        <v>64</v>
      </c>
      <c r="AH12" s="40" t="s">
        <v>64</v>
      </c>
      <c r="AI12" s="40" t="s">
        <v>64</v>
      </c>
      <c r="AJ12" s="40" t="s">
        <v>64</v>
      </c>
      <c r="AK12" s="40" t="s">
        <v>64</v>
      </c>
      <c r="AL12" s="40" t="s">
        <v>64</v>
      </c>
      <c r="AM12" s="40" t="s">
        <v>64</v>
      </c>
      <c r="AN12" s="40" t="s">
        <v>64</v>
      </c>
      <c r="AO12" s="40" t="s">
        <v>64</v>
      </c>
      <c r="AP12" s="40" t="s">
        <v>64</v>
      </c>
      <c r="AQ12" s="40" t="s">
        <v>64</v>
      </c>
      <c r="AR12" s="40" t="s">
        <v>64</v>
      </c>
      <c r="AS12" s="40" t="s">
        <v>64</v>
      </c>
      <c r="AT12" s="40" t="s">
        <v>64</v>
      </c>
      <c r="AU12" s="40" t="s">
        <v>64</v>
      </c>
      <c r="AV12" s="40" t="s">
        <v>64</v>
      </c>
      <c r="AW12" s="40" t="s">
        <v>64</v>
      </c>
      <c r="AX12" s="40" t="s">
        <v>64</v>
      </c>
      <c r="AY12" s="40" t="s">
        <v>64</v>
      </c>
      <c r="AZ12" s="40" t="s">
        <v>64</v>
      </c>
      <c r="BA12" s="40" t="s">
        <v>64</v>
      </c>
      <c r="BB12" s="40" t="s">
        <v>64</v>
      </c>
      <c r="BC12" s="40" t="s">
        <v>64</v>
      </c>
      <c r="BD12" s="40" t="s">
        <v>64</v>
      </c>
      <c r="BE12" s="40" t="s">
        <v>64</v>
      </c>
      <c r="BF12" s="40" t="s">
        <v>64</v>
      </c>
      <c r="BG12" s="40" t="s">
        <v>64</v>
      </c>
      <c r="BH12" s="40" t="s">
        <v>64</v>
      </c>
      <c r="BI12" s="40" t="s">
        <v>64</v>
      </c>
      <c r="BJ12" s="40" t="s">
        <v>64</v>
      </c>
      <c r="BK12" s="40" t="s">
        <v>64</v>
      </c>
      <c r="BL12" s="40" t="s">
        <v>64</v>
      </c>
      <c r="BM12" s="40" t="s">
        <v>64</v>
      </c>
      <c r="BN12" s="40" t="s">
        <v>64</v>
      </c>
      <c r="BO12" s="40" t="s">
        <v>64</v>
      </c>
      <c r="BP12" s="40" t="s">
        <v>64</v>
      </c>
      <c r="BQ12" s="40" t="s">
        <v>64</v>
      </c>
      <c r="BR12" s="40" t="s">
        <v>64</v>
      </c>
      <c r="BS12" s="40" t="s">
        <v>64</v>
      </c>
      <c r="BT12" s="40" t="s">
        <v>64</v>
      </c>
      <c r="BU12" s="40" t="s">
        <v>64</v>
      </c>
      <c r="BV12" s="40" t="s">
        <v>64</v>
      </c>
      <c r="BW12" s="40" t="s">
        <v>64</v>
      </c>
      <c r="BX12" s="40" t="s">
        <v>64</v>
      </c>
      <c r="BY12" s="40" t="s">
        <v>64</v>
      </c>
      <c r="BZ12" s="40" t="s">
        <v>64</v>
      </c>
      <c r="CA12" s="40" t="s">
        <v>64</v>
      </c>
      <c r="CB12" s="40" t="s">
        <v>64</v>
      </c>
      <c r="CC12" s="40" t="s">
        <v>64</v>
      </c>
      <c r="CD12" s="40" t="s">
        <v>64</v>
      </c>
      <c r="CE12" s="40" t="s">
        <v>64</v>
      </c>
      <c r="CF12" s="40" t="s">
        <v>64</v>
      </c>
      <c r="CG12" s="40" t="s">
        <v>64</v>
      </c>
      <c r="CH12" s="40" t="s">
        <v>64</v>
      </c>
      <c r="CI12" s="40" t="s">
        <v>64</v>
      </c>
      <c r="CJ12" s="40" t="s">
        <v>64</v>
      </c>
      <c r="CK12" s="40" t="s">
        <v>64</v>
      </c>
      <c r="CL12" s="40" t="s">
        <v>64</v>
      </c>
      <c r="CM12" s="40" t="s">
        <v>64</v>
      </c>
      <c r="CN12" s="40" t="s">
        <v>64</v>
      </c>
      <c r="CO12" s="40" t="s">
        <v>64</v>
      </c>
      <c r="CP12" s="40" t="s">
        <v>64</v>
      </c>
    </row>
    <row r="13" spans="1:94" ht="12" x14ac:dyDescent="0.25">
      <c r="A13" s="39" t="s">
        <v>452</v>
      </c>
      <c r="B13" s="39" t="s">
        <v>536</v>
      </c>
      <c r="C13" s="39" t="s">
        <v>452</v>
      </c>
      <c r="D13" s="40" t="s">
        <v>549</v>
      </c>
      <c r="E13" s="43">
        <v>284525120</v>
      </c>
      <c r="F13" s="40">
        <v>0</v>
      </c>
      <c r="G13" s="40" t="s">
        <v>349</v>
      </c>
      <c r="H13" s="40">
        <v>0</v>
      </c>
      <c r="I13" s="40">
        <v>0</v>
      </c>
      <c r="J13" s="13" t="s">
        <v>88</v>
      </c>
      <c r="K13" s="40" t="s">
        <v>60</v>
      </c>
      <c r="L13" s="40" t="s">
        <v>61</v>
      </c>
      <c r="M13" s="42">
        <v>5.2</v>
      </c>
      <c r="N13" s="40" t="s">
        <v>64</v>
      </c>
      <c r="O13" s="40" t="s">
        <v>64</v>
      </c>
      <c r="P13" s="40" t="s">
        <v>64</v>
      </c>
      <c r="Q13" s="40" t="s">
        <v>64</v>
      </c>
      <c r="R13" s="40" t="s">
        <v>64</v>
      </c>
      <c r="S13" s="13" t="s">
        <v>64</v>
      </c>
      <c r="T13" s="40" t="s">
        <v>64</v>
      </c>
      <c r="U13" s="40" t="s">
        <v>64</v>
      </c>
      <c r="V13" s="42" t="s">
        <v>64</v>
      </c>
      <c r="W13" s="40" t="s">
        <v>64</v>
      </c>
      <c r="X13" s="40" t="s">
        <v>64</v>
      </c>
      <c r="Y13" s="40" t="s">
        <v>64</v>
      </c>
      <c r="Z13" s="40" t="s">
        <v>64</v>
      </c>
      <c r="AA13" s="40" t="s">
        <v>64</v>
      </c>
      <c r="AB13" s="13" t="s">
        <v>64</v>
      </c>
      <c r="AC13" s="40" t="s">
        <v>64</v>
      </c>
      <c r="AD13" s="40" t="s">
        <v>64</v>
      </c>
      <c r="AE13" s="42" t="s">
        <v>64</v>
      </c>
      <c r="AF13" s="40" t="s">
        <v>64</v>
      </c>
      <c r="AG13" s="40" t="s">
        <v>64</v>
      </c>
      <c r="AH13" s="40" t="s">
        <v>64</v>
      </c>
      <c r="AI13" s="40" t="s">
        <v>64</v>
      </c>
      <c r="AJ13" s="40" t="s">
        <v>64</v>
      </c>
      <c r="AK13" s="40" t="s">
        <v>64</v>
      </c>
      <c r="AL13" s="40" t="s">
        <v>64</v>
      </c>
      <c r="AM13" s="40" t="s">
        <v>64</v>
      </c>
      <c r="AN13" s="40" t="s">
        <v>64</v>
      </c>
      <c r="AO13" s="40" t="s">
        <v>64</v>
      </c>
      <c r="AP13" s="40" t="s">
        <v>64</v>
      </c>
      <c r="AQ13" s="40" t="s">
        <v>64</v>
      </c>
      <c r="AR13" s="40" t="s">
        <v>64</v>
      </c>
      <c r="AS13" s="40" t="s">
        <v>64</v>
      </c>
      <c r="AT13" s="40" t="s">
        <v>64</v>
      </c>
      <c r="AU13" s="40" t="s">
        <v>64</v>
      </c>
      <c r="AV13" s="40" t="s">
        <v>64</v>
      </c>
      <c r="AW13" s="40" t="s">
        <v>64</v>
      </c>
      <c r="AX13" s="40" t="s">
        <v>64</v>
      </c>
      <c r="AY13" s="40" t="s">
        <v>64</v>
      </c>
      <c r="AZ13" s="40" t="s">
        <v>64</v>
      </c>
      <c r="BA13" s="40" t="s">
        <v>64</v>
      </c>
      <c r="BB13" s="40" t="s">
        <v>64</v>
      </c>
      <c r="BC13" s="40" t="s">
        <v>64</v>
      </c>
      <c r="BD13" s="40" t="s">
        <v>64</v>
      </c>
      <c r="BE13" s="40" t="s">
        <v>64</v>
      </c>
      <c r="BF13" s="40" t="s">
        <v>64</v>
      </c>
      <c r="BG13" s="40" t="s">
        <v>64</v>
      </c>
      <c r="BH13" s="40" t="s">
        <v>64</v>
      </c>
      <c r="BI13" s="40" t="s">
        <v>64</v>
      </c>
      <c r="BJ13" s="40" t="s">
        <v>64</v>
      </c>
      <c r="BK13" s="40" t="s">
        <v>64</v>
      </c>
      <c r="BL13" s="40" t="s">
        <v>64</v>
      </c>
      <c r="BM13" s="40" t="s">
        <v>64</v>
      </c>
      <c r="BN13" s="40" t="s">
        <v>64</v>
      </c>
      <c r="BO13" s="40" t="s">
        <v>64</v>
      </c>
      <c r="BP13" s="40" t="s">
        <v>64</v>
      </c>
      <c r="BQ13" s="40" t="s">
        <v>64</v>
      </c>
      <c r="BR13" s="40" t="s">
        <v>64</v>
      </c>
      <c r="BS13" s="40" t="s">
        <v>64</v>
      </c>
      <c r="BT13" s="40" t="s">
        <v>64</v>
      </c>
      <c r="BU13" s="40" t="s">
        <v>64</v>
      </c>
      <c r="BV13" s="40" t="s">
        <v>64</v>
      </c>
      <c r="BW13" s="40" t="s">
        <v>64</v>
      </c>
      <c r="BX13" s="40" t="s">
        <v>64</v>
      </c>
      <c r="BY13" s="40" t="s">
        <v>64</v>
      </c>
      <c r="BZ13" s="40" t="s">
        <v>64</v>
      </c>
      <c r="CA13" s="40" t="s">
        <v>64</v>
      </c>
      <c r="CB13" s="40" t="s">
        <v>64</v>
      </c>
      <c r="CC13" s="40" t="s">
        <v>64</v>
      </c>
      <c r="CD13" s="40" t="s">
        <v>64</v>
      </c>
      <c r="CE13" s="40" t="s">
        <v>64</v>
      </c>
      <c r="CF13" s="40" t="s">
        <v>64</v>
      </c>
      <c r="CG13" s="40" t="s">
        <v>64</v>
      </c>
      <c r="CH13" s="40" t="s">
        <v>64</v>
      </c>
      <c r="CI13" s="40" t="s">
        <v>64</v>
      </c>
      <c r="CJ13" s="40" t="s">
        <v>64</v>
      </c>
      <c r="CK13" s="40" t="s">
        <v>64</v>
      </c>
      <c r="CL13" s="40" t="s">
        <v>64</v>
      </c>
      <c r="CM13" s="40" t="s">
        <v>64</v>
      </c>
      <c r="CN13" s="40" t="s">
        <v>64</v>
      </c>
      <c r="CO13" s="40" t="s">
        <v>64</v>
      </c>
      <c r="CP13" s="40" t="s">
        <v>64</v>
      </c>
    </row>
    <row r="14" spans="1:94" ht="12" x14ac:dyDescent="0.25">
      <c r="A14" s="39" t="s">
        <v>453</v>
      </c>
      <c r="B14" s="39" t="s">
        <v>536</v>
      </c>
      <c r="C14" s="39" t="s">
        <v>453</v>
      </c>
      <c r="D14" s="40" t="s">
        <v>550</v>
      </c>
      <c r="E14" s="43">
        <v>284525122</v>
      </c>
      <c r="F14" s="40">
        <v>0</v>
      </c>
      <c r="G14" s="40" t="s">
        <v>349</v>
      </c>
      <c r="H14" s="40">
        <v>0</v>
      </c>
      <c r="I14" s="40">
        <v>0</v>
      </c>
      <c r="J14" s="13" t="s">
        <v>88</v>
      </c>
      <c r="K14" s="40" t="s">
        <v>60</v>
      </c>
      <c r="L14" s="40" t="s">
        <v>61</v>
      </c>
      <c r="M14" s="42">
        <v>2.6</v>
      </c>
      <c r="N14" s="40">
        <v>284525123</v>
      </c>
      <c r="O14" s="40">
        <v>0</v>
      </c>
      <c r="P14" s="40" t="s">
        <v>350</v>
      </c>
      <c r="Q14" s="40">
        <v>0</v>
      </c>
      <c r="R14" s="40">
        <v>0</v>
      </c>
      <c r="S14" s="13" t="s">
        <v>91</v>
      </c>
      <c r="T14" s="40" t="s">
        <v>60</v>
      </c>
      <c r="U14" s="40" t="s">
        <v>61</v>
      </c>
      <c r="V14" s="42">
        <v>5.2</v>
      </c>
      <c r="W14" s="40" t="s">
        <v>64</v>
      </c>
      <c r="X14" s="40" t="s">
        <v>64</v>
      </c>
      <c r="Y14" s="40" t="s">
        <v>64</v>
      </c>
      <c r="Z14" s="40" t="s">
        <v>64</v>
      </c>
      <c r="AA14" s="40" t="s">
        <v>64</v>
      </c>
      <c r="AB14" s="13" t="s">
        <v>64</v>
      </c>
      <c r="AC14" s="40" t="s">
        <v>64</v>
      </c>
      <c r="AD14" s="40" t="s">
        <v>64</v>
      </c>
      <c r="AE14" s="42" t="s">
        <v>64</v>
      </c>
      <c r="AF14" s="40" t="s">
        <v>64</v>
      </c>
      <c r="AG14" s="40" t="s">
        <v>64</v>
      </c>
      <c r="AH14" s="40" t="s">
        <v>64</v>
      </c>
      <c r="AI14" s="40" t="s">
        <v>64</v>
      </c>
      <c r="AJ14" s="40" t="s">
        <v>64</v>
      </c>
      <c r="AK14" s="40" t="s">
        <v>64</v>
      </c>
      <c r="AL14" s="40" t="s">
        <v>64</v>
      </c>
      <c r="AM14" s="40" t="s">
        <v>64</v>
      </c>
      <c r="AN14" s="40" t="s">
        <v>64</v>
      </c>
      <c r="AO14" s="40" t="s">
        <v>64</v>
      </c>
      <c r="AP14" s="40" t="s">
        <v>64</v>
      </c>
      <c r="AQ14" s="40" t="s">
        <v>64</v>
      </c>
      <c r="AR14" s="40" t="s">
        <v>64</v>
      </c>
      <c r="AS14" s="40" t="s">
        <v>64</v>
      </c>
      <c r="AT14" s="40" t="s">
        <v>64</v>
      </c>
      <c r="AU14" s="40" t="s">
        <v>64</v>
      </c>
      <c r="AV14" s="40" t="s">
        <v>64</v>
      </c>
      <c r="AW14" s="40" t="s">
        <v>64</v>
      </c>
      <c r="AX14" s="40" t="s">
        <v>64</v>
      </c>
      <c r="AY14" s="40" t="s">
        <v>64</v>
      </c>
      <c r="AZ14" s="40" t="s">
        <v>64</v>
      </c>
      <c r="BA14" s="40" t="s">
        <v>64</v>
      </c>
      <c r="BB14" s="40" t="s">
        <v>64</v>
      </c>
      <c r="BC14" s="40" t="s">
        <v>64</v>
      </c>
      <c r="BD14" s="40" t="s">
        <v>64</v>
      </c>
      <c r="BE14" s="40" t="s">
        <v>64</v>
      </c>
      <c r="BF14" s="40" t="s">
        <v>64</v>
      </c>
      <c r="BG14" s="40" t="s">
        <v>64</v>
      </c>
      <c r="BH14" s="40" t="s">
        <v>64</v>
      </c>
      <c r="BI14" s="40" t="s">
        <v>64</v>
      </c>
      <c r="BJ14" s="40" t="s">
        <v>64</v>
      </c>
      <c r="BK14" s="40" t="s">
        <v>64</v>
      </c>
      <c r="BL14" s="40" t="s">
        <v>64</v>
      </c>
      <c r="BM14" s="40" t="s">
        <v>64</v>
      </c>
      <c r="BN14" s="40" t="s">
        <v>64</v>
      </c>
      <c r="BO14" s="40" t="s">
        <v>64</v>
      </c>
      <c r="BP14" s="40" t="s">
        <v>64</v>
      </c>
      <c r="BQ14" s="40" t="s">
        <v>64</v>
      </c>
      <c r="BR14" s="40" t="s">
        <v>64</v>
      </c>
      <c r="BS14" s="40" t="s">
        <v>64</v>
      </c>
      <c r="BT14" s="40" t="s">
        <v>64</v>
      </c>
      <c r="BU14" s="40" t="s">
        <v>64</v>
      </c>
      <c r="BV14" s="40" t="s">
        <v>64</v>
      </c>
      <c r="BW14" s="40" t="s">
        <v>64</v>
      </c>
      <c r="BX14" s="40" t="s">
        <v>64</v>
      </c>
      <c r="BY14" s="40" t="s">
        <v>64</v>
      </c>
      <c r="BZ14" s="40" t="s">
        <v>64</v>
      </c>
      <c r="CA14" s="40" t="s">
        <v>64</v>
      </c>
      <c r="CB14" s="40" t="s">
        <v>64</v>
      </c>
      <c r="CC14" s="40" t="s">
        <v>64</v>
      </c>
      <c r="CD14" s="40" t="s">
        <v>64</v>
      </c>
      <c r="CE14" s="40" t="s">
        <v>64</v>
      </c>
      <c r="CF14" s="40" t="s">
        <v>64</v>
      </c>
      <c r="CG14" s="40" t="s">
        <v>64</v>
      </c>
      <c r="CH14" s="40" t="s">
        <v>64</v>
      </c>
      <c r="CI14" s="40" t="s">
        <v>64</v>
      </c>
      <c r="CJ14" s="40" t="s">
        <v>64</v>
      </c>
      <c r="CK14" s="40" t="s">
        <v>64</v>
      </c>
      <c r="CL14" s="40" t="s">
        <v>64</v>
      </c>
      <c r="CM14" s="40" t="s">
        <v>64</v>
      </c>
      <c r="CN14" s="40" t="s">
        <v>64</v>
      </c>
      <c r="CO14" s="40" t="s">
        <v>64</v>
      </c>
      <c r="CP14" s="40" t="s">
        <v>64</v>
      </c>
    </row>
    <row r="15" spans="1:94" ht="12" x14ac:dyDescent="0.25">
      <c r="A15" s="39" t="s">
        <v>454</v>
      </c>
      <c r="B15" s="39" t="s">
        <v>536</v>
      </c>
      <c r="C15" s="39" t="s">
        <v>454</v>
      </c>
      <c r="D15" s="40" t="s">
        <v>551</v>
      </c>
      <c r="E15" s="43">
        <v>284525121</v>
      </c>
      <c r="F15" s="40">
        <v>0</v>
      </c>
      <c r="G15" s="40" t="s">
        <v>349</v>
      </c>
      <c r="H15" s="40">
        <v>0</v>
      </c>
      <c r="I15" s="40">
        <v>0</v>
      </c>
      <c r="J15" s="13" t="s">
        <v>91</v>
      </c>
      <c r="K15" s="40" t="s">
        <v>60</v>
      </c>
      <c r="L15" s="40" t="s">
        <v>61</v>
      </c>
      <c r="M15" s="42">
        <v>5.2</v>
      </c>
      <c r="N15" s="40" t="s">
        <v>64</v>
      </c>
      <c r="O15" s="40" t="s">
        <v>64</v>
      </c>
      <c r="P15" s="40" t="s">
        <v>64</v>
      </c>
      <c r="Q15" s="40" t="s">
        <v>64</v>
      </c>
      <c r="R15" s="40" t="s">
        <v>64</v>
      </c>
      <c r="S15" s="13" t="s">
        <v>64</v>
      </c>
      <c r="T15" s="40" t="s">
        <v>64</v>
      </c>
      <c r="U15" s="40" t="s">
        <v>64</v>
      </c>
      <c r="V15" s="42" t="s">
        <v>64</v>
      </c>
      <c r="W15" s="40" t="s">
        <v>64</v>
      </c>
      <c r="X15" s="40" t="s">
        <v>64</v>
      </c>
      <c r="Y15" s="40" t="s">
        <v>64</v>
      </c>
      <c r="Z15" s="40" t="s">
        <v>64</v>
      </c>
      <c r="AA15" s="40" t="s">
        <v>64</v>
      </c>
      <c r="AB15" s="13" t="s">
        <v>64</v>
      </c>
      <c r="AC15" s="40" t="s">
        <v>64</v>
      </c>
      <c r="AD15" s="40" t="s">
        <v>64</v>
      </c>
      <c r="AE15" s="42" t="s">
        <v>64</v>
      </c>
      <c r="AF15" s="40" t="s">
        <v>64</v>
      </c>
      <c r="AG15" s="40" t="s">
        <v>64</v>
      </c>
      <c r="AH15" s="40" t="s">
        <v>64</v>
      </c>
      <c r="AI15" s="40" t="s">
        <v>64</v>
      </c>
      <c r="AJ15" s="40" t="s">
        <v>64</v>
      </c>
      <c r="AK15" s="40" t="s">
        <v>64</v>
      </c>
      <c r="AL15" s="40" t="s">
        <v>64</v>
      </c>
      <c r="AM15" s="40" t="s">
        <v>64</v>
      </c>
      <c r="AN15" s="40" t="s">
        <v>64</v>
      </c>
      <c r="AO15" s="40" t="s">
        <v>64</v>
      </c>
      <c r="AP15" s="40" t="s">
        <v>64</v>
      </c>
      <c r="AQ15" s="40" t="s">
        <v>64</v>
      </c>
      <c r="AR15" s="40" t="s">
        <v>64</v>
      </c>
      <c r="AS15" s="40" t="s">
        <v>64</v>
      </c>
      <c r="AT15" s="40" t="s">
        <v>64</v>
      </c>
      <c r="AU15" s="40" t="s">
        <v>64</v>
      </c>
      <c r="AV15" s="40" t="s">
        <v>64</v>
      </c>
      <c r="AW15" s="40" t="s">
        <v>64</v>
      </c>
      <c r="AX15" s="40" t="s">
        <v>64</v>
      </c>
      <c r="AY15" s="40" t="s">
        <v>64</v>
      </c>
      <c r="AZ15" s="40" t="s">
        <v>64</v>
      </c>
      <c r="BA15" s="40" t="s">
        <v>64</v>
      </c>
      <c r="BB15" s="40" t="s">
        <v>64</v>
      </c>
      <c r="BC15" s="40" t="s">
        <v>64</v>
      </c>
      <c r="BD15" s="40" t="s">
        <v>64</v>
      </c>
      <c r="BE15" s="40" t="s">
        <v>64</v>
      </c>
      <c r="BF15" s="40" t="s">
        <v>64</v>
      </c>
      <c r="BG15" s="40" t="s">
        <v>64</v>
      </c>
      <c r="BH15" s="40" t="s">
        <v>64</v>
      </c>
      <c r="BI15" s="40" t="s">
        <v>64</v>
      </c>
      <c r="BJ15" s="40" t="s">
        <v>64</v>
      </c>
      <c r="BK15" s="40" t="s">
        <v>64</v>
      </c>
      <c r="BL15" s="40" t="s">
        <v>64</v>
      </c>
      <c r="BM15" s="40" t="s">
        <v>64</v>
      </c>
      <c r="BN15" s="40" t="s">
        <v>64</v>
      </c>
      <c r="BO15" s="40" t="s">
        <v>64</v>
      </c>
      <c r="BP15" s="40" t="s">
        <v>64</v>
      </c>
      <c r="BQ15" s="40" t="s">
        <v>64</v>
      </c>
      <c r="BR15" s="40" t="s">
        <v>64</v>
      </c>
      <c r="BS15" s="40" t="s">
        <v>64</v>
      </c>
      <c r="BT15" s="40" t="s">
        <v>64</v>
      </c>
      <c r="BU15" s="40" t="s">
        <v>64</v>
      </c>
      <c r="BV15" s="40" t="s">
        <v>64</v>
      </c>
      <c r="BW15" s="40" t="s">
        <v>64</v>
      </c>
      <c r="BX15" s="40" t="s">
        <v>64</v>
      </c>
      <c r="BY15" s="40" t="s">
        <v>64</v>
      </c>
      <c r="BZ15" s="40" t="s">
        <v>64</v>
      </c>
      <c r="CA15" s="40" t="s">
        <v>64</v>
      </c>
      <c r="CB15" s="40" t="s">
        <v>64</v>
      </c>
      <c r="CC15" s="40" t="s">
        <v>64</v>
      </c>
      <c r="CD15" s="40" t="s">
        <v>64</v>
      </c>
      <c r="CE15" s="40" t="s">
        <v>64</v>
      </c>
      <c r="CF15" s="40" t="s">
        <v>64</v>
      </c>
      <c r="CG15" s="40" t="s">
        <v>64</v>
      </c>
      <c r="CH15" s="40" t="s">
        <v>64</v>
      </c>
      <c r="CI15" s="40" t="s">
        <v>64</v>
      </c>
      <c r="CJ15" s="40" t="s">
        <v>64</v>
      </c>
      <c r="CK15" s="40" t="s">
        <v>64</v>
      </c>
      <c r="CL15" s="40" t="s">
        <v>64</v>
      </c>
      <c r="CM15" s="40" t="s">
        <v>64</v>
      </c>
      <c r="CN15" s="40" t="s">
        <v>64</v>
      </c>
      <c r="CO15" s="40" t="s">
        <v>64</v>
      </c>
      <c r="CP15" s="40" t="s">
        <v>64</v>
      </c>
    </row>
    <row r="16" spans="1:94" ht="12" x14ac:dyDescent="0.25">
      <c r="A16" s="39" t="s">
        <v>455</v>
      </c>
      <c r="B16" s="39" t="s">
        <v>536</v>
      </c>
      <c r="C16" s="39" t="s">
        <v>455</v>
      </c>
      <c r="D16" s="40" t="s">
        <v>552</v>
      </c>
      <c r="E16" s="43">
        <v>284525133</v>
      </c>
      <c r="F16" s="40">
        <v>0</v>
      </c>
      <c r="G16" s="40" t="s">
        <v>349</v>
      </c>
      <c r="H16" s="40">
        <v>0</v>
      </c>
      <c r="I16" s="40">
        <v>0</v>
      </c>
      <c r="J16" s="13" t="s">
        <v>91</v>
      </c>
      <c r="K16" s="40" t="s">
        <v>60</v>
      </c>
      <c r="L16" s="40" t="s">
        <v>61</v>
      </c>
      <c r="M16" s="42">
        <v>5.2</v>
      </c>
      <c r="N16" s="40">
        <v>284525134</v>
      </c>
      <c r="O16" s="40">
        <v>0</v>
      </c>
      <c r="P16" s="40" t="s">
        <v>350</v>
      </c>
      <c r="Q16" s="40">
        <v>0</v>
      </c>
      <c r="R16" s="40">
        <v>0</v>
      </c>
      <c r="S16" s="13" t="s">
        <v>89</v>
      </c>
      <c r="T16" s="40" t="s">
        <v>60</v>
      </c>
      <c r="U16" s="40" t="s">
        <v>61</v>
      </c>
      <c r="V16" s="42">
        <v>2.6</v>
      </c>
      <c r="W16" s="40" t="s">
        <v>64</v>
      </c>
      <c r="X16" s="40" t="s">
        <v>64</v>
      </c>
      <c r="Y16" s="40" t="s">
        <v>64</v>
      </c>
      <c r="Z16" s="40" t="s">
        <v>64</v>
      </c>
      <c r="AA16" s="40" t="s">
        <v>64</v>
      </c>
      <c r="AB16" s="13" t="s">
        <v>64</v>
      </c>
      <c r="AC16" s="40" t="s">
        <v>64</v>
      </c>
      <c r="AD16" s="40" t="s">
        <v>64</v>
      </c>
      <c r="AE16" s="42" t="s">
        <v>64</v>
      </c>
      <c r="AF16" s="40" t="s">
        <v>64</v>
      </c>
      <c r="AG16" s="40" t="s">
        <v>64</v>
      </c>
      <c r="AH16" s="40" t="s">
        <v>64</v>
      </c>
      <c r="AI16" s="40" t="s">
        <v>64</v>
      </c>
      <c r="AJ16" s="40" t="s">
        <v>64</v>
      </c>
      <c r="AK16" s="40" t="s">
        <v>64</v>
      </c>
      <c r="AL16" s="40" t="s">
        <v>64</v>
      </c>
      <c r="AM16" s="40" t="s">
        <v>64</v>
      </c>
      <c r="AN16" s="40" t="s">
        <v>64</v>
      </c>
      <c r="AO16" s="40" t="s">
        <v>64</v>
      </c>
      <c r="AP16" s="40" t="s">
        <v>64</v>
      </c>
      <c r="AQ16" s="40" t="s">
        <v>64</v>
      </c>
      <c r="AR16" s="40" t="s">
        <v>64</v>
      </c>
      <c r="AS16" s="40" t="s">
        <v>64</v>
      </c>
      <c r="AT16" s="40" t="s">
        <v>64</v>
      </c>
      <c r="AU16" s="40" t="s">
        <v>64</v>
      </c>
      <c r="AV16" s="40" t="s">
        <v>64</v>
      </c>
      <c r="AW16" s="40" t="s">
        <v>64</v>
      </c>
      <c r="AX16" s="40" t="s">
        <v>64</v>
      </c>
      <c r="AY16" s="40" t="s">
        <v>64</v>
      </c>
      <c r="AZ16" s="40" t="s">
        <v>64</v>
      </c>
      <c r="BA16" s="40" t="s">
        <v>64</v>
      </c>
      <c r="BB16" s="40" t="s">
        <v>64</v>
      </c>
      <c r="BC16" s="40" t="s">
        <v>64</v>
      </c>
      <c r="BD16" s="40" t="s">
        <v>64</v>
      </c>
      <c r="BE16" s="40" t="s">
        <v>64</v>
      </c>
      <c r="BF16" s="40" t="s">
        <v>64</v>
      </c>
      <c r="BG16" s="40" t="s">
        <v>64</v>
      </c>
      <c r="BH16" s="40" t="s">
        <v>64</v>
      </c>
      <c r="BI16" s="40" t="s">
        <v>64</v>
      </c>
      <c r="BJ16" s="40" t="s">
        <v>64</v>
      </c>
      <c r="BK16" s="40" t="s">
        <v>64</v>
      </c>
      <c r="BL16" s="40" t="s">
        <v>64</v>
      </c>
      <c r="BM16" s="40" t="s">
        <v>64</v>
      </c>
      <c r="BN16" s="40" t="s">
        <v>64</v>
      </c>
      <c r="BO16" s="40" t="s">
        <v>64</v>
      </c>
      <c r="BP16" s="40" t="s">
        <v>64</v>
      </c>
      <c r="BQ16" s="40" t="s">
        <v>64</v>
      </c>
      <c r="BR16" s="40" t="s">
        <v>64</v>
      </c>
      <c r="BS16" s="40" t="s">
        <v>64</v>
      </c>
      <c r="BT16" s="40" t="s">
        <v>64</v>
      </c>
      <c r="BU16" s="40" t="s">
        <v>64</v>
      </c>
      <c r="BV16" s="40" t="s">
        <v>64</v>
      </c>
      <c r="BW16" s="40" t="s">
        <v>64</v>
      </c>
      <c r="BX16" s="40" t="s">
        <v>64</v>
      </c>
      <c r="BY16" s="40" t="s">
        <v>64</v>
      </c>
      <c r="BZ16" s="40" t="s">
        <v>64</v>
      </c>
      <c r="CA16" s="40" t="s">
        <v>64</v>
      </c>
      <c r="CB16" s="40" t="s">
        <v>64</v>
      </c>
      <c r="CC16" s="40" t="s">
        <v>64</v>
      </c>
      <c r="CD16" s="40" t="s">
        <v>64</v>
      </c>
      <c r="CE16" s="40" t="s">
        <v>64</v>
      </c>
      <c r="CF16" s="40" t="s">
        <v>64</v>
      </c>
      <c r="CG16" s="40" t="s">
        <v>64</v>
      </c>
      <c r="CH16" s="40" t="s">
        <v>64</v>
      </c>
      <c r="CI16" s="40" t="s">
        <v>64</v>
      </c>
      <c r="CJ16" s="40" t="s">
        <v>64</v>
      </c>
      <c r="CK16" s="40" t="s">
        <v>64</v>
      </c>
      <c r="CL16" s="40" t="s">
        <v>64</v>
      </c>
      <c r="CM16" s="40" t="s">
        <v>64</v>
      </c>
      <c r="CN16" s="40" t="s">
        <v>64</v>
      </c>
      <c r="CO16" s="40" t="s">
        <v>64</v>
      </c>
      <c r="CP16" s="40" t="s">
        <v>64</v>
      </c>
    </row>
    <row r="17" spans="1:94" ht="12" x14ac:dyDescent="0.25">
      <c r="A17" s="39" t="s">
        <v>456</v>
      </c>
      <c r="B17" s="39" t="s">
        <v>536</v>
      </c>
      <c r="C17" s="39" t="s">
        <v>456</v>
      </c>
      <c r="D17" s="40" t="s">
        <v>553</v>
      </c>
      <c r="E17" s="43">
        <v>284525161</v>
      </c>
      <c r="F17" s="40">
        <v>0</v>
      </c>
      <c r="G17" s="40" t="s">
        <v>349</v>
      </c>
      <c r="H17" s="40">
        <v>0</v>
      </c>
      <c r="I17" s="40">
        <v>0</v>
      </c>
      <c r="J17" s="13" t="s">
        <v>89</v>
      </c>
      <c r="K17" s="40" t="s">
        <v>60</v>
      </c>
      <c r="L17" s="40" t="s">
        <v>61</v>
      </c>
      <c r="M17" s="42">
        <v>5.2</v>
      </c>
      <c r="N17" s="40">
        <v>284525162</v>
      </c>
      <c r="O17" s="40">
        <v>0</v>
      </c>
      <c r="P17" s="40" t="s">
        <v>350</v>
      </c>
      <c r="Q17" s="40">
        <v>0</v>
      </c>
      <c r="R17" s="40">
        <v>0</v>
      </c>
      <c r="S17" s="13" t="s">
        <v>90</v>
      </c>
      <c r="T17" s="40" t="s">
        <v>60</v>
      </c>
      <c r="U17" s="40" t="s">
        <v>61</v>
      </c>
      <c r="V17" s="42">
        <v>2.6</v>
      </c>
      <c r="W17" s="40" t="s">
        <v>64</v>
      </c>
      <c r="X17" s="40" t="s">
        <v>64</v>
      </c>
      <c r="Y17" s="40" t="s">
        <v>64</v>
      </c>
      <c r="Z17" s="40" t="s">
        <v>64</v>
      </c>
      <c r="AA17" s="40" t="s">
        <v>64</v>
      </c>
      <c r="AB17" s="13" t="s">
        <v>64</v>
      </c>
      <c r="AC17" s="40" t="s">
        <v>64</v>
      </c>
      <c r="AD17" s="40" t="s">
        <v>64</v>
      </c>
      <c r="AE17" s="42" t="s">
        <v>64</v>
      </c>
      <c r="AF17" s="40" t="s">
        <v>64</v>
      </c>
      <c r="AG17" s="40" t="s">
        <v>64</v>
      </c>
      <c r="AH17" s="40" t="s">
        <v>64</v>
      </c>
      <c r="AI17" s="40" t="s">
        <v>64</v>
      </c>
      <c r="AJ17" s="40" t="s">
        <v>64</v>
      </c>
      <c r="AK17" s="40" t="s">
        <v>64</v>
      </c>
      <c r="AL17" s="40" t="s">
        <v>64</v>
      </c>
      <c r="AM17" s="40" t="s">
        <v>64</v>
      </c>
      <c r="AN17" s="40" t="s">
        <v>64</v>
      </c>
      <c r="AO17" s="40" t="s">
        <v>64</v>
      </c>
      <c r="AP17" s="40" t="s">
        <v>64</v>
      </c>
      <c r="AQ17" s="40" t="s">
        <v>64</v>
      </c>
      <c r="AR17" s="40" t="s">
        <v>64</v>
      </c>
      <c r="AS17" s="40" t="s">
        <v>64</v>
      </c>
      <c r="AT17" s="40" t="s">
        <v>64</v>
      </c>
      <c r="AU17" s="40" t="s">
        <v>64</v>
      </c>
      <c r="AV17" s="40" t="s">
        <v>64</v>
      </c>
      <c r="AW17" s="40" t="s">
        <v>64</v>
      </c>
      <c r="AX17" s="40" t="s">
        <v>64</v>
      </c>
      <c r="AY17" s="40" t="s">
        <v>64</v>
      </c>
      <c r="AZ17" s="40" t="s">
        <v>64</v>
      </c>
      <c r="BA17" s="40" t="s">
        <v>64</v>
      </c>
      <c r="BB17" s="40" t="s">
        <v>64</v>
      </c>
      <c r="BC17" s="40" t="s">
        <v>64</v>
      </c>
      <c r="BD17" s="40" t="s">
        <v>64</v>
      </c>
      <c r="BE17" s="40" t="s">
        <v>64</v>
      </c>
      <c r="BF17" s="40" t="s">
        <v>64</v>
      </c>
      <c r="BG17" s="40" t="s">
        <v>64</v>
      </c>
      <c r="BH17" s="40" t="s">
        <v>64</v>
      </c>
      <c r="BI17" s="40" t="s">
        <v>64</v>
      </c>
      <c r="BJ17" s="40" t="s">
        <v>64</v>
      </c>
      <c r="BK17" s="40" t="s">
        <v>64</v>
      </c>
      <c r="BL17" s="40" t="s">
        <v>64</v>
      </c>
      <c r="BM17" s="40" t="s">
        <v>64</v>
      </c>
      <c r="BN17" s="40" t="s">
        <v>64</v>
      </c>
      <c r="BO17" s="40" t="s">
        <v>64</v>
      </c>
      <c r="BP17" s="40" t="s">
        <v>64</v>
      </c>
      <c r="BQ17" s="40" t="s">
        <v>64</v>
      </c>
      <c r="BR17" s="40" t="s">
        <v>64</v>
      </c>
      <c r="BS17" s="40" t="s">
        <v>64</v>
      </c>
      <c r="BT17" s="40" t="s">
        <v>64</v>
      </c>
      <c r="BU17" s="40" t="s">
        <v>64</v>
      </c>
      <c r="BV17" s="40" t="s">
        <v>64</v>
      </c>
      <c r="BW17" s="40" t="s">
        <v>64</v>
      </c>
      <c r="BX17" s="40" t="s">
        <v>64</v>
      </c>
      <c r="BY17" s="40" t="s">
        <v>64</v>
      </c>
      <c r="BZ17" s="40" t="s">
        <v>64</v>
      </c>
      <c r="CA17" s="40" t="s">
        <v>64</v>
      </c>
      <c r="CB17" s="40" t="s">
        <v>64</v>
      </c>
      <c r="CC17" s="40" t="s">
        <v>64</v>
      </c>
      <c r="CD17" s="40" t="s">
        <v>64</v>
      </c>
      <c r="CE17" s="40" t="s">
        <v>64</v>
      </c>
      <c r="CF17" s="40" t="s">
        <v>64</v>
      </c>
      <c r="CG17" s="40" t="s">
        <v>64</v>
      </c>
      <c r="CH17" s="40" t="s">
        <v>64</v>
      </c>
      <c r="CI17" s="40" t="s">
        <v>64</v>
      </c>
      <c r="CJ17" s="40" t="s">
        <v>64</v>
      </c>
      <c r="CK17" s="40" t="s">
        <v>64</v>
      </c>
      <c r="CL17" s="40" t="s">
        <v>64</v>
      </c>
      <c r="CM17" s="40" t="s">
        <v>64</v>
      </c>
      <c r="CN17" s="40" t="s">
        <v>64</v>
      </c>
      <c r="CO17" s="40" t="s">
        <v>64</v>
      </c>
      <c r="CP17" s="40" t="s">
        <v>64</v>
      </c>
    </row>
    <row r="18" spans="1:94" ht="12" x14ac:dyDescent="0.25">
      <c r="A18" s="39" t="s">
        <v>457</v>
      </c>
      <c r="B18" s="39" t="s">
        <v>536</v>
      </c>
      <c r="C18" s="39" t="s">
        <v>457</v>
      </c>
      <c r="D18" s="40" t="s">
        <v>554</v>
      </c>
      <c r="E18" s="43">
        <v>284525163</v>
      </c>
      <c r="F18" s="40">
        <v>0</v>
      </c>
      <c r="G18" s="40" t="s">
        <v>349</v>
      </c>
      <c r="H18" s="40">
        <v>0</v>
      </c>
      <c r="I18" s="40">
        <v>0</v>
      </c>
      <c r="J18" s="13" t="s">
        <v>88</v>
      </c>
      <c r="K18" s="40" t="s">
        <v>60</v>
      </c>
      <c r="L18" s="40" t="s">
        <v>61</v>
      </c>
      <c r="M18" s="42">
        <v>2.6</v>
      </c>
      <c r="N18" s="40">
        <v>284525164</v>
      </c>
      <c r="O18" s="40">
        <v>0</v>
      </c>
      <c r="P18" s="40" t="s">
        <v>350</v>
      </c>
      <c r="Q18" s="40">
        <v>0</v>
      </c>
      <c r="R18" s="40">
        <v>0</v>
      </c>
      <c r="S18" s="13" t="s">
        <v>91</v>
      </c>
      <c r="T18" s="40" t="s">
        <v>60</v>
      </c>
      <c r="U18" s="40" t="s">
        <v>61</v>
      </c>
      <c r="V18" s="42">
        <v>5.2</v>
      </c>
      <c r="W18" s="40" t="s">
        <v>64</v>
      </c>
      <c r="X18" s="40" t="s">
        <v>64</v>
      </c>
      <c r="Y18" s="40" t="s">
        <v>64</v>
      </c>
      <c r="Z18" s="40" t="s">
        <v>64</v>
      </c>
      <c r="AA18" s="40" t="s">
        <v>64</v>
      </c>
      <c r="AB18" s="13" t="s">
        <v>64</v>
      </c>
      <c r="AC18" s="40" t="s">
        <v>64</v>
      </c>
      <c r="AD18" s="40" t="s">
        <v>64</v>
      </c>
      <c r="AE18" s="42" t="s">
        <v>64</v>
      </c>
      <c r="AF18" s="40" t="s">
        <v>64</v>
      </c>
      <c r="AG18" s="40" t="s">
        <v>64</v>
      </c>
      <c r="AH18" s="40" t="s">
        <v>64</v>
      </c>
      <c r="AI18" s="40" t="s">
        <v>64</v>
      </c>
      <c r="AJ18" s="40" t="s">
        <v>64</v>
      </c>
      <c r="AK18" s="40" t="s">
        <v>64</v>
      </c>
      <c r="AL18" s="40" t="s">
        <v>64</v>
      </c>
      <c r="AM18" s="40" t="s">
        <v>64</v>
      </c>
      <c r="AN18" s="40" t="s">
        <v>64</v>
      </c>
      <c r="AO18" s="40" t="s">
        <v>64</v>
      </c>
      <c r="AP18" s="40" t="s">
        <v>64</v>
      </c>
      <c r="AQ18" s="40" t="s">
        <v>64</v>
      </c>
      <c r="AR18" s="40" t="s">
        <v>64</v>
      </c>
      <c r="AS18" s="40" t="s">
        <v>64</v>
      </c>
      <c r="AT18" s="40" t="s">
        <v>64</v>
      </c>
      <c r="AU18" s="40" t="s">
        <v>64</v>
      </c>
      <c r="AV18" s="40" t="s">
        <v>64</v>
      </c>
      <c r="AW18" s="40" t="s">
        <v>64</v>
      </c>
      <c r="AX18" s="40" t="s">
        <v>64</v>
      </c>
      <c r="AY18" s="40" t="s">
        <v>64</v>
      </c>
      <c r="AZ18" s="40" t="s">
        <v>64</v>
      </c>
      <c r="BA18" s="40" t="s">
        <v>64</v>
      </c>
      <c r="BB18" s="40" t="s">
        <v>64</v>
      </c>
      <c r="BC18" s="40" t="s">
        <v>64</v>
      </c>
      <c r="BD18" s="40" t="s">
        <v>64</v>
      </c>
      <c r="BE18" s="40" t="s">
        <v>64</v>
      </c>
      <c r="BF18" s="40" t="s">
        <v>64</v>
      </c>
      <c r="BG18" s="40" t="s">
        <v>64</v>
      </c>
      <c r="BH18" s="40" t="s">
        <v>64</v>
      </c>
      <c r="BI18" s="40" t="s">
        <v>64</v>
      </c>
      <c r="BJ18" s="40" t="s">
        <v>64</v>
      </c>
      <c r="BK18" s="40" t="s">
        <v>64</v>
      </c>
      <c r="BL18" s="40" t="s">
        <v>64</v>
      </c>
      <c r="BM18" s="40" t="s">
        <v>64</v>
      </c>
      <c r="BN18" s="40" t="s">
        <v>64</v>
      </c>
      <c r="BO18" s="40" t="s">
        <v>64</v>
      </c>
      <c r="BP18" s="40" t="s">
        <v>64</v>
      </c>
      <c r="BQ18" s="40" t="s">
        <v>64</v>
      </c>
      <c r="BR18" s="40" t="s">
        <v>64</v>
      </c>
      <c r="BS18" s="40" t="s">
        <v>64</v>
      </c>
      <c r="BT18" s="40" t="s">
        <v>64</v>
      </c>
      <c r="BU18" s="40" t="s">
        <v>64</v>
      </c>
      <c r="BV18" s="40" t="s">
        <v>64</v>
      </c>
      <c r="BW18" s="40" t="s">
        <v>64</v>
      </c>
      <c r="BX18" s="40" t="s">
        <v>64</v>
      </c>
      <c r="BY18" s="40" t="s">
        <v>64</v>
      </c>
      <c r="BZ18" s="40" t="s">
        <v>64</v>
      </c>
      <c r="CA18" s="40" t="s">
        <v>64</v>
      </c>
      <c r="CB18" s="40" t="s">
        <v>64</v>
      </c>
      <c r="CC18" s="40" t="s">
        <v>64</v>
      </c>
      <c r="CD18" s="40" t="s">
        <v>64</v>
      </c>
      <c r="CE18" s="40" t="s">
        <v>64</v>
      </c>
      <c r="CF18" s="40" t="s">
        <v>64</v>
      </c>
      <c r="CG18" s="40" t="s">
        <v>64</v>
      </c>
      <c r="CH18" s="40" t="s">
        <v>64</v>
      </c>
      <c r="CI18" s="40" t="s">
        <v>64</v>
      </c>
      <c r="CJ18" s="40" t="s">
        <v>64</v>
      </c>
      <c r="CK18" s="40" t="s">
        <v>64</v>
      </c>
      <c r="CL18" s="40" t="s">
        <v>64</v>
      </c>
      <c r="CM18" s="40" t="s">
        <v>64</v>
      </c>
      <c r="CN18" s="40" t="s">
        <v>64</v>
      </c>
      <c r="CO18" s="40" t="s">
        <v>64</v>
      </c>
      <c r="CP18" s="40" t="s">
        <v>64</v>
      </c>
    </row>
    <row r="19" spans="1:94" ht="12" x14ac:dyDescent="0.25">
      <c r="A19" s="39" t="s">
        <v>458</v>
      </c>
      <c r="B19" s="39" t="s">
        <v>536</v>
      </c>
      <c r="C19" s="39" t="s">
        <v>458</v>
      </c>
      <c r="D19" s="40" t="s">
        <v>555</v>
      </c>
      <c r="E19" s="43">
        <v>284525165</v>
      </c>
      <c r="F19" s="40">
        <v>0</v>
      </c>
      <c r="G19" s="40" t="s">
        <v>349</v>
      </c>
      <c r="H19" s="40">
        <v>0</v>
      </c>
      <c r="I19" s="40">
        <v>0</v>
      </c>
      <c r="J19" s="13" t="s">
        <v>88</v>
      </c>
      <c r="K19" s="40" t="s">
        <v>60</v>
      </c>
      <c r="L19" s="40" t="s">
        <v>61</v>
      </c>
      <c r="M19" s="42">
        <v>2.6</v>
      </c>
      <c r="N19" s="40">
        <v>284525166</v>
      </c>
      <c r="O19" s="40">
        <v>0</v>
      </c>
      <c r="P19" s="40" t="s">
        <v>350</v>
      </c>
      <c r="Q19" s="40">
        <v>0</v>
      </c>
      <c r="R19" s="40">
        <v>0</v>
      </c>
      <c r="S19" s="13" t="s">
        <v>90</v>
      </c>
      <c r="T19" s="40" t="s">
        <v>60</v>
      </c>
      <c r="U19" s="40" t="s">
        <v>61</v>
      </c>
      <c r="V19" s="42">
        <v>5.2</v>
      </c>
      <c r="W19" s="40" t="s">
        <v>64</v>
      </c>
      <c r="X19" s="40" t="s">
        <v>64</v>
      </c>
      <c r="Y19" s="40" t="s">
        <v>64</v>
      </c>
      <c r="Z19" s="40" t="s">
        <v>64</v>
      </c>
      <c r="AA19" s="40" t="s">
        <v>64</v>
      </c>
      <c r="AB19" s="13" t="s">
        <v>64</v>
      </c>
      <c r="AC19" s="40" t="s">
        <v>64</v>
      </c>
      <c r="AD19" s="40" t="s">
        <v>64</v>
      </c>
      <c r="AE19" s="42" t="s">
        <v>64</v>
      </c>
      <c r="AF19" s="40" t="s">
        <v>64</v>
      </c>
      <c r="AG19" s="40" t="s">
        <v>64</v>
      </c>
      <c r="AH19" s="40" t="s">
        <v>64</v>
      </c>
      <c r="AI19" s="40" t="s">
        <v>64</v>
      </c>
      <c r="AJ19" s="40" t="s">
        <v>64</v>
      </c>
      <c r="AK19" s="40" t="s">
        <v>64</v>
      </c>
      <c r="AL19" s="40" t="s">
        <v>64</v>
      </c>
      <c r="AM19" s="40" t="s">
        <v>64</v>
      </c>
      <c r="AN19" s="40" t="s">
        <v>64</v>
      </c>
      <c r="AO19" s="40" t="s">
        <v>64</v>
      </c>
      <c r="AP19" s="40" t="s">
        <v>64</v>
      </c>
      <c r="AQ19" s="40" t="s">
        <v>64</v>
      </c>
      <c r="AR19" s="40" t="s">
        <v>64</v>
      </c>
      <c r="AS19" s="40" t="s">
        <v>64</v>
      </c>
      <c r="AT19" s="40" t="s">
        <v>64</v>
      </c>
      <c r="AU19" s="40" t="s">
        <v>64</v>
      </c>
      <c r="AV19" s="40" t="s">
        <v>64</v>
      </c>
      <c r="AW19" s="40" t="s">
        <v>64</v>
      </c>
      <c r="AX19" s="40" t="s">
        <v>64</v>
      </c>
      <c r="AY19" s="40" t="s">
        <v>64</v>
      </c>
      <c r="AZ19" s="40" t="s">
        <v>64</v>
      </c>
      <c r="BA19" s="40" t="s">
        <v>64</v>
      </c>
      <c r="BB19" s="40" t="s">
        <v>64</v>
      </c>
      <c r="BC19" s="40" t="s">
        <v>64</v>
      </c>
      <c r="BD19" s="40" t="s">
        <v>64</v>
      </c>
      <c r="BE19" s="40" t="s">
        <v>64</v>
      </c>
      <c r="BF19" s="40" t="s">
        <v>64</v>
      </c>
      <c r="BG19" s="40" t="s">
        <v>64</v>
      </c>
      <c r="BH19" s="40" t="s">
        <v>64</v>
      </c>
      <c r="BI19" s="40" t="s">
        <v>64</v>
      </c>
      <c r="BJ19" s="40" t="s">
        <v>64</v>
      </c>
      <c r="BK19" s="40" t="s">
        <v>64</v>
      </c>
      <c r="BL19" s="40" t="s">
        <v>64</v>
      </c>
      <c r="BM19" s="40" t="s">
        <v>64</v>
      </c>
      <c r="BN19" s="40" t="s">
        <v>64</v>
      </c>
      <c r="BO19" s="40" t="s">
        <v>64</v>
      </c>
      <c r="BP19" s="40" t="s">
        <v>64</v>
      </c>
      <c r="BQ19" s="40" t="s">
        <v>64</v>
      </c>
      <c r="BR19" s="40" t="s">
        <v>64</v>
      </c>
      <c r="BS19" s="40" t="s">
        <v>64</v>
      </c>
      <c r="BT19" s="40" t="s">
        <v>64</v>
      </c>
      <c r="BU19" s="40" t="s">
        <v>64</v>
      </c>
      <c r="BV19" s="40" t="s">
        <v>64</v>
      </c>
      <c r="BW19" s="40" t="s">
        <v>64</v>
      </c>
      <c r="BX19" s="40" t="s">
        <v>64</v>
      </c>
      <c r="BY19" s="40" t="s">
        <v>64</v>
      </c>
      <c r="BZ19" s="40" t="s">
        <v>64</v>
      </c>
      <c r="CA19" s="40" t="s">
        <v>64</v>
      </c>
      <c r="CB19" s="40" t="s">
        <v>64</v>
      </c>
      <c r="CC19" s="40" t="s">
        <v>64</v>
      </c>
      <c r="CD19" s="40" t="s">
        <v>64</v>
      </c>
      <c r="CE19" s="40" t="s">
        <v>64</v>
      </c>
      <c r="CF19" s="40" t="s">
        <v>64</v>
      </c>
      <c r="CG19" s="40" t="s">
        <v>64</v>
      </c>
      <c r="CH19" s="40" t="s">
        <v>64</v>
      </c>
      <c r="CI19" s="40" t="s">
        <v>64</v>
      </c>
      <c r="CJ19" s="40" t="s">
        <v>64</v>
      </c>
      <c r="CK19" s="40" t="s">
        <v>64</v>
      </c>
      <c r="CL19" s="40" t="s">
        <v>64</v>
      </c>
      <c r="CM19" s="40" t="s">
        <v>64</v>
      </c>
      <c r="CN19" s="40" t="s">
        <v>64</v>
      </c>
      <c r="CO19" s="40" t="s">
        <v>64</v>
      </c>
      <c r="CP19" s="40" t="s">
        <v>64</v>
      </c>
    </row>
    <row r="20" spans="1:94" ht="12" x14ac:dyDescent="0.25">
      <c r="A20" s="39" t="s">
        <v>459</v>
      </c>
      <c r="B20" s="39" t="s">
        <v>536</v>
      </c>
      <c r="C20" s="39" t="s">
        <v>459</v>
      </c>
      <c r="D20" s="40" t="s">
        <v>556</v>
      </c>
      <c r="E20" s="43">
        <v>284525167</v>
      </c>
      <c r="F20" s="40">
        <v>0</v>
      </c>
      <c r="G20" s="40" t="s">
        <v>349</v>
      </c>
      <c r="H20" s="40">
        <v>0</v>
      </c>
      <c r="I20" s="40">
        <v>0</v>
      </c>
      <c r="J20" s="13" t="s">
        <v>91</v>
      </c>
      <c r="K20" s="40" t="s">
        <v>60</v>
      </c>
      <c r="L20" s="40" t="s">
        <v>61</v>
      </c>
      <c r="M20" s="42">
        <v>5.2</v>
      </c>
      <c r="N20" s="40" t="s">
        <v>64</v>
      </c>
      <c r="O20" s="40" t="s">
        <v>64</v>
      </c>
      <c r="P20" s="40" t="s">
        <v>64</v>
      </c>
      <c r="Q20" s="40" t="s">
        <v>64</v>
      </c>
      <c r="R20" s="40" t="s">
        <v>64</v>
      </c>
      <c r="S20" s="13" t="s">
        <v>64</v>
      </c>
      <c r="T20" s="40" t="s">
        <v>64</v>
      </c>
      <c r="U20" s="40" t="s">
        <v>64</v>
      </c>
      <c r="V20" s="42" t="s">
        <v>64</v>
      </c>
      <c r="W20" s="40" t="s">
        <v>64</v>
      </c>
      <c r="X20" s="40" t="s">
        <v>64</v>
      </c>
      <c r="Y20" s="40" t="s">
        <v>64</v>
      </c>
      <c r="Z20" s="40" t="s">
        <v>64</v>
      </c>
      <c r="AA20" s="40" t="s">
        <v>64</v>
      </c>
      <c r="AB20" s="13" t="s">
        <v>64</v>
      </c>
      <c r="AC20" s="40" t="s">
        <v>64</v>
      </c>
      <c r="AD20" s="40" t="s">
        <v>64</v>
      </c>
      <c r="AE20" s="42" t="s">
        <v>64</v>
      </c>
      <c r="AF20" s="40" t="s">
        <v>64</v>
      </c>
      <c r="AG20" s="40" t="s">
        <v>64</v>
      </c>
      <c r="AH20" s="40" t="s">
        <v>64</v>
      </c>
      <c r="AI20" s="40" t="s">
        <v>64</v>
      </c>
      <c r="AJ20" s="40" t="s">
        <v>64</v>
      </c>
      <c r="AK20" s="40" t="s">
        <v>64</v>
      </c>
      <c r="AL20" s="40" t="s">
        <v>64</v>
      </c>
      <c r="AM20" s="40" t="s">
        <v>64</v>
      </c>
      <c r="AN20" s="40" t="s">
        <v>64</v>
      </c>
      <c r="AO20" s="40" t="s">
        <v>64</v>
      </c>
      <c r="AP20" s="40" t="s">
        <v>64</v>
      </c>
      <c r="AQ20" s="40" t="s">
        <v>64</v>
      </c>
      <c r="AR20" s="40" t="s">
        <v>64</v>
      </c>
      <c r="AS20" s="40" t="s">
        <v>64</v>
      </c>
      <c r="AT20" s="40" t="s">
        <v>64</v>
      </c>
      <c r="AU20" s="40" t="s">
        <v>64</v>
      </c>
      <c r="AV20" s="40" t="s">
        <v>64</v>
      </c>
      <c r="AW20" s="40" t="s">
        <v>64</v>
      </c>
      <c r="AX20" s="40" t="s">
        <v>64</v>
      </c>
      <c r="AY20" s="40" t="s">
        <v>64</v>
      </c>
      <c r="AZ20" s="40" t="s">
        <v>64</v>
      </c>
      <c r="BA20" s="40" t="s">
        <v>64</v>
      </c>
      <c r="BB20" s="40" t="s">
        <v>64</v>
      </c>
      <c r="BC20" s="40" t="s">
        <v>64</v>
      </c>
      <c r="BD20" s="40" t="s">
        <v>64</v>
      </c>
      <c r="BE20" s="40" t="s">
        <v>64</v>
      </c>
      <c r="BF20" s="40" t="s">
        <v>64</v>
      </c>
      <c r="BG20" s="40" t="s">
        <v>64</v>
      </c>
      <c r="BH20" s="40" t="s">
        <v>64</v>
      </c>
      <c r="BI20" s="40" t="s">
        <v>64</v>
      </c>
      <c r="BJ20" s="40" t="s">
        <v>64</v>
      </c>
      <c r="BK20" s="40" t="s">
        <v>64</v>
      </c>
      <c r="BL20" s="40" t="s">
        <v>64</v>
      </c>
      <c r="BM20" s="40" t="s">
        <v>64</v>
      </c>
      <c r="BN20" s="40" t="s">
        <v>64</v>
      </c>
      <c r="BO20" s="40" t="s">
        <v>64</v>
      </c>
      <c r="BP20" s="40" t="s">
        <v>64</v>
      </c>
      <c r="BQ20" s="40" t="s">
        <v>64</v>
      </c>
      <c r="BR20" s="40" t="s">
        <v>64</v>
      </c>
      <c r="BS20" s="40" t="s">
        <v>64</v>
      </c>
      <c r="BT20" s="40" t="s">
        <v>64</v>
      </c>
      <c r="BU20" s="40" t="s">
        <v>64</v>
      </c>
      <c r="BV20" s="40" t="s">
        <v>64</v>
      </c>
      <c r="BW20" s="40" t="s">
        <v>64</v>
      </c>
      <c r="BX20" s="40" t="s">
        <v>64</v>
      </c>
      <c r="BY20" s="40" t="s">
        <v>64</v>
      </c>
      <c r="BZ20" s="40" t="s">
        <v>64</v>
      </c>
      <c r="CA20" s="40" t="s">
        <v>64</v>
      </c>
      <c r="CB20" s="40" t="s">
        <v>64</v>
      </c>
      <c r="CC20" s="40" t="s">
        <v>64</v>
      </c>
      <c r="CD20" s="40" t="s">
        <v>64</v>
      </c>
      <c r="CE20" s="40" t="s">
        <v>64</v>
      </c>
      <c r="CF20" s="40" t="s">
        <v>64</v>
      </c>
      <c r="CG20" s="40" t="s">
        <v>64</v>
      </c>
      <c r="CH20" s="40" t="s">
        <v>64</v>
      </c>
      <c r="CI20" s="40" t="s">
        <v>64</v>
      </c>
      <c r="CJ20" s="40" t="s">
        <v>64</v>
      </c>
      <c r="CK20" s="40" t="s">
        <v>64</v>
      </c>
      <c r="CL20" s="40" t="s">
        <v>64</v>
      </c>
      <c r="CM20" s="40" t="s">
        <v>64</v>
      </c>
      <c r="CN20" s="40" t="s">
        <v>64</v>
      </c>
      <c r="CO20" s="40" t="s">
        <v>64</v>
      </c>
      <c r="CP20" s="40" t="s">
        <v>64</v>
      </c>
    </row>
    <row r="21" spans="1:94" ht="12" x14ac:dyDescent="0.25">
      <c r="A21" s="39" t="s">
        <v>460</v>
      </c>
      <c r="B21" s="39" t="s">
        <v>536</v>
      </c>
      <c r="C21" s="39" t="s">
        <v>460</v>
      </c>
      <c r="D21" s="40" t="s">
        <v>557</v>
      </c>
      <c r="E21" s="43">
        <v>284525170</v>
      </c>
      <c r="F21" s="40">
        <v>0</v>
      </c>
      <c r="G21" s="40" t="s">
        <v>349</v>
      </c>
      <c r="H21" s="40">
        <v>0</v>
      </c>
      <c r="I21" s="40">
        <v>0</v>
      </c>
      <c r="J21" s="13" t="s">
        <v>90</v>
      </c>
      <c r="K21" s="40" t="s">
        <v>60</v>
      </c>
      <c r="L21" s="40" t="s">
        <v>61</v>
      </c>
      <c r="M21" s="42">
        <v>5.2</v>
      </c>
      <c r="N21" s="40" t="s">
        <v>64</v>
      </c>
      <c r="O21" s="40" t="s">
        <v>64</v>
      </c>
      <c r="P21" s="40" t="s">
        <v>64</v>
      </c>
      <c r="Q21" s="40" t="s">
        <v>64</v>
      </c>
      <c r="R21" s="40" t="s">
        <v>64</v>
      </c>
      <c r="S21" s="13" t="s">
        <v>64</v>
      </c>
      <c r="T21" s="40" t="s">
        <v>64</v>
      </c>
      <c r="U21" s="40" t="s">
        <v>64</v>
      </c>
      <c r="V21" s="42" t="s">
        <v>64</v>
      </c>
      <c r="W21" s="40" t="s">
        <v>64</v>
      </c>
      <c r="X21" s="40" t="s">
        <v>64</v>
      </c>
      <c r="Y21" s="40" t="s">
        <v>64</v>
      </c>
      <c r="Z21" s="40" t="s">
        <v>64</v>
      </c>
      <c r="AA21" s="40" t="s">
        <v>64</v>
      </c>
      <c r="AB21" s="13" t="s">
        <v>64</v>
      </c>
      <c r="AC21" s="40" t="s">
        <v>64</v>
      </c>
      <c r="AD21" s="40" t="s">
        <v>64</v>
      </c>
      <c r="AE21" s="42" t="s">
        <v>64</v>
      </c>
      <c r="AF21" s="40" t="s">
        <v>64</v>
      </c>
      <c r="AG21" s="40" t="s">
        <v>64</v>
      </c>
      <c r="AH21" s="40" t="s">
        <v>64</v>
      </c>
      <c r="AI21" s="40" t="s">
        <v>64</v>
      </c>
      <c r="AJ21" s="40" t="s">
        <v>64</v>
      </c>
      <c r="AK21" s="40" t="s">
        <v>64</v>
      </c>
      <c r="AL21" s="40" t="s">
        <v>64</v>
      </c>
      <c r="AM21" s="40" t="s">
        <v>64</v>
      </c>
      <c r="AN21" s="40" t="s">
        <v>64</v>
      </c>
      <c r="AO21" s="40" t="s">
        <v>64</v>
      </c>
      <c r="AP21" s="40" t="s">
        <v>64</v>
      </c>
      <c r="AQ21" s="40" t="s">
        <v>64</v>
      </c>
      <c r="AR21" s="40" t="s">
        <v>64</v>
      </c>
      <c r="AS21" s="40" t="s">
        <v>64</v>
      </c>
      <c r="AT21" s="40" t="s">
        <v>64</v>
      </c>
      <c r="AU21" s="40" t="s">
        <v>64</v>
      </c>
      <c r="AV21" s="40" t="s">
        <v>64</v>
      </c>
      <c r="AW21" s="40" t="s">
        <v>64</v>
      </c>
      <c r="AX21" s="40" t="s">
        <v>64</v>
      </c>
      <c r="AY21" s="40" t="s">
        <v>64</v>
      </c>
      <c r="AZ21" s="40" t="s">
        <v>64</v>
      </c>
      <c r="BA21" s="40" t="s">
        <v>64</v>
      </c>
      <c r="BB21" s="40" t="s">
        <v>64</v>
      </c>
      <c r="BC21" s="40" t="s">
        <v>64</v>
      </c>
      <c r="BD21" s="40" t="s">
        <v>64</v>
      </c>
      <c r="BE21" s="40" t="s">
        <v>64</v>
      </c>
      <c r="BF21" s="40" t="s">
        <v>64</v>
      </c>
      <c r="BG21" s="40" t="s">
        <v>64</v>
      </c>
      <c r="BH21" s="40" t="s">
        <v>64</v>
      </c>
      <c r="BI21" s="40" t="s">
        <v>64</v>
      </c>
      <c r="BJ21" s="40" t="s">
        <v>64</v>
      </c>
      <c r="BK21" s="40" t="s">
        <v>64</v>
      </c>
      <c r="BL21" s="40" t="s">
        <v>64</v>
      </c>
      <c r="BM21" s="40" t="s">
        <v>64</v>
      </c>
      <c r="BN21" s="40" t="s">
        <v>64</v>
      </c>
      <c r="BO21" s="40" t="s">
        <v>64</v>
      </c>
      <c r="BP21" s="40" t="s">
        <v>64</v>
      </c>
      <c r="BQ21" s="40" t="s">
        <v>64</v>
      </c>
      <c r="BR21" s="40" t="s">
        <v>64</v>
      </c>
      <c r="BS21" s="40" t="s">
        <v>64</v>
      </c>
      <c r="BT21" s="40" t="s">
        <v>64</v>
      </c>
      <c r="BU21" s="40" t="s">
        <v>64</v>
      </c>
      <c r="BV21" s="40" t="s">
        <v>64</v>
      </c>
      <c r="BW21" s="40" t="s">
        <v>64</v>
      </c>
      <c r="BX21" s="40" t="s">
        <v>64</v>
      </c>
      <c r="BY21" s="40" t="s">
        <v>64</v>
      </c>
      <c r="BZ21" s="40" t="s">
        <v>64</v>
      </c>
      <c r="CA21" s="40" t="s">
        <v>64</v>
      </c>
      <c r="CB21" s="40" t="s">
        <v>64</v>
      </c>
      <c r="CC21" s="40" t="s">
        <v>64</v>
      </c>
      <c r="CD21" s="40" t="s">
        <v>64</v>
      </c>
      <c r="CE21" s="40" t="s">
        <v>64</v>
      </c>
      <c r="CF21" s="40" t="s">
        <v>64</v>
      </c>
      <c r="CG21" s="40" t="s">
        <v>64</v>
      </c>
      <c r="CH21" s="40" t="s">
        <v>64</v>
      </c>
      <c r="CI21" s="40" t="s">
        <v>64</v>
      </c>
      <c r="CJ21" s="40" t="s">
        <v>64</v>
      </c>
      <c r="CK21" s="40" t="s">
        <v>64</v>
      </c>
      <c r="CL21" s="40" t="s">
        <v>64</v>
      </c>
      <c r="CM21" s="40" t="s">
        <v>64</v>
      </c>
      <c r="CN21" s="40" t="s">
        <v>64</v>
      </c>
      <c r="CO21" s="40" t="s">
        <v>64</v>
      </c>
      <c r="CP21" s="40" t="s">
        <v>64</v>
      </c>
    </row>
    <row r="22" spans="1:94" ht="12" x14ac:dyDescent="0.25">
      <c r="A22" s="39" t="s">
        <v>461</v>
      </c>
      <c r="B22" s="39" t="s">
        <v>536</v>
      </c>
      <c r="C22" s="39" t="s">
        <v>461</v>
      </c>
      <c r="D22" s="40" t="s">
        <v>558</v>
      </c>
      <c r="E22" s="43">
        <v>284525178</v>
      </c>
      <c r="F22" s="40">
        <v>0</v>
      </c>
      <c r="G22" s="40" t="s">
        <v>349</v>
      </c>
      <c r="H22" s="40">
        <v>0</v>
      </c>
      <c r="I22" s="40">
        <v>0</v>
      </c>
      <c r="J22" s="13" t="s">
        <v>91</v>
      </c>
      <c r="K22" s="40" t="s">
        <v>60</v>
      </c>
      <c r="L22" s="40" t="s">
        <v>61</v>
      </c>
      <c r="M22" s="42">
        <v>5.2</v>
      </c>
      <c r="N22" s="40" t="s">
        <v>64</v>
      </c>
      <c r="O22" s="40" t="s">
        <v>64</v>
      </c>
      <c r="P22" s="40" t="s">
        <v>64</v>
      </c>
      <c r="Q22" s="40" t="s">
        <v>64</v>
      </c>
      <c r="R22" s="40" t="s">
        <v>64</v>
      </c>
      <c r="S22" s="13" t="s">
        <v>64</v>
      </c>
      <c r="T22" s="40" t="s">
        <v>64</v>
      </c>
      <c r="U22" s="40" t="s">
        <v>64</v>
      </c>
      <c r="V22" s="42" t="s">
        <v>64</v>
      </c>
      <c r="W22" s="40" t="s">
        <v>64</v>
      </c>
      <c r="X22" s="40" t="s">
        <v>64</v>
      </c>
      <c r="Y22" s="40" t="s">
        <v>64</v>
      </c>
      <c r="Z22" s="40" t="s">
        <v>64</v>
      </c>
      <c r="AA22" s="40" t="s">
        <v>64</v>
      </c>
      <c r="AB22" s="13" t="s">
        <v>64</v>
      </c>
      <c r="AC22" s="40" t="s">
        <v>64</v>
      </c>
      <c r="AD22" s="40" t="s">
        <v>64</v>
      </c>
      <c r="AE22" s="42" t="s">
        <v>64</v>
      </c>
      <c r="AF22" s="40" t="s">
        <v>64</v>
      </c>
      <c r="AG22" s="40" t="s">
        <v>64</v>
      </c>
      <c r="AH22" s="40" t="s">
        <v>64</v>
      </c>
      <c r="AI22" s="40" t="s">
        <v>64</v>
      </c>
      <c r="AJ22" s="40" t="s">
        <v>64</v>
      </c>
      <c r="AK22" s="40" t="s">
        <v>64</v>
      </c>
      <c r="AL22" s="40" t="s">
        <v>64</v>
      </c>
      <c r="AM22" s="40" t="s">
        <v>64</v>
      </c>
      <c r="AN22" s="40" t="s">
        <v>64</v>
      </c>
      <c r="AO22" s="40" t="s">
        <v>64</v>
      </c>
      <c r="AP22" s="40" t="s">
        <v>64</v>
      </c>
      <c r="AQ22" s="40" t="s">
        <v>64</v>
      </c>
      <c r="AR22" s="40" t="s">
        <v>64</v>
      </c>
      <c r="AS22" s="40" t="s">
        <v>64</v>
      </c>
      <c r="AT22" s="40" t="s">
        <v>64</v>
      </c>
      <c r="AU22" s="40" t="s">
        <v>64</v>
      </c>
      <c r="AV22" s="40" t="s">
        <v>64</v>
      </c>
      <c r="AW22" s="40" t="s">
        <v>64</v>
      </c>
      <c r="AX22" s="40" t="s">
        <v>64</v>
      </c>
      <c r="AY22" s="40" t="s">
        <v>64</v>
      </c>
      <c r="AZ22" s="40" t="s">
        <v>64</v>
      </c>
      <c r="BA22" s="40" t="s">
        <v>64</v>
      </c>
      <c r="BB22" s="40" t="s">
        <v>64</v>
      </c>
      <c r="BC22" s="40" t="s">
        <v>64</v>
      </c>
      <c r="BD22" s="40" t="s">
        <v>64</v>
      </c>
      <c r="BE22" s="40" t="s">
        <v>64</v>
      </c>
      <c r="BF22" s="40" t="s">
        <v>64</v>
      </c>
      <c r="BG22" s="40" t="s">
        <v>64</v>
      </c>
      <c r="BH22" s="40" t="s">
        <v>64</v>
      </c>
      <c r="BI22" s="40" t="s">
        <v>64</v>
      </c>
      <c r="BJ22" s="40" t="s">
        <v>64</v>
      </c>
      <c r="BK22" s="40" t="s">
        <v>64</v>
      </c>
      <c r="BL22" s="40" t="s">
        <v>64</v>
      </c>
      <c r="BM22" s="40" t="s">
        <v>64</v>
      </c>
      <c r="BN22" s="40" t="s">
        <v>64</v>
      </c>
      <c r="BO22" s="40" t="s">
        <v>64</v>
      </c>
      <c r="BP22" s="40" t="s">
        <v>64</v>
      </c>
      <c r="BQ22" s="40" t="s">
        <v>64</v>
      </c>
      <c r="BR22" s="40" t="s">
        <v>64</v>
      </c>
      <c r="BS22" s="40" t="s">
        <v>64</v>
      </c>
      <c r="BT22" s="40" t="s">
        <v>64</v>
      </c>
      <c r="BU22" s="40" t="s">
        <v>64</v>
      </c>
      <c r="BV22" s="40" t="s">
        <v>64</v>
      </c>
      <c r="BW22" s="40" t="s">
        <v>64</v>
      </c>
      <c r="BX22" s="40" t="s">
        <v>64</v>
      </c>
      <c r="BY22" s="40" t="s">
        <v>64</v>
      </c>
      <c r="BZ22" s="40" t="s">
        <v>64</v>
      </c>
      <c r="CA22" s="40" t="s">
        <v>64</v>
      </c>
      <c r="CB22" s="40" t="s">
        <v>64</v>
      </c>
      <c r="CC22" s="40" t="s">
        <v>64</v>
      </c>
      <c r="CD22" s="40" t="s">
        <v>64</v>
      </c>
      <c r="CE22" s="40" t="s">
        <v>64</v>
      </c>
      <c r="CF22" s="40" t="s">
        <v>64</v>
      </c>
      <c r="CG22" s="40" t="s">
        <v>64</v>
      </c>
      <c r="CH22" s="40" t="s">
        <v>64</v>
      </c>
      <c r="CI22" s="40" t="s">
        <v>64</v>
      </c>
      <c r="CJ22" s="40" t="s">
        <v>64</v>
      </c>
      <c r="CK22" s="40" t="s">
        <v>64</v>
      </c>
      <c r="CL22" s="40" t="s">
        <v>64</v>
      </c>
      <c r="CM22" s="40" t="s">
        <v>64</v>
      </c>
      <c r="CN22" s="40" t="s">
        <v>64</v>
      </c>
      <c r="CO22" s="40" t="s">
        <v>64</v>
      </c>
      <c r="CP22" s="40" t="s">
        <v>64</v>
      </c>
    </row>
    <row r="23" spans="1:94" ht="12" x14ac:dyDescent="0.25">
      <c r="A23" s="39" t="s">
        <v>462</v>
      </c>
      <c r="B23" s="39" t="s">
        <v>536</v>
      </c>
      <c r="C23" s="39" t="s">
        <v>462</v>
      </c>
      <c r="D23" s="40" t="s">
        <v>559</v>
      </c>
      <c r="E23" s="43">
        <v>284525179</v>
      </c>
      <c r="F23" s="40">
        <v>0</v>
      </c>
      <c r="G23" s="40" t="s">
        <v>349</v>
      </c>
      <c r="H23" s="40">
        <v>0</v>
      </c>
      <c r="I23" s="40">
        <v>0</v>
      </c>
      <c r="J23" s="13" t="s">
        <v>90</v>
      </c>
      <c r="K23" s="40" t="s">
        <v>60</v>
      </c>
      <c r="L23" s="40" t="s">
        <v>61</v>
      </c>
      <c r="M23" s="42">
        <v>5.2</v>
      </c>
      <c r="N23" s="40" t="s">
        <v>64</v>
      </c>
      <c r="O23" s="40" t="s">
        <v>64</v>
      </c>
      <c r="P23" s="40" t="s">
        <v>64</v>
      </c>
      <c r="Q23" s="40" t="s">
        <v>64</v>
      </c>
      <c r="R23" s="40" t="s">
        <v>64</v>
      </c>
      <c r="S23" s="13" t="s">
        <v>64</v>
      </c>
      <c r="T23" s="40" t="s">
        <v>64</v>
      </c>
      <c r="U23" s="40" t="s">
        <v>64</v>
      </c>
      <c r="V23" s="42" t="s">
        <v>64</v>
      </c>
      <c r="W23" s="40" t="s">
        <v>64</v>
      </c>
      <c r="X23" s="40" t="s">
        <v>64</v>
      </c>
      <c r="Y23" s="40" t="s">
        <v>64</v>
      </c>
      <c r="Z23" s="40" t="s">
        <v>64</v>
      </c>
      <c r="AA23" s="40" t="s">
        <v>64</v>
      </c>
      <c r="AB23" s="13" t="s">
        <v>64</v>
      </c>
      <c r="AC23" s="40" t="s">
        <v>64</v>
      </c>
      <c r="AD23" s="40" t="s">
        <v>64</v>
      </c>
      <c r="AE23" s="42" t="s">
        <v>64</v>
      </c>
      <c r="AF23" s="40" t="s">
        <v>64</v>
      </c>
      <c r="AG23" s="40" t="s">
        <v>64</v>
      </c>
      <c r="AH23" s="40" t="s">
        <v>64</v>
      </c>
      <c r="AI23" s="40" t="s">
        <v>64</v>
      </c>
      <c r="AJ23" s="40" t="s">
        <v>64</v>
      </c>
      <c r="AK23" s="40" t="s">
        <v>64</v>
      </c>
      <c r="AL23" s="40" t="s">
        <v>64</v>
      </c>
      <c r="AM23" s="40" t="s">
        <v>64</v>
      </c>
      <c r="AN23" s="40" t="s">
        <v>64</v>
      </c>
      <c r="AO23" s="40" t="s">
        <v>64</v>
      </c>
      <c r="AP23" s="40" t="s">
        <v>64</v>
      </c>
      <c r="AQ23" s="40" t="s">
        <v>64</v>
      </c>
      <c r="AR23" s="40" t="s">
        <v>64</v>
      </c>
      <c r="AS23" s="40" t="s">
        <v>64</v>
      </c>
      <c r="AT23" s="40" t="s">
        <v>64</v>
      </c>
      <c r="AU23" s="40" t="s">
        <v>64</v>
      </c>
      <c r="AV23" s="40" t="s">
        <v>64</v>
      </c>
      <c r="AW23" s="40" t="s">
        <v>64</v>
      </c>
      <c r="AX23" s="40" t="s">
        <v>64</v>
      </c>
      <c r="AY23" s="40" t="s">
        <v>64</v>
      </c>
      <c r="AZ23" s="40" t="s">
        <v>64</v>
      </c>
      <c r="BA23" s="40" t="s">
        <v>64</v>
      </c>
      <c r="BB23" s="40" t="s">
        <v>64</v>
      </c>
      <c r="BC23" s="40" t="s">
        <v>64</v>
      </c>
      <c r="BD23" s="40" t="s">
        <v>64</v>
      </c>
      <c r="BE23" s="40" t="s">
        <v>64</v>
      </c>
      <c r="BF23" s="40" t="s">
        <v>64</v>
      </c>
      <c r="BG23" s="40" t="s">
        <v>64</v>
      </c>
      <c r="BH23" s="40" t="s">
        <v>64</v>
      </c>
      <c r="BI23" s="40" t="s">
        <v>64</v>
      </c>
      <c r="BJ23" s="40" t="s">
        <v>64</v>
      </c>
      <c r="BK23" s="40" t="s">
        <v>64</v>
      </c>
      <c r="BL23" s="40" t="s">
        <v>64</v>
      </c>
      <c r="BM23" s="40" t="s">
        <v>64</v>
      </c>
      <c r="BN23" s="40" t="s">
        <v>64</v>
      </c>
      <c r="BO23" s="40" t="s">
        <v>64</v>
      </c>
      <c r="BP23" s="40" t="s">
        <v>64</v>
      </c>
      <c r="BQ23" s="40" t="s">
        <v>64</v>
      </c>
      <c r="BR23" s="40" t="s">
        <v>64</v>
      </c>
      <c r="BS23" s="40" t="s">
        <v>64</v>
      </c>
      <c r="BT23" s="40" t="s">
        <v>64</v>
      </c>
      <c r="BU23" s="40" t="s">
        <v>64</v>
      </c>
      <c r="BV23" s="40" t="s">
        <v>64</v>
      </c>
      <c r="BW23" s="40" t="s">
        <v>64</v>
      </c>
      <c r="BX23" s="40" t="s">
        <v>64</v>
      </c>
      <c r="BY23" s="40" t="s">
        <v>64</v>
      </c>
      <c r="BZ23" s="40" t="s">
        <v>64</v>
      </c>
      <c r="CA23" s="40" t="s">
        <v>64</v>
      </c>
      <c r="CB23" s="40" t="s">
        <v>64</v>
      </c>
      <c r="CC23" s="40" t="s">
        <v>64</v>
      </c>
      <c r="CD23" s="40" t="s">
        <v>64</v>
      </c>
      <c r="CE23" s="40" t="s">
        <v>64</v>
      </c>
      <c r="CF23" s="40" t="s">
        <v>64</v>
      </c>
      <c r="CG23" s="40" t="s">
        <v>64</v>
      </c>
      <c r="CH23" s="40" t="s">
        <v>64</v>
      </c>
      <c r="CI23" s="40" t="s">
        <v>64</v>
      </c>
      <c r="CJ23" s="40" t="s">
        <v>64</v>
      </c>
      <c r="CK23" s="40" t="s">
        <v>64</v>
      </c>
      <c r="CL23" s="40" t="s">
        <v>64</v>
      </c>
      <c r="CM23" s="40" t="s">
        <v>64</v>
      </c>
      <c r="CN23" s="40" t="s">
        <v>64</v>
      </c>
      <c r="CO23" s="40" t="s">
        <v>64</v>
      </c>
      <c r="CP23" s="40" t="s">
        <v>64</v>
      </c>
    </row>
    <row r="24" spans="1:94" ht="12" x14ac:dyDescent="0.25">
      <c r="A24" s="39" t="s">
        <v>463</v>
      </c>
      <c r="B24" s="39" t="s">
        <v>536</v>
      </c>
      <c r="C24" s="39" t="s">
        <v>463</v>
      </c>
      <c r="D24" s="40" t="s">
        <v>560</v>
      </c>
      <c r="E24" s="43">
        <v>284525180</v>
      </c>
      <c r="F24" s="40">
        <v>0</v>
      </c>
      <c r="G24" s="40" t="s">
        <v>349</v>
      </c>
      <c r="H24" s="40">
        <v>0</v>
      </c>
      <c r="I24" s="40">
        <v>0</v>
      </c>
      <c r="J24" s="13" t="s">
        <v>90</v>
      </c>
      <c r="K24" s="40" t="s">
        <v>60</v>
      </c>
      <c r="L24" s="40" t="s">
        <v>61</v>
      </c>
      <c r="M24" s="42">
        <v>4.53</v>
      </c>
      <c r="N24" s="40" t="s">
        <v>64</v>
      </c>
      <c r="O24" s="40" t="s">
        <v>64</v>
      </c>
      <c r="P24" s="40" t="s">
        <v>64</v>
      </c>
      <c r="Q24" s="40" t="s">
        <v>64</v>
      </c>
      <c r="R24" s="40" t="s">
        <v>64</v>
      </c>
      <c r="S24" s="13" t="s">
        <v>64</v>
      </c>
      <c r="T24" s="40" t="s">
        <v>64</v>
      </c>
      <c r="U24" s="40" t="s">
        <v>64</v>
      </c>
      <c r="V24" s="42" t="s">
        <v>64</v>
      </c>
      <c r="W24" s="40" t="s">
        <v>64</v>
      </c>
      <c r="X24" s="40" t="s">
        <v>64</v>
      </c>
      <c r="Y24" s="40" t="s">
        <v>64</v>
      </c>
      <c r="Z24" s="40" t="s">
        <v>64</v>
      </c>
      <c r="AA24" s="40" t="s">
        <v>64</v>
      </c>
      <c r="AB24" s="13" t="s">
        <v>64</v>
      </c>
      <c r="AC24" s="40" t="s">
        <v>64</v>
      </c>
      <c r="AD24" s="40" t="s">
        <v>64</v>
      </c>
      <c r="AE24" s="42" t="s">
        <v>64</v>
      </c>
      <c r="AF24" s="40" t="s">
        <v>64</v>
      </c>
      <c r="AG24" s="40" t="s">
        <v>64</v>
      </c>
      <c r="AH24" s="40" t="s">
        <v>64</v>
      </c>
      <c r="AI24" s="40" t="s">
        <v>64</v>
      </c>
      <c r="AJ24" s="40" t="s">
        <v>64</v>
      </c>
      <c r="AK24" s="40" t="s">
        <v>64</v>
      </c>
      <c r="AL24" s="40" t="s">
        <v>64</v>
      </c>
      <c r="AM24" s="40" t="s">
        <v>64</v>
      </c>
      <c r="AN24" s="40" t="s">
        <v>64</v>
      </c>
      <c r="AO24" s="40" t="s">
        <v>64</v>
      </c>
      <c r="AP24" s="40" t="s">
        <v>64</v>
      </c>
      <c r="AQ24" s="40" t="s">
        <v>64</v>
      </c>
      <c r="AR24" s="40" t="s">
        <v>64</v>
      </c>
      <c r="AS24" s="40" t="s">
        <v>64</v>
      </c>
      <c r="AT24" s="40" t="s">
        <v>64</v>
      </c>
      <c r="AU24" s="40" t="s">
        <v>64</v>
      </c>
      <c r="AV24" s="40" t="s">
        <v>64</v>
      </c>
      <c r="AW24" s="40" t="s">
        <v>64</v>
      </c>
      <c r="AX24" s="40" t="s">
        <v>64</v>
      </c>
      <c r="AY24" s="40" t="s">
        <v>64</v>
      </c>
      <c r="AZ24" s="40" t="s">
        <v>64</v>
      </c>
      <c r="BA24" s="40" t="s">
        <v>64</v>
      </c>
      <c r="BB24" s="40" t="s">
        <v>64</v>
      </c>
      <c r="BC24" s="40" t="s">
        <v>64</v>
      </c>
      <c r="BD24" s="40" t="s">
        <v>64</v>
      </c>
      <c r="BE24" s="40" t="s">
        <v>64</v>
      </c>
      <c r="BF24" s="40" t="s">
        <v>64</v>
      </c>
      <c r="BG24" s="40" t="s">
        <v>64</v>
      </c>
      <c r="BH24" s="40" t="s">
        <v>64</v>
      </c>
      <c r="BI24" s="40" t="s">
        <v>64</v>
      </c>
      <c r="BJ24" s="40" t="s">
        <v>64</v>
      </c>
      <c r="BK24" s="40" t="s">
        <v>64</v>
      </c>
      <c r="BL24" s="40" t="s">
        <v>64</v>
      </c>
      <c r="BM24" s="40" t="s">
        <v>64</v>
      </c>
      <c r="BN24" s="40" t="s">
        <v>64</v>
      </c>
      <c r="BO24" s="40" t="s">
        <v>64</v>
      </c>
      <c r="BP24" s="40" t="s">
        <v>64</v>
      </c>
      <c r="BQ24" s="40" t="s">
        <v>64</v>
      </c>
      <c r="BR24" s="40" t="s">
        <v>64</v>
      </c>
      <c r="BS24" s="40" t="s">
        <v>64</v>
      </c>
      <c r="BT24" s="40" t="s">
        <v>64</v>
      </c>
      <c r="BU24" s="40" t="s">
        <v>64</v>
      </c>
      <c r="BV24" s="40" t="s">
        <v>64</v>
      </c>
      <c r="BW24" s="40" t="s">
        <v>64</v>
      </c>
      <c r="BX24" s="40" t="s">
        <v>64</v>
      </c>
      <c r="BY24" s="40" t="s">
        <v>64</v>
      </c>
      <c r="BZ24" s="40" t="s">
        <v>64</v>
      </c>
      <c r="CA24" s="40" t="s">
        <v>64</v>
      </c>
      <c r="CB24" s="40" t="s">
        <v>64</v>
      </c>
      <c r="CC24" s="40" t="s">
        <v>64</v>
      </c>
      <c r="CD24" s="40" t="s">
        <v>64</v>
      </c>
      <c r="CE24" s="40" t="s">
        <v>64</v>
      </c>
      <c r="CF24" s="40" t="s">
        <v>64</v>
      </c>
      <c r="CG24" s="40" t="s">
        <v>64</v>
      </c>
      <c r="CH24" s="40" t="s">
        <v>64</v>
      </c>
      <c r="CI24" s="40" t="s">
        <v>64</v>
      </c>
      <c r="CJ24" s="40" t="s">
        <v>64</v>
      </c>
      <c r="CK24" s="40" t="s">
        <v>64</v>
      </c>
      <c r="CL24" s="40" t="s">
        <v>64</v>
      </c>
      <c r="CM24" s="40" t="s">
        <v>64</v>
      </c>
      <c r="CN24" s="40" t="s">
        <v>64</v>
      </c>
      <c r="CO24" s="40" t="s">
        <v>64</v>
      </c>
      <c r="CP24" s="40" t="s">
        <v>64</v>
      </c>
    </row>
    <row r="25" spans="1:94" ht="12" x14ac:dyDescent="0.25">
      <c r="A25" s="39" t="s">
        <v>464</v>
      </c>
      <c r="B25" s="39" t="s">
        <v>536</v>
      </c>
      <c r="C25" s="39" t="s">
        <v>464</v>
      </c>
      <c r="D25" s="40" t="s">
        <v>561</v>
      </c>
      <c r="E25" s="43">
        <v>284525185</v>
      </c>
      <c r="F25" s="40">
        <v>0</v>
      </c>
      <c r="G25" s="40" t="s">
        <v>349</v>
      </c>
      <c r="H25" s="40">
        <v>0</v>
      </c>
      <c r="I25" s="40">
        <v>0</v>
      </c>
      <c r="J25" s="13" t="s">
        <v>90</v>
      </c>
      <c r="K25" s="40" t="s">
        <v>60</v>
      </c>
      <c r="L25" s="40" t="s">
        <v>61</v>
      </c>
      <c r="M25" s="42">
        <v>4.53</v>
      </c>
      <c r="N25" s="40" t="s">
        <v>64</v>
      </c>
      <c r="O25" s="40" t="s">
        <v>64</v>
      </c>
      <c r="P25" s="40" t="s">
        <v>64</v>
      </c>
      <c r="Q25" s="40" t="s">
        <v>64</v>
      </c>
      <c r="R25" s="40" t="s">
        <v>64</v>
      </c>
      <c r="S25" s="13" t="s">
        <v>64</v>
      </c>
      <c r="T25" s="40" t="s">
        <v>64</v>
      </c>
      <c r="U25" s="40" t="s">
        <v>64</v>
      </c>
      <c r="V25" s="42" t="s">
        <v>64</v>
      </c>
      <c r="W25" s="40" t="s">
        <v>64</v>
      </c>
      <c r="X25" s="40" t="s">
        <v>64</v>
      </c>
      <c r="Y25" s="40" t="s">
        <v>64</v>
      </c>
      <c r="Z25" s="40" t="s">
        <v>64</v>
      </c>
      <c r="AA25" s="40" t="s">
        <v>64</v>
      </c>
      <c r="AB25" s="13" t="s">
        <v>64</v>
      </c>
      <c r="AC25" s="40" t="s">
        <v>64</v>
      </c>
      <c r="AD25" s="40" t="s">
        <v>64</v>
      </c>
      <c r="AE25" s="42" t="s">
        <v>64</v>
      </c>
      <c r="AF25" s="40" t="s">
        <v>64</v>
      </c>
      <c r="AG25" s="40" t="s">
        <v>64</v>
      </c>
      <c r="AH25" s="40" t="s">
        <v>64</v>
      </c>
      <c r="AI25" s="40" t="s">
        <v>64</v>
      </c>
      <c r="AJ25" s="40" t="s">
        <v>64</v>
      </c>
      <c r="AK25" s="40" t="s">
        <v>64</v>
      </c>
      <c r="AL25" s="40" t="s">
        <v>64</v>
      </c>
      <c r="AM25" s="40" t="s">
        <v>64</v>
      </c>
      <c r="AN25" s="40" t="s">
        <v>64</v>
      </c>
      <c r="AO25" s="40" t="s">
        <v>64</v>
      </c>
      <c r="AP25" s="40" t="s">
        <v>64</v>
      </c>
      <c r="AQ25" s="40" t="s">
        <v>64</v>
      </c>
      <c r="AR25" s="40" t="s">
        <v>64</v>
      </c>
      <c r="AS25" s="40" t="s">
        <v>64</v>
      </c>
      <c r="AT25" s="40" t="s">
        <v>64</v>
      </c>
      <c r="AU25" s="40" t="s">
        <v>64</v>
      </c>
      <c r="AV25" s="40" t="s">
        <v>64</v>
      </c>
      <c r="AW25" s="40" t="s">
        <v>64</v>
      </c>
      <c r="AX25" s="40" t="s">
        <v>64</v>
      </c>
      <c r="AY25" s="40" t="s">
        <v>64</v>
      </c>
      <c r="AZ25" s="40" t="s">
        <v>64</v>
      </c>
      <c r="BA25" s="40" t="s">
        <v>64</v>
      </c>
      <c r="BB25" s="40" t="s">
        <v>64</v>
      </c>
      <c r="BC25" s="40" t="s">
        <v>64</v>
      </c>
      <c r="BD25" s="40" t="s">
        <v>64</v>
      </c>
      <c r="BE25" s="40" t="s">
        <v>64</v>
      </c>
      <c r="BF25" s="40" t="s">
        <v>64</v>
      </c>
      <c r="BG25" s="40" t="s">
        <v>64</v>
      </c>
      <c r="BH25" s="40" t="s">
        <v>64</v>
      </c>
      <c r="BI25" s="40" t="s">
        <v>64</v>
      </c>
      <c r="BJ25" s="40" t="s">
        <v>64</v>
      </c>
      <c r="BK25" s="40" t="s">
        <v>64</v>
      </c>
      <c r="BL25" s="40" t="s">
        <v>64</v>
      </c>
      <c r="BM25" s="40" t="s">
        <v>64</v>
      </c>
      <c r="BN25" s="40" t="s">
        <v>64</v>
      </c>
      <c r="BO25" s="40" t="s">
        <v>64</v>
      </c>
      <c r="BP25" s="40" t="s">
        <v>64</v>
      </c>
      <c r="BQ25" s="40" t="s">
        <v>64</v>
      </c>
      <c r="BR25" s="40" t="s">
        <v>64</v>
      </c>
      <c r="BS25" s="40" t="s">
        <v>64</v>
      </c>
      <c r="BT25" s="40" t="s">
        <v>64</v>
      </c>
      <c r="BU25" s="40" t="s">
        <v>64</v>
      </c>
      <c r="BV25" s="40" t="s">
        <v>64</v>
      </c>
      <c r="BW25" s="40" t="s">
        <v>64</v>
      </c>
      <c r="BX25" s="40" t="s">
        <v>64</v>
      </c>
      <c r="BY25" s="40" t="s">
        <v>64</v>
      </c>
      <c r="BZ25" s="40" t="s">
        <v>64</v>
      </c>
      <c r="CA25" s="40" t="s">
        <v>64</v>
      </c>
      <c r="CB25" s="40" t="s">
        <v>64</v>
      </c>
      <c r="CC25" s="40" t="s">
        <v>64</v>
      </c>
      <c r="CD25" s="40" t="s">
        <v>64</v>
      </c>
      <c r="CE25" s="40" t="s">
        <v>64</v>
      </c>
      <c r="CF25" s="40" t="s">
        <v>64</v>
      </c>
      <c r="CG25" s="40" t="s">
        <v>64</v>
      </c>
      <c r="CH25" s="40" t="s">
        <v>64</v>
      </c>
      <c r="CI25" s="40" t="s">
        <v>64</v>
      </c>
      <c r="CJ25" s="40" t="s">
        <v>64</v>
      </c>
      <c r="CK25" s="40" t="s">
        <v>64</v>
      </c>
      <c r="CL25" s="40" t="s">
        <v>64</v>
      </c>
      <c r="CM25" s="40" t="s">
        <v>64</v>
      </c>
      <c r="CN25" s="40" t="s">
        <v>64</v>
      </c>
      <c r="CO25" s="40" t="s">
        <v>64</v>
      </c>
      <c r="CP25" s="40" t="s">
        <v>64</v>
      </c>
    </row>
    <row r="26" spans="1:94" ht="12" x14ac:dyDescent="0.25">
      <c r="A26" s="39" t="s">
        <v>465</v>
      </c>
      <c r="B26" s="39" t="s">
        <v>536</v>
      </c>
      <c r="C26" s="39" t="s">
        <v>465</v>
      </c>
      <c r="D26" s="40" t="s">
        <v>562</v>
      </c>
      <c r="E26" s="43">
        <v>284525186</v>
      </c>
      <c r="F26" s="40">
        <v>0</v>
      </c>
      <c r="G26" s="40" t="s">
        <v>349</v>
      </c>
      <c r="H26" s="40">
        <v>0</v>
      </c>
      <c r="I26" s="40">
        <v>0</v>
      </c>
      <c r="J26" s="13" t="s">
        <v>89</v>
      </c>
      <c r="K26" s="40" t="s">
        <v>60</v>
      </c>
      <c r="L26" s="40" t="s">
        <v>61</v>
      </c>
      <c r="M26" s="42">
        <v>5.2</v>
      </c>
      <c r="N26" s="40">
        <v>284525187</v>
      </c>
      <c r="O26" s="40">
        <v>0</v>
      </c>
      <c r="P26" s="40" t="s">
        <v>350</v>
      </c>
      <c r="Q26" s="40">
        <v>0</v>
      </c>
      <c r="R26" s="40">
        <v>0</v>
      </c>
      <c r="S26" s="13" t="s">
        <v>90</v>
      </c>
      <c r="T26" s="40" t="s">
        <v>60</v>
      </c>
      <c r="U26" s="40" t="s">
        <v>61</v>
      </c>
      <c r="V26" s="42">
        <v>2.6</v>
      </c>
      <c r="W26" s="40" t="s">
        <v>64</v>
      </c>
      <c r="X26" s="40" t="s">
        <v>64</v>
      </c>
      <c r="Y26" s="40" t="s">
        <v>64</v>
      </c>
      <c r="Z26" s="40" t="s">
        <v>64</v>
      </c>
      <c r="AA26" s="40" t="s">
        <v>64</v>
      </c>
      <c r="AB26" s="13" t="s">
        <v>64</v>
      </c>
      <c r="AC26" s="40" t="s">
        <v>64</v>
      </c>
      <c r="AD26" s="40" t="s">
        <v>64</v>
      </c>
      <c r="AE26" s="42" t="s">
        <v>64</v>
      </c>
      <c r="AF26" s="40" t="s">
        <v>64</v>
      </c>
      <c r="AG26" s="40" t="s">
        <v>64</v>
      </c>
      <c r="AH26" s="40" t="s">
        <v>64</v>
      </c>
      <c r="AI26" s="40" t="s">
        <v>64</v>
      </c>
      <c r="AJ26" s="40" t="s">
        <v>64</v>
      </c>
      <c r="AK26" s="40" t="s">
        <v>64</v>
      </c>
      <c r="AL26" s="40" t="s">
        <v>64</v>
      </c>
      <c r="AM26" s="40" t="s">
        <v>64</v>
      </c>
      <c r="AN26" s="40" t="s">
        <v>64</v>
      </c>
      <c r="AO26" s="40" t="s">
        <v>64</v>
      </c>
      <c r="AP26" s="40" t="s">
        <v>64</v>
      </c>
      <c r="AQ26" s="40" t="s">
        <v>64</v>
      </c>
      <c r="AR26" s="40" t="s">
        <v>64</v>
      </c>
      <c r="AS26" s="40" t="s">
        <v>64</v>
      </c>
      <c r="AT26" s="40" t="s">
        <v>64</v>
      </c>
      <c r="AU26" s="40" t="s">
        <v>64</v>
      </c>
      <c r="AV26" s="40" t="s">
        <v>64</v>
      </c>
      <c r="AW26" s="40" t="s">
        <v>64</v>
      </c>
      <c r="AX26" s="40" t="s">
        <v>64</v>
      </c>
      <c r="AY26" s="40" t="s">
        <v>64</v>
      </c>
      <c r="AZ26" s="40" t="s">
        <v>64</v>
      </c>
      <c r="BA26" s="40" t="s">
        <v>64</v>
      </c>
      <c r="BB26" s="40" t="s">
        <v>64</v>
      </c>
      <c r="BC26" s="40" t="s">
        <v>64</v>
      </c>
      <c r="BD26" s="40" t="s">
        <v>64</v>
      </c>
      <c r="BE26" s="40" t="s">
        <v>64</v>
      </c>
      <c r="BF26" s="40" t="s">
        <v>64</v>
      </c>
      <c r="BG26" s="40" t="s">
        <v>64</v>
      </c>
      <c r="BH26" s="40" t="s">
        <v>64</v>
      </c>
      <c r="BI26" s="40" t="s">
        <v>64</v>
      </c>
      <c r="BJ26" s="40" t="s">
        <v>64</v>
      </c>
      <c r="BK26" s="40" t="s">
        <v>64</v>
      </c>
      <c r="BL26" s="40" t="s">
        <v>64</v>
      </c>
      <c r="BM26" s="40" t="s">
        <v>64</v>
      </c>
      <c r="BN26" s="40" t="s">
        <v>64</v>
      </c>
      <c r="BO26" s="40" t="s">
        <v>64</v>
      </c>
      <c r="BP26" s="40" t="s">
        <v>64</v>
      </c>
      <c r="BQ26" s="40" t="s">
        <v>64</v>
      </c>
      <c r="BR26" s="40" t="s">
        <v>64</v>
      </c>
      <c r="BS26" s="40" t="s">
        <v>64</v>
      </c>
      <c r="BT26" s="40" t="s">
        <v>64</v>
      </c>
      <c r="BU26" s="40" t="s">
        <v>64</v>
      </c>
      <c r="BV26" s="40" t="s">
        <v>64</v>
      </c>
      <c r="BW26" s="40" t="s">
        <v>64</v>
      </c>
      <c r="BX26" s="40" t="s">
        <v>64</v>
      </c>
      <c r="BY26" s="40" t="s">
        <v>64</v>
      </c>
      <c r="BZ26" s="40" t="s">
        <v>64</v>
      </c>
      <c r="CA26" s="40" t="s">
        <v>64</v>
      </c>
      <c r="CB26" s="40" t="s">
        <v>64</v>
      </c>
      <c r="CC26" s="40" t="s">
        <v>64</v>
      </c>
      <c r="CD26" s="40" t="s">
        <v>64</v>
      </c>
      <c r="CE26" s="40" t="s">
        <v>64</v>
      </c>
      <c r="CF26" s="40" t="s">
        <v>64</v>
      </c>
      <c r="CG26" s="40" t="s">
        <v>64</v>
      </c>
      <c r="CH26" s="40" t="s">
        <v>64</v>
      </c>
      <c r="CI26" s="40" t="s">
        <v>64</v>
      </c>
      <c r="CJ26" s="40" t="s">
        <v>64</v>
      </c>
      <c r="CK26" s="40" t="s">
        <v>64</v>
      </c>
      <c r="CL26" s="40" t="s">
        <v>64</v>
      </c>
      <c r="CM26" s="40" t="s">
        <v>64</v>
      </c>
      <c r="CN26" s="40" t="s">
        <v>64</v>
      </c>
      <c r="CO26" s="40" t="s">
        <v>64</v>
      </c>
      <c r="CP26" s="40" t="s">
        <v>64</v>
      </c>
    </row>
    <row r="27" spans="1:94" ht="12" x14ac:dyDescent="0.25">
      <c r="A27" s="39" t="s">
        <v>466</v>
      </c>
      <c r="B27" s="39" t="s">
        <v>536</v>
      </c>
      <c r="C27" s="39" t="s">
        <v>466</v>
      </c>
      <c r="D27" s="40" t="s">
        <v>563</v>
      </c>
      <c r="E27" s="43">
        <v>284525194</v>
      </c>
      <c r="F27" s="40">
        <v>0</v>
      </c>
      <c r="G27" s="40" t="s">
        <v>349</v>
      </c>
      <c r="H27" s="40">
        <v>0</v>
      </c>
      <c r="I27" s="40">
        <v>0</v>
      </c>
      <c r="J27" s="13" t="s">
        <v>91</v>
      </c>
      <c r="K27" s="40" t="s">
        <v>60</v>
      </c>
      <c r="L27" s="40" t="s">
        <v>61</v>
      </c>
      <c r="M27" s="42">
        <v>2.6</v>
      </c>
      <c r="N27" s="40">
        <v>284525195</v>
      </c>
      <c r="O27" s="40">
        <v>0</v>
      </c>
      <c r="P27" s="40" t="s">
        <v>350</v>
      </c>
      <c r="Q27" s="40">
        <v>0</v>
      </c>
      <c r="R27" s="40">
        <v>0</v>
      </c>
      <c r="S27" s="13" t="s">
        <v>89</v>
      </c>
      <c r="T27" s="40" t="s">
        <v>60</v>
      </c>
      <c r="U27" s="40" t="s">
        <v>61</v>
      </c>
      <c r="V27" s="42">
        <v>5.2</v>
      </c>
      <c r="W27" s="40" t="s">
        <v>64</v>
      </c>
      <c r="X27" s="40" t="s">
        <v>64</v>
      </c>
      <c r="Y27" s="40" t="s">
        <v>64</v>
      </c>
      <c r="Z27" s="40" t="s">
        <v>64</v>
      </c>
      <c r="AA27" s="40" t="s">
        <v>64</v>
      </c>
      <c r="AB27" s="13" t="s">
        <v>64</v>
      </c>
      <c r="AC27" s="40" t="s">
        <v>64</v>
      </c>
      <c r="AD27" s="40" t="s">
        <v>64</v>
      </c>
      <c r="AE27" s="42" t="s">
        <v>64</v>
      </c>
      <c r="AF27" s="40" t="s">
        <v>64</v>
      </c>
      <c r="AG27" s="40" t="s">
        <v>64</v>
      </c>
      <c r="AH27" s="40" t="s">
        <v>64</v>
      </c>
      <c r="AI27" s="40" t="s">
        <v>64</v>
      </c>
      <c r="AJ27" s="40" t="s">
        <v>64</v>
      </c>
      <c r="AK27" s="40" t="s">
        <v>64</v>
      </c>
      <c r="AL27" s="40" t="s">
        <v>64</v>
      </c>
      <c r="AM27" s="40" t="s">
        <v>64</v>
      </c>
      <c r="AN27" s="40" t="s">
        <v>64</v>
      </c>
      <c r="AO27" s="40" t="s">
        <v>64</v>
      </c>
      <c r="AP27" s="40" t="s">
        <v>64</v>
      </c>
      <c r="AQ27" s="40" t="s">
        <v>64</v>
      </c>
      <c r="AR27" s="40" t="s">
        <v>64</v>
      </c>
      <c r="AS27" s="40" t="s">
        <v>64</v>
      </c>
      <c r="AT27" s="40" t="s">
        <v>64</v>
      </c>
      <c r="AU27" s="40" t="s">
        <v>64</v>
      </c>
      <c r="AV27" s="40" t="s">
        <v>64</v>
      </c>
      <c r="AW27" s="40" t="s">
        <v>64</v>
      </c>
      <c r="AX27" s="40" t="s">
        <v>64</v>
      </c>
      <c r="AY27" s="40" t="s">
        <v>64</v>
      </c>
      <c r="AZ27" s="40" t="s">
        <v>64</v>
      </c>
      <c r="BA27" s="40" t="s">
        <v>64</v>
      </c>
      <c r="BB27" s="40" t="s">
        <v>64</v>
      </c>
      <c r="BC27" s="40" t="s">
        <v>64</v>
      </c>
      <c r="BD27" s="40" t="s">
        <v>64</v>
      </c>
      <c r="BE27" s="40" t="s">
        <v>64</v>
      </c>
      <c r="BF27" s="40" t="s">
        <v>64</v>
      </c>
      <c r="BG27" s="40" t="s">
        <v>64</v>
      </c>
      <c r="BH27" s="40" t="s">
        <v>64</v>
      </c>
      <c r="BI27" s="40" t="s">
        <v>64</v>
      </c>
      <c r="BJ27" s="40" t="s">
        <v>64</v>
      </c>
      <c r="BK27" s="40" t="s">
        <v>64</v>
      </c>
      <c r="BL27" s="40" t="s">
        <v>64</v>
      </c>
      <c r="BM27" s="40" t="s">
        <v>64</v>
      </c>
      <c r="BN27" s="40" t="s">
        <v>64</v>
      </c>
      <c r="BO27" s="40" t="s">
        <v>64</v>
      </c>
      <c r="BP27" s="40" t="s">
        <v>64</v>
      </c>
      <c r="BQ27" s="40" t="s">
        <v>64</v>
      </c>
      <c r="BR27" s="40" t="s">
        <v>64</v>
      </c>
      <c r="BS27" s="40" t="s">
        <v>64</v>
      </c>
      <c r="BT27" s="40" t="s">
        <v>64</v>
      </c>
      <c r="BU27" s="40" t="s">
        <v>64</v>
      </c>
      <c r="BV27" s="40" t="s">
        <v>64</v>
      </c>
      <c r="BW27" s="40" t="s">
        <v>64</v>
      </c>
      <c r="BX27" s="40" t="s">
        <v>64</v>
      </c>
      <c r="BY27" s="40" t="s">
        <v>64</v>
      </c>
      <c r="BZ27" s="40" t="s">
        <v>64</v>
      </c>
      <c r="CA27" s="40" t="s">
        <v>64</v>
      </c>
      <c r="CB27" s="40" t="s">
        <v>64</v>
      </c>
      <c r="CC27" s="40" t="s">
        <v>64</v>
      </c>
      <c r="CD27" s="40" t="s">
        <v>64</v>
      </c>
      <c r="CE27" s="40" t="s">
        <v>64</v>
      </c>
      <c r="CF27" s="40" t="s">
        <v>64</v>
      </c>
      <c r="CG27" s="40" t="s">
        <v>64</v>
      </c>
      <c r="CH27" s="40" t="s">
        <v>64</v>
      </c>
      <c r="CI27" s="40" t="s">
        <v>64</v>
      </c>
      <c r="CJ27" s="40" t="s">
        <v>64</v>
      </c>
      <c r="CK27" s="40" t="s">
        <v>64</v>
      </c>
      <c r="CL27" s="40" t="s">
        <v>64</v>
      </c>
      <c r="CM27" s="40" t="s">
        <v>64</v>
      </c>
      <c r="CN27" s="40" t="s">
        <v>64</v>
      </c>
      <c r="CO27" s="40" t="s">
        <v>64</v>
      </c>
      <c r="CP27" s="40" t="s">
        <v>64</v>
      </c>
    </row>
    <row r="28" spans="1:94" ht="12" x14ac:dyDescent="0.25">
      <c r="A28" s="39" t="s">
        <v>467</v>
      </c>
      <c r="B28" s="39" t="s">
        <v>536</v>
      </c>
      <c r="C28" s="39" t="s">
        <v>467</v>
      </c>
      <c r="D28" s="40" t="s">
        <v>564</v>
      </c>
      <c r="E28" s="43">
        <v>284525197</v>
      </c>
      <c r="F28" s="40">
        <v>0</v>
      </c>
      <c r="G28" s="40" t="s">
        <v>349</v>
      </c>
      <c r="H28" s="40">
        <v>0</v>
      </c>
      <c r="I28" s="40">
        <v>0</v>
      </c>
      <c r="J28" s="13" t="s">
        <v>89</v>
      </c>
      <c r="K28" s="40" t="s">
        <v>60</v>
      </c>
      <c r="L28" s="40" t="s">
        <v>61</v>
      </c>
      <c r="M28" s="42">
        <v>5.2</v>
      </c>
      <c r="N28" s="40" t="s">
        <v>64</v>
      </c>
      <c r="O28" s="40" t="s">
        <v>64</v>
      </c>
      <c r="P28" s="40" t="s">
        <v>64</v>
      </c>
      <c r="Q28" s="40" t="s">
        <v>64</v>
      </c>
      <c r="R28" s="40" t="s">
        <v>64</v>
      </c>
      <c r="S28" s="13" t="s">
        <v>64</v>
      </c>
      <c r="T28" s="40" t="s">
        <v>64</v>
      </c>
      <c r="U28" s="40" t="s">
        <v>64</v>
      </c>
      <c r="V28" s="42" t="s">
        <v>64</v>
      </c>
      <c r="W28" s="40" t="s">
        <v>64</v>
      </c>
      <c r="X28" s="40" t="s">
        <v>64</v>
      </c>
      <c r="Y28" s="40" t="s">
        <v>64</v>
      </c>
      <c r="Z28" s="40" t="s">
        <v>64</v>
      </c>
      <c r="AA28" s="40" t="s">
        <v>64</v>
      </c>
      <c r="AB28" s="13" t="s">
        <v>64</v>
      </c>
      <c r="AC28" s="40" t="s">
        <v>64</v>
      </c>
      <c r="AD28" s="40" t="s">
        <v>64</v>
      </c>
      <c r="AE28" s="42" t="s">
        <v>64</v>
      </c>
      <c r="AF28" s="40" t="s">
        <v>64</v>
      </c>
      <c r="AG28" s="40" t="s">
        <v>64</v>
      </c>
      <c r="AH28" s="40" t="s">
        <v>64</v>
      </c>
      <c r="AI28" s="40" t="s">
        <v>64</v>
      </c>
      <c r="AJ28" s="40" t="s">
        <v>64</v>
      </c>
      <c r="AK28" s="40" t="s">
        <v>64</v>
      </c>
      <c r="AL28" s="40" t="s">
        <v>64</v>
      </c>
      <c r="AM28" s="40" t="s">
        <v>64</v>
      </c>
      <c r="AN28" s="40" t="s">
        <v>64</v>
      </c>
      <c r="AO28" s="40" t="s">
        <v>64</v>
      </c>
      <c r="AP28" s="40" t="s">
        <v>64</v>
      </c>
      <c r="AQ28" s="40" t="s">
        <v>64</v>
      </c>
      <c r="AR28" s="40" t="s">
        <v>64</v>
      </c>
      <c r="AS28" s="40" t="s">
        <v>64</v>
      </c>
      <c r="AT28" s="40" t="s">
        <v>64</v>
      </c>
      <c r="AU28" s="40" t="s">
        <v>64</v>
      </c>
      <c r="AV28" s="40" t="s">
        <v>64</v>
      </c>
      <c r="AW28" s="40" t="s">
        <v>64</v>
      </c>
      <c r="AX28" s="40" t="s">
        <v>64</v>
      </c>
      <c r="AY28" s="40" t="s">
        <v>64</v>
      </c>
      <c r="AZ28" s="40" t="s">
        <v>64</v>
      </c>
      <c r="BA28" s="40" t="s">
        <v>64</v>
      </c>
      <c r="BB28" s="40" t="s">
        <v>64</v>
      </c>
      <c r="BC28" s="40" t="s">
        <v>64</v>
      </c>
      <c r="BD28" s="40" t="s">
        <v>64</v>
      </c>
      <c r="BE28" s="40" t="s">
        <v>64</v>
      </c>
      <c r="BF28" s="40" t="s">
        <v>64</v>
      </c>
      <c r="BG28" s="40" t="s">
        <v>64</v>
      </c>
      <c r="BH28" s="40" t="s">
        <v>64</v>
      </c>
      <c r="BI28" s="40" t="s">
        <v>64</v>
      </c>
      <c r="BJ28" s="40" t="s">
        <v>64</v>
      </c>
      <c r="BK28" s="40" t="s">
        <v>64</v>
      </c>
      <c r="BL28" s="40" t="s">
        <v>64</v>
      </c>
      <c r="BM28" s="40" t="s">
        <v>64</v>
      </c>
      <c r="BN28" s="40" t="s">
        <v>64</v>
      </c>
      <c r="BO28" s="40" t="s">
        <v>64</v>
      </c>
      <c r="BP28" s="40" t="s">
        <v>64</v>
      </c>
      <c r="BQ28" s="40" t="s">
        <v>64</v>
      </c>
      <c r="BR28" s="40" t="s">
        <v>64</v>
      </c>
      <c r="BS28" s="40" t="s">
        <v>64</v>
      </c>
      <c r="BT28" s="40" t="s">
        <v>64</v>
      </c>
      <c r="BU28" s="40" t="s">
        <v>64</v>
      </c>
      <c r="BV28" s="40" t="s">
        <v>64</v>
      </c>
      <c r="BW28" s="40" t="s">
        <v>64</v>
      </c>
      <c r="BX28" s="40" t="s">
        <v>64</v>
      </c>
      <c r="BY28" s="40" t="s">
        <v>64</v>
      </c>
      <c r="BZ28" s="40" t="s">
        <v>64</v>
      </c>
      <c r="CA28" s="40" t="s">
        <v>64</v>
      </c>
      <c r="CB28" s="40" t="s">
        <v>64</v>
      </c>
      <c r="CC28" s="40" t="s">
        <v>64</v>
      </c>
      <c r="CD28" s="40" t="s">
        <v>64</v>
      </c>
      <c r="CE28" s="40" t="s">
        <v>64</v>
      </c>
      <c r="CF28" s="40" t="s">
        <v>64</v>
      </c>
      <c r="CG28" s="40" t="s">
        <v>64</v>
      </c>
      <c r="CH28" s="40" t="s">
        <v>64</v>
      </c>
      <c r="CI28" s="40" t="s">
        <v>64</v>
      </c>
      <c r="CJ28" s="40" t="s">
        <v>64</v>
      </c>
      <c r="CK28" s="40" t="s">
        <v>64</v>
      </c>
      <c r="CL28" s="40" t="s">
        <v>64</v>
      </c>
      <c r="CM28" s="40" t="s">
        <v>64</v>
      </c>
      <c r="CN28" s="40" t="s">
        <v>64</v>
      </c>
      <c r="CO28" s="40" t="s">
        <v>64</v>
      </c>
      <c r="CP28" s="40" t="s">
        <v>64</v>
      </c>
    </row>
    <row r="29" spans="1:94" ht="12" x14ac:dyDescent="0.25">
      <c r="A29" s="39" t="s">
        <v>468</v>
      </c>
      <c r="B29" s="39" t="s">
        <v>536</v>
      </c>
      <c r="C29" s="39" t="s">
        <v>468</v>
      </c>
      <c r="D29" s="40" t="s">
        <v>565</v>
      </c>
      <c r="E29" s="43">
        <v>284525196</v>
      </c>
      <c r="F29" s="40">
        <v>0</v>
      </c>
      <c r="G29" s="40" t="s">
        <v>349</v>
      </c>
      <c r="H29" s="40">
        <v>0</v>
      </c>
      <c r="I29" s="40">
        <v>0</v>
      </c>
      <c r="J29" s="13" t="s">
        <v>88</v>
      </c>
      <c r="K29" s="40" t="s">
        <v>60</v>
      </c>
      <c r="L29" s="40" t="s">
        <v>61</v>
      </c>
      <c r="M29" s="42">
        <v>2.6</v>
      </c>
      <c r="N29" s="40" t="s">
        <v>64</v>
      </c>
      <c r="O29" s="40" t="s">
        <v>64</v>
      </c>
      <c r="P29" s="40" t="s">
        <v>64</v>
      </c>
      <c r="Q29" s="40" t="s">
        <v>64</v>
      </c>
      <c r="R29" s="40" t="s">
        <v>64</v>
      </c>
      <c r="S29" s="13" t="s">
        <v>64</v>
      </c>
      <c r="T29" s="40" t="s">
        <v>64</v>
      </c>
      <c r="U29" s="40" t="s">
        <v>64</v>
      </c>
      <c r="V29" s="42" t="s">
        <v>64</v>
      </c>
      <c r="W29" s="40" t="s">
        <v>64</v>
      </c>
      <c r="X29" s="40" t="s">
        <v>64</v>
      </c>
      <c r="Y29" s="40" t="s">
        <v>64</v>
      </c>
      <c r="Z29" s="40" t="s">
        <v>64</v>
      </c>
      <c r="AA29" s="40" t="s">
        <v>64</v>
      </c>
      <c r="AB29" s="13" t="s">
        <v>64</v>
      </c>
      <c r="AC29" s="40" t="s">
        <v>64</v>
      </c>
      <c r="AD29" s="40" t="s">
        <v>64</v>
      </c>
      <c r="AE29" s="42" t="s">
        <v>64</v>
      </c>
      <c r="AF29" s="40" t="s">
        <v>64</v>
      </c>
      <c r="AG29" s="40" t="s">
        <v>64</v>
      </c>
      <c r="AH29" s="40" t="s">
        <v>64</v>
      </c>
      <c r="AI29" s="40" t="s">
        <v>64</v>
      </c>
      <c r="AJ29" s="40" t="s">
        <v>64</v>
      </c>
      <c r="AK29" s="40" t="s">
        <v>64</v>
      </c>
      <c r="AL29" s="40" t="s">
        <v>64</v>
      </c>
      <c r="AM29" s="40" t="s">
        <v>64</v>
      </c>
      <c r="AN29" s="40" t="s">
        <v>64</v>
      </c>
      <c r="AO29" s="40" t="s">
        <v>64</v>
      </c>
      <c r="AP29" s="40" t="s">
        <v>64</v>
      </c>
      <c r="AQ29" s="40" t="s">
        <v>64</v>
      </c>
      <c r="AR29" s="40" t="s">
        <v>64</v>
      </c>
      <c r="AS29" s="40" t="s">
        <v>64</v>
      </c>
      <c r="AT29" s="40" t="s">
        <v>64</v>
      </c>
      <c r="AU29" s="40" t="s">
        <v>64</v>
      </c>
      <c r="AV29" s="40" t="s">
        <v>64</v>
      </c>
      <c r="AW29" s="40" t="s">
        <v>64</v>
      </c>
      <c r="AX29" s="40" t="s">
        <v>64</v>
      </c>
      <c r="AY29" s="40" t="s">
        <v>64</v>
      </c>
      <c r="AZ29" s="40" t="s">
        <v>64</v>
      </c>
      <c r="BA29" s="40" t="s">
        <v>64</v>
      </c>
      <c r="BB29" s="40" t="s">
        <v>64</v>
      </c>
      <c r="BC29" s="40" t="s">
        <v>64</v>
      </c>
      <c r="BD29" s="40" t="s">
        <v>64</v>
      </c>
      <c r="BE29" s="40" t="s">
        <v>64</v>
      </c>
      <c r="BF29" s="40" t="s">
        <v>64</v>
      </c>
      <c r="BG29" s="40" t="s">
        <v>64</v>
      </c>
      <c r="BH29" s="40" t="s">
        <v>64</v>
      </c>
      <c r="BI29" s="40" t="s">
        <v>64</v>
      </c>
      <c r="BJ29" s="40" t="s">
        <v>64</v>
      </c>
      <c r="BK29" s="40" t="s">
        <v>64</v>
      </c>
      <c r="BL29" s="40" t="s">
        <v>64</v>
      </c>
      <c r="BM29" s="40" t="s">
        <v>64</v>
      </c>
      <c r="BN29" s="40" t="s">
        <v>64</v>
      </c>
      <c r="BO29" s="40" t="s">
        <v>64</v>
      </c>
      <c r="BP29" s="40" t="s">
        <v>64</v>
      </c>
      <c r="BQ29" s="40" t="s">
        <v>64</v>
      </c>
      <c r="BR29" s="40" t="s">
        <v>64</v>
      </c>
      <c r="BS29" s="40" t="s">
        <v>64</v>
      </c>
      <c r="BT29" s="40" t="s">
        <v>64</v>
      </c>
      <c r="BU29" s="40" t="s">
        <v>64</v>
      </c>
      <c r="BV29" s="40" t="s">
        <v>64</v>
      </c>
      <c r="BW29" s="40" t="s">
        <v>64</v>
      </c>
      <c r="BX29" s="40" t="s">
        <v>64</v>
      </c>
      <c r="BY29" s="40" t="s">
        <v>64</v>
      </c>
      <c r="BZ29" s="40" t="s">
        <v>64</v>
      </c>
      <c r="CA29" s="40" t="s">
        <v>64</v>
      </c>
      <c r="CB29" s="40" t="s">
        <v>64</v>
      </c>
      <c r="CC29" s="40" t="s">
        <v>64</v>
      </c>
      <c r="CD29" s="40" t="s">
        <v>64</v>
      </c>
      <c r="CE29" s="40" t="s">
        <v>64</v>
      </c>
      <c r="CF29" s="40" t="s">
        <v>64</v>
      </c>
      <c r="CG29" s="40" t="s">
        <v>64</v>
      </c>
      <c r="CH29" s="40" t="s">
        <v>64</v>
      </c>
      <c r="CI29" s="40" t="s">
        <v>64</v>
      </c>
      <c r="CJ29" s="40" t="s">
        <v>64</v>
      </c>
      <c r="CK29" s="40" t="s">
        <v>64</v>
      </c>
      <c r="CL29" s="40" t="s">
        <v>64</v>
      </c>
      <c r="CM29" s="40" t="s">
        <v>64</v>
      </c>
      <c r="CN29" s="40" t="s">
        <v>64</v>
      </c>
      <c r="CO29" s="40" t="s">
        <v>64</v>
      </c>
      <c r="CP29" s="40" t="s">
        <v>64</v>
      </c>
    </row>
    <row r="30" spans="1:94" ht="12" x14ac:dyDescent="0.25">
      <c r="A30" s="39" t="s">
        <v>469</v>
      </c>
      <c r="B30" s="39" t="s">
        <v>536</v>
      </c>
      <c r="C30" s="39" t="s">
        <v>469</v>
      </c>
      <c r="D30" s="40" t="s">
        <v>566</v>
      </c>
      <c r="E30" s="43">
        <v>284525199</v>
      </c>
      <c r="F30" s="40">
        <v>0</v>
      </c>
      <c r="G30" s="40" t="s">
        <v>349</v>
      </c>
      <c r="H30" s="40">
        <v>0</v>
      </c>
      <c r="I30" s="40">
        <v>0</v>
      </c>
      <c r="J30" s="13" t="s">
        <v>88</v>
      </c>
      <c r="K30" s="40" t="s">
        <v>60</v>
      </c>
      <c r="L30" s="40" t="s">
        <v>61</v>
      </c>
      <c r="M30" s="42">
        <v>5.2</v>
      </c>
      <c r="N30" s="40" t="s">
        <v>64</v>
      </c>
      <c r="O30" s="40" t="s">
        <v>64</v>
      </c>
      <c r="P30" s="40" t="s">
        <v>64</v>
      </c>
      <c r="Q30" s="40" t="s">
        <v>64</v>
      </c>
      <c r="R30" s="40" t="s">
        <v>64</v>
      </c>
      <c r="S30" s="13" t="s">
        <v>64</v>
      </c>
      <c r="T30" s="40" t="s">
        <v>64</v>
      </c>
      <c r="U30" s="40" t="s">
        <v>64</v>
      </c>
      <c r="V30" s="42" t="s">
        <v>64</v>
      </c>
      <c r="W30" s="40" t="s">
        <v>64</v>
      </c>
      <c r="X30" s="40" t="s">
        <v>64</v>
      </c>
      <c r="Y30" s="40" t="s">
        <v>64</v>
      </c>
      <c r="Z30" s="40" t="s">
        <v>64</v>
      </c>
      <c r="AA30" s="40" t="s">
        <v>64</v>
      </c>
      <c r="AB30" s="13" t="s">
        <v>64</v>
      </c>
      <c r="AC30" s="40" t="s">
        <v>64</v>
      </c>
      <c r="AD30" s="40" t="s">
        <v>64</v>
      </c>
      <c r="AE30" s="42" t="s">
        <v>64</v>
      </c>
      <c r="AF30" s="40" t="s">
        <v>64</v>
      </c>
      <c r="AG30" s="40" t="s">
        <v>64</v>
      </c>
      <c r="AH30" s="40" t="s">
        <v>64</v>
      </c>
      <c r="AI30" s="40" t="s">
        <v>64</v>
      </c>
      <c r="AJ30" s="40" t="s">
        <v>64</v>
      </c>
      <c r="AK30" s="40" t="s">
        <v>64</v>
      </c>
      <c r="AL30" s="40" t="s">
        <v>64</v>
      </c>
      <c r="AM30" s="40" t="s">
        <v>64</v>
      </c>
      <c r="AN30" s="40" t="s">
        <v>64</v>
      </c>
      <c r="AO30" s="40" t="s">
        <v>64</v>
      </c>
      <c r="AP30" s="40" t="s">
        <v>64</v>
      </c>
      <c r="AQ30" s="40" t="s">
        <v>64</v>
      </c>
      <c r="AR30" s="40" t="s">
        <v>64</v>
      </c>
      <c r="AS30" s="40" t="s">
        <v>64</v>
      </c>
      <c r="AT30" s="40" t="s">
        <v>64</v>
      </c>
      <c r="AU30" s="40" t="s">
        <v>64</v>
      </c>
      <c r="AV30" s="40" t="s">
        <v>64</v>
      </c>
      <c r="AW30" s="40" t="s">
        <v>64</v>
      </c>
      <c r="AX30" s="40" t="s">
        <v>64</v>
      </c>
      <c r="AY30" s="40" t="s">
        <v>64</v>
      </c>
      <c r="AZ30" s="40" t="s">
        <v>64</v>
      </c>
      <c r="BA30" s="40" t="s">
        <v>64</v>
      </c>
      <c r="BB30" s="40" t="s">
        <v>64</v>
      </c>
      <c r="BC30" s="40" t="s">
        <v>64</v>
      </c>
      <c r="BD30" s="40" t="s">
        <v>64</v>
      </c>
      <c r="BE30" s="40" t="s">
        <v>64</v>
      </c>
      <c r="BF30" s="40" t="s">
        <v>64</v>
      </c>
      <c r="BG30" s="40" t="s">
        <v>64</v>
      </c>
      <c r="BH30" s="40" t="s">
        <v>64</v>
      </c>
      <c r="BI30" s="40" t="s">
        <v>64</v>
      </c>
      <c r="BJ30" s="40" t="s">
        <v>64</v>
      </c>
      <c r="BK30" s="40" t="s">
        <v>64</v>
      </c>
      <c r="BL30" s="40" t="s">
        <v>64</v>
      </c>
      <c r="BM30" s="40" t="s">
        <v>64</v>
      </c>
      <c r="BN30" s="40" t="s">
        <v>64</v>
      </c>
      <c r="BO30" s="40" t="s">
        <v>64</v>
      </c>
      <c r="BP30" s="40" t="s">
        <v>64</v>
      </c>
      <c r="BQ30" s="40" t="s">
        <v>64</v>
      </c>
      <c r="BR30" s="40" t="s">
        <v>64</v>
      </c>
      <c r="BS30" s="40" t="s">
        <v>64</v>
      </c>
      <c r="BT30" s="40" t="s">
        <v>64</v>
      </c>
      <c r="BU30" s="40" t="s">
        <v>64</v>
      </c>
      <c r="BV30" s="40" t="s">
        <v>64</v>
      </c>
      <c r="BW30" s="40" t="s">
        <v>64</v>
      </c>
      <c r="BX30" s="40" t="s">
        <v>64</v>
      </c>
      <c r="BY30" s="40" t="s">
        <v>64</v>
      </c>
      <c r="BZ30" s="40" t="s">
        <v>64</v>
      </c>
      <c r="CA30" s="40" t="s">
        <v>64</v>
      </c>
      <c r="CB30" s="40" t="s">
        <v>64</v>
      </c>
      <c r="CC30" s="40" t="s">
        <v>64</v>
      </c>
      <c r="CD30" s="40" t="s">
        <v>64</v>
      </c>
      <c r="CE30" s="40" t="s">
        <v>64</v>
      </c>
      <c r="CF30" s="40" t="s">
        <v>64</v>
      </c>
      <c r="CG30" s="40" t="s">
        <v>64</v>
      </c>
      <c r="CH30" s="40" t="s">
        <v>64</v>
      </c>
      <c r="CI30" s="40" t="s">
        <v>64</v>
      </c>
      <c r="CJ30" s="40" t="s">
        <v>64</v>
      </c>
      <c r="CK30" s="40" t="s">
        <v>64</v>
      </c>
      <c r="CL30" s="40" t="s">
        <v>64</v>
      </c>
      <c r="CM30" s="40" t="s">
        <v>64</v>
      </c>
      <c r="CN30" s="40" t="s">
        <v>64</v>
      </c>
      <c r="CO30" s="40" t="s">
        <v>64</v>
      </c>
      <c r="CP30" s="40" t="s">
        <v>64</v>
      </c>
    </row>
    <row r="31" spans="1:94" ht="12" x14ac:dyDescent="0.25">
      <c r="A31" s="39" t="s">
        <v>470</v>
      </c>
      <c r="B31" s="39" t="s">
        <v>536</v>
      </c>
      <c r="C31" s="39" t="s">
        <v>470</v>
      </c>
      <c r="D31" s="40" t="s">
        <v>567</v>
      </c>
      <c r="E31" s="43">
        <v>284525206</v>
      </c>
      <c r="F31" s="40">
        <v>0</v>
      </c>
      <c r="G31" s="40" t="s">
        <v>349</v>
      </c>
      <c r="H31" s="40">
        <v>0</v>
      </c>
      <c r="I31" s="40">
        <v>0</v>
      </c>
      <c r="J31" s="13" t="s">
        <v>89</v>
      </c>
      <c r="K31" s="40" t="s">
        <v>60</v>
      </c>
      <c r="L31" s="40" t="s">
        <v>61</v>
      </c>
      <c r="M31" s="42">
        <v>5.2</v>
      </c>
      <c r="N31" s="40" t="s">
        <v>64</v>
      </c>
      <c r="O31" s="40" t="s">
        <v>64</v>
      </c>
      <c r="P31" s="40" t="s">
        <v>64</v>
      </c>
      <c r="Q31" s="40" t="s">
        <v>64</v>
      </c>
      <c r="R31" s="40" t="s">
        <v>64</v>
      </c>
      <c r="S31" s="13" t="s">
        <v>64</v>
      </c>
      <c r="T31" s="40" t="s">
        <v>64</v>
      </c>
      <c r="U31" s="40" t="s">
        <v>64</v>
      </c>
      <c r="V31" s="42" t="s">
        <v>64</v>
      </c>
      <c r="W31" s="40" t="s">
        <v>64</v>
      </c>
      <c r="X31" s="40" t="s">
        <v>64</v>
      </c>
      <c r="Y31" s="40" t="s">
        <v>64</v>
      </c>
      <c r="Z31" s="40" t="s">
        <v>64</v>
      </c>
      <c r="AA31" s="40" t="s">
        <v>64</v>
      </c>
      <c r="AB31" s="13" t="s">
        <v>64</v>
      </c>
      <c r="AC31" s="40" t="s">
        <v>64</v>
      </c>
      <c r="AD31" s="40" t="s">
        <v>64</v>
      </c>
      <c r="AE31" s="42" t="s">
        <v>64</v>
      </c>
      <c r="AF31" s="40" t="s">
        <v>64</v>
      </c>
      <c r="AG31" s="40" t="s">
        <v>64</v>
      </c>
      <c r="AH31" s="40" t="s">
        <v>64</v>
      </c>
      <c r="AI31" s="40" t="s">
        <v>64</v>
      </c>
      <c r="AJ31" s="40" t="s">
        <v>64</v>
      </c>
      <c r="AK31" s="40" t="s">
        <v>64</v>
      </c>
      <c r="AL31" s="40" t="s">
        <v>64</v>
      </c>
      <c r="AM31" s="40" t="s">
        <v>64</v>
      </c>
      <c r="AN31" s="40" t="s">
        <v>64</v>
      </c>
      <c r="AO31" s="40" t="s">
        <v>64</v>
      </c>
      <c r="AP31" s="40" t="s">
        <v>64</v>
      </c>
      <c r="AQ31" s="40" t="s">
        <v>64</v>
      </c>
      <c r="AR31" s="40" t="s">
        <v>64</v>
      </c>
      <c r="AS31" s="40" t="s">
        <v>64</v>
      </c>
      <c r="AT31" s="40" t="s">
        <v>64</v>
      </c>
      <c r="AU31" s="40" t="s">
        <v>64</v>
      </c>
      <c r="AV31" s="40" t="s">
        <v>64</v>
      </c>
      <c r="AW31" s="40" t="s">
        <v>64</v>
      </c>
      <c r="AX31" s="40" t="s">
        <v>64</v>
      </c>
      <c r="AY31" s="40" t="s">
        <v>64</v>
      </c>
      <c r="AZ31" s="40" t="s">
        <v>64</v>
      </c>
      <c r="BA31" s="40" t="s">
        <v>64</v>
      </c>
      <c r="BB31" s="40" t="s">
        <v>64</v>
      </c>
      <c r="BC31" s="40" t="s">
        <v>64</v>
      </c>
      <c r="BD31" s="40" t="s">
        <v>64</v>
      </c>
      <c r="BE31" s="40" t="s">
        <v>64</v>
      </c>
      <c r="BF31" s="40" t="s">
        <v>64</v>
      </c>
      <c r="BG31" s="40" t="s">
        <v>64</v>
      </c>
      <c r="BH31" s="40" t="s">
        <v>64</v>
      </c>
      <c r="BI31" s="40" t="s">
        <v>64</v>
      </c>
      <c r="BJ31" s="40" t="s">
        <v>64</v>
      </c>
      <c r="BK31" s="40" t="s">
        <v>64</v>
      </c>
      <c r="BL31" s="40" t="s">
        <v>64</v>
      </c>
      <c r="BM31" s="40" t="s">
        <v>64</v>
      </c>
      <c r="BN31" s="40" t="s">
        <v>64</v>
      </c>
      <c r="BO31" s="40" t="s">
        <v>64</v>
      </c>
      <c r="BP31" s="40" t="s">
        <v>64</v>
      </c>
      <c r="BQ31" s="40" t="s">
        <v>64</v>
      </c>
      <c r="BR31" s="40" t="s">
        <v>64</v>
      </c>
      <c r="BS31" s="40" t="s">
        <v>64</v>
      </c>
      <c r="BT31" s="40" t="s">
        <v>64</v>
      </c>
      <c r="BU31" s="40" t="s">
        <v>64</v>
      </c>
      <c r="BV31" s="40" t="s">
        <v>64</v>
      </c>
      <c r="BW31" s="40" t="s">
        <v>64</v>
      </c>
      <c r="BX31" s="40" t="s">
        <v>64</v>
      </c>
      <c r="BY31" s="40" t="s">
        <v>64</v>
      </c>
      <c r="BZ31" s="40" t="s">
        <v>64</v>
      </c>
      <c r="CA31" s="40" t="s">
        <v>64</v>
      </c>
      <c r="CB31" s="40" t="s">
        <v>64</v>
      </c>
      <c r="CC31" s="40" t="s">
        <v>64</v>
      </c>
      <c r="CD31" s="40" t="s">
        <v>64</v>
      </c>
      <c r="CE31" s="40" t="s">
        <v>64</v>
      </c>
      <c r="CF31" s="40" t="s">
        <v>64</v>
      </c>
      <c r="CG31" s="40" t="s">
        <v>64</v>
      </c>
      <c r="CH31" s="40" t="s">
        <v>64</v>
      </c>
      <c r="CI31" s="40" t="s">
        <v>64</v>
      </c>
      <c r="CJ31" s="40" t="s">
        <v>64</v>
      </c>
      <c r="CK31" s="40" t="s">
        <v>64</v>
      </c>
      <c r="CL31" s="40" t="s">
        <v>64</v>
      </c>
      <c r="CM31" s="40" t="s">
        <v>64</v>
      </c>
      <c r="CN31" s="40" t="s">
        <v>64</v>
      </c>
      <c r="CO31" s="40" t="s">
        <v>64</v>
      </c>
      <c r="CP31" s="40" t="s">
        <v>64</v>
      </c>
    </row>
    <row r="32" spans="1:94" ht="12" x14ac:dyDescent="0.25">
      <c r="A32" s="39" t="s">
        <v>471</v>
      </c>
      <c r="B32" s="39" t="s">
        <v>536</v>
      </c>
      <c r="C32" s="39" t="s">
        <v>471</v>
      </c>
      <c r="D32" s="40" t="s">
        <v>568</v>
      </c>
      <c r="E32" s="43">
        <v>284525264</v>
      </c>
      <c r="F32" s="40">
        <v>0</v>
      </c>
      <c r="G32" s="40" t="s">
        <v>349</v>
      </c>
      <c r="H32" s="40">
        <v>0</v>
      </c>
      <c r="I32" s="40">
        <v>0</v>
      </c>
      <c r="J32" s="13" t="s">
        <v>88</v>
      </c>
      <c r="K32" s="40" t="s">
        <v>60</v>
      </c>
      <c r="L32" s="40" t="s">
        <v>61</v>
      </c>
      <c r="M32" s="42">
        <v>5.2</v>
      </c>
      <c r="N32" s="40" t="s">
        <v>64</v>
      </c>
      <c r="O32" s="40" t="s">
        <v>64</v>
      </c>
      <c r="P32" s="40" t="s">
        <v>64</v>
      </c>
      <c r="Q32" s="40" t="s">
        <v>64</v>
      </c>
      <c r="R32" s="40" t="s">
        <v>64</v>
      </c>
      <c r="S32" s="13" t="s">
        <v>64</v>
      </c>
      <c r="T32" s="40" t="s">
        <v>64</v>
      </c>
      <c r="U32" s="40" t="s">
        <v>64</v>
      </c>
      <c r="V32" s="42" t="s">
        <v>64</v>
      </c>
      <c r="W32" s="40" t="s">
        <v>64</v>
      </c>
      <c r="X32" s="40" t="s">
        <v>64</v>
      </c>
      <c r="Y32" s="40" t="s">
        <v>64</v>
      </c>
      <c r="Z32" s="40" t="s">
        <v>64</v>
      </c>
      <c r="AA32" s="40" t="s">
        <v>64</v>
      </c>
      <c r="AB32" s="13" t="s">
        <v>64</v>
      </c>
      <c r="AC32" s="40" t="s">
        <v>64</v>
      </c>
      <c r="AD32" s="40" t="s">
        <v>64</v>
      </c>
      <c r="AE32" s="42" t="s">
        <v>64</v>
      </c>
      <c r="AF32" s="40" t="s">
        <v>64</v>
      </c>
      <c r="AG32" s="40" t="s">
        <v>64</v>
      </c>
      <c r="AH32" s="40" t="s">
        <v>64</v>
      </c>
      <c r="AI32" s="40" t="s">
        <v>64</v>
      </c>
      <c r="AJ32" s="40" t="s">
        <v>64</v>
      </c>
      <c r="AK32" s="40" t="s">
        <v>64</v>
      </c>
      <c r="AL32" s="40" t="s">
        <v>64</v>
      </c>
      <c r="AM32" s="40" t="s">
        <v>64</v>
      </c>
      <c r="AN32" s="40" t="s">
        <v>64</v>
      </c>
      <c r="AO32" s="40" t="s">
        <v>64</v>
      </c>
      <c r="AP32" s="40" t="s">
        <v>64</v>
      </c>
      <c r="AQ32" s="40" t="s">
        <v>64</v>
      </c>
      <c r="AR32" s="40" t="s">
        <v>64</v>
      </c>
      <c r="AS32" s="40" t="s">
        <v>64</v>
      </c>
      <c r="AT32" s="40" t="s">
        <v>64</v>
      </c>
      <c r="AU32" s="40" t="s">
        <v>64</v>
      </c>
      <c r="AV32" s="40" t="s">
        <v>64</v>
      </c>
      <c r="AW32" s="40" t="s">
        <v>64</v>
      </c>
      <c r="AX32" s="40" t="s">
        <v>64</v>
      </c>
      <c r="AY32" s="40" t="s">
        <v>64</v>
      </c>
      <c r="AZ32" s="40" t="s">
        <v>64</v>
      </c>
      <c r="BA32" s="40" t="s">
        <v>64</v>
      </c>
      <c r="BB32" s="40" t="s">
        <v>64</v>
      </c>
      <c r="BC32" s="40" t="s">
        <v>64</v>
      </c>
      <c r="BD32" s="40" t="s">
        <v>64</v>
      </c>
      <c r="BE32" s="40" t="s">
        <v>64</v>
      </c>
      <c r="BF32" s="40" t="s">
        <v>64</v>
      </c>
      <c r="BG32" s="40" t="s">
        <v>64</v>
      </c>
      <c r="BH32" s="40" t="s">
        <v>64</v>
      </c>
      <c r="BI32" s="40" t="s">
        <v>64</v>
      </c>
      <c r="BJ32" s="40" t="s">
        <v>64</v>
      </c>
      <c r="BK32" s="40" t="s">
        <v>64</v>
      </c>
      <c r="BL32" s="40" t="s">
        <v>64</v>
      </c>
      <c r="BM32" s="40" t="s">
        <v>64</v>
      </c>
      <c r="BN32" s="40" t="s">
        <v>64</v>
      </c>
      <c r="BO32" s="40" t="s">
        <v>64</v>
      </c>
      <c r="BP32" s="40" t="s">
        <v>64</v>
      </c>
      <c r="BQ32" s="40" t="s">
        <v>64</v>
      </c>
      <c r="BR32" s="40" t="s">
        <v>64</v>
      </c>
      <c r="BS32" s="40" t="s">
        <v>64</v>
      </c>
      <c r="BT32" s="40" t="s">
        <v>64</v>
      </c>
      <c r="BU32" s="40" t="s">
        <v>64</v>
      </c>
      <c r="BV32" s="40" t="s">
        <v>64</v>
      </c>
      <c r="BW32" s="40" t="s">
        <v>64</v>
      </c>
      <c r="BX32" s="40" t="s">
        <v>64</v>
      </c>
      <c r="BY32" s="40" t="s">
        <v>64</v>
      </c>
      <c r="BZ32" s="40" t="s">
        <v>64</v>
      </c>
      <c r="CA32" s="40" t="s">
        <v>64</v>
      </c>
      <c r="CB32" s="40" t="s">
        <v>64</v>
      </c>
      <c r="CC32" s="40" t="s">
        <v>64</v>
      </c>
      <c r="CD32" s="40" t="s">
        <v>64</v>
      </c>
      <c r="CE32" s="40" t="s">
        <v>64</v>
      </c>
      <c r="CF32" s="40" t="s">
        <v>64</v>
      </c>
      <c r="CG32" s="40" t="s">
        <v>64</v>
      </c>
      <c r="CH32" s="40" t="s">
        <v>64</v>
      </c>
      <c r="CI32" s="40" t="s">
        <v>64</v>
      </c>
      <c r="CJ32" s="40" t="s">
        <v>64</v>
      </c>
      <c r="CK32" s="40" t="s">
        <v>64</v>
      </c>
      <c r="CL32" s="40" t="s">
        <v>64</v>
      </c>
      <c r="CM32" s="40" t="s">
        <v>64</v>
      </c>
      <c r="CN32" s="40" t="s">
        <v>64</v>
      </c>
      <c r="CO32" s="40" t="s">
        <v>64</v>
      </c>
      <c r="CP32" s="40" t="s">
        <v>64</v>
      </c>
    </row>
    <row r="33" spans="1:94" ht="12" x14ac:dyDescent="0.25">
      <c r="A33" s="39" t="s">
        <v>472</v>
      </c>
      <c r="B33" s="39" t="s">
        <v>536</v>
      </c>
      <c r="C33" s="39" t="s">
        <v>472</v>
      </c>
      <c r="D33" s="40" t="s">
        <v>569</v>
      </c>
      <c r="E33" s="43">
        <v>284525268</v>
      </c>
      <c r="F33" s="40">
        <v>0</v>
      </c>
      <c r="G33" s="40" t="s">
        <v>349</v>
      </c>
      <c r="H33" s="40">
        <v>0</v>
      </c>
      <c r="I33" s="40">
        <v>0</v>
      </c>
      <c r="J33" s="13" t="s">
        <v>88</v>
      </c>
      <c r="K33" s="40" t="s">
        <v>60</v>
      </c>
      <c r="L33" s="40" t="s">
        <v>61</v>
      </c>
      <c r="M33" s="42">
        <v>2.6</v>
      </c>
      <c r="N33" s="40">
        <v>284525269</v>
      </c>
      <c r="O33" s="40">
        <v>0</v>
      </c>
      <c r="P33" s="40" t="s">
        <v>350</v>
      </c>
      <c r="Q33" s="40">
        <v>0</v>
      </c>
      <c r="R33" s="40">
        <v>0</v>
      </c>
      <c r="S33" s="13" t="s">
        <v>91</v>
      </c>
      <c r="T33" s="40" t="s">
        <v>60</v>
      </c>
      <c r="U33" s="40" t="s">
        <v>61</v>
      </c>
      <c r="V33" s="42">
        <v>5.2</v>
      </c>
      <c r="W33" s="40" t="s">
        <v>64</v>
      </c>
      <c r="X33" s="40" t="s">
        <v>64</v>
      </c>
      <c r="Y33" s="40" t="s">
        <v>64</v>
      </c>
      <c r="Z33" s="40" t="s">
        <v>64</v>
      </c>
      <c r="AA33" s="40" t="s">
        <v>64</v>
      </c>
      <c r="AB33" s="13" t="s">
        <v>64</v>
      </c>
      <c r="AC33" s="40" t="s">
        <v>64</v>
      </c>
      <c r="AD33" s="40" t="s">
        <v>64</v>
      </c>
      <c r="AE33" s="42" t="s">
        <v>64</v>
      </c>
      <c r="AF33" s="40" t="s">
        <v>64</v>
      </c>
      <c r="AG33" s="40" t="s">
        <v>64</v>
      </c>
      <c r="AH33" s="40" t="s">
        <v>64</v>
      </c>
      <c r="AI33" s="40" t="s">
        <v>64</v>
      </c>
      <c r="AJ33" s="40" t="s">
        <v>64</v>
      </c>
      <c r="AK33" s="40" t="s">
        <v>64</v>
      </c>
      <c r="AL33" s="40" t="s">
        <v>64</v>
      </c>
      <c r="AM33" s="40" t="s">
        <v>64</v>
      </c>
      <c r="AN33" s="40" t="s">
        <v>64</v>
      </c>
      <c r="AO33" s="40" t="s">
        <v>64</v>
      </c>
      <c r="AP33" s="40" t="s">
        <v>64</v>
      </c>
      <c r="AQ33" s="40" t="s">
        <v>64</v>
      </c>
      <c r="AR33" s="40" t="s">
        <v>64</v>
      </c>
      <c r="AS33" s="40" t="s">
        <v>64</v>
      </c>
      <c r="AT33" s="40" t="s">
        <v>64</v>
      </c>
      <c r="AU33" s="40" t="s">
        <v>64</v>
      </c>
      <c r="AV33" s="40" t="s">
        <v>64</v>
      </c>
      <c r="AW33" s="40" t="s">
        <v>64</v>
      </c>
      <c r="AX33" s="40" t="s">
        <v>64</v>
      </c>
      <c r="AY33" s="40" t="s">
        <v>64</v>
      </c>
      <c r="AZ33" s="40" t="s">
        <v>64</v>
      </c>
      <c r="BA33" s="40" t="s">
        <v>64</v>
      </c>
      <c r="BB33" s="40" t="s">
        <v>64</v>
      </c>
      <c r="BC33" s="40" t="s">
        <v>64</v>
      </c>
      <c r="BD33" s="40" t="s">
        <v>64</v>
      </c>
      <c r="BE33" s="40" t="s">
        <v>64</v>
      </c>
      <c r="BF33" s="40" t="s">
        <v>64</v>
      </c>
      <c r="BG33" s="40" t="s">
        <v>64</v>
      </c>
      <c r="BH33" s="40" t="s">
        <v>64</v>
      </c>
      <c r="BI33" s="40" t="s">
        <v>64</v>
      </c>
      <c r="BJ33" s="40" t="s">
        <v>64</v>
      </c>
      <c r="BK33" s="40" t="s">
        <v>64</v>
      </c>
      <c r="BL33" s="40" t="s">
        <v>64</v>
      </c>
      <c r="BM33" s="40" t="s">
        <v>64</v>
      </c>
      <c r="BN33" s="40" t="s">
        <v>64</v>
      </c>
      <c r="BO33" s="40" t="s">
        <v>64</v>
      </c>
      <c r="BP33" s="40" t="s">
        <v>64</v>
      </c>
      <c r="BQ33" s="40" t="s">
        <v>64</v>
      </c>
      <c r="BR33" s="40" t="s">
        <v>64</v>
      </c>
      <c r="BS33" s="40" t="s">
        <v>64</v>
      </c>
      <c r="BT33" s="40" t="s">
        <v>64</v>
      </c>
      <c r="BU33" s="40" t="s">
        <v>64</v>
      </c>
      <c r="BV33" s="40" t="s">
        <v>64</v>
      </c>
      <c r="BW33" s="40" t="s">
        <v>64</v>
      </c>
      <c r="BX33" s="40" t="s">
        <v>64</v>
      </c>
      <c r="BY33" s="40" t="s">
        <v>64</v>
      </c>
      <c r="BZ33" s="40" t="s">
        <v>64</v>
      </c>
      <c r="CA33" s="40" t="s">
        <v>64</v>
      </c>
      <c r="CB33" s="40" t="s">
        <v>64</v>
      </c>
      <c r="CC33" s="40" t="s">
        <v>64</v>
      </c>
      <c r="CD33" s="40" t="s">
        <v>64</v>
      </c>
      <c r="CE33" s="40" t="s">
        <v>64</v>
      </c>
      <c r="CF33" s="40" t="s">
        <v>64</v>
      </c>
      <c r="CG33" s="40" t="s">
        <v>64</v>
      </c>
      <c r="CH33" s="40" t="s">
        <v>64</v>
      </c>
      <c r="CI33" s="40" t="s">
        <v>64</v>
      </c>
      <c r="CJ33" s="40" t="s">
        <v>64</v>
      </c>
      <c r="CK33" s="40" t="s">
        <v>64</v>
      </c>
      <c r="CL33" s="40" t="s">
        <v>64</v>
      </c>
      <c r="CM33" s="40" t="s">
        <v>64</v>
      </c>
      <c r="CN33" s="40" t="s">
        <v>64</v>
      </c>
      <c r="CO33" s="40" t="s">
        <v>64</v>
      </c>
      <c r="CP33" s="40" t="s">
        <v>64</v>
      </c>
    </row>
    <row r="34" spans="1:94" ht="12" x14ac:dyDescent="0.25">
      <c r="A34" s="39" t="s">
        <v>473</v>
      </c>
      <c r="B34" s="39" t="s">
        <v>536</v>
      </c>
      <c r="C34" s="39" t="s">
        <v>473</v>
      </c>
      <c r="D34" s="40" t="s">
        <v>570</v>
      </c>
      <c r="E34" s="43">
        <v>284525265</v>
      </c>
      <c r="F34" s="40">
        <v>0</v>
      </c>
      <c r="G34" s="40" t="s">
        <v>349</v>
      </c>
      <c r="H34" s="40">
        <v>0</v>
      </c>
      <c r="I34" s="40">
        <v>0</v>
      </c>
      <c r="J34" s="13" t="s">
        <v>91</v>
      </c>
      <c r="K34" s="40" t="s">
        <v>60</v>
      </c>
      <c r="L34" s="40" t="s">
        <v>61</v>
      </c>
      <c r="M34" s="42">
        <v>5.2</v>
      </c>
      <c r="N34" s="40" t="s">
        <v>64</v>
      </c>
      <c r="O34" s="40" t="s">
        <v>64</v>
      </c>
      <c r="P34" s="40" t="s">
        <v>64</v>
      </c>
      <c r="Q34" s="40" t="s">
        <v>64</v>
      </c>
      <c r="R34" s="40" t="s">
        <v>64</v>
      </c>
      <c r="S34" s="13" t="s">
        <v>64</v>
      </c>
      <c r="T34" s="40" t="s">
        <v>64</v>
      </c>
      <c r="U34" s="40" t="s">
        <v>64</v>
      </c>
      <c r="V34" s="42" t="s">
        <v>64</v>
      </c>
      <c r="W34" s="40" t="s">
        <v>64</v>
      </c>
      <c r="X34" s="40" t="s">
        <v>64</v>
      </c>
      <c r="Y34" s="40" t="s">
        <v>64</v>
      </c>
      <c r="Z34" s="40" t="s">
        <v>64</v>
      </c>
      <c r="AA34" s="40" t="s">
        <v>64</v>
      </c>
      <c r="AB34" s="13" t="s">
        <v>64</v>
      </c>
      <c r="AC34" s="40" t="s">
        <v>64</v>
      </c>
      <c r="AD34" s="40" t="s">
        <v>64</v>
      </c>
      <c r="AE34" s="42" t="s">
        <v>64</v>
      </c>
      <c r="AF34" s="40" t="s">
        <v>64</v>
      </c>
      <c r="AG34" s="40" t="s">
        <v>64</v>
      </c>
      <c r="AH34" s="40" t="s">
        <v>64</v>
      </c>
      <c r="AI34" s="40" t="s">
        <v>64</v>
      </c>
      <c r="AJ34" s="40" t="s">
        <v>64</v>
      </c>
      <c r="AK34" s="40" t="s">
        <v>64</v>
      </c>
      <c r="AL34" s="40" t="s">
        <v>64</v>
      </c>
      <c r="AM34" s="40" t="s">
        <v>64</v>
      </c>
      <c r="AN34" s="40" t="s">
        <v>64</v>
      </c>
      <c r="AO34" s="40" t="s">
        <v>64</v>
      </c>
      <c r="AP34" s="40" t="s">
        <v>64</v>
      </c>
      <c r="AQ34" s="40" t="s">
        <v>64</v>
      </c>
      <c r="AR34" s="40" t="s">
        <v>64</v>
      </c>
      <c r="AS34" s="40" t="s">
        <v>64</v>
      </c>
      <c r="AT34" s="40" t="s">
        <v>64</v>
      </c>
      <c r="AU34" s="40" t="s">
        <v>64</v>
      </c>
      <c r="AV34" s="40" t="s">
        <v>64</v>
      </c>
      <c r="AW34" s="40" t="s">
        <v>64</v>
      </c>
      <c r="AX34" s="40" t="s">
        <v>64</v>
      </c>
      <c r="AY34" s="40" t="s">
        <v>64</v>
      </c>
      <c r="AZ34" s="40" t="s">
        <v>64</v>
      </c>
      <c r="BA34" s="40" t="s">
        <v>64</v>
      </c>
      <c r="BB34" s="40" t="s">
        <v>64</v>
      </c>
      <c r="BC34" s="40" t="s">
        <v>64</v>
      </c>
      <c r="BD34" s="40" t="s">
        <v>64</v>
      </c>
      <c r="BE34" s="40" t="s">
        <v>64</v>
      </c>
      <c r="BF34" s="40" t="s">
        <v>64</v>
      </c>
      <c r="BG34" s="40" t="s">
        <v>64</v>
      </c>
      <c r="BH34" s="40" t="s">
        <v>64</v>
      </c>
      <c r="BI34" s="40" t="s">
        <v>64</v>
      </c>
      <c r="BJ34" s="40" t="s">
        <v>64</v>
      </c>
      <c r="BK34" s="40" t="s">
        <v>64</v>
      </c>
      <c r="BL34" s="40" t="s">
        <v>64</v>
      </c>
      <c r="BM34" s="40" t="s">
        <v>64</v>
      </c>
      <c r="BN34" s="40" t="s">
        <v>64</v>
      </c>
      <c r="BO34" s="40" t="s">
        <v>64</v>
      </c>
      <c r="BP34" s="40" t="s">
        <v>64</v>
      </c>
      <c r="BQ34" s="40" t="s">
        <v>64</v>
      </c>
      <c r="BR34" s="40" t="s">
        <v>64</v>
      </c>
      <c r="BS34" s="40" t="s">
        <v>64</v>
      </c>
      <c r="BT34" s="40" t="s">
        <v>64</v>
      </c>
      <c r="BU34" s="40" t="s">
        <v>64</v>
      </c>
      <c r="BV34" s="40" t="s">
        <v>64</v>
      </c>
      <c r="BW34" s="40" t="s">
        <v>64</v>
      </c>
      <c r="BX34" s="40" t="s">
        <v>64</v>
      </c>
      <c r="BY34" s="40" t="s">
        <v>64</v>
      </c>
      <c r="BZ34" s="40" t="s">
        <v>64</v>
      </c>
      <c r="CA34" s="40" t="s">
        <v>64</v>
      </c>
      <c r="CB34" s="40" t="s">
        <v>64</v>
      </c>
      <c r="CC34" s="40" t="s">
        <v>64</v>
      </c>
      <c r="CD34" s="40" t="s">
        <v>64</v>
      </c>
      <c r="CE34" s="40" t="s">
        <v>64</v>
      </c>
      <c r="CF34" s="40" t="s">
        <v>64</v>
      </c>
      <c r="CG34" s="40" t="s">
        <v>64</v>
      </c>
      <c r="CH34" s="40" t="s">
        <v>64</v>
      </c>
      <c r="CI34" s="40" t="s">
        <v>64</v>
      </c>
      <c r="CJ34" s="40" t="s">
        <v>64</v>
      </c>
      <c r="CK34" s="40" t="s">
        <v>64</v>
      </c>
      <c r="CL34" s="40" t="s">
        <v>64</v>
      </c>
      <c r="CM34" s="40" t="s">
        <v>64</v>
      </c>
      <c r="CN34" s="40" t="s">
        <v>64</v>
      </c>
      <c r="CO34" s="40" t="s">
        <v>64</v>
      </c>
      <c r="CP34" s="40" t="s">
        <v>64</v>
      </c>
    </row>
    <row r="35" spans="1:94" ht="12" x14ac:dyDescent="0.25">
      <c r="A35" s="39" t="s">
        <v>474</v>
      </c>
      <c r="B35" s="39" t="s">
        <v>536</v>
      </c>
      <c r="C35" s="39" t="s">
        <v>474</v>
      </c>
      <c r="D35" s="40" t="s">
        <v>571</v>
      </c>
      <c r="E35" s="43">
        <v>284525266</v>
      </c>
      <c r="F35" s="40">
        <v>0</v>
      </c>
      <c r="G35" s="40" t="s">
        <v>349</v>
      </c>
      <c r="H35" s="40">
        <v>0</v>
      </c>
      <c r="I35" s="40">
        <v>0</v>
      </c>
      <c r="J35" s="13" t="s">
        <v>91</v>
      </c>
      <c r="K35" s="40" t="s">
        <v>60</v>
      </c>
      <c r="L35" s="40" t="s">
        <v>61</v>
      </c>
      <c r="M35" s="42">
        <v>5.2</v>
      </c>
      <c r="N35" s="40">
        <v>284525267</v>
      </c>
      <c r="O35" s="40">
        <v>0</v>
      </c>
      <c r="P35" s="40" t="s">
        <v>350</v>
      </c>
      <c r="Q35" s="40">
        <v>0</v>
      </c>
      <c r="R35" s="40">
        <v>0</v>
      </c>
      <c r="S35" s="13" t="s">
        <v>89</v>
      </c>
      <c r="T35" s="40" t="s">
        <v>60</v>
      </c>
      <c r="U35" s="40" t="s">
        <v>61</v>
      </c>
      <c r="V35" s="42">
        <v>2.6</v>
      </c>
      <c r="W35" s="40" t="s">
        <v>64</v>
      </c>
      <c r="X35" s="40" t="s">
        <v>64</v>
      </c>
      <c r="Y35" s="40" t="s">
        <v>64</v>
      </c>
      <c r="Z35" s="40" t="s">
        <v>64</v>
      </c>
      <c r="AA35" s="40" t="s">
        <v>64</v>
      </c>
      <c r="AB35" s="13" t="s">
        <v>64</v>
      </c>
      <c r="AC35" s="40" t="s">
        <v>64</v>
      </c>
      <c r="AD35" s="40" t="s">
        <v>64</v>
      </c>
      <c r="AE35" s="42" t="s">
        <v>64</v>
      </c>
      <c r="AF35" s="40" t="s">
        <v>64</v>
      </c>
      <c r="AG35" s="40" t="s">
        <v>64</v>
      </c>
      <c r="AH35" s="40" t="s">
        <v>64</v>
      </c>
      <c r="AI35" s="40" t="s">
        <v>64</v>
      </c>
      <c r="AJ35" s="40" t="s">
        <v>64</v>
      </c>
      <c r="AK35" s="40" t="s">
        <v>64</v>
      </c>
      <c r="AL35" s="40" t="s">
        <v>64</v>
      </c>
      <c r="AM35" s="40" t="s">
        <v>64</v>
      </c>
      <c r="AN35" s="40" t="s">
        <v>64</v>
      </c>
      <c r="AO35" s="40" t="s">
        <v>64</v>
      </c>
      <c r="AP35" s="40" t="s">
        <v>64</v>
      </c>
      <c r="AQ35" s="40" t="s">
        <v>64</v>
      </c>
      <c r="AR35" s="40" t="s">
        <v>64</v>
      </c>
      <c r="AS35" s="40" t="s">
        <v>64</v>
      </c>
      <c r="AT35" s="40" t="s">
        <v>64</v>
      </c>
      <c r="AU35" s="40" t="s">
        <v>64</v>
      </c>
      <c r="AV35" s="40" t="s">
        <v>64</v>
      </c>
      <c r="AW35" s="40" t="s">
        <v>64</v>
      </c>
      <c r="AX35" s="40" t="s">
        <v>64</v>
      </c>
      <c r="AY35" s="40" t="s">
        <v>64</v>
      </c>
      <c r="AZ35" s="40" t="s">
        <v>64</v>
      </c>
      <c r="BA35" s="40" t="s">
        <v>64</v>
      </c>
      <c r="BB35" s="40" t="s">
        <v>64</v>
      </c>
      <c r="BC35" s="40" t="s">
        <v>64</v>
      </c>
      <c r="BD35" s="40" t="s">
        <v>64</v>
      </c>
      <c r="BE35" s="40" t="s">
        <v>64</v>
      </c>
      <c r="BF35" s="40" t="s">
        <v>64</v>
      </c>
      <c r="BG35" s="40" t="s">
        <v>64</v>
      </c>
      <c r="BH35" s="40" t="s">
        <v>64</v>
      </c>
      <c r="BI35" s="40" t="s">
        <v>64</v>
      </c>
      <c r="BJ35" s="40" t="s">
        <v>64</v>
      </c>
      <c r="BK35" s="40" t="s">
        <v>64</v>
      </c>
      <c r="BL35" s="40" t="s">
        <v>64</v>
      </c>
      <c r="BM35" s="40" t="s">
        <v>64</v>
      </c>
      <c r="BN35" s="40" t="s">
        <v>64</v>
      </c>
      <c r="BO35" s="40" t="s">
        <v>64</v>
      </c>
      <c r="BP35" s="40" t="s">
        <v>64</v>
      </c>
      <c r="BQ35" s="40" t="s">
        <v>64</v>
      </c>
      <c r="BR35" s="40" t="s">
        <v>64</v>
      </c>
      <c r="BS35" s="40" t="s">
        <v>64</v>
      </c>
      <c r="BT35" s="40" t="s">
        <v>64</v>
      </c>
      <c r="BU35" s="40" t="s">
        <v>64</v>
      </c>
      <c r="BV35" s="40" t="s">
        <v>64</v>
      </c>
      <c r="BW35" s="40" t="s">
        <v>64</v>
      </c>
      <c r="BX35" s="40" t="s">
        <v>64</v>
      </c>
      <c r="BY35" s="40" t="s">
        <v>64</v>
      </c>
      <c r="BZ35" s="40" t="s">
        <v>64</v>
      </c>
      <c r="CA35" s="40" t="s">
        <v>64</v>
      </c>
      <c r="CB35" s="40" t="s">
        <v>64</v>
      </c>
      <c r="CC35" s="40" t="s">
        <v>64</v>
      </c>
      <c r="CD35" s="40" t="s">
        <v>64</v>
      </c>
      <c r="CE35" s="40" t="s">
        <v>64</v>
      </c>
      <c r="CF35" s="40" t="s">
        <v>64</v>
      </c>
      <c r="CG35" s="40" t="s">
        <v>64</v>
      </c>
      <c r="CH35" s="40" t="s">
        <v>64</v>
      </c>
      <c r="CI35" s="40" t="s">
        <v>64</v>
      </c>
      <c r="CJ35" s="40" t="s">
        <v>64</v>
      </c>
      <c r="CK35" s="40" t="s">
        <v>64</v>
      </c>
      <c r="CL35" s="40" t="s">
        <v>64</v>
      </c>
      <c r="CM35" s="40" t="s">
        <v>64</v>
      </c>
      <c r="CN35" s="40" t="s">
        <v>64</v>
      </c>
      <c r="CO35" s="40" t="s">
        <v>64</v>
      </c>
      <c r="CP35" s="40" t="s">
        <v>64</v>
      </c>
    </row>
    <row r="36" spans="1:94" ht="12" x14ac:dyDescent="0.25">
      <c r="A36" s="39" t="s">
        <v>475</v>
      </c>
      <c r="B36" s="39" t="s">
        <v>536</v>
      </c>
      <c r="C36" s="39" t="s">
        <v>475</v>
      </c>
      <c r="D36" s="40" t="s">
        <v>572</v>
      </c>
      <c r="E36" s="43">
        <v>284525270</v>
      </c>
      <c r="F36" s="40">
        <v>0</v>
      </c>
      <c r="G36" s="40" t="s">
        <v>349</v>
      </c>
      <c r="H36" s="40">
        <v>0</v>
      </c>
      <c r="I36" s="40">
        <v>0</v>
      </c>
      <c r="J36" s="13" t="s">
        <v>89</v>
      </c>
      <c r="K36" s="40" t="s">
        <v>60</v>
      </c>
      <c r="L36" s="40" t="s">
        <v>61</v>
      </c>
      <c r="M36" s="42">
        <v>5.2</v>
      </c>
      <c r="N36" s="40">
        <v>284525271</v>
      </c>
      <c r="O36" s="40">
        <v>0</v>
      </c>
      <c r="P36" s="40" t="s">
        <v>350</v>
      </c>
      <c r="Q36" s="40">
        <v>0</v>
      </c>
      <c r="R36" s="40">
        <v>0</v>
      </c>
      <c r="S36" s="13" t="s">
        <v>90</v>
      </c>
      <c r="T36" s="40" t="s">
        <v>60</v>
      </c>
      <c r="U36" s="40" t="s">
        <v>61</v>
      </c>
      <c r="V36" s="42">
        <v>2.6</v>
      </c>
      <c r="W36" s="40" t="s">
        <v>64</v>
      </c>
      <c r="X36" s="40" t="s">
        <v>64</v>
      </c>
      <c r="Y36" s="40" t="s">
        <v>64</v>
      </c>
      <c r="Z36" s="40" t="s">
        <v>64</v>
      </c>
      <c r="AA36" s="40" t="s">
        <v>64</v>
      </c>
      <c r="AB36" s="13" t="s">
        <v>64</v>
      </c>
      <c r="AC36" s="40" t="s">
        <v>64</v>
      </c>
      <c r="AD36" s="40" t="s">
        <v>64</v>
      </c>
      <c r="AE36" s="42" t="s">
        <v>64</v>
      </c>
      <c r="AF36" s="40" t="s">
        <v>64</v>
      </c>
      <c r="AG36" s="40" t="s">
        <v>64</v>
      </c>
      <c r="AH36" s="40" t="s">
        <v>64</v>
      </c>
      <c r="AI36" s="40" t="s">
        <v>64</v>
      </c>
      <c r="AJ36" s="40" t="s">
        <v>64</v>
      </c>
      <c r="AK36" s="40" t="s">
        <v>64</v>
      </c>
      <c r="AL36" s="40" t="s">
        <v>64</v>
      </c>
      <c r="AM36" s="40" t="s">
        <v>64</v>
      </c>
      <c r="AN36" s="40" t="s">
        <v>64</v>
      </c>
      <c r="AO36" s="40" t="s">
        <v>64</v>
      </c>
      <c r="AP36" s="40" t="s">
        <v>64</v>
      </c>
      <c r="AQ36" s="40" t="s">
        <v>64</v>
      </c>
      <c r="AR36" s="40" t="s">
        <v>64</v>
      </c>
      <c r="AS36" s="40" t="s">
        <v>64</v>
      </c>
      <c r="AT36" s="40" t="s">
        <v>64</v>
      </c>
      <c r="AU36" s="40" t="s">
        <v>64</v>
      </c>
      <c r="AV36" s="40" t="s">
        <v>64</v>
      </c>
      <c r="AW36" s="40" t="s">
        <v>64</v>
      </c>
      <c r="AX36" s="40" t="s">
        <v>64</v>
      </c>
      <c r="AY36" s="40" t="s">
        <v>64</v>
      </c>
      <c r="AZ36" s="40" t="s">
        <v>64</v>
      </c>
      <c r="BA36" s="40" t="s">
        <v>64</v>
      </c>
      <c r="BB36" s="40" t="s">
        <v>64</v>
      </c>
      <c r="BC36" s="40" t="s">
        <v>64</v>
      </c>
      <c r="BD36" s="40" t="s">
        <v>64</v>
      </c>
      <c r="BE36" s="40" t="s">
        <v>64</v>
      </c>
      <c r="BF36" s="40" t="s">
        <v>64</v>
      </c>
      <c r="BG36" s="40" t="s">
        <v>64</v>
      </c>
      <c r="BH36" s="40" t="s">
        <v>64</v>
      </c>
      <c r="BI36" s="40" t="s">
        <v>64</v>
      </c>
      <c r="BJ36" s="40" t="s">
        <v>64</v>
      </c>
      <c r="BK36" s="40" t="s">
        <v>64</v>
      </c>
      <c r="BL36" s="40" t="s">
        <v>64</v>
      </c>
      <c r="BM36" s="40" t="s">
        <v>64</v>
      </c>
      <c r="BN36" s="40" t="s">
        <v>64</v>
      </c>
      <c r="BO36" s="40" t="s">
        <v>64</v>
      </c>
      <c r="BP36" s="40" t="s">
        <v>64</v>
      </c>
      <c r="BQ36" s="40" t="s">
        <v>64</v>
      </c>
      <c r="BR36" s="40" t="s">
        <v>64</v>
      </c>
      <c r="BS36" s="40" t="s">
        <v>64</v>
      </c>
      <c r="BT36" s="40" t="s">
        <v>64</v>
      </c>
      <c r="BU36" s="40" t="s">
        <v>64</v>
      </c>
      <c r="BV36" s="40" t="s">
        <v>64</v>
      </c>
      <c r="BW36" s="40" t="s">
        <v>64</v>
      </c>
      <c r="BX36" s="40" t="s">
        <v>64</v>
      </c>
      <c r="BY36" s="40" t="s">
        <v>64</v>
      </c>
      <c r="BZ36" s="40" t="s">
        <v>64</v>
      </c>
      <c r="CA36" s="40" t="s">
        <v>64</v>
      </c>
      <c r="CB36" s="40" t="s">
        <v>64</v>
      </c>
      <c r="CC36" s="40" t="s">
        <v>64</v>
      </c>
      <c r="CD36" s="40" t="s">
        <v>64</v>
      </c>
      <c r="CE36" s="40" t="s">
        <v>64</v>
      </c>
      <c r="CF36" s="40" t="s">
        <v>64</v>
      </c>
      <c r="CG36" s="40" t="s">
        <v>64</v>
      </c>
      <c r="CH36" s="40" t="s">
        <v>64</v>
      </c>
      <c r="CI36" s="40" t="s">
        <v>64</v>
      </c>
      <c r="CJ36" s="40" t="s">
        <v>64</v>
      </c>
      <c r="CK36" s="40" t="s">
        <v>64</v>
      </c>
      <c r="CL36" s="40" t="s">
        <v>64</v>
      </c>
      <c r="CM36" s="40" t="s">
        <v>64</v>
      </c>
      <c r="CN36" s="40" t="s">
        <v>64</v>
      </c>
      <c r="CO36" s="40" t="s">
        <v>64</v>
      </c>
      <c r="CP36" s="40" t="s">
        <v>64</v>
      </c>
    </row>
    <row r="37" spans="1:94" ht="12" x14ac:dyDescent="0.25">
      <c r="A37" s="39" t="s">
        <v>476</v>
      </c>
      <c r="B37" s="39" t="s">
        <v>536</v>
      </c>
      <c r="C37" s="39" t="s">
        <v>476</v>
      </c>
      <c r="D37" s="40" t="s">
        <v>573</v>
      </c>
      <c r="E37" s="43">
        <v>284525312</v>
      </c>
      <c r="F37" s="40">
        <v>0</v>
      </c>
      <c r="G37" s="40" t="s">
        <v>349</v>
      </c>
      <c r="H37" s="40">
        <v>0</v>
      </c>
      <c r="I37" s="40">
        <v>0</v>
      </c>
      <c r="J37" s="13" t="s">
        <v>90</v>
      </c>
      <c r="K37" s="40" t="s">
        <v>60</v>
      </c>
      <c r="L37" s="40" t="s">
        <v>61</v>
      </c>
      <c r="M37" s="42">
        <v>4.53</v>
      </c>
      <c r="N37" s="40" t="s">
        <v>64</v>
      </c>
      <c r="O37" s="40" t="s">
        <v>64</v>
      </c>
      <c r="P37" s="40" t="s">
        <v>64</v>
      </c>
      <c r="Q37" s="40" t="s">
        <v>64</v>
      </c>
      <c r="R37" s="40" t="s">
        <v>64</v>
      </c>
      <c r="S37" s="13" t="s">
        <v>64</v>
      </c>
      <c r="T37" s="40" t="s">
        <v>64</v>
      </c>
      <c r="U37" s="40" t="s">
        <v>64</v>
      </c>
      <c r="V37" s="42" t="s">
        <v>64</v>
      </c>
      <c r="W37" s="40" t="s">
        <v>64</v>
      </c>
      <c r="X37" s="40" t="s">
        <v>64</v>
      </c>
      <c r="Y37" s="40" t="s">
        <v>64</v>
      </c>
      <c r="Z37" s="40" t="s">
        <v>64</v>
      </c>
      <c r="AA37" s="40" t="s">
        <v>64</v>
      </c>
      <c r="AB37" s="13" t="s">
        <v>64</v>
      </c>
      <c r="AC37" s="40" t="s">
        <v>64</v>
      </c>
      <c r="AD37" s="40" t="s">
        <v>64</v>
      </c>
      <c r="AE37" s="42" t="s">
        <v>64</v>
      </c>
      <c r="AF37" s="40" t="s">
        <v>64</v>
      </c>
      <c r="AG37" s="40" t="s">
        <v>64</v>
      </c>
      <c r="AH37" s="40" t="s">
        <v>64</v>
      </c>
      <c r="AI37" s="40" t="s">
        <v>64</v>
      </c>
      <c r="AJ37" s="40" t="s">
        <v>64</v>
      </c>
      <c r="AK37" s="40" t="s">
        <v>64</v>
      </c>
      <c r="AL37" s="40" t="s">
        <v>64</v>
      </c>
      <c r="AM37" s="40" t="s">
        <v>64</v>
      </c>
      <c r="AN37" s="40" t="s">
        <v>64</v>
      </c>
      <c r="AO37" s="40" t="s">
        <v>64</v>
      </c>
      <c r="AP37" s="40" t="s">
        <v>64</v>
      </c>
      <c r="AQ37" s="40" t="s">
        <v>64</v>
      </c>
      <c r="AR37" s="40" t="s">
        <v>64</v>
      </c>
      <c r="AS37" s="40" t="s">
        <v>64</v>
      </c>
      <c r="AT37" s="40" t="s">
        <v>64</v>
      </c>
      <c r="AU37" s="40" t="s">
        <v>64</v>
      </c>
      <c r="AV37" s="40" t="s">
        <v>64</v>
      </c>
      <c r="AW37" s="40" t="s">
        <v>64</v>
      </c>
      <c r="AX37" s="40" t="s">
        <v>64</v>
      </c>
      <c r="AY37" s="40" t="s">
        <v>64</v>
      </c>
      <c r="AZ37" s="40" t="s">
        <v>64</v>
      </c>
      <c r="BA37" s="40" t="s">
        <v>64</v>
      </c>
      <c r="BB37" s="40" t="s">
        <v>64</v>
      </c>
      <c r="BC37" s="40" t="s">
        <v>64</v>
      </c>
      <c r="BD37" s="40" t="s">
        <v>64</v>
      </c>
      <c r="BE37" s="40" t="s">
        <v>64</v>
      </c>
      <c r="BF37" s="40" t="s">
        <v>64</v>
      </c>
      <c r="BG37" s="40" t="s">
        <v>64</v>
      </c>
      <c r="BH37" s="40" t="s">
        <v>64</v>
      </c>
      <c r="BI37" s="40" t="s">
        <v>64</v>
      </c>
      <c r="BJ37" s="40" t="s">
        <v>64</v>
      </c>
      <c r="BK37" s="40" t="s">
        <v>64</v>
      </c>
      <c r="BL37" s="40" t="s">
        <v>64</v>
      </c>
      <c r="BM37" s="40" t="s">
        <v>64</v>
      </c>
      <c r="BN37" s="40" t="s">
        <v>64</v>
      </c>
      <c r="BO37" s="40" t="s">
        <v>64</v>
      </c>
      <c r="BP37" s="40" t="s">
        <v>64</v>
      </c>
      <c r="BQ37" s="40" t="s">
        <v>64</v>
      </c>
      <c r="BR37" s="40" t="s">
        <v>64</v>
      </c>
      <c r="BS37" s="40" t="s">
        <v>64</v>
      </c>
      <c r="BT37" s="40" t="s">
        <v>64</v>
      </c>
      <c r="BU37" s="40" t="s">
        <v>64</v>
      </c>
      <c r="BV37" s="40" t="s">
        <v>64</v>
      </c>
      <c r="BW37" s="40" t="s">
        <v>64</v>
      </c>
      <c r="BX37" s="40" t="s">
        <v>64</v>
      </c>
      <c r="BY37" s="40" t="s">
        <v>64</v>
      </c>
      <c r="BZ37" s="40" t="s">
        <v>64</v>
      </c>
      <c r="CA37" s="40" t="s">
        <v>64</v>
      </c>
      <c r="CB37" s="40" t="s">
        <v>64</v>
      </c>
      <c r="CC37" s="40" t="s">
        <v>64</v>
      </c>
      <c r="CD37" s="40" t="s">
        <v>64</v>
      </c>
      <c r="CE37" s="40" t="s">
        <v>64</v>
      </c>
      <c r="CF37" s="40" t="s">
        <v>64</v>
      </c>
      <c r="CG37" s="40" t="s">
        <v>64</v>
      </c>
      <c r="CH37" s="40" t="s">
        <v>64</v>
      </c>
      <c r="CI37" s="40" t="s">
        <v>64</v>
      </c>
      <c r="CJ37" s="40" t="s">
        <v>64</v>
      </c>
      <c r="CK37" s="40" t="s">
        <v>64</v>
      </c>
      <c r="CL37" s="40" t="s">
        <v>64</v>
      </c>
      <c r="CM37" s="40" t="s">
        <v>64</v>
      </c>
      <c r="CN37" s="40" t="s">
        <v>64</v>
      </c>
      <c r="CO37" s="40" t="s">
        <v>64</v>
      </c>
      <c r="CP37" s="40" t="s">
        <v>64</v>
      </c>
    </row>
    <row r="38" spans="1:94" ht="12" x14ac:dyDescent="0.25">
      <c r="A38" s="39" t="s">
        <v>477</v>
      </c>
      <c r="B38" s="39" t="s">
        <v>536</v>
      </c>
      <c r="C38" s="39" t="s">
        <v>477</v>
      </c>
      <c r="D38" s="40" t="s">
        <v>574</v>
      </c>
      <c r="E38" s="43">
        <v>284525314</v>
      </c>
      <c r="F38" s="40">
        <v>0</v>
      </c>
      <c r="G38" s="40" t="s">
        <v>349</v>
      </c>
      <c r="H38" s="40">
        <v>0</v>
      </c>
      <c r="I38" s="40">
        <v>0</v>
      </c>
      <c r="J38" s="13" t="s">
        <v>89</v>
      </c>
      <c r="K38" s="40" t="s">
        <v>60</v>
      </c>
      <c r="L38" s="40" t="s">
        <v>61</v>
      </c>
      <c r="M38" s="42">
        <v>2.6</v>
      </c>
      <c r="N38" s="40">
        <v>284525315</v>
      </c>
      <c r="O38" s="40">
        <v>0</v>
      </c>
      <c r="P38" s="40" t="s">
        <v>350</v>
      </c>
      <c r="Q38" s="40">
        <v>0</v>
      </c>
      <c r="R38" s="40">
        <v>0</v>
      </c>
      <c r="S38" s="13" t="s">
        <v>90</v>
      </c>
      <c r="T38" s="40" t="s">
        <v>60</v>
      </c>
      <c r="U38" s="40" t="s">
        <v>61</v>
      </c>
      <c r="V38" s="42">
        <v>4.53</v>
      </c>
      <c r="W38" s="40" t="s">
        <v>64</v>
      </c>
      <c r="X38" s="40" t="s">
        <v>64</v>
      </c>
      <c r="Y38" s="40" t="s">
        <v>64</v>
      </c>
      <c r="Z38" s="40" t="s">
        <v>64</v>
      </c>
      <c r="AA38" s="40" t="s">
        <v>64</v>
      </c>
      <c r="AB38" s="13" t="s">
        <v>64</v>
      </c>
      <c r="AC38" s="40" t="s">
        <v>64</v>
      </c>
      <c r="AD38" s="40" t="s">
        <v>64</v>
      </c>
      <c r="AE38" s="42" t="s">
        <v>64</v>
      </c>
      <c r="AF38" s="40" t="s">
        <v>64</v>
      </c>
      <c r="AG38" s="40" t="s">
        <v>64</v>
      </c>
      <c r="AH38" s="40" t="s">
        <v>64</v>
      </c>
      <c r="AI38" s="40" t="s">
        <v>64</v>
      </c>
      <c r="AJ38" s="40" t="s">
        <v>64</v>
      </c>
      <c r="AK38" s="40" t="s">
        <v>64</v>
      </c>
      <c r="AL38" s="40" t="s">
        <v>64</v>
      </c>
      <c r="AM38" s="40" t="s">
        <v>64</v>
      </c>
      <c r="AN38" s="40" t="s">
        <v>64</v>
      </c>
      <c r="AO38" s="40" t="s">
        <v>64</v>
      </c>
      <c r="AP38" s="40" t="s">
        <v>64</v>
      </c>
      <c r="AQ38" s="40" t="s">
        <v>64</v>
      </c>
      <c r="AR38" s="40" t="s">
        <v>64</v>
      </c>
      <c r="AS38" s="40" t="s">
        <v>64</v>
      </c>
      <c r="AT38" s="40" t="s">
        <v>64</v>
      </c>
      <c r="AU38" s="40" t="s">
        <v>64</v>
      </c>
      <c r="AV38" s="40" t="s">
        <v>64</v>
      </c>
      <c r="AW38" s="40" t="s">
        <v>64</v>
      </c>
      <c r="AX38" s="40" t="s">
        <v>64</v>
      </c>
      <c r="AY38" s="40" t="s">
        <v>64</v>
      </c>
      <c r="AZ38" s="40" t="s">
        <v>64</v>
      </c>
      <c r="BA38" s="40" t="s">
        <v>64</v>
      </c>
      <c r="BB38" s="40" t="s">
        <v>64</v>
      </c>
      <c r="BC38" s="40" t="s">
        <v>64</v>
      </c>
      <c r="BD38" s="40" t="s">
        <v>64</v>
      </c>
      <c r="BE38" s="40" t="s">
        <v>64</v>
      </c>
      <c r="BF38" s="40" t="s">
        <v>64</v>
      </c>
      <c r="BG38" s="40" t="s">
        <v>64</v>
      </c>
      <c r="BH38" s="40" t="s">
        <v>64</v>
      </c>
      <c r="BI38" s="40" t="s">
        <v>64</v>
      </c>
      <c r="BJ38" s="40" t="s">
        <v>64</v>
      </c>
      <c r="BK38" s="40" t="s">
        <v>64</v>
      </c>
      <c r="BL38" s="40" t="s">
        <v>64</v>
      </c>
      <c r="BM38" s="40" t="s">
        <v>64</v>
      </c>
      <c r="BN38" s="40" t="s">
        <v>64</v>
      </c>
      <c r="BO38" s="40" t="s">
        <v>64</v>
      </c>
      <c r="BP38" s="40" t="s">
        <v>64</v>
      </c>
      <c r="BQ38" s="40" t="s">
        <v>64</v>
      </c>
      <c r="BR38" s="40" t="s">
        <v>64</v>
      </c>
      <c r="BS38" s="40" t="s">
        <v>64</v>
      </c>
      <c r="BT38" s="40" t="s">
        <v>64</v>
      </c>
      <c r="BU38" s="40" t="s">
        <v>64</v>
      </c>
      <c r="BV38" s="40" t="s">
        <v>64</v>
      </c>
      <c r="BW38" s="40" t="s">
        <v>64</v>
      </c>
      <c r="BX38" s="40" t="s">
        <v>64</v>
      </c>
      <c r="BY38" s="40" t="s">
        <v>64</v>
      </c>
      <c r="BZ38" s="40" t="s">
        <v>64</v>
      </c>
      <c r="CA38" s="40" t="s">
        <v>64</v>
      </c>
      <c r="CB38" s="40" t="s">
        <v>64</v>
      </c>
      <c r="CC38" s="40" t="s">
        <v>64</v>
      </c>
      <c r="CD38" s="40" t="s">
        <v>64</v>
      </c>
      <c r="CE38" s="40" t="s">
        <v>64</v>
      </c>
      <c r="CF38" s="40" t="s">
        <v>64</v>
      </c>
      <c r="CG38" s="40" t="s">
        <v>64</v>
      </c>
      <c r="CH38" s="40" t="s">
        <v>64</v>
      </c>
      <c r="CI38" s="40" t="s">
        <v>64</v>
      </c>
      <c r="CJ38" s="40" t="s">
        <v>64</v>
      </c>
      <c r="CK38" s="40" t="s">
        <v>64</v>
      </c>
      <c r="CL38" s="40" t="s">
        <v>64</v>
      </c>
      <c r="CM38" s="40" t="s">
        <v>64</v>
      </c>
      <c r="CN38" s="40" t="s">
        <v>64</v>
      </c>
      <c r="CO38" s="40" t="s">
        <v>64</v>
      </c>
      <c r="CP38" s="40" t="s">
        <v>64</v>
      </c>
    </row>
    <row r="39" spans="1:94" ht="12" x14ac:dyDescent="0.25">
      <c r="A39" s="39" t="s">
        <v>478</v>
      </c>
      <c r="B39" s="39" t="s">
        <v>536</v>
      </c>
      <c r="C39" s="39" t="s">
        <v>478</v>
      </c>
      <c r="D39" s="40" t="s">
        <v>575</v>
      </c>
      <c r="E39" s="43">
        <v>284525313</v>
      </c>
      <c r="F39" s="40">
        <v>0</v>
      </c>
      <c r="G39" s="40" t="s">
        <v>349</v>
      </c>
      <c r="H39" s="40">
        <v>0</v>
      </c>
      <c r="I39" s="40">
        <v>0</v>
      </c>
      <c r="J39" s="13" t="s">
        <v>89</v>
      </c>
      <c r="K39" s="40" t="s">
        <v>60</v>
      </c>
      <c r="L39" s="40" t="s">
        <v>61</v>
      </c>
      <c r="M39" s="42">
        <v>5.2</v>
      </c>
      <c r="N39" s="40" t="s">
        <v>64</v>
      </c>
      <c r="O39" s="40" t="s">
        <v>64</v>
      </c>
      <c r="P39" s="40" t="s">
        <v>64</v>
      </c>
      <c r="Q39" s="40" t="s">
        <v>64</v>
      </c>
      <c r="R39" s="40" t="s">
        <v>64</v>
      </c>
      <c r="S39" s="13" t="s">
        <v>64</v>
      </c>
      <c r="T39" s="40" t="s">
        <v>64</v>
      </c>
      <c r="U39" s="40" t="s">
        <v>64</v>
      </c>
      <c r="V39" s="42" t="s">
        <v>64</v>
      </c>
      <c r="W39" s="40" t="s">
        <v>64</v>
      </c>
      <c r="X39" s="40" t="s">
        <v>64</v>
      </c>
      <c r="Y39" s="40" t="s">
        <v>64</v>
      </c>
      <c r="Z39" s="40" t="s">
        <v>64</v>
      </c>
      <c r="AA39" s="40" t="s">
        <v>64</v>
      </c>
      <c r="AB39" s="13" t="s">
        <v>64</v>
      </c>
      <c r="AC39" s="40" t="s">
        <v>64</v>
      </c>
      <c r="AD39" s="40" t="s">
        <v>64</v>
      </c>
      <c r="AE39" s="42" t="s">
        <v>64</v>
      </c>
      <c r="AF39" s="40" t="s">
        <v>64</v>
      </c>
      <c r="AG39" s="40" t="s">
        <v>64</v>
      </c>
      <c r="AH39" s="40" t="s">
        <v>64</v>
      </c>
      <c r="AI39" s="40" t="s">
        <v>64</v>
      </c>
      <c r="AJ39" s="40" t="s">
        <v>64</v>
      </c>
      <c r="AK39" s="40" t="s">
        <v>64</v>
      </c>
      <c r="AL39" s="40" t="s">
        <v>64</v>
      </c>
      <c r="AM39" s="40" t="s">
        <v>64</v>
      </c>
      <c r="AN39" s="40" t="s">
        <v>64</v>
      </c>
      <c r="AO39" s="40" t="s">
        <v>64</v>
      </c>
      <c r="AP39" s="40" t="s">
        <v>64</v>
      </c>
      <c r="AQ39" s="40" t="s">
        <v>64</v>
      </c>
      <c r="AR39" s="40" t="s">
        <v>64</v>
      </c>
      <c r="AS39" s="40" t="s">
        <v>64</v>
      </c>
      <c r="AT39" s="40" t="s">
        <v>64</v>
      </c>
      <c r="AU39" s="40" t="s">
        <v>64</v>
      </c>
      <c r="AV39" s="40" t="s">
        <v>64</v>
      </c>
      <c r="AW39" s="40" t="s">
        <v>64</v>
      </c>
      <c r="AX39" s="40" t="s">
        <v>64</v>
      </c>
      <c r="AY39" s="40" t="s">
        <v>64</v>
      </c>
      <c r="AZ39" s="40" t="s">
        <v>64</v>
      </c>
      <c r="BA39" s="40" t="s">
        <v>64</v>
      </c>
      <c r="BB39" s="40" t="s">
        <v>64</v>
      </c>
      <c r="BC39" s="40" t="s">
        <v>64</v>
      </c>
      <c r="BD39" s="40" t="s">
        <v>64</v>
      </c>
      <c r="BE39" s="40" t="s">
        <v>64</v>
      </c>
      <c r="BF39" s="40" t="s">
        <v>64</v>
      </c>
      <c r="BG39" s="40" t="s">
        <v>64</v>
      </c>
      <c r="BH39" s="40" t="s">
        <v>64</v>
      </c>
      <c r="BI39" s="40" t="s">
        <v>64</v>
      </c>
      <c r="BJ39" s="40" t="s">
        <v>64</v>
      </c>
      <c r="BK39" s="40" t="s">
        <v>64</v>
      </c>
      <c r="BL39" s="40" t="s">
        <v>64</v>
      </c>
      <c r="BM39" s="40" t="s">
        <v>64</v>
      </c>
      <c r="BN39" s="40" t="s">
        <v>64</v>
      </c>
      <c r="BO39" s="40" t="s">
        <v>64</v>
      </c>
      <c r="BP39" s="40" t="s">
        <v>64</v>
      </c>
      <c r="BQ39" s="40" t="s">
        <v>64</v>
      </c>
      <c r="BR39" s="40" t="s">
        <v>64</v>
      </c>
      <c r="BS39" s="40" t="s">
        <v>64</v>
      </c>
      <c r="BT39" s="40" t="s">
        <v>64</v>
      </c>
      <c r="BU39" s="40" t="s">
        <v>64</v>
      </c>
      <c r="BV39" s="40" t="s">
        <v>64</v>
      </c>
      <c r="BW39" s="40" t="s">
        <v>64</v>
      </c>
      <c r="BX39" s="40" t="s">
        <v>64</v>
      </c>
      <c r="BY39" s="40" t="s">
        <v>64</v>
      </c>
      <c r="BZ39" s="40" t="s">
        <v>64</v>
      </c>
      <c r="CA39" s="40" t="s">
        <v>64</v>
      </c>
      <c r="CB39" s="40" t="s">
        <v>64</v>
      </c>
      <c r="CC39" s="40" t="s">
        <v>64</v>
      </c>
      <c r="CD39" s="40" t="s">
        <v>64</v>
      </c>
      <c r="CE39" s="40" t="s">
        <v>64</v>
      </c>
      <c r="CF39" s="40" t="s">
        <v>64</v>
      </c>
      <c r="CG39" s="40" t="s">
        <v>64</v>
      </c>
      <c r="CH39" s="40" t="s">
        <v>64</v>
      </c>
      <c r="CI39" s="40" t="s">
        <v>64</v>
      </c>
      <c r="CJ39" s="40" t="s">
        <v>64</v>
      </c>
      <c r="CK39" s="40" t="s">
        <v>64</v>
      </c>
      <c r="CL39" s="40" t="s">
        <v>64</v>
      </c>
      <c r="CM39" s="40" t="s">
        <v>64</v>
      </c>
      <c r="CN39" s="40" t="s">
        <v>64</v>
      </c>
      <c r="CO39" s="40" t="s">
        <v>64</v>
      </c>
      <c r="CP39" s="40" t="s">
        <v>64</v>
      </c>
    </row>
    <row r="40" spans="1:94" ht="12" x14ac:dyDescent="0.25">
      <c r="A40" s="39" t="s">
        <v>479</v>
      </c>
      <c r="B40" s="39" t="s">
        <v>536</v>
      </c>
      <c r="C40" s="39" t="s">
        <v>479</v>
      </c>
      <c r="D40" s="40" t="s">
        <v>576</v>
      </c>
      <c r="E40" s="43">
        <v>284525323</v>
      </c>
      <c r="F40" s="40">
        <v>0</v>
      </c>
      <c r="G40" s="40" t="s">
        <v>349</v>
      </c>
      <c r="H40" s="40">
        <v>0</v>
      </c>
      <c r="I40" s="40">
        <v>0</v>
      </c>
      <c r="J40" s="13" t="s">
        <v>88</v>
      </c>
      <c r="K40" s="40" t="s">
        <v>60</v>
      </c>
      <c r="L40" s="40" t="s">
        <v>61</v>
      </c>
      <c r="M40" s="42">
        <v>2.6</v>
      </c>
      <c r="N40" s="40" t="s">
        <v>64</v>
      </c>
      <c r="O40" s="40" t="s">
        <v>64</v>
      </c>
      <c r="P40" s="40" t="s">
        <v>64</v>
      </c>
      <c r="Q40" s="40" t="s">
        <v>64</v>
      </c>
      <c r="R40" s="40" t="s">
        <v>64</v>
      </c>
      <c r="S40" s="13" t="s">
        <v>64</v>
      </c>
      <c r="T40" s="40" t="s">
        <v>64</v>
      </c>
      <c r="U40" s="40" t="s">
        <v>64</v>
      </c>
      <c r="V40" s="42" t="s">
        <v>64</v>
      </c>
      <c r="W40" s="40" t="s">
        <v>64</v>
      </c>
      <c r="X40" s="40" t="s">
        <v>64</v>
      </c>
      <c r="Y40" s="40" t="s">
        <v>64</v>
      </c>
      <c r="Z40" s="40" t="s">
        <v>64</v>
      </c>
      <c r="AA40" s="40" t="s">
        <v>64</v>
      </c>
      <c r="AB40" s="13" t="s">
        <v>64</v>
      </c>
      <c r="AC40" s="40" t="s">
        <v>64</v>
      </c>
      <c r="AD40" s="40" t="s">
        <v>64</v>
      </c>
      <c r="AE40" s="42" t="s">
        <v>64</v>
      </c>
      <c r="AF40" s="40" t="s">
        <v>64</v>
      </c>
      <c r="AG40" s="40" t="s">
        <v>64</v>
      </c>
      <c r="AH40" s="40" t="s">
        <v>64</v>
      </c>
      <c r="AI40" s="40" t="s">
        <v>64</v>
      </c>
      <c r="AJ40" s="40" t="s">
        <v>64</v>
      </c>
      <c r="AK40" s="40" t="s">
        <v>64</v>
      </c>
      <c r="AL40" s="40" t="s">
        <v>64</v>
      </c>
      <c r="AM40" s="40" t="s">
        <v>64</v>
      </c>
      <c r="AN40" s="40" t="s">
        <v>64</v>
      </c>
      <c r="AO40" s="40" t="s">
        <v>64</v>
      </c>
      <c r="AP40" s="40" t="s">
        <v>64</v>
      </c>
      <c r="AQ40" s="40" t="s">
        <v>64</v>
      </c>
      <c r="AR40" s="40" t="s">
        <v>64</v>
      </c>
      <c r="AS40" s="40" t="s">
        <v>64</v>
      </c>
      <c r="AT40" s="40" t="s">
        <v>64</v>
      </c>
      <c r="AU40" s="40" t="s">
        <v>64</v>
      </c>
      <c r="AV40" s="40" t="s">
        <v>64</v>
      </c>
      <c r="AW40" s="40" t="s">
        <v>64</v>
      </c>
      <c r="AX40" s="40" t="s">
        <v>64</v>
      </c>
      <c r="AY40" s="40" t="s">
        <v>64</v>
      </c>
      <c r="AZ40" s="40" t="s">
        <v>64</v>
      </c>
      <c r="BA40" s="40" t="s">
        <v>64</v>
      </c>
      <c r="BB40" s="40" t="s">
        <v>64</v>
      </c>
      <c r="BC40" s="40" t="s">
        <v>64</v>
      </c>
      <c r="BD40" s="40" t="s">
        <v>64</v>
      </c>
      <c r="BE40" s="40" t="s">
        <v>64</v>
      </c>
      <c r="BF40" s="40" t="s">
        <v>64</v>
      </c>
      <c r="BG40" s="40" t="s">
        <v>64</v>
      </c>
      <c r="BH40" s="40" t="s">
        <v>64</v>
      </c>
      <c r="BI40" s="40" t="s">
        <v>64</v>
      </c>
      <c r="BJ40" s="40" t="s">
        <v>64</v>
      </c>
      <c r="BK40" s="40" t="s">
        <v>64</v>
      </c>
      <c r="BL40" s="40" t="s">
        <v>64</v>
      </c>
      <c r="BM40" s="40" t="s">
        <v>64</v>
      </c>
      <c r="BN40" s="40" t="s">
        <v>64</v>
      </c>
      <c r="BO40" s="40" t="s">
        <v>64</v>
      </c>
      <c r="BP40" s="40" t="s">
        <v>64</v>
      </c>
      <c r="BQ40" s="40" t="s">
        <v>64</v>
      </c>
      <c r="BR40" s="40" t="s">
        <v>64</v>
      </c>
      <c r="BS40" s="40" t="s">
        <v>64</v>
      </c>
      <c r="BT40" s="40" t="s">
        <v>64</v>
      </c>
      <c r="BU40" s="40" t="s">
        <v>64</v>
      </c>
      <c r="BV40" s="40" t="s">
        <v>64</v>
      </c>
      <c r="BW40" s="40" t="s">
        <v>64</v>
      </c>
      <c r="BX40" s="40" t="s">
        <v>64</v>
      </c>
      <c r="BY40" s="40" t="s">
        <v>64</v>
      </c>
      <c r="BZ40" s="40" t="s">
        <v>64</v>
      </c>
      <c r="CA40" s="40" t="s">
        <v>64</v>
      </c>
      <c r="CB40" s="40" t="s">
        <v>64</v>
      </c>
      <c r="CC40" s="40" t="s">
        <v>64</v>
      </c>
      <c r="CD40" s="40" t="s">
        <v>64</v>
      </c>
      <c r="CE40" s="40" t="s">
        <v>64</v>
      </c>
      <c r="CF40" s="40" t="s">
        <v>64</v>
      </c>
      <c r="CG40" s="40" t="s">
        <v>64</v>
      </c>
      <c r="CH40" s="40" t="s">
        <v>64</v>
      </c>
      <c r="CI40" s="40" t="s">
        <v>64</v>
      </c>
      <c r="CJ40" s="40" t="s">
        <v>64</v>
      </c>
      <c r="CK40" s="40" t="s">
        <v>64</v>
      </c>
      <c r="CL40" s="40" t="s">
        <v>64</v>
      </c>
      <c r="CM40" s="40" t="s">
        <v>64</v>
      </c>
      <c r="CN40" s="40" t="s">
        <v>64</v>
      </c>
      <c r="CO40" s="40" t="s">
        <v>64</v>
      </c>
      <c r="CP40" s="40" t="s">
        <v>64</v>
      </c>
    </row>
    <row r="41" spans="1:94" ht="12" x14ac:dyDescent="0.25">
      <c r="A41" s="39" t="s">
        <v>480</v>
      </c>
      <c r="B41" s="39" t="s">
        <v>536</v>
      </c>
      <c r="C41" s="39" t="s">
        <v>480</v>
      </c>
      <c r="D41" s="40" t="s">
        <v>577</v>
      </c>
      <c r="E41" s="43">
        <v>284525324</v>
      </c>
      <c r="F41" s="40">
        <v>0</v>
      </c>
      <c r="G41" s="40" t="s">
        <v>349</v>
      </c>
      <c r="H41" s="40">
        <v>0</v>
      </c>
      <c r="I41" s="40">
        <v>0</v>
      </c>
      <c r="J41" s="13" t="s">
        <v>89</v>
      </c>
      <c r="K41" s="40" t="s">
        <v>60</v>
      </c>
      <c r="L41" s="40" t="s">
        <v>61</v>
      </c>
      <c r="M41" s="42">
        <v>5.2</v>
      </c>
      <c r="N41" s="40" t="s">
        <v>64</v>
      </c>
      <c r="O41" s="40" t="s">
        <v>64</v>
      </c>
      <c r="P41" s="40" t="s">
        <v>64</v>
      </c>
      <c r="Q41" s="40" t="s">
        <v>64</v>
      </c>
      <c r="R41" s="40" t="s">
        <v>64</v>
      </c>
      <c r="S41" s="13" t="s">
        <v>64</v>
      </c>
      <c r="T41" s="40" t="s">
        <v>64</v>
      </c>
      <c r="U41" s="40" t="s">
        <v>64</v>
      </c>
      <c r="V41" s="42" t="s">
        <v>64</v>
      </c>
      <c r="W41" s="40" t="s">
        <v>64</v>
      </c>
      <c r="X41" s="40" t="s">
        <v>64</v>
      </c>
      <c r="Y41" s="40" t="s">
        <v>64</v>
      </c>
      <c r="Z41" s="40" t="s">
        <v>64</v>
      </c>
      <c r="AA41" s="40" t="s">
        <v>64</v>
      </c>
      <c r="AB41" s="13" t="s">
        <v>64</v>
      </c>
      <c r="AC41" s="40" t="s">
        <v>64</v>
      </c>
      <c r="AD41" s="40" t="s">
        <v>64</v>
      </c>
      <c r="AE41" s="42" t="s">
        <v>64</v>
      </c>
      <c r="AF41" s="40" t="s">
        <v>64</v>
      </c>
      <c r="AG41" s="40" t="s">
        <v>64</v>
      </c>
      <c r="AH41" s="40" t="s">
        <v>64</v>
      </c>
      <c r="AI41" s="40" t="s">
        <v>64</v>
      </c>
      <c r="AJ41" s="40" t="s">
        <v>64</v>
      </c>
      <c r="AK41" s="40" t="s">
        <v>64</v>
      </c>
      <c r="AL41" s="40" t="s">
        <v>64</v>
      </c>
      <c r="AM41" s="40" t="s">
        <v>64</v>
      </c>
      <c r="AN41" s="40" t="s">
        <v>64</v>
      </c>
      <c r="AO41" s="40" t="s">
        <v>64</v>
      </c>
      <c r="AP41" s="40" t="s">
        <v>64</v>
      </c>
      <c r="AQ41" s="40" t="s">
        <v>64</v>
      </c>
      <c r="AR41" s="40" t="s">
        <v>64</v>
      </c>
      <c r="AS41" s="40" t="s">
        <v>64</v>
      </c>
      <c r="AT41" s="40" t="s">
        <v>64</v>
      </c>
      <c r="AU41" s="40" t="s">
        <v>64</v>
      </c>
      <c r="AV41" s="40" t="s">
        <v>64</v>
      </c>
      <c r="AW41" s="40" t="s">
        <v>64</v>
      </c>
      <c r="AX41" s="40" t="s">
        <v>64</v>
      </c>
      <c r="AY41" s="40" t="s">
        <v>64</v>
      </c>
      <c r="AZ41" s="40" t="s">
        <v>64</v>
      </c>
      <c r="BA41" s="40" t="s">
        <v>64</v>
      </c>
      <c r="BB41" s="40" t="s">
        <v>64</v>
      </c>
      <c r="BC41" s="40" t="s">
        <v>64</v>
      </c>
      <c r="BD41" s="40" t="s">
        <v>64</v>
      </c>
      <c r="BE41" s="40" t="s">
        <v>64</v>
      </c>
      <c r="BF41" s="40" t="s">
        <v>64</v>
      </c>
      <c r="BG41" s="40" t="s">
        <v>64</v>
      </c>
      <c r="BH41" s="40" t="s">
        <v>64</v>
      </c>
      <c r="BI41" s="40" t="s">
        <v>64</v>
      </c>
      <c r="BJ41" s="40" t="s">
        <v>64</v>
      </c>
      <c r="BK41" s="40" t="s">
        <v>64</v>
      </c>
      <c r="BL41" s="40" t="s">
        <v>64</v>
      </c>
      <c r="BM41" s="40" t="s">
        <v>64</v>
      </c>
      <c r="BN41" s="40" t="s">
        <v>64</v>
      </c>
      <c r="BO41" s="40" t="s">
        <v>64</v>
      </c>
      <c r="BP41" s="40" t="s">
        <v>64</v>
      </c>
      <c r="BQ41" s="40" t="s">
        <v>64</v>
      </c>
      <c r="BR41" s="40" t="s">
        <v>64</v>
      </c>
      <c r="BS41" s="40" t="s">
        <v>64</v>
      </c>
      <c r="BT41" s="40" t="s">
        <v>64</v>
      </c>
      <c r="BU41" s="40" t="s">
        <v>64</v>
      </c>
      <c r="BV41" s="40" t="s">
        <v>64</v>
      </c>
      <c r="BW41" s="40" t="s">
        <v>64</v>
      </c>
      <c r="BX41" s="40" t="s">
        <v>64</v>
      </c>
      <c r="BY41" s="40" t="s">
        <v>64</v>
      </c>
      <c r="BZ41" s="40" t="s">
        <v>64</v>
      </c>
      <c r="CA41" s="40" t="s">
        <v>64</v>
      </c>
      <c r="CB41" s="40" t="s">
        <v>64</v>
      </c>
      <c r="CC41" s="40" t="s">
        <v>64</v>
      </c>
      <c r="CD41" s="40" t="s">
        <v>64</v>
      </c>
      <c r="CE41" s="40" t="s">
        <v>64</v>
      </c>
      <c r="CF41" s="40" t="s">
        <v>64</v>
      </c>
      <c r="CG41" s="40" t="s">
        <v>64</v>
      </c>
      <c r="CH41" s="40" t="s">
        <v>64</v>
      </c>
      <c r="CI41" s="40" t="s">
        <v>64</v>
      </c>
      <c r="CJ41" s="40" t="s">
        <v>64</v>
      </c>
      <c r="CK41" s="40" t="s">
        <v>64</v>
      </c>
      <c r="CL41" s="40" t="s">
        <v>64</v>
      </c>
      <c r="CM41" s="40" t="s">
        <v>64</v>
      </c>
      <c r="CN41" s="40" t="s">
        <v>64</v>
      </c>
      <c r="CO41" s="40" t="s">
        <v>64</v>
      </c>
      <c r="CP41" s="40" t="s">
        <v>64</v>
      </c>
    </row>
    <row r="42" spans="1:94" ht="12" x14ac:dyDescent="0.25">
      <c r="A42" s="39" t="s">
        <v>481</v>
      </c>
      <c r="B42" s="39" t="s">
        <v>536</v>
      </c>
      <c r="C42" s="39" t="s">
        <v>481</v>
      </c>
      <c r="D42" s="40" t="s">
        <v>578</v>
      </c>
      <c r="E42" s="43">
        <v>284525341</v>
      </c>
      <c r="F42" s="40">
        <v>0</v>
      </c>
      <c r="G42" s="40" t="s">
        <v>349</v>
      </c>
      <c r="H42" s="40">
        <v>0</v>
      </c>
      <c r="I42" s="40">
        <v>0</v>
      </c>
      <c r="J42" s="13" t="s">
        <v>88</v>
      </c>
      <c r="K42" s="40" t="s">
        <v>60</v>
      </c>
      <c r="L42" s="40" t="s">
        <v>61</v>
      </c>
      <c r="M42" s="42">
        <v>5.2</v>
      </c>
      <c r="N42" s="40" t="s">
        <v>64</v>
      </c>
      <c r="O42" s="40" t="s">
        <v>64</v>
      </c>
      <c r="P42" s="40" t="s">
        <v>64</v>
      </c>
      <c r="Q42" s="40" t="s">
        <v>64</v>
      </c>
      <c r="R42" s="40" t="s">
        <v>64</v>
      </c>
      <c r="S42" s="13" t="s">
        <v>64</v>
      </c>
      <c r="T42" s="40" t="s">
        <v>64</v>
      </c>
      <c r="U42" s="40" t="s">
        <v>64</v>
      </c>
      <c r="V42" s="42" t="s">
        <v>64</v>
      </c>
      <c r="W42" s="40" t="s">
        <v>64</v>
      </c>
      <c r="X42" s="40" t="s">
        <v>64</v>
      </c>
      <c r="Y42" s="40" t="s">
        <v>64</v>
      </c>
      <c r="Z42" s="40" t="s">
        <v>64</v>
      </c>
      <c r="AA42" s="40" t="s">
        <v>64</v>
      </c>
      <c r="AB42" s="13" t="s">
        <v>64</v>
      </c>
      <c r="AC42" s="40" t="s">
        <v>64</v>
      </c>
      <c r="AD42" s="40" t="s">
        <v>64</v>
      </c>
      <c r="AE42" s="42" t="s">
        <v>64</v>
      </c>
      <c r="AF42" s="40" t="s">
        <v>64</v>
      </c>
      <c r="AG42" s="40" t="s">
        <v>64</v>
      </c>
      <c r="AH42" s="40" t="s">
        <v>64</v>
      </c>
      <c r="AI42" s="40" t="s">
        <v>64</v>
      </c>
      <c r="AJ42" s="40" t="s">
        <v>64</v>
      </c>
      <c r="AK42" s="40" t="s">
        <v>64</v>
      </c>
      <c r="AL42" s="40" t="s">
        <v>64</v>
      </c>
      <c r="AM42" s="40" t="s">
        <v>64</v>
      </c>
      <c r="AN42" s="40" t="s">
        <v>64</v>
      </c>
      <c r="AO42" s="40" t="s">
        <v>64</v>
      </c>
      <c r="AP42" s="40" t="s">
        <v>64</v>
      </c>
      <c r="AQ42" s="40" t="s">
        <v>64</v>
      </c>
      <c r="AR42" s="40" t="s">
        <v>64</v>
      </c>
      <c r="AS42" s="40" t="s">
        <v>64</v>
      </c>
      <c r="AT42" s="40" t="s">
        <v>64</v>
      </c>
      <c r="AU42" s="40" t="s">
        <v>64</v>
      </c>
      <c r="AV42" s="40" t="s">
        <v>64</v>
      </c>
      <c r="AW42" s="40" t="s">
        <v>64</v>
      </c>
      <c r="AX42" s="40" t="s">
        <v>64</v>
      </c>
      <c r="AY42" s="40" t="s">
        <v>64</v>
      </c>
      <c r="AZ42" s="40" t="s">
        <v>64</v>
      </c>
      <c r="BA42" s="40" t="s">
        <v>64</v>
      </c>
      <c r="BB42" s="40" t="s">
        <v>64</v>
      </c>
      <c r="BC42" s="40" t="s">
        <v>64</v>
      </c>
      <c r="BD42" s="40" t="s">
        <v>64</v>
      </c>
      <c r="BE42" s="40" t="s">
        <v>64</v>
      </c>
      <c r="BF42" s="40" t="s">
        <v>64</v>
      </c>
      <c r="BG42" s="40" t="s">
        <v>64</v>
      </c>
      <c r="BH42" s="40" t="s">
        <v>64</v>
      </c>
      <c r="BI42" s="40" t="s">
        <v>64</v>
      </c>
      <c r="BJ42" s="40" t="s">
        <v>64</v>
      </c>
      <c r="BK42" s="40" t="s">
        <v>64</v>
      </c>
      <c r="BL42" s="40" t="s">
        <v>64</v>
      </c>
      <c r="BM42" s="40" t="s">
        <v>64</v>
      </c>
      <c r="BN42" s="40" t="s">
        <v>64</v>
      </c>
      <c r="BO42" s="40" t="s">
        <v>64</v>
      </c>
      <c r="BP42" s="40" t="s">
        <v>64</v>
      </c>
      <c r="BQ42" s="40" t="s">
        <v>64</v>
      </c>
      <c r="BR42" s="40" t="s">
        <v>64</v>
      </c>
      <c r="BS42" s="40" t="s">
        <v>64</v>
      </c>
      <c r="BT42" s="40" t="s">
        <v>64</v>
      </c>
      <c r="BU42" s="40" t="s">
        <v>64</v>
      </c>
      <c r="BV42" s="40" t="s">
        <v>64</v>
      </c>
      <c r="BW42" s="40" t="s">
        <v>64</v>
      </c>
      <c r="BX42" s="40" t="s">
        <v>64</v>
      </c>
      <c r="BY42" s="40" t="s">
        <v>64</v>
      </c>
      <c r="BZ42" s="40" t="s">
        <v>64</v>
      </c>
      <c r="CA42" s="40" t="s">
        <v>64</v>
      </c>
      <c r="CB42" s="40" t="s">
        <v>64</v>
      </c>
      <c r="CC42" s="40" t="s">
        <v>64</v>
      </c>
      <c r="CD42" s="40" t="s">
        <v>64</v>
      </c>
      <c r="CE42" s="40" t="s">
        <v>64</v>
      </c>
      <c r="CF42" s="40" t="s">
        <v>64</v>
      </c>
      <c r="CG42" s="40" t="s">
        <v>64</v>
      </c>
      <c r="CH42" s="40" t="s">
        <v>64</v>
      </c>
      <c r="CI42" s="40" t="s">
        <v>64</v>
      </c>
      <c r="CJ42" s="40" t="s">
        <v>64</v>
      </c>
      <c r="CK42" s="40" t="s">
        <v>64</v>
      </c>
      <c r="CL42" s="40" t="s">
        <v>64</v>
      </c>
      <c r="CM42" s="40" t="s">
        <v>64</v>
      </c>
      <c r="CN42" s="40" t="s">
        <v>64</v>
      </c>
      <c r="CO42" s="40" t="s">
        <v>64</v>
      </c>
      <c r="CP42" s="40" t="s">
        <v>64</v>
      </c>
    </row>
    <row r="43" spans="1:94" ht="12" x14ac:dyDescent="0.25">
      <c r="A43" s="39" t="s">
        <v>482</v>
      </c>
      <c r="B43" s="39" t="s">
        <v>536</v>
      </c>
      <c r="C43" s="39" t="s">
        <v>482</v>
      </c>
      <c r="D43" s="40" t="s">
        <v>579</v>
      </c>
      <c r="E43" s="43">
        <v>284525342</v>
      </c>
      <c r="F43" s="40">
        <v>0</v>
      </c>
      <c r="G43" s="40" t="s">
        <v>349</v>
      </c>
      <c r="H43" s="40">
        <v>0</v>
      </c>
      <c r="I43" s="40">
        <v>0</v>
      </c>
      <c r="J43" s="13" t="s">
        <v>89</v>
      </c>
      <c r="K43" s="40" t="s">
        <v>60</v>
      </c>
      <c r="L43" s="40" t="s">
        <v>61</v>
      </c>
      <c r="M43" s="42">
        <v>2.6</v>
      </c>
      <c r="N43" s="40" t="s">
        <v>64</v>
      </c>
      <c r="O43" s="40" t="s">
        <v>64</v>
      </c>
      <c r="P43" s="40" t="s">
        <v>64</v>
      </c>
      <c r="Q43" s="40" t="s">
        <v>64</v>
      </c>
      <c r="R43" s="40" t="s">
        <v>64</v>
      </c>
      <c r="S43" s="13" t="s">
        <v>64</v>
      </c>
      <c r="T43" s="40" t="s">
        <v>64</v>
      </c>
      <c r="U43" s="40" t="s">
        <v>64</v>
      </c>
      <c r="V43" s="42" t="s">
        <v>64</v>
      </c>
      <c r="W43" s="40" t="s">
        <v>64</v>
      </c>
      <c r="X43" s="40" t="s">
        <v>64</v>
      </c>
      <c r="Y43" s="40" t="s">
        <v>64</v>
      </c>
      <c r="Z43" s="40" t="s">
        <v>64</v>
      </c>
      <c r="AA43" s="40" t="s">
        <v>64</v>
      </c>
      <c r="AB43" s="13" t="s">
        <v>64</v>
      </c>
      <c r="AC43" s="40" t="s">
        <v>64</v>
      </c>
      <c r="AD43" s="40" t="s">
        <v>64</v>
      </c>
      <c r="AE43" s="42" t="s">
        <v>64</v>
      </c>
      <c r="AF43" s="40" t="s">
        <v>64</v>
      </c>
      <c r="AG43" s="40" t="s">
        <v>64</v>
      </c>
      <c r="AH43" s="40" t="s">
        <v>64</v>
      </c>
      <c r="AI43" s="40" t="s">
        <v>64</v>
      </c>
      <c r="AJ43" s="40" t="s">
        <v>64</v>
      </c>
      <c r="AK43" s="40" t="s">
        <v>64</v>
      </c>
      <c r="AL43" s="40" t="s">
        <v>64</v>
      </c>
      <c r="AM43" s="40" t="s">
        <v>64</v>
      </c>
      <c r="AN43" s="40" t="s">
        <v>64</v>
      </c>
      <c r="AO43" s="40" t="s">
        <v>64</v>
      </c>
      <c r="AP43" s="40" t="s">
        <v>64</v>
      </c>
      <c r="AQ43" s="40" t="s">
        <v>64</v>
      </c>
      <c r="AR43" s="40" t="s">
        <v>64</v>
      </c>
      <c r="AS43" s="40" t="s">
        <v>64</v>
      </c>
      <c r="AT43" s="40" t="s">
        <v>64</v>
      </c>
      <c r="AU43" s="40" t="s">
        <v>64</v>
      </c>
      <c r="AV43" s="40" t="s">
        <v>64</v>
      </c>
      <c r="AW43" s="40" t="s">
        <v>64</v>
      </c>
      <c r="AX43" s="40" t="s">
        <v>64</v>
      </c>
      <c r="AY43" s="40" t="s">
        <v>64</v>
      </c>
      <c r="AZ43" s="40" t="s">
        <v>64</v>
      </c>
      <c r="BA43" s="40" t="s">
        <v>64</v>
      </c>
      <c r="BB43" s="40" t="s">
        <v>64</v>
      </c>
      <c r="BC43" s="40" t="s">
        <v>64</v>
      </c>
      <c r="BD43" s="40" t="s">
        <v>64</v>
      </c>
      <c r="BE43" s="40" t="s">
        <v>64</v>
      </c>
      <c r="BF43" s="40" t="s">
        <v>64</v>
      </c>
      <c r="BG43" s="40" t="s">
        <v>64</v>
      </c>
      <c r="BH43" s="40" t="s">
        <v>64</v>
      </c>
      <c r="BI43" s="40" t="s">
        <v>64</v>
      </c>
      <c r="BJ43" s="40" t="s">
        <v>64</v>
      </c>
      <c r="BK43" s="40" t="s">
        <v>64</v>
      </c>
      <c r="BL43" s="40" t="s">
        <v>64</v>
      </c>
      <c r="BM43" s="40" t="s">
        <v>64</v>
      </c>
      <c r="BN43" s="40" t="s">
        <v>64</v>
      </c>
      <c r="BO43" s="40" t="s">
        <v>64</v>
      </c>
      <c r="BP43" s="40" t="s">
        <v>64</v>
      </c>
      <c r="BQ43" s="40" t="s">
        <v>64</v>
      </c>
      <c r="BR43" s="40" t="s">
        <v>64</v>
      </c>
      <c r="BS43" s="40" t="s">
        <v>64</v>
      </c>
      <c r="BT43" s="40" t="s">
        <v>64</v>
      </c>
      <c r="BU43" s="40" t="s">
        <v>64</v>
      </c>
      <c r="BV43" s="40" t="s">
        <v>64</v>
      </c>
      <c r="BW43" s="40" t="s">
        <v>64</v>
      </c>
      <c r="BX43" s="40" t="s">
        <v>64</v>
      </c>
      <c r="BY43" s="40" t="s">
        <v>64</v>
      </c>
      <c r="BZ43" s="40" t="s">
        <v>64</v>
      </c>
      <c r="CA43" s="40" t="s">
        <v>64</v>
      </c>
      <c r="CB43" s="40" t="s">
        <v>64</v>
      </c>
      <c r="CC43" s="40" t="s">
        <v>64</v>
      </c>
      <c r="CD43" s="40" t="s">
        <v>64</v>
      </c>
      <c r="CE43" s="40" t="s">
        <v>64</v>
      </c>
      <c r="CF43" s="40" t="s">
        <v>64</v>
      </c>
      <c r="CG43" s="40" t="s">
        <v>64</v>
      </c>
      <c r="CH43" s="40" t="s">
        <v>64</v>
      </c>
      <c r="CI43" s="40" t="s">
        <v>64</v>
      </c>
      <c r="CJ43" s="40" t="s">
        <v>64</v>
      </c>
      <c r="CK43" s="40" t="s">
        <v>64</v>
      </c>
      <c r="CL43" s="40" t="s">
        <v>64</v>
      </c>
      <c r="CM43" s="40" t="s">
        <v>64</v>
      </c>
      <c r="CN43" s="40" t="s">
        <v>64</v>
      </c>
      <c r="CO43" s="40" t="s">
        <v>64</v>
      </c>
      <c r="CP43" s="40" t="s">
        <v>64</v>
      </c>
    </row>
    <row r="44" spans="1:94" ht="12" x14ac:dyDescent="0.25">
      <c r="A44" s="39" t="s">
        <v>483</v>
      </c>
      <c r="B44" s="39" t="s">
        <v>536</v>
      </c>
      <c r="C44" s="39" t="s">
        <v>483</v>
      </c>
      <c r="D44" s="40" t="s">
        <v>580</v>
      </c>
      <c r="E44" s="43">
        <v>284525343</v>
      </c>
      <c r="F44" s="40">
        <v>0</v>
      </c>
      <c r="G44" s="40" t="s">
        <v>349</v>
      </c>
      <c r="H44" s="40">
        <v>0</v>
      </c>
      <c r="I44" s="40">
        <v>0</v>
      </c>
      <c r="J44" s="13" t="s">
        <v>88</v>
      </c>
      <c r="K44" s="40" t="s">
        <v>60</v>
      </c>
      <c r="L44" s="40" t="s">
        <v>61</v>
      </c>
      <c r="M44" s="42">
        <v>5.2</v>
      </c>
      <c r="N44" s="40" t="s">
        <v>64</v>
      </c>
      <c r="O44" s="40" t="s">
        <v>64</v>
      </c>
      <c r="P44" s="40" t="s">
        <v>64</v>
      </c>
      <c r="Q44" s="40" t="s">
        <v>64</v>
      </c>
      <c r="R44" s="40" t="s">
        <v>64</v>
      </c>
      <c r="S44" s="13" t="s">
        <v>64</v>
      </c>
      <c r="T44" s="40" t="s">
        <v>64</v>
      </c>
      <c r="U44" s="40" t="s">
        <v>64</v>
      </c>
      <c r="V44" s="42" t="s">
        <v>64</v>
      </c>
      <c r="W44" s="40" t="s">
        <v>64</v>
      </c>
      <c r="X44" s="40" t="s">
        <v>64</v>
      </c>
      <c r="Y44" s="40" t="s">
        <v>64</v>
      </c>
      <c r="Z44" s="40" t="s">
        <v>64</v>
      </c>
      <c r="AA44" s="40" t="s">
        <v>64</v>
      </c>
      <c r="AB44" s="13" t="s">
        <v>64</v>
      </c>
      <c r="AC44" s="40" t="s">
        <v>64</v>
      </c>
      <c r="AD44" s="40" t="s">
        <v>64</v>
      </c>
      <c r="AE44" s="42" t="s">
        <v>64</v>
      </c>
      <c r="AF44" s="40" t="s">
        <v>64</v>
      </c>
      <c r="AG44" s="40" t="s">
        <v>64</v>
      </c>
      <c r="AH44" s="40" t="s">
        <v>64</v>
      </c>
      <c r="AI44" s="40" t="s">
        <v>64</v>
      </c>
      <c r="AJ44" s="40" t="s">
        <v>64</v>
      </c>
      <c r="AK44" s="40" t="s">
        <v>64</v>
      </c>
      <c r="AL44" s="40" t="s">
        <v>64</v>
      </c>
      <c r="AM44" s="40" t="s">
        <v>64</v>
      </c>
      <c r="AN44" s="40" t="s">
        <v>64</v>
      </c>
      <c r="AO44" s="40" t="s">
        <v>64</v>
      </c>
      <c r="AP44" s="40" t="s">
        <v>64</v>
      </c>
      <c r="AQ44" s="40" t="s">
        <v>64</v>
      </c>
      <c r="AR44" s="40" t="s">
        <v>64</v>
      </c>
      <c r="AS44" s="40" t="s">
        <v>64</v>
      </c>
      <c r="AT44" s="40" t="s">
        <v>64</v>
      </c>
      <c r="AU44" s="40" t="s">
        <v>64</v>
      </c>
      <c r="AV44" s="40" t="s">
        <v>64</v>
      </c>
      <c r="AW44" s="40" t="s">
        <v>64</v>
      </c>
      <c r="AX44" s="40" t="s">
        <v>64</v>
      </c>
      <c r="AY44" s="40" t="s">
        <v>64</v>
      </c>
      <c r="AZ44" s="40" t="s">
        <v>64</v>
      </c>
      <c r="BA44" s="40" t="s">
        <v>64</v>
      </c>
      <c r="BB44" s="40" t="s">
        <v>64</v>
      </c>
      <c r="BC44" s="40" t="s">
        <v>64</v>
      </c>
      <c r="BD44" s="40" t="s">
        <v>64</v>
      </c>
      <c r="BE44" s="40" t="s">
        <v>64</v>
      </c>
      <c r="BF44" s="40" t="s">
        <v>64</v>
      </c>
      <c r="BG44" s="40" t="s">
        <v>64</v>
      </c>
      <c r="BH44" s="40" t="s">
        <v>64</v>
      </c>
      <c r="BI44" s="40" t="s">
        <v>64</v>
      </c>
      <c r="BJ44" s="40" t="s">
        <v>64</v>
      </c>
      <c r="BK44" s="40" t="s">
        <v>64</v>
      </c>
      <c r="BL44" s="40" t="s">
        <v>64</v>
      </c>
      <c r="BM44" s="40" t="s">
        <v>64</v>
      </c>
      <c r="BN44" s="40" t="s">
        <v>64</v>
      </c>
      <c r="BO44" s="40" t="s">
        <v>64</v>
      </c>
      <c r="BP44" s="40" t="s">
        <v>64</v>
      </c>
      <c r="BQ44" s="40" t="s">
        <v>64</v>
      </c>
      <c r="BR44" s="40" t="s">
        <v>64</v>
      </c>
      <c r="BS44" s="40" t="s">
        <v>64</v>
      </c>
      <c r="BT44" s="40" t="s">
        <v>64</v>
      </c>
      <c r="BU44" s="40" t="s">
        <v>64</v>
      </c>
      <c r="BV44" s="40" t="s">
        <v>64</v>
      </c>
      <c r="BW44" s="40" t="s">
        <v>64</v>
      </c>
      <c r="BX44" s="40" t="s">
        <v>64</v>
      </c>
      <c r="BY44" s="40" t="s">
        <v>64</v>
      </c>
      <c r="BZ44" s="40" t="s">
        <v>64</v>
      </c>
      <c r="CA44" s="40" t="s">
        <v>64</v>
      </c>
      <c r="CB44" s="40" t="s">
        <v>64</v>
      </c>
      <c r="CC44" s="40" t="s">
        <v>64</v>
      </c>
      <c r="CD44" s="40" t="s">
        <v>64</v>
      </c>
      <c r="CE44" s="40" t="s">
        <v>64</v>
      </c>
      <c r="CF44" s="40" t="s">
        <v>64</v>
      </c>
      <c r="CG44" s="40" t="s">
        <v>64</v>
      </c>
      <c r="CH44" s="40" t="s">
        <v>64</v>
      </c>
      <c r="CI44" s="40" t="s">
        <v>64</v>
      </c>
      <c r="CJ44" s="40" t="s">
        <v>64</v>
      </c>
      <c r="CK44" s="40" t="s">
        <v>64</v>
      </c>
      <c r="CL44" s="40" t="s">
        <v>64</v>
      </c>
      <c r="CM44" s="40" t="s">
        <v>64</v>
      </c>
      <c r="CN44" s="40" t="s">
        <v>64</v>
      </c>
      <c r="CO44" s="40" t="s">
        <v>64</v>
      </c>
      <c r="CP44" s="40" t="s">
        <v>64</v>
      </c>
    </row>
    <row r="45" spans="1:94" ht="12" x14ac:dyDescent="0.25">
      <c r="A45" s="39" t="s">
        <v>484</v>
      </c>
      <c r="B45" s="39" t="s">
        <v>536</v>
      </c>
      <c r="C45" s="39" t="s">
        <v>484</v>
      </c>
      <c r="D45" s="40" t="s">
        <v>581</v>
      </c>
      <c r="E45" s="43">
        <v>284525344</v>
      </c>
      <c r="F45" s="40">
        <v>0</v>
      </c>
      <c r="G45" s="40" t="s">
        <v>349</v>
      </c>
      <c r="H45" s="40">
        <v>0</v>
      </c>
      <c r="I45" s="40">
        <v>0</v>
      </c>
      <c r="J45" s="13" t="s">
        <v>88</v>
      </c>
      <c r="K45" s="40" t="s">
        <v>60</v>
      </c>
      <c r="L45" s="40" t="s">
        <v>61</v>
      </c>
      <c r="M45" s="42">
        <v>2.6</v>
      </c>
      <c r="N45" s="40">
        <v>284525345</v>
      </c>
      <c r="O45" s="40">
        <v>0</v>
      </c>
      <c r="P45" s="40" t="s">
        <v>350</v>
      </c>
      <c r="Q45" s="40">
        <v>0</v>
      </c>
      <c r="R45" s="40">
        <v>0</v>
      </c>
      <c r="S45" s="13" t="s">
        <v>91</v>
      </c>
      <c r="T45" s="40" t="s">
        <v>60</v>
      </c>
      <c r="U45" s="40" t="s">
        <v>61</v>
      </c>
      <c r="V45" s="42">
        <v>5.2</v>
      </c>
      <c r="W45" s="40" t="s">
        <v>64</v>
      </c>
      <c r="X45" s="40" t="s">
        <v>64</v>
      </c>
      <c r="Y45" s="40" t="s">
        <v>64</v>
      </c>
      <c r="Z45" s="40" t="s">
        <v>64</v>
      </c>
      <c r="AA45" s="40" t="s">
        <v>64</v>
      </c>
      <c r="AB45" s="13" t="s">
        <v>64</v>
      </c>
      <c r="AC45" s="40" t="s">
        <v>64</v>
      </c>
      <c r="AD45" s="40" t="s">
        <v>64</v>
      </c>
      <c r="AE45" s="42" t="s">
        <v>64</v>
      </c>
      <c r="AF45" s="40" t="s">
        <v>64</v>
      </c>
      <c r="AG45" s="40" t="s">
        <v>64</v>
      </c>
      <c r="AH45" s="40" t="s">
        <v>64</v>
      </c>
      <c r="AI45" s="40" t="s">
        <v>64</v>
      </c>
      <c r="AJ45" s="40" t="s">
        <v>64</v>
      </c>
      <c r="AK45" s="40" t="s">
        <v>64</v>
      </c>
      <c r="AL45" s="40" t="s">
        <v>64</v>
      </c>
      <c r="AM45" s="40" t="s">
        <v>64</v>
      </c>
      <c r="AN45" s="40" t="s">
        <v>64</v>
      </c>
      <c r="AO45" s="40" t="s">
        <v>64</v>
      </c>
      <c r="AP45" s="40" t="s">
        <v>64</v>
      </c>
      <c r="AQ45" s="40" t="s">
        <v>64</v>
      </c>
      <c r="AR45" s="40" t="s">
        <v>64</v>
      </c>
      <c r="AS45" s="40" t="s">
        <v>64</v>
      </c>
      <c r="AT45" s="40" t="s">
        <v>64</v>
      </c>
      <c r="AU45" s="40" t="s">
        <v>64</v>
      </c>
      <c r="AV45" s="40" t="s">
        <v>64</v>
      </c>
      <c r="AW45" s="40" t="s">
        <v>64</v>
      </c>
      <c r="AX45" s="40" t="s">
        <v>64</v>
      </c>
      <c r="AY45" s="40" t="s">
        <v>64</v>
      </c>
      <c r="AZ45" s="40" t="s">
        <v>64</v>
      </c>
      <c r="BA45" s="40" t="s">
        <v>64</v>
      </c>
      <c r="BB45" s="40" t="s">
        <v>64</v>
      </c>
      <c r="BC45" s="40" t="s">
        <v>64</v>
      </c>
      <c r="BD45" s="40" t="s">
        <v>64</v>
      </c>
      <c r="BE45" s="40" t="s">
        <v>64</v>
      </c>
      <c r="BF45" s="40" t="s">
        <v>64</v>
      </c>
      <c r="BG45" s="40" t="s">
        <v>64</v>
      </c>
      <c r="BH45" s="40" t="s">
        <v>64</v>
      </c>
      <c r="BI45" s="40" t="s">
        <v>64</v>
      </c>
      <c r="BJ45" s="40" t="s">
        <v>64</v>
      </c>
      <c r="BK45" s="40" t="s">
        <v>64</v>
      </c>
      <c r="BL45" s="40" t="s">
        <v>64</v>
      </c>
      <c r="BM45" s="40" t="s">
        <v>64</v>
      </c>
      <c r="BN45" s="40" t="s">
        <v>64</v>
      </c>
      <c r="BO45" s="40" t="s">
        <v>64</v>
      </c>
      <c r="BP45" s="40" t="s">
        <v>64</v>
      </c>
      <c r="BQ45" s="40" t="s">
        <v>64</v>
      </c>
      <c r="BR45" s="40" t="s">
        <v>64</v>
      </c>
      <c r="BS45" s="40" t="s">
        <v>64</v>
      </c>
      <c r="BT45" s="40" t="s">
        <v>64</v>
      </c>
      <c r="BU45" s="40" t="s">
        <v>64</v>
      </c>
      <c r="BV45" s="40" t="s">
        <v>64</v>
      </c>
      <c r="BW45" s="40" t="s">
        <v>64</v>
      </c>
      <c r="BX45" s="40" t="s">
        <v>64</v>
      </c>
      <c r="BY45" s="40" t="s">
        <v>64</v>
      </c>
      <c r="BZ45" s="40" t="s">
        <v>64</v>
      </c>
      <c r="CA45" s="40" t="s">
        <v>64</v>
      </c>
      <c r="CB45" s="40" t="s">
        <v>64</v>
      </c>
      <c r="CC45" s="40" t="s">
        <v>64</v>
      </c>
      <c r="CD45" s="40" t="s">
        <v>64</v>
      </c>
      <c r="CE45" s="40" t="s">
        <v>64</v>
      </c>
      <c r="CF45" s="40" t="s">
        <v>64</v>
      </c>
      <c r="CG45" s="40" t="s">
        <v>64</v>
      </c>
      <c r="CH45" s="40" t="s">
        <v>64</v>
      </c>
      <c r="CI45" s="40" t="s">
        <v>64</v>
      </c>
      <c r="CJ45" s="40" t="s">
        <v>64</v>
      </c>
      <c r="CK45" s="40" t="s">
        <v>64</v>
      </c>
      <c r="CL45" s="40" t="s">
        <v>64</v>
      </c>
      <c r="CM45" s="40" t="s">
        <v>64</v>
      </c>
      <c r="CN45" s="40" t="s">
        <v>64</v>
      </c>
      <c r="CO45" s="40" t="s">
        <v>64</v>
      </c>
      <c r="CP45" s="40" t="s">
        <v>64</v>
      </c>
    </row>
    <row r="46" spans="1:94" ht="12" x14ac:dyDescent="0.25">
      <c r="A46" s="39" t="s">
        <v>485</v>
      </c>
      <c r="B46" s="39" t="s">
        <v>536</v>
      </c>
      <c r="C46" s="39" t="s">
        <v>485</v>
      </c>
      <c r="D46" s="40" t="s">
        <v>582</v>
      </c>
      <c r="E46" s="43">
        <v>284525349</v>
      </c>
      <c r="F46" s="40">
        <v>0</v>
      </c>
      <c r="G46" s="40" t="s">
        <v>349</v>
      </c>
      <c r="H46" s="40">
        <v>0</v>
      </c>
      <c r="I46" s="40">
        <v>0</v>
      </c>
      <c r="J46" s="13" t="s">
        <v>91</v>
      </c>
      <c r="K46" s="40" t="s">
        <v>60</v>
      </c>
      <c r="L46" s="40" t="s">
        <v>61</v>
      </c>
      <c r="M46" s="42">
        <v>5.2</v>
      </c>
      <c r="N46" s="40" t="s">
        <v>64</v>
      </c>
      <c r="O46" s="40" t="s">
        <v>64</v>
      </c>
      <c r="P46" s="40" t="s">
        <v>64</v>
      </c>
      <c r="Q46" s="40" t="s">
        <v>64</v>
      </c>
      <c r="R46" s="40" t="s">
        <v>64</v>
      </c>
      <c r="S46" s="13" t="s">
        <v>64</v>
      </c>
      <c r="T46" s="40" t="s">
        <v>64</v>
      </c>
      <c r="U46" s="40" t="s">
        <v>64</v>
      </c>
      <c r="V46" s="42" t="s">
        <v>64</v>
      </c>
      <c r="W46" s="40" t="s">
        <v>64</v>
      </c>
      <c r="X46" s="40" t="s">
        <v>64</v>
      </c>
      <c r="Y46" s="40" t="s">
        <v>64</v>
      </c>
      <c r="Z46" s="40" t="s">
        <v>64</v>
      </c>
      <c r="AA46" s="40" t="s">
        <v>64</v>
      </c>
      <c r="AB46" s="13" t="s">
        <v>64</v>
      </c>
      <c r="AC46" s="40" t="s">
        <v>64</v>
      </c>
      <c r="AD46" s="40" t="s">
        <v>64</v>
      </c>
      <c r="AE46" s="42" t="s">
        <v>64</v>
      </c>
      <c r="AF46" s="40" t="s">
        <v>64</v>
      </c>
      <c r="AG46" s="40" t="s">
        <v>64</v>
      </c>
      <c r="AH46" s="40" t="s">
        <v>64</v>
      </c>
      <c r="AI46" s="40" t="s">
        <v>64</v>
      </c>
      <c r="AJ46" s="40" t="s">
        <v>64</v>
      </c>
      <c r="AK46" s="40" t="s">
        <v>64</v>
      </c>
      <c r="AL46" s="40" t="s">
        <v>64</v>
      </c>
      <c r="AM46" s="40" t="s">
        <v>64</v>
      </c>
      <c r="AN46" s="40" t="s">
        <v>64</v>
      </c>
      <c r="AO46" s="40" t="s">
        <v>64</v>
      </c>
      <c r="AP46" s="40" t="s">
        <v>64</v>
      </c>
      <c r="AQ46" s="40" t="s">
        <v>64</v>
      </c>
      <c r="AR46" s="40" t="s">
        <v>64</v>
      </c>
      <c r="AS46" s="40" t="s">
        <v>64</v>
      </c>
      <c r="AT46" s="40" t="s">
        <v>64</v>
      </c>
      <c r="AU46" s="40" t="s">
        <v>64</v>
      </c>
      <c r="AV46" s="40" t="s">
        <v>64</v>
      </c>
      <c r="AW46" s="40" t="s">
        <v>64</v>
      </c>
      <c r="AX46" s="40" t="s">
        <v>64</v>
      </c>
      <c r="AY46" s="40" t="s">
        <v>64</v>
      </c>
      <c r="AZ46" s="40" t="s">
        <v>64</v>
      </c>
      <c r="BA46" s="40" t="s">
        <v>64</v>
      </c>
      <c r="BB46" s="40" t="s">
        <v>64</v>
      </c>
      <c r="BC46" s="40" t="s">
        <v>64</v>
      </c>
      <c r="BD46" s="40" t="s">
        <v>64</v>
      </c>
      <c r="BE46" s="40" t="s">
        <v>64</v>
      </c>
      <c r="BF46" s="40" t="s">
        <v>64</v>
      </c>
      <c r="BG46" s="40" t="s">
        <v>64</v>
      </c>
      <c r="BH46" s="40" t="s">
        <v>64</v>
      </c>
      <c r="BI46" s="40" t="s">
        <v>64</v>
      </c>
      <c r="BJ46" s="40" t="s">
        <v>64</v>
      </c>
      <c r="BK46" s="40" t="s">
        <v>64</v>
      </c>
      <c r="BL46" s="40" t="s">
        <v>64</v>
      </c>
      <c r="BM46" s="40" t="s">
        <v>64</v>
      </c>
      <c r="BN46" s="40" t="s">
        <v>64</v>
      </c>
      <c r="BO46" s="40" t="s">
        <v>64</v>
      </c>
      <c r="BP46" s="40" t="s">
        <v>64</v>
      </c>
      <c r="BQ46" s="40" t="s">
        <v>64</v>
      </c>
      <c r="BR46" s="40" t="s">
        <v>64</v>
      </c>
      <c r="BS46" s="40" t="s">
        <v>64</v>
      </c>
      <c r="BT46" s="40" t="s">
        <v>64</v>
      </c>
      <c r="BU46" s="40" t="s">
        <v>64</v>
      </c>
      <c r="BV46" s="40" t="s">
        <v>64</v>
      </c>
      <c r="BW46" s="40" t="s">
        <v>64</v>
      </c>
      <c r="BX46" s="40" t="s">
        <v>64</v>
      </c>
      <c r="BY46" s="40" t="s">
        <v>64</v>
      </c>
      <c r="BZ46" s="40" t="s">
        <v>64</v>
      </c>
      <c r="CA46" s="40" t="s">
        <v>64</v>
      </c>
      <c r="CB46" s="40" t="s">
        <v>64</v>
      </c>
      <c r="CC46" s="40" t="s">
        <v>64</v>
      </c>
      <c r="CD46" s="40" t="s">
        <v>64</v>
      </c>
      <c r="CE46" s="40" t="s">
        <v>64</v>
      </c>
      <c r="CF46" s="40" t="s">
        <v>64</v>
      </c>
      <c r="CG46" s="40" t="s">
        <v>64</v>
      </c>
      <c r="CH46" s="40" t="s">
        <v>64</v>
      </c>
      <c r="CI46" s="40" t="s">
        <v>64</v>
      </c>
      <c r="CJ46" s="40" t="s">
        <v>64</v>
      </c>
      <c r="CK46" s="40" t="s">
        <v>64</v>
      </c>
      <c r="CL46" s="40" t="s">
        <v>64</v>
      </c>
      <c r="CM46" s="40" t="s">
        <v>64</v>
      </c>
      <c r="CN46" s="40" t="s">
        <v>64</v>
      </c>
      <c r="CO46" s="40" t="s">
        <v>64</v>
      </c>
      <c r="CP46" s="40" t="s">
        <v>64</v>
      </c>
    </row>
    <row r="47" spans="1:94" ht="12" x14ac:dyDescent="0.25">
      <c r="A47" s="39" t="s">
        <v>486</v>
      </c>
      <c r="B47" s="39" t="s">
        <v>536</v>
      </c>
      <c r="C47" s="39" t="s">
        <v>486</v>
      </c>
      <c r="D47" s="40" t="s">
        <v>583</v>
      </c>
      <c r="E47" s="43">
        <v>284525368</v>
      </c>
      <c r="F47" s="40">
        <v>0</v>
      </c>
      <c r="G47" s="40" t="s">
        <v>349</v>
      </c>
      <c r="H47" s="40">
        <v>0</v>
      </c>
      <c r="I47" s="40">
        <v>0</v>
      </c>
      <c r="J47" s="13" t="s">
        <v>91</v>
      </c>
      <c r="K47" s="40" t="s">
        <v>60</v>
      </c>
      <c r="L47" s="40" t="s">
        <v>61</v>
      </c>
      <c r="M47" s="42">
        <v>5.2</v>
      </c>
      <c r="N47" s="40">
        <v>284525369</v>
      </c>
      <c r="O47" s="40">
        <v>0</v>
      </c>
      <c r="P47" s="40" t="s">
        <v>350</v>
      </c>
      <c r="Q47" s="40">
        <v>0</v>
      </c>
      <c r="R47" s="40">
        <v>0</v>
      </c>
      <c r="S47" s="13" t="s">
        <v>89</v>
      </c>
      <c r="T47" s="40" t="s">
        <v>60</v>
      </c>
      <c r="U47" s="40" t="s">
        <v>61</v>
      </c>
      <c r="V47" s="42">
        <v>2.6</v>
      </c>
      <c r="W47" s="40" t="s">
        <v>64</v>
      </c>
      <c r="X47" s="40" t="s">
        <v>64</v>
      </c>
      <c r="Y47" s="40" t="s">
        <v>64</v>
      </c>
      <c r="Z47" s="40" t="s">
        <v>64</v>
      </c>
      <c r="AA47" s="40" t="s">
        <v>64</v>
      </c>
      <c r="AB47" s="13" t="s">
        <v>64</v>
      </c>
      <c r="AC47" s="40" t="s">
        <v>64</v>
      </c>
      <c r="AD47" s="40" t="s">
        <v>64</v>
      </c>
      <c r="AE47" s="42" t="s">
        <v>64</v>
      </c>
      <c r="AF47" s="40" t="s">
        <v>64</v>
      </c>
      <c r="AG47" s="40" t="s">
        <v>64</v>
      </c>
      <c r="AH47" s="40" t="s">
        <v>64</v>
      </c>
      <c r="AI47" s="40" t="s">
        <v>64</v>
      </c>
      <c r="AJ47" s="40" t="s">
        <v>64</v>
      </c>
      <c r="AK47" s="40" t="s">
        <v>64</v>
      </c>
      <c r="AL47" s="40" t="s">
        <v>64</v>
      </c>
      <c r="AM47" s="40" t="s">
        <v>64</v>
      </c>
      <c r="AN47" s="40" t="s">
        <v>64</v>
      </c>
      <c r="AO47" s="40" t="s">
        <v>64</v>
      </c>
      <c r="AP47" s="40" t="s">
        <v>64</v>
      </c>
      <c r="AQ47" s="40" t="s">
        <v>64</v>
      </c>
      <c r="AR47" s="40" t="s">
        <v>64</v>
      </c>
      <c r="AS47" s="40" t="s">
        <v>64</v>
      </c>
      <c r="AT47" s="40" t="s">
        <v>64</v>
      </c>
      <c r="AU47" s="40" t="s">
        <v>64</v>
      </c>
      <c r="AV47" s="40" t="s">
        <v>64</v>
      </c>
      <c r="AW47" s="40" t="s">
        <v>64</v>
      </c>
      <c r="AX47" s="40" t="s">
        <v>64</v>
      </c>
      <c r="AY47" s="40" t="s">
        <v>64</v>
      </c>
      <c r="AZ47" s="40" t="s">
        <v>64</v>
      </c>
      <c r="BA47" s="40" t="s">
        <v>64</v>
      </c>
      <c r="BB47" s="40" t="s">
        <v>64</v>
      </c>
      <c r="BC47" s="40" t="s">
        <v>64</v>
      </c>
      <c r="BD47" s="40" t="s">
        <v>64</v>
      </c>
      <c r="BE47" s="40" t="s">
        <v>64</v>
      </c>
      <c r="BF47" s="40" t="s">
        <v>64</v>
      </c>
      <c r="BG47" s="40" t="s">
        <v>64</v>
      </c>
      <c r="BH47" s="40" t="s">
        <v>64</v>
      </c>
      <c r="BI47" s="40" t="s">
        <v>64</v>
      </c>
      <c r="BJ47" s="40" t="s">
        <v>64</v>
      </c>
      <c r="BK47" s="40" t="s">
        <v>64</v>
      </c>
      <c r="BL47" s="40" t="s">
        <v>64</v>
      </c>
      <c r="BM47" s="40" t="s">
        <v>64</v>
      </c>
      <c r="BN47" s="40" t="s">
        <v>64</v>
      </c>
      <c r="BO47" s="40" t="s">
        <v>64</v>
      </c>
      <c r="BP47" s="40" t="s">
        <v>64</v>
      </c>
      <c r="BQ47" s="40" t="s">
        <v>64</v>
      </c>
      <c r="BR47" s="40" t="s">
        <v>64</v>
      </c>
      <c r="BS47" s="40" t="s">
        <v>64</v>
      </c>
      <c r="BT47" s="40" t="s">
        <v>64</v>
      </c>
      <c r="BU47" s="40" t="s">
        <v>64</v>
      </c>
      <c r="BV47" s="40" t="s">
        <v>64</v>
      </c>
      <c r="BW47" s="40" t="s">
        <v>64</v>
      </c>
      <c r="BX47" s="40" t="s">
        <v>64</v>
      </c>
      <c r="BY47" s="40" t="s">
        <v>64</v>
      </c>
      <c r="BZ47" s="40" t="s">
        <v>64</v>
      </c>
      <c r="CA47" s="40" t="s">
        <v>64</v>
      </c>
      <c r="CB47" s="40" t="s">
        <v>64</v>
      </c>
      <c r="CC47" s="40" t="s">
        <v>64</v>
      </c>
      <c r="CD47" s="40" t="s">
        <v>64</v>
      </c>
      <c r="CE47" s="40" t="s">
        <v>64</v>
      </c>
      <c r="CF47" s="40" t="s">
        <v>64</v>
      </c>
      <c r="CG47" s="40" t="s">
        <v>64</v>
      </c>
      <c r="CH47" s="40" t="s">
        <v>64</v>
      </c>
      <c r="CI47" s="40" t="s">
        <v>64</v>
      </c>
      <c r="CJ47" s="40" t="s">
        <v>64</v>
      </c>
      <c r="CK47" s="40" t="s">
        <v>64</v>
      </c>
      <c r="CL47" s="40" t="s">
        <v>64</v>
      </c>
      <c r="CM47" s="40" t="s">
        <v>64</v>
      </c>
      <c r="CN47" s="40" t="s">
        <v>64</v>
      </c>
      <c r="CO47" s="40" t="s">
        <v>64</v>
      </c>
      <c r="CP47" s="40" t="s">
        <v>64</v>
      </c>
    </row>
    <row r="48" spans="1:94" ht="12" x14ac:dyDescent="0.25">
      <c r="A48" s="39" t="s">
        <v>487</v>
      </c>
      <c r="B48" s="39" t="s">
        <v>536</v>
      </c>
      <c r="C48" s="39" t="s">
        <v>487</v>
      </c>
      <c r="D48" s="40" t="s">
        <v>584</v>
      </c>
      <c r="E48" s="43">
        <v>284525370</v>
      </c>
      <c r="F48" s="40">
        <v>0</v>
      </c>
      <c r="G48" s="40" t="s">
        <v>349</v>
      </c>
      <c r="H48" s="40">
        <v>0</v>
      </c>
      <c r="I48" s="40">
        <v>0</v>
      </c>
      <c r="J48" s="13" t="s">
        <v>89</v>
      </c>
      <c r="K48" s="40" t="s">
        <v>60</v>
      </c>
      <c r="L48" s="40" t="s">
        <v>61</v>
      </c>
      <c r="M48" s="42">
        <v>5.2</v>
      </c>
      <c r="N48" s="40">
        <v>284525371</v>
      </c>
      <c r="O48" s="40">
        <v>0</v>
      </c>
      <c r="P48" s="40" t="s">
        <v>350</v>
      </c>
      <c r="Q48" s="40">
        <v>0</v>
      </c>
      <c r="R48" s="40">
        <v>0</v>
      </c>
      <c r="S48" s="13" t="s">
        <v>90</v>
      </c>
      <c r="T48" s="40" t="s">
        <v>60</v>
      </c>
      <c r="U48" s="40" t="s">
        <v>61</v>
      </c>
      <c r="V48" s="42">
        <v>2.6</v>
      </c>
      <c r="W48" s="40" t="s">
        <v>64</v>
      </c>
      <c r="X48" s="40" t="s">
        <v>64</v>
      </c>
      <c r="Y48" s="40" t="s">
        <v>64</v>
      </c>
      <c r="Z48" s="40" t="s">
        <v>64</v>
      </c>
      <c r="AA48" s="40" t="s">
        <v>64</v>
      </c>
      <c r="AB48" s="13" t="s">
        <v>64</v>
      </c>
      <c r="AC48" s="40" t="s">
        <v>64</v>
      </c>
      <c r="AD48" s="40" t="s">
        <v>64</v>
      </c>
      <c r="AE48" s="42" t="s">
        <v>64</v>
      </c>
      <c r="AF48" s="40" t="s">
        <v>64</v>
      </c>
      <c r="AG48" s="40" t="s">
        <v>64</v>
      </c>
      <c r="AH48" s="40" t="s">
        <v>64</v>
      </c>
      <c r="AI48" s="40" t="s">
        <v>64</v>
      </c>
      <c r="AJ48" s="40" t="s">
        <v>64</v>
      </c>
      <c r="AK48" s="40" t="s">
        <v>64</v>
      </c>
      <c r="AL48" s="40" t="s">
        <v>64</v>
      </c>
      <c r="AM48" s="40" t="s">
        <v>64</v>
      </c>
      <c r="AN48" s="40" t="s">
        <v>64</v>
      </c>
      <c r="AO48" s="40" t="s">
        <v>64</v>
      </c>
      <c r="AP48" s="40" t="s">
        <v>64</v>
      </c>
      <c r="AQ48" s="40" t="s">
        <v>64</v>
      </c>
      <c r="AR48" s="40" t="s">
        <v>64</v>
      </c>
      <c r="AS48" s="40" t="s">
        <v>64</v>
      </c>
      <c r="AT48" s="40" t="s">
        <v>64</v>
      </c>
      <c r="AU48" s="40" t="s">
        <v>64</v>
      </c>
      <c r="AV48" s="40" t="s">
        <v>64</v>
      </c>
      <c r="AW48" s="40" t="s">
        <v>64</v>
      </c>
      <c r="AX48" s="40" t="s">
        <v>64</v>
      </c>
      <c r="AY48" s="40" t="s">
        <v>64</v>
      </c>
      <c r="AZ48" s="40" t="s">
        <v>64</v>
      </c>
      <c r="BA48" s="40" t="s">
        <v>64</v>
      </c>
      <c r="BB48" s="40" t="s">
        <v>64</v>
      </c>
      <c r="BC48" s="40" t="s">
        <v>64</v>
      </c>
      <c r="BD48" s="40" t="s">
        <v>64</v>
      </c>
      <c r="BE48" s="40" t="s">
        <v>64</v>
      </c>
      <c r="BF48" s="40" t="s">
        <v>64</v>
      </c>
      <c r="BG48" s="40" t="s">
        <v>64</v>
      </c>
      <c r="BH48" s="40" t="s">
        <v>64</v>
      </c>
      <c r="BI48" s="40" t="s">
        <v>64</v>
      </c>
      <c r="BJ48" s="40" t="s">
        <v>64</v>
      </c>
      <c r="BK48" s="40" t="s">
        <v>64</v>
      </c>
      <c r="BL48" s="40" t="s">
        <v>64</v>
      </c>
      <c r="BM48" s="40" t="s">
        <v>64</v>
      </c>
      <c r="BN48" s="40" t="s">
        <v>64</v>
      </c>
      <c r="BO48" s="40" t="s">
        <v>64</v>
      </c>
      <c r="BP48" s="40" t="s">
        <v>64</v>
      </c>
      <c r="BQ48" s="40" t="s">
        <v>64</v>
      </c>
      <c r="BR48" s="40" t="s">
        <v>64</v>
      </c>
      <c r="BS48" s="40" t="s">
        <v>64</v>
      </c>
      <c r="BT48" s="40" t="s">
        <v>64</v>
      </c>
      <c r="BU48" s="40" t="s">
        <v>64</v>
      </c>
      <c r="BV48" s="40" t="s">
        <v>64</v>
      </c>
      <c r="BW48" s="40" t="s">
        <v>64</v>
      </c>
      <c r="BX48" s="40" t="s">
        <v>64</v>
      </c>
      <c r="BY48" s="40" t="s">
        <v>64</v>
      </c>
      <c r="BZ48" s="40" t="s">
        <v>64</v>
      </c>
      <c r="CA48" s="40" t="s">
        <v>64</v>
      </c>
      <c r="CB48" s="40" t="s">
        <v>64</v>
      </c>
      <c r="CC48" s="40" t="s">
        <v>64</v>
      </c>
      <c r="CD48" s="40" t="s">
        <v>64</v>
      </c>
      <c r="CE48" s="40" t="s">
        <v>64</v>
      </c>
      <c r="CF48" s="40" t="s">
        <v>64</v>
      </c>
      <c r="CG48" s="40" t="s">
        <v>64</v>
      </c>
      <c r="CH48" s="40" t="s">
        <v>64</v>
      </c>
      <c r="CI48" s="40" t="s">
        <v>64</v>
      </c>
      <c r="CJ48" s="40" t="s">
        <v>64</v>
      </c>
      <c r="CK48" s="40" t="s">
        <v>64</v>
      </c>
      <c r="CL48" s="40" t="s">
        <v>64</v>
      </c>
      <c r="CM48" s="40" t="s">
        <v>64</v>
      </c>
      <c r="CN48" s="40" t="s">
        <v>64</v>
      </c>
      <c r="CO48" s="40" t="s">
        <v>64</v>
      </c>
      <c r="CP48" s="40" t="s">
        <v>64</v>
      </c>
    </row>
    <row r="49" spans="1:94" ht="12" x14ac:dyDescent="0.25">
      <c r="A49" s="39" t="s">
        <v>488</v>
      </c>
      <c r="B49" s="39" t="s">
        <v>536</v>
      </c>
      <c r="C49" s="39" t="s">
        <v>488</v>
      </c>
      <c r="D49" s="40" t="s">
        <v>585</v>
      </c>
      <c r="E49" s="43">
        <v>284525372</v>
      </c>
      <c r="F49" s="40">
        <v>0</v>
      </c>
      <c r="G49" s="40" t="s">
        <v>349</v>
      </c>
      <c r="H49" s="40">
        <v>0</v>
      </c>
      <c r="I49" s="40">
        <v>0</v>
      </c>
      <c r="J49" s="13" t="s">
        <v>90</v>
      </c>
      <c r="K49" s="40" t="s">
        <v>60</v>
      </c>
      <c r="L49" s="40" t="s">
        <v>61</v>
      </c>
      <c r="M49" s="42">
        <v>4.53</v>
      </c>
      <c r="N49" s="40" t="s">
        <v>64</v>
      </c>
      <c r="O49" s="40" t="s">
        <v>64</v>
      </c>
      <c r="P49" s="40" t="s">
        <v>64</v>
      </c>
      <c r="Q49" s="40" t="s">
        <v>64</v>
      </c>
      <c r="R49" s="40" t="s">
        <v>64</v>
      </c>
      <c r="S49" s="13" t="s">
        <v>64</v>
      </c>
      <c r="T49" s="40" t="s">
        <v>64</v>
      </c>
      <c r="U49" s="40" t="s">
        <v>64</v>
      </c>
      <c r="V49" s="42" t="s">
        <v>64</v>
      </c>
      <c r="W49" s="40" t="s">
        <v>64</v>
      </c>
      <c r="X49" s="40" t="s">
        <v>64</v>
      </c>
      <c r="Y49" s="40" t="s">
        <v>64</v>
      </c>
      <c r="Z49" s="40" t="s">
        <v>64</v>
      </c>
      <c r="AA49" s="40" t="s">
        <v>64</v>
      </c>
      <c r="AB49" s="13" t="s">
        <v>64</v>
      </c>
      <c r="AC49" s="40" t="s">
        <v>64</v>
      </c>
      <c r="AD49" s="40" t="s">
        <v>64</v>
      </c>
      <c r="AE49" s="42" t="s">
        <v>64</v>
      </c>
      <c r="AF49" s="40" t="s">
        <v>64</v>
      </c>
      <c r="AG49" s="40" t="s">
        <v>64</v>
      </c>
      <c r="AH49" s="40" t="s">
        <v>64</v>
      </c>
      <c r="AI49" s="40" t="s">
        <v>64</v>
      </c>
      <c r="AJ49" s="40" t="s">
        <v>64</v>
      </c>
      <c r="AK49" s="40" t="s">
        <v>64</v>
      </c>
      <c r="AL49" s="40" t="s">
        <v>64</v>
      </c>
      <c r="AM49" s="40" t="s">
        <v>64</v>
      </c>
      <c r="AN49" s="40" t="s">
        <v>64</v>
      </c>
      <c r="AO49" s="40" t="s">
        <v>64</v>
      </c>
      <c r="AP49" s="40" t="s">
        <v>64</v>
      </c>
      <c r="AQ49" s="40" t="s">
        <v>64</v>
      </c>
      <c r="AR49" s="40" t="s">
        <v>64</v>
      </c>
      <c r="AS49" s="40" t="s">
        <v>64</v>
      </c>
      <c r="AT49" s="40" t="s">
        <v>64</v>
      </c>
      <c r="AU49" s="40" t="s">
        <v>64</v>
      </c>
      <c r="AV49" s="40" t="s">
        <v>64</v>
      </c>
      <c r="AW49" s="40" t="s">
        <v>64</v>
      </c>
      <c r="AX49" s="40" t="s">
        <v>64</v>
      </c>
      <c r="AY49" s="40" t="s">
        <v>64</v>
      </c>
      <c r="AZ49" s="40" t="s">
        <v>64</v>
      </c>
      <c r="BA49" s="40" t="s">
        <v>64</v>
      </c>
      <c r="BB49" s="40" t="s">
        <v>64</v>
      </c>
      <c r="BC49" s="40" t="s">
        <v>64</v>
      </c>
      <c r="BD49" s="40" t="s">
        <v>64</v>
      </c>
      <c r="BE49" s="40" t="s">
        <v>64</v>
      </c>
      <c r="BF49" s="40" t="s">
        <v>64</v>
      </c>
      <c r="BG49" s="40" t="s">
        <v>64</v>
      </c>
      <c r="BH49" s="40" t="s">
        <v>64</v>
      </c>
      <c r="BI49" s="40" t="s">
        <v>64</v>
      </c>
      <c r="BJ49" s="40" t="s">
        <v>64</v>
      </c>
      <c r="BK49" s="40" t="s">
        <v>64</v>
      </c>
      <c r="BL49" s="40" t="s">
        <v>64</v>
      </c>
      <c r="BM49" s="40" t="s">
        <v>64</v>
      </c>
      <c r="BN49" s="40" t="s">
        <v>64</v>
      </c>
      <c r="BO49" s="40" t="s">
        <v>64</v>
      </c>
      <c r="BP49" s="40" t="s">
        <v>64</v>
      </c>
      <c r="BQ49" s="40" t="s">
        <v>64</v>
      </c>
      <c r="BR49" s="40" t="s">
        <v>64</v>
      </c>
      <c r="BS49" s="40" t="s">
        <v>64</v>
      </c>
      <c r="BT49" s="40" t="s">
        <v>64</v>
      </c>
      <c r="BU49" s="40" t="s">
        <v>64</v>
      </c>
      <c r="BV49" s="40" t="s">
        <v>64</v>
      </c>
      <c r="BW49" s="40" t="s">
        <v>64</v>
      </c>
      <c r="BX49" s="40" t="s">
        <v>64</v>
      </c>
      <c r="BY49" s="40" t="s">
        <v>64</v>
      </c>
      <c r="BZ49" s="40" t="s">
        <v>64</v>
      </c>
      <c r="CA49" s="40" t="s">
        <v>64</v>
      </c>
      <c r="CB49" s="40" t="s">
        <v>64</v>
      </c>
      <c r="CC49" s="40" t="s">
        <v>64</v>
      </c>
      <c r="CD49" s="40" t="s">
        <v>64</v>
      </c>
      <c r="CE49" s="40" t="s">
        <v>64</v>
      </c>
      <c r="CF49" s="40" t="s">
        <v>64</v>
      </c>
      <c r="CG49" s="40" t="s">
        <v>64</v>
      </c>
      <c r="CH49" s="40" t="s">
        <v>64</v>
      </c>
      <c r="CI49" s="40" t="s">
        <v>64</v>
      </c>
      <c r="CJ49" s="40" t="s">
        <v>64</v>
      </c>
      <c r="CK49" s="40" t="s">
        <v>64</v>
      </c>
      <c r="CL49" s="40" t="s">
        <v>64</v>
      </c>
      <c r="CM49" s="40" t="s">
        <v>64</v>
      </c>
      <c r="CN49" s="40" t="s">
        <v>64</v>
      </c>
      <c r="CO49" s="40" t="s">
        <v>64</v>
      </c>
      <c r="CP49" s="40" t="s">
        <v>64</v>
      </c>
    </row>
    <row r="50" spans="1:94" ht="12" x14ac:dyDescent="0.25">
      <c r="A50" s="39" t="s">
        <v>489</v>
      </c>
      <c r="B50" s="39" t="s">
        <v>536</v>
      </c>
      <c r="C50" s="39" t="s">
        <v>489</v>
      </c>
      <c r="D50" s="40" t="s">
        <v>586</v>
      </c>
      <c r="E50" s="43">
        <v>284525374</v>
      </c>
      <c r="F50" s="40">
        <v>0</v>
      </c>
      <c r="G50" s="40" t="s">
        <v>349</v>
      </c>
      <c r="H50" s="40">
        <v>0</v>
      </c>
      <c r="I50" s="40">
        <v>0</v>
      </c>
      <c r="J50" s="13" t="s">
        <v>89</v>
      </c>
      <c r="K50" s="40" t="s">
        <v>60</v>
      </c>
      <c r="L50" s="40" t="s">
        <v>61</v>
      </c>
      <c r="M50" s="42">
        <v>2.6</v>
      </c>
      <c r="N50" s="40">
        <v>284525375</v>
      </c>
      <c r="O50" s="40">
        <v>0</v>
      </c>
      <c r="P50" s="40" t="s">
        <v>350</v>
      </c>
      <c r="Q50" s="40">
        <v>0</v>
      </c>
      <c r="R50" s="40">
        <v>0</v>
      </c>
      <c r="S50" s="13" t="s">
        <v>90</v>
      </c>
      <c r="T50" s="40" t="s">
        <v>60</v>
      </c>
      <c r="U50" s="40" t="s">
        <v>61</v>
      </c>
      <c r="V50" s="42">
        <v>4.53</v>
      </c>
      <c r="W50" s="40" t="s">
        <v>64</v>
      </c>
      <c r="X50" s="40" t="s">
        <v>64</v>
      </c>
      <c r="Y50" s="40" t="s">
        <v>64</v>
      </c>
      <c r="Z50" s="40" t="s">
        <v>64</v>
      </c>
      <c r="AA50" s="40" t="s">
        <v>64</v>
      </c>
      <c r="AB50" s="13" t="s">
        <v>64</v>
      </c>
      <c r="AC50" s="40" t="s">
        <v>64</v>
      </c>
      <c r="AD50" s="40" t="s">
        <v>64</v>
      </c>
      <c r="AE50" s="42" t="s">
        <v>64</v>
      </c>
      <c r="AF50" s="40" t="s">
        <v>64</v>
      </c>
      <c r="AG50" s="40" t="s">
        <v>64</v>
      </c>
      <c r="AH50" s="40" t="s">
        <v>64</v>
      </c>
      <c r="AI50" s="40" t="s">
        <v>64</v>
      </c>
      <c r="AJ50" s="40" t="s">
        <v>64</v>
      </c>
      <c r="AK50" s="40" t="s">
        <v>64</v>
      </c>
      <c r="AL50" s="40" t="s">
        <v>64</v>
      </c>
      <c r="AM50" s="40" t="s">
        <v>64</v>
      </c>
      <c r="AN50" s="40" t="s">
        <v>64</v>
      </c>
      <c r="AO50" s="40" t="s">
        <v>64</v>
      </c>
      <c r="AP50" s="40" t="s">
        <v>64</v>
      </c>
      <c r="AQ50" s="40" t="s">
        <v>64</v>
      </c>
      <c r="AR50" s="40" t="s">
        <v>64</v>
      </c>
      <c r="AS50" s="40" t="s">
        <v>64</v>
      </c>
      <c r="AT50" s="40" t="s">
        <v>64</v>
      </c>
      <c r="AU50" s="40" t="s">
        <v>64</v>
      </c>
      <c r="AV50" s="40" t="s">
        <v>64</v>
      </c>
      <c r="AW50" s="40" t="s">
        <v>64</v>
      </c>
      <c r="AX50" s="40" t="s">
        <v>64</v>
      </c>
      <c r="AY50" s="40" t="s">
        <v>64</v>
      </c>
      <c r="AZ50" s="40" t="s">
        <v>64</v>
      </c>
      <c r="BA50" s="40" t="s">
        <v>64</v>
      </c>
      <c r="BB50" s="40" t="s">
        <v>64</v>
      </c>
      <c r="BC50" s="40" t="s">
        <v>64</v>
      </c>
      <c r="BD50" s="40" t="s">
        <v>64</v>
      </c>
      <c r="BE50" s="40" t="s">
        <v>64</v>
      </c>
      <c r="BF50" s="40" t="s">
        <v>64</v>
      </c>
      <c r="BG50" s="40" t="s">
        <v>64</v>
      </c>
      <c r="BH50" s="40" t="s">
        <v>64</v>
      </c>
      <c r="BI50" s="40" t="s">
        <v>64</v>
      </c>
      <c r="BJ50" s="40" t="s">
        <v>64</v>
      </c>
      <c r="BK50" s="40" t="s">
        <v>64</v>
      </c>
      <c r="BL50" s="40" t="s">
        <v>64</v>
      </c>
      <c r="BM50" s="40" t="s">
        <v>64</v>
      </c>
      <c r="BN50" s="40" t="s">
        <v>64</v>
      </c>
      <c r="BO50" s="40" t="s">
        <v>64</v>
      </c>
      <c r="BP50" s="40" t="s">
        <v>64</v>
      </c>
      <c r="BQ50" s="40" t="s">
        <v>64</v>
      </c>
      <c r="BR50" s="40" t="s">
        <v>64</v>
      </c>
      <c r="BS50" s="40" t="s">
        <v>64</v>
      </c>
      <c r="BT50" s="40" t="s">
        <v>64</v>
      </c>
      <c r="BU50" s="40" t="s">
        <v>64</v>
      </c>
      <c r="BV50" s="40" t="s">
        <v>64</v>
      </c>
      <c r="BW50" s="40" t="s">
        <v>64</v>
      </c>
      <c r="BX50" s="40" t="s">
        <v>64</v>
      </c>
      <c r="BY50" s="40" t="s">
        <v>64</v>
      </c>
      <c r="BZ50" s="40" t="s">
        <v>64</v>
      </c>
      <c r="CA50" s="40" t="s">
        <v>64</v>
      </c>
      <c r="CB50" s="40" t="s">
        <v>64</v>
      </c>
      <c r="CC50" s="40" t="s">
        <v>64</v>
      </c>
      <c r="CD50" s="40" t="s">
        <v>64</v>
      </c>
      <c r="CE50" s="40" t="s">
        <v>64</v>
      </c>
      <c r="CF50" s="40" t="s">
        <v>64</v>
      </c>
      <c r="CG50" s="40" t="s">
        <v>64</v>
      </c>
      <c r="CH50" s="40" t="s">
        <v>64</v>
      </c>
      <c r="CI50" s="40" t="s">
        <v>64</v>
      </c>
      <c r="CJ50" s="40" t="s">
        <v>64</v>
      </c>
      <c r="CK50" s="40" t="s">
        <v>64</v>
      </c>
      <c r="CL50" s="40" t="s">
        <v>64</v>
      </c>
      <c r="CM50" s="40" t="s">
        <v>64</v>
      </c>
      <c r="CN50" s="40" t="s">
        <v>64</v>
      </c>
      <c r="CO50" s="40" t="s">
        <v>64</v>
      </c>
      <c r="CP50" s="40" t="s">
        <v>64</v>
      </c>
    </row>
    <row r="51" spans="1:94" ht="12" x14ac:dyDescent="0.25">
      <c r="A51" s="39" t="s">
        <v>490</v>
      </c>
      <c r="B51" s="39" t="s">
        <v>536</v>
      </c>
      <c r="C51" s="39" t="s">
        <v>490</v>
      </c>
      <c r="D51" s="40" t="s">
        <v>587</v>
      </c>
      <c r="E51" s="43">
        <v>284525373</v>
      </c>
      <c r="F51" s="40">
        <v>0</v>
      </c>
      <c r="G51" s="40" t="s">
        <v>349</v>
      </c>
      <c r="H51" s="40">
        <v>0</v>
      </c>
      <c r="I51" s="40">
        <v>0</v>
      </c>
      <c r="J51" s="13" t="s">
        <v>89</v>
      </c>
      <c r="K51" s="40" t="s">
        <v>60</v>
      </c>
      <c r="L51" s="40" t="s">
        <v>61</v>
      </c>
      <c r="M51" s="42">
        <v>5.2</v>
      </c>
      <c r="N51" s="40" t="s">
        <v>64</v>
      </c>
      <c r="O51" s="40" t="s">
        <v>64</v>
      </c>
      <c r="P51" s="40" t="s">
        <v>64</v>
      </c>
      <c r="Q51" s="40" t="s">
        <v>64</v>
      </c>
      <c r="R51" s="40" t="s">
        <v>64</v>
      </c>
      <c r="S51" s="13" t="s">
        <v>64</v>
      </c>
      <c r="T51" s="40" t="s">
        <v>64</v>
      </c>
      <c r="U51" s="40" t="s">
        <v>64</v>
      </c>
      <c r="V51" s="42" t="s">
        <v>64</v>
      </c>
      <c r="W51" s="40" t="s">
        <v>64</v>
      </c>
      <c r="X51" s="40" t="s">
        <v>64</v>
      </c>
      <c r="Y51" s="40" t="s">
        <v>64</v>
      </c>
      <c r="Z51" s="40" t="s">
        <v>64</v>
      </c>
      <c r="AA51" s="40" t="s">
        <v>64</v>
      </c>
      <c r="AB51" s="13" t="s">
        <v>64</v>
      </c>
      <c r="AC51" s="40" t="s">
        <v>64</v>
      </c>
      <c r="AD51" s="40" t="s">
        <v>64</v>
      </c>
      <c r="AE51" s="42" t="s">
        <v>64</v>
      </c>
      <c r="AF51" s="40" t="s">
        <v>64</v>
      </c>
      <c r="AG51" s="40" t="s">
        <v>64</v>
      </c>
      <c r="AH51" s="40" t="s">
        <v>64</v>
      </c>
      <c r="AI51" s="40" t="s">
        <v>64</v>
      </c>
      <c r="AJ51" s="40" t="s">
        <v>64</v>
      </c>
      <c r="AK51" s="40" t="s">
        <v>64</v>
      </c>
      <c r="AL51" s="40" t="s">
        <v>64</v>
      </c>
      <c r="AM51" s="40" t="s">
        <v>64</v>
      </c>
      <c r="AN51" s="40" t="s">
        <v>64</v>
      </c>
      <c r="AO51" s="40" t="s">
        <v>64</v>
      </c>
      <c r="AP51" s="40" t="s">
        <v>64</v>
      </c>
      <c r="AQ51" s="40" t="s">
        <v>64</v>
      </c>
      <c r="AR51" s="40" t="s">
        <v>64</v>
      </c>
      <c r="AS51" s="40" t="s">
        <v>64</v>
      </c>
      <c r="AT51" s="40" t="s">
        <v>64</v>
      </c>
      <c r="AU51" s="40" t="s">
        <v>64</v>
      </c>
      <c r="AV51" s="40" t="s">
        <v>64</v>
      </c>
      <c r="AW51" s="40" t="s">
        <v>64</v>
      </c>
      <c r="AX51" s="40" t="s">
        <v>64</v>
      </c>
      <c r="AY51" s="40" t="s">
        <v>64</v>
      </c>
      <c r="AZ51" s="40" t="s">
        <v>64</v>
      </c>
      <c r="BA51" s="40" t="s">
        <v>64</v>
      </c>
      <c r="BB51" s="40" t="s">
        <v>64</v>
      </c>
      <c r="BC51" s="40" t="s">
        <v>64</v>
      </c>
      <c r="BD51" s="40" t="s">
        <v>64</v>
      </c>
      <c r="BE51" s="40" t="s">
        <v>64</v>
      </c>
      <c r="BF51" s="40" t="s">
        <v>64</v>
      </c>
      <c r="BG51" s="40" t="s">
        <v>64</v>
      </c>
      <c r="BH51" s="40" t="s">
        <v>64</v>
      </c>
      <c r="BI51" s="40" t="s">
        <v>64</v>
      </c>
      <c r="BJ51" s="40" t="s">
        <v>64</v>
      </c>
      <c r="BK51" s="40" t="s">
        <v>64</v>
      </c>
      <c r="BL51" s="40" t="s">
        <v>64</v>
      </c>
      <c r="BM51" s="40" t="s">
        <v>64</v>
      </c>
      <c r="BN51" s="40" t="s">
        <v>64</v>
      </c>
      <c r="BO51" s="40" t="s">
        <v>64</v>
      </c>
      <c r="BP51" s="40" t="s">
        <v>64</v>
      </c>
      <c r="BQ51" s="40" t="s">
        <v>64</v>
      </c>
      <c r="BR51" s="40" t="s">
        <v>64</v>
      </c>
      <c r="BS51" s="40" t="s">
        <v>64</v>
      </c>
      <c r="BT51" s="40" t="s">
        <v>64</v>
      </c>
      <c r="BU51" s="40" t="s">
        <v>64</v>
      </c>
      <c r="BV51" s="40" t="s">
        <v>64</v>
      </c>
      <c r="BW51" s="40" t="s">
        <v>64</v>
      </c>
      <c r="BX51" s="40" t="s">
        <v>64</v>
      </c>
      <c r="BY51" s="40" t="s">
        <v>64</v>
      </c>
      <c r="BZ51" s="40" t="s">
        <v>64</v>
      </c>
      <c r="CA51" s="40" t="s">
        <v>64</v>
      </c>
      <c r="CB51" s="40" t="s">
        <v>64</v>
      </c>
      <c r="CC51" s="40" t="s">
        <v>64</v>
      </c>
      <c r="CD51" s="40" t="s">
        <v>64</v>
      </c>
      <c r="CE51" s="40" t="s">
        <v>64</v>
      </c>
      <c r="CF51" s="40" t="s">
        <v>64</v>
      </c>
      <c r="CG51" s="40" t="s">
        <v>64</v>
      </c>
      <c r="CH51" s="40" t="s">
        <v>64</v>
      </c>
      <c r="CI51" s="40" t="s">
        <v>64</v>
      </c>
      <c r="CJ51" s="40" t="s">
        <v>64</v>
      </c>
      <c r="CK51" s="40" t="s">
        <v>64</v>
      </c>
      <c r="CL51" s="40" t="s">
        <v>64</v>
      </c>
      <c r="CM51" s="40" t="s">
        <v>64</v>
      </c>
      <c r="CN51" s="40" t="s">
        <v>64</v>
      </c>
      <c r="CO51" s="40" t="s">
        <v>64</v>
      </c>
      <c r="CP51" s="40" t="s">
        <v>64</v>
      </c>
    </row>
    <row r="52" spans="1:94" ht="12" x14ac:dyDescent="0.25">
      <c r="A52" s="39" t="s">
        <v>491</v>
      </c>
      <c r="B52" s="39" t="s">
        <v>536</v>
      </c>
      <c r="C52" s="39" t="s">
        <v>491</v>
      </c>
      <c r="D52" s="40" t="s">
        <v>588</v>
      </c>
      <c r="E52" s="43">
        <v>284525387</v>
      </c>
      <c r="F52" s="40">
        <v>0</v>
      </c>
      <c r="G52" s="40" t="s">
        <v>349</v>
      </c>
      <c r="H52" s="40">
        <v>0</v>
      </c>
      <c r="I52" s="40">
        <v>0</v>
      </c>
      <c r="J52" s="13" t="s">
        <v>88</v>
      </c>
      <c r="K52" s="40" t="s">
        <v>60</v>
      </c>
      <c r="L52" s="40" t="s">
        <v>61</v>
      </c>
      <c r="M52" s="42">
        <v>2.6</v>
      </c>
      <c r="N52" s="40" t="s">
        <v>64</v>
      </c>
      <c r="O52" s="40" t="s">
        <v>64</v>
      </c>
      <c r="P52" s="40" t="s">
        <v>64</v>
      </c>
      <c r="Q52" s="40" t="s">
        <v>64</v>
      </c>
      <c r="R52" s="40" t="s">
        <v>64</v>
      </c>
      <c r="S52" s="13" t="s">
        <v>64</v>
      </c>
      <c r="T52" s="40" t="s">
        <v>64</v>
      </c>
      <c r="U52" s="40" t="s">
        <v>64</v>
      </c>
      <c r="V52" s="42" t="s">
        <v>64</v>
      </c>
      <c r="W52" s="40" t="s">
        <v>64</v>
      </c>
      <c r="X52" s="40" t="s">
        <v>64</v>
      </c>
      <c r="Y52" s="40" t="s">
        <v>64</v>
      </c>
      <c r="Z52" s="40" t="s">
        <v>64</v>
      </c>
      <c r="AA52" s="40" t="s">
        <v>64</v>
      </c>
      <c r="AB52" s="13" t="s">
        <v>64</v>
      </c>
      <c r="AC52" s="40" t="s">
        <v>64</v>
      </c>
      <c r="AD52" s="40" t="s">
        <v>64</v>
      </c>
      <c r="AE52" s="42" t="s">
        <v>64</v>
      </c>
      <c r="AF52" s="40" t="s">
        <v>64</v>
      </c>
      <c r="AG52" s="40" t="s">
        <v>64</v>
      </c>
      <c r="AH52" s="40" t="s">
        <v>64</v>
      </c>
      <c r="AI52" s="40" t="s">
        <v>64</v>
      </c>
      <c r="AJ52" s="40" t="s">
        <v>64</v>
      </c>
      <c r="AK52" s="40" t="s">
        <v>64</v>
      </c>
      <c r="AL52" s="40" t="s">
        <v>64</v>
      </c>
      <c r="AM52" s="40" t="s">
        <v>64</v>
      </c>
      <c r="AN52" s="40" t="s">
        <v>64</v>
      </c>
      <c r="AO52" s="40" t="s">
        <v>64</v>
      </c>
      <c r="AP52" s="40" t="s">
        <v>64</v>
      </c>
      <c r="AQ52" s="40" t="s">
        <v>64</v>
      </c>
      <c r="AR52" s="40" t="s">
        <v>64</v>
      </c>
      <c r="AS52" s="40" t="s">
        <v>64</v>
      </c>
      <c r="AT52" s="40" t="s">
        <v>64</v>
      </c>
      <c r="AU52" s="40" t="s">
        <v>64</v>
      </c>
      <c r="AV52" s="40" t="s">
        <v>64</v>
      </c>
      <c r="AW52" s="40" t="s">
        <v>64</v>
      </c>
      <c r="AX52" s="40" t="s">
        <v>64</v>
      </c>
      <c r="AY52" s="40" t="s">
        <v>64</v>
      </c>
      <c r="AZ52" s="40" t="s">
        <v>64</v>
      </c>
      <c r="BA52" s="40" t="s">
        <v>64</v>
      </c>
      <c r="BB52" s="40" t="s">
        <v>64</v>
      </c>
      <c r="BC52" s="40" t="s">
        <v>64</v>
      </c>
      <c r="BD52" s="40" t="s">
        <v>64</v>
      </c>
      <c r="BE52" s="40" t="s">
        <v>64</v>
      </c>
      <c r="BF52" s="40" t="s">
        <v>64</v>
      </c>
      <c r="BG52" s="40" t="s">
        <v>64</v>
      </c>
      <c r="BH52" s="40" t="s">
        <v>64</v>
      </c>
      <c r="BI52" s="40" t="s">
        <v>64</v>
      </c>
      <c r="BJ52" s="40" t="s">
        <v>64</v>
      </c>
      <c r="BK52" s="40" t="s">
        <v>64</v>
      </c>
      <c r="BL52" s="40" t="s">
        <v>64</v>
      </c>
      <c r="BM52" s="40" t="s">
        <v>64</v>
      </c>
      <c r="BN52" s="40" t="s">
        <v>64</v>
      </c>
      <c r="BO52" s="40" t="s">
        <v>64</v>
      </c>
      <c r="BP52" s="40" t="s">
        <v>64</v>
      </c>
      <c r="BQ52" s="40" t="s">
        <v>64</v>
      </c>
      <c r="BR52" s="40" t="s">
        <v>64</v>
      </c>
      <c r="BS52" s="40" t="s">
        <v>64</v>
      </c>
      <c r="BT52" s="40" t="s">
        <v>64</v>
      </c>
      <c r="BU52" s="40" t="s">
        <v>64</v>
      </c>
      <c r="BV52" s="40" t="s">
        <v>64</v>
      </c>
      <c r="BW52" s="40" t="s">
        <v>64</v>
      </c>
      <c r="BX52" s="40" t="s">
        <v>64</v>
      </c>
      <c r="BY52" s="40" t="s">
        <v>64</v>
      </c>
      <c r="BZ52" s="40" t="s">
        <v>64</v>
      </c>
      <c r="CA52" s="40" t="s">
        <v>64</v>
      </c>
      <c r="CB52" s="40" t="s">
        <v>64</v>
      </c>
      <c r="CC52" s="40" t="s">
        <v>64</v>
      </c>
      <c r="CD52" s="40" t="s">
        <v>64</v>
      </c>
      <c r="CE52" s="40" t="s">
        <v>64</v>
      </c>
      <c r="CF52" s="40" t="s">
        <v>64</v>
      </c>
      <c r="CG52" s="40" t="s">
        <v>64</v>
      </c>
      <c r="CH52" s="40" t="s">
        <v>64</v>
      </c>
      <c r="CI52" s="40" t="s">
        <v>64</v>
      </c>
      <c r="CJ52" s="40" t="s">
        <v>64</v>
      </c>
      <c r="CK52" s="40" t="s">
        <v>64</v>
      </c>
      <c r="CL52" s="40" t="s">
        <v>64</v>
      </c>
      <c r="CM52" s="40" t="s">
        <v>64</v>
      </c>
      <c r="CN52" s="40" t="s">
        <v>64</v>
      </c>
      <c r="CO52" s="40" t="s">
        <v>64</v>
      </c>
      <c r="CP52" s="40" t="s">
        <v>64</v>
      </c>
    </row>
    <row r="53" spans="1:94" ht="12" x14ac:dyDescent="0.25">
      <c r="A53" s="39" t="s">
        <v>492</v>
      </c>
      <c r="B53" s="39" t="s">
        <v>536</v>
      </c>
      <c r="C53" s="39" t="s">
        <v>492</v>
      </c>
      <c r="D53" s="40" t="s">
        <v>589</v>
      </c>
      <c r="E53" s="43">
        <v>284525399</v>
      </c>
      <c r="F53" s="40">
        <v>0</v>
      </c>
      <c r="G53" s="40" t="s">
        <v>349</v>
      </c>
      <c r="H53" s="40">
        <v>0</v>
      </c>
      <c r="I53" s="40">
        <v>0</v>
      </c>
      <c r="J53" s="13" t="s">
        <v>89</v>
      </c>
      <c r="K53" s="40" t="s">
        <v>60</v>
      </c>
      <c r="L53" s="40" t="s">
        <v>61</v>
      </c>
      <c r="M53" s="42">
        <v>5.2</v>
      </c>
      <c r="N53" s="40" t="s">
        <v>64</v>
      </c>
      <c r="O53" s="40" t="s">
        <v>64</v>
      </c>
      <c r="P53" s="40" t="s">
        <v>64</v>
      </c>
      <c r="Q53" s="40" t="s">
        <v>64</v>
      </c>
      <c r="R53" s="40" t="s">
        <v>64</v>
      </c>
      <c r="S53" s="13" t="s">
        <v>64</v>
      </c>
      <c r="T53" s="40" t="s">
        <v>64</v>
      </c>
      <c r="U53" s="40" t="s">
        <v>64</v>
      </c>
      <c r="V53" s="42" t="s">
        <v>64</v>
      </c>
      <c r="W53" s="40" t="s">
        <v>64</v>
      </c>
      <c r="X53" s="40" t="s">
        <v>64</v>
      </c>
      <c r="Y53" s="40" t="s">
        <v>64</v>
      </c>
      <c r="Z53" s="40" t="s">
        <v>64</v>
      </c>
      <c r="AA53" s="40" t="s">
        <v>64</v>
      </c>
      <c r="AB53" s="13" t="s">
        <v>64</v>
      </c>
      <c r="AC53" s="40" t="s">
        <v>64</v>
      </c>
      <c r="AD53" s="40" t="s">
        <v>64</v>
      </c>
      <c r="AE53" s="42" t="s">
        <v>64</v>
      </c>
      <c r="AF53" s="40" t="s">
        <v>64</v>
      </c>
      <c r="AG53" s="40" t="s">
        <v>64</v>
      </c>
      <c r="AH53" s="40" t="s">
        <v>64</v>
      </c>
      <c r="AI53" s="40" t="s">
        <v>64</v>
      </c>
      <c r="AJ53" s="40" t="s">
        <v>64</v>
      </c>
      <c r="AK53" s="40" t="s">
        <v>64</v>
      </c>
      <c r="AL53" s="40" t="s">
        <v>64</v>
      </c>
      <c r="AM53" s="40" t="s">
        <v>64</v>
      </c>
      <c r="AN53" s="40" t="s">
        <v>64</v>
      </c>
      <c r="AO53" s="40" t="s">
        <v>64</v>
      </c>
      <c r="AP53" s="40" t="s">
        <v>64</v>
      </c>
      <c r="AQ53" s="40" t="s">
        <v>64</v>
      </c>
      <c r="AR53" s="40" t="s">
        <v>64</v>
      </c>
      <c r="AS53" s="40" t="s">
        <v>64</v>
      </c>
      <c r="AT53" s="40" t="s">
        <v>64</v>
      </c>
      <c r="AU53" s="40" t="s">
        <v>64</v>
      </c>
      <c r="AV53" s="40" t="s">
        <v>64</v>
      </c>
      <c r="AW53" s="40" t="s">
        <v>64</v>
      </c>
      <c r="AX53" s="40" t="s">
        <v>64</v>
      </c>
      <c r="AY53" s="40" t="s">
        <v>64</v>
      </c>
      <c r="AZ53" s="40" t="s">
        <v>64</v>
      </c>
      <c r="BA53" s="40" t="s">
        <v>64</v>
      </c>
      <c r="BB53" s="40" t="s">
        <v>64</v>
      </c>
      <c r="BC53" s="40" t="s">
        <v>64</v>
      </c>
      <c r="BD53" s="40" t="s">
        <v>64</v>
      </c>
      <c r="BE53" s="40" t="s">
        <v>64</v>
      </c>
      <c r="BF53" s="40" t="s">
        <v>64</v>
      </c>
      <c r="BG53" s="40" t="s">
        <v>64</v>
      </c>
      <c r="BH53" s="40" t="s">
        <v>64</v>
      </c>
      <c r="BI53" s="40" t="s">
        <v>64</v>
      </c>
      <c r="BJ53" s="40" t="s">
        <v>64</v>
      </c>
      <c r="BK53" s="40" t="s">
        <v>64</v>
      </c>
      <c r="BL53" s="40" t="s">
        <v>64</v>
      </c>
      <c r="BM53" s="40" t="s">
        <v>64</v>
      </c>
      <c r="BN53" s="40" t="s">
        <v>64</v>
      </c>
      <c r="BO53" s="40" t="s">
        <v>64</v>
      </c>
      <c r="BP53" s="40" t="s">
        <v>64</v>
      </c>
      <c r="BQ53" s="40" t="s">
        <v>64</v>
      </c>
      <c r="BR53" s="40" t="s">
        <v>64</v>
      </c>
      <c r="BS53" s="40" t="s">
        <v>64</v>
      </c>
      <c r="BT53" s="40" t="s">
        <v>64</v>
      </c>
      <c r="BU53" s="40" t="s">
        <v>64</v>
      </c>
      <c r="BV53" s="40" t="s">
        <v>64</v>
      </c>
      <c r="BW53" s="40" t="s">
        <v>64</v>
      </c>
      <c r="BX53" s="40" t="s">
        <v>64</v>
      </c>
      <c r="BY53" s="40" t="s">
        <v>64</v>
      </c>
      <c r="BZ53" s="40" t="s">
        <v>64</v>
      </c>
      <c r="CA53" s="40" t="s">
        <v>64</v>
      </c>
      <c r="CB53" s="40" t="s">
        <v>64</v>
      </c>
      <c r="CC53" s="40" t="s">
        <v>64</v>
      </c>
      <c r="CD53" s="40" t="s">
        <v>64</v>
      </c>
      <c r="CE53" s="40" t="s">
        <v>64</v>
      </c>
      <c r="CF53" s="40" t="s">
        <v>64</v>
      </c>
      <c r="CG53" s="40" t="s">
        <v>64</v>
      </c>
      <c r="CH53" s="40" t="s">
        <v>64</v>
      </c>
      <c r="CI53" s="40" t="s">
        <v>64</v>
      </c>
      <c r="CJ53" s="40" t="s">
        <v>64</v>
      </c>
      <c r="CK53" s="40" t="s">
        <v>64</v>
      </c>
      <c r="CL53" s="40" t="s">
        <v>64</v>
      </c>
      <c r="CM53" s="40" t="s">
        <v>64</v>
      </c>
      <c r="CN53" s="40" t="s">
        <v>64</v>
      </c>
      <c r="CO53" s="40" t="s">
        <v>64</v>
      </c>
      <c r="CP53" s="40" t="s">
        <v>64</v>
      </c>
    </row>
    <row r="54" spans="1:94" ht="12" x14ac:dyDescent="0.25">
      <c r="A54" s="39" t="s">
        <v>493</v>
      </c>
      <c r="B54" s="39" t="s">
        <v>536</v>
      </c>
      <c r="C54" s="39" t="s">
        <v>493</v>
      </c>
      <c r="D54" s="40" t="s">
        <v>590</v>
      </c>
      <c r="E54" s="43">
        <v>284525405</v>
      </c>
      <c r="F54" s="40">
        <v>0</v>
      </c>
      <c r="G54" s="40" t="s">
        <v>349</v>
      </c>
      <c r="H54" s="40">
        <v>0</v>
      </c>
      <c r="I54" s="40">
        <v>0</v>
      </c>
      <c r="J54" s="13" t="s">
        <v>88</v>
      </c>
      <c r="K54" s="40" t="s">
        <v>60</v>
      </c>
      <c r="L54" s="40" t="s">
        <v>61</v>
      </c>
      <c r="M54" s="42">
        <v>5.2</v>
      </c>
      <c r="N54" s="40" t="s">
        <v>64</v>
      </c>
      <c r="O54" s="40" t="s">
        <v>64</v>
      </c>
      <c r="P54" s="40" t="s">
        <v>64</v>
      </c>
      <c r="Q54" s="40" t="s">
        <v>64</v>
      </c>
      <c r="R54" s="40" t="s">
        <v>64</v>
      </c>
      <c r="S54" s="13" t="s">
        <v>64</v>
      </c>
      <c r="T54" s="40" t="s">
        <v>64</v>
      </c>
      <c r="U54" s="40" t="s">
        <v>64</v>
      </c>
      <c r="V54" s="42" t="s">
        <v>64</v>
      </c>
      <c r="W54" s="40" t="s">
        <v>64</v>
      </c>
      <c r="X54" s="40" t="s">
        <v>64</v>
      </c>
      <c r="Y54" s="40" t="s">
        <v>64</v>
      </c>
      <c r="Z54" s="40" t="s">
        <v>64</v>
      </c>
      <c r="AA54" s="40" t="s">
        <v>64</v>
      </c>
      <c r="AB54" s="13" t="s">
        <v>64</v>
      </c>
      <c r="AC54" s="40" t="s">
        <v>64</v>
      </c>
      <c r="AD54" s="40" t="s">
        <v>64</v>
      </c>
      <c r="AE54" s="42" t="s">
        <v>64</v>
      </c>
      <c r="AF54" s="40" t="s">
        <v>64</v>
      </c>
      <c r="AG54" s="40" t="s">
        <v>64</v>
      </c>
      <c r="AH54" s="40" t="s">
        <v>64</v>
      </c>
      <c r="AI54" s="40" t="s">
        <v>64</v>
      </c>
      <c r="AJ54" s="40" t="s">
        <v>64</v>
      </c>
      <c r="AK54" s="40" t="s">
        <v>64</v>
      </c>
      <c r="AL54" s="40" t="s">
        <v>64</v>
      </c>
      <c r="AM54" s="40" t="s">
        <v>64</v>
      </c>
      <c r="AN54" s="40" t="s">
        <v>64</v>
      </c>
      <c r="AO54" s="40" t="s">
        <v>64</v>
      </c>
      <c r="AP54" s="40" t="s">
        <v>64</v>
      </c>
      <c r="AQ54" s="40" t="s">
        <v>64</v>
      </c>
      <c r="AR54" s="40" t="s">
        <v>64</v>
      </c>
      <c r="AS54" s="40" t="s">
        <v>64</v>
      </c>
      <c r="AT54" s="40" t="s">
        <v>64</v>
      </c>
      <c r="AU54" s="40" t="s">
        <v>64</v>
      </c>
      <c r="AV54" s="40" t="s">
        <v>64</v>
      </c>
      <c r="AW54" s="40" t="s">
        <v>64</v>
      </c>
      <c r="AX54" s="40" t="s">
        <v>64</v>
      </c>
      <c r="AY54" s="40" t="s">
        <v>64</v>
      </c>
      <c r="AZ54" s="40" t="s">
        <v>64</v>
      </c>
      <c r="BA54" s="40" t="s">
        <v>64</v>
      </c>
      <c r="BB54" s="40" t="s">
        <v>64</v>
      </c>
      <c r="BC54" s="40" t="s">
        <v>64</v>
      </c>
      <c r="BD54" s="40" t="s">
        <v>64</v>
      </c>
      <c r="BE54" s="40" t="s">
        <v>64</v>
      </c>
      <c r="BF54" s="40" t="s">
        <v>64</v>
      </c>
      <c r="BG54" s="40" t="s">
        <v>64</v>
      </c>
      <c r="BH54" s="40" t="s">
        <v>64</v>
      </c>
      <c r="BI54" s="40" t="s">
        <v>64</v>
      </c>
      <c r="BJ54" s="40" t="s">
        <v>64</v>
      </c>
      <c r="BK54" s="40" t="s">
        <v>64</v>
      </c>
      <c r="BL54" s="40" t="s">
        <v>64</v>
      </c>
      <c r="BM54" s="40" t="s">
        <v>64</v>
      </c>
      <c r="BN54" s="40" t="s">
        <v>64</v>
      </c>
      <c r="BO54" s="40" t="s">
        <v>64</v>
      </c>
      <c r="BP54" s="40" t="s">
        <v>64</v>
      </c>
      <c r="BQ54" s="40" t="s">
        <v>64</v>
      </c>
      <c r="BR54" s="40" t="s">
        <v>64</v>
      </c>
      <c r="BS54" s="40" t="s">
        <v>64</v>
      </c>
      <c r="BT54" s="40" t="s">
        <v>64</v>
      </c>
      <c r="BU54" s="40" t="s">
        <v>64</v>
      </c>
      <c r="BV54" s="40" t="s">
        <v>64</v>
      </c>
      <c r="BW54" s="40" t="s">
        <v>64</v>
      </c>
      <c r="BX54" s="40" t="s">
        <v>64</v>
      </c>
      <c r="BY54" s="40" t="s">
        <v>64</v>
      </c>
      <c r="BZ54" s="40" t="s">
        <v>64</v>
      </c>
      <c r="CA54" s="40" t="s">
        <v>64</v>
      </c>
      <c r="CB54" s="40" t="s">
        <v>64</v>
      </c>
      <c r="CC54" s="40" t="s">
        <v>64</v>
      </c>
      <c r="CD54" s="40" t="s">
        <v>64</v>
      </c>
      <c r="CE54" s="40" t="s">
        <v>64</v>
      </c>
      <c r="CF54" s="40" t="s">
        <v>64</v>
      </c>
      <c r="CG54" s="40" t="s">
        <v>64</v>
      </c>
      <c r="CH54" s="40" t="s">
        <v>64</v>
      </c>
      <c r="CI54" s="40" t="s">
        <v>64</v>
      </c>
      <c r="CJ54" s="40" t="s">
        <v>64</v>
      </c>
      <c r="CK54" s="40" t="s">
        <v>64</v>
      </c>
      <c r="CL54" s="40" t="s">
        <v>64</v>
      </c>
      <c r="CM54" s="40" t="s">
        <v>64</v>
      </c>
      <c r="CN54" s="40" t="s">
        <v>64</v>
      </c>
      <c r="CO54" s="40" t="s">
        <v>64</v>
      </c>
      <c r="CP54" s="40" t="s">
        <v>64</v>
      </c>
    </row>
    <row r="55" spans="1:94" ht="12" x14ac:dyDescent="0.25">
      <c r="A55" s="39" t="s">
        <v>494</v>
      </c>
      <c r="B55" s="39" t="s">
        <v>536</v>
      </c>
      <c r="C55" s="39" t="s">
        <v>494</v>
      </c>
      <c r="D55" s="40" t="s">
        <v>591</v>
      </c>
      <c r="E55" s="43">
        <v>284525408</v>
      </c>
      <c r="F55" s="40">
        <v>0</v>
      </c>
      <c r="G55" s="40" t="s">
        <v>349</v>
      </c>
      <c r="H55" s="40">
        <v>0</v>
      </c>
      <c r="I55" s="40">
        <v>0</v>
      </c>
      <c r="J55" s="13" t="s">
        <v>89</v>
      </c>
      <c r="K55" s="40" t="s">
        <v>60</v>
      </c>
      <c r="L55" s="40" t="s">
        <v>61</v>
      </c>
      <c r="M55" s="42">
        <v>2.6</v>
      </c>
      <c r="N55" s="40" t="s">
        <v>64</v>
      </c>
      <c r="O55" s="40" t="s">
        <v>64</v>
      </c>
      <c r="P55" s="40" t="s">
        <v>64</v>
      </c>
      <c r="Q55" s="40" t="s">
        <v>64</v>
      </c>
      <c r="R55" s="40" t="s">
        <v>64</v>
      </c>
      <c r="S55" s="13" t="s">
        <v>64</v>
      </c>
      <c r="T55" s="40" t="s">
        <v>64</v>
      </c>
      <c r="U55" s="40" t="s">
        <v>64</v>
      </c>
      <c r="V55" s="42" t="s">
        <v>64</v>
      </c>
      <c r="W55" s="40" t="s">
        <v>64</v>
      </c>
      <c r="X55" s="40" t="s">
        <v>64</v>
      </c>
      <c r="Y55" s="40" t="s">
        <v>64</v>
      </c>
      <c r="Z55" s="40" t="s">
        <v>64</v>
      </c>
      <c r="AA55" s="40" t="s">
        <v>64</v>
      </c>
      <c r="AB55" s="13" t="s">
        <v>64</v>
      </c>
      <c r="AC55" s="40" t="s">
        <v>64</v>
      </c>
      <c r="AD55" s="40" t="s">
        <v>64</v>
      </c>
      <c r="AE55" s="42" t="s">
        <v>64</v>
      </c>
      <c r="AF55" s="40" t="s">
        <v>64</v>
      </c>
      <c r="AG55" s="40" t="s">
        <v>64</v>
      </c>
      <c r="AH55" s="40" t="s">
        <v>64</v>
      </c>
      <c r="AI55" s="40" t="s">
        <v>64</v>
      </c>
      <c r="AJ55" s="40" t="s">
        <v>64</v>
      </c>
      <c r="AK55" s="40" t="s">
        <v>64</v>
      </c>
      <c r="AL55" s="40" t="s">
        <v>64</v>
      </c>
      <c r="AM55" s="40" t="s">
        <v>64</v>
      </c>
      <c r="AN55" s="40" t="s">
        <v>64</v>
      </c>
      <c r="AO55" s="40" t="s">
        <v>64</v>
      </c>
      <c r="AP55" s="40" t="s">
        <v>64</v>
      </c>
      <c r="AQ55" s="40" t="s">
        <v>64</v>
      </c>
      <c r="AR55" s="40" t="s">
        <v>64</v>
      </c>
      <c r="AS55" s="40" t="s">
        <v>64</v>
      </c>
      <c r="AT55" s="40" t="s">
        <v>64</v>
      </c>
      <c r="AU55" s="40" t="s">
        <v>64</v>
      </c>
      <c r="AV55" s="40" t="s">
        <v>64</v>
      </c>
      <c r="AW55" s="40" t="s">
        <v>64</v>
      </c>
      <c r="AX55" s="40" t="s">
        <v>64</v>
      </c>
      <c r="AY55" s="40" t="s">
        <v>64</v>
      </c>
      <c r="AZ55" s="40" t="s">
        <v>64</v>
      </c>
      <c r="BA55" s="40" t="s">
        <v>64</v>
      </c>
      <c r="BB55" s="40" t="s">
        <v>64</v>
      </c>
      <c r="BC55" s="40" t="s">
        <v>64</v>
      </c>
      <c r="BD55" s="40" t="s">
        <v>64</v>
      </c>
      <c r="BE55" s="40" t="s">
        <v>64</v>
      </c>
      <c r="BF55" s="40" t="s">
        <v>64</v>
      </c>
      <c r="BG55" s="40" t="s">
        <v>64</v>
      </c>
      <c r="BH55" s="40" t="s">
        <v>64</v>
      </c>
      <c r="BI55" s="40" t="s">
        <v>64</v>
      </c>
      <c r="BJ55" s="40" t="s">
        <v>64</v>
      </c>
      <c r="BK55" s="40" t="s">
        <v>64</v>
      </c>
      <c r="BL55" s="40" t="s">
        <v>64</v>
      </c>
      <c r="BM55" s="40" t="s">
        <v>64</v>
      </c>
      <c r="BN55" s="40" t="s">
        <v>64</v>
      </c>
      <c r="BO55" s="40" t="s">
        <v>64</v>
      </c>
      <c r="BP55" s="40" t="s">
        <v>64</v>
      </c>
      <c r="BQ55" s="40" t="s">
        <v>64</v>
      </c>
      <c r="BR55" s="40" t="s">
        <v>64</v>
      </c>
      <c r="BS55" s="40" t="s">
        <v>64</v>
      </c>
      <c r="BT55" s="40" t="s">
        <v>64</v>
      </c>
      <c r="BU55" s="40" t="s">
        <v>64</v>
      </c>
      <c r="BV55" s="40" t="s">
        <v>64</v>
      </c>
      <c r="BW55" s="40" t="s">
        <v>64</v>
      </c>
      <c r="BX55" s="40" t="s">
        <v>64</v>
      </c>
      <c r="BY55" s="40" t="s">
        <v>64</v>
      </c>
      <c r="BZ55" s="40" t="s">
        <v>64</v>
      </c>
      <c r="CA55" s="40" t="s">
        <v>64</v>
      </c>
      <c r="CB55" s="40" t="s">
        <v>64</v>
      </c>
      <c r="CC55" s="40" t="s">
        <v>64</v>
      </c>
      <c r="CD55" s="40" t="s">
        <v>64</v>
      </c>
      <c r="CE55" s="40" t="s">
        <v>64</v>
      </c>
      <c r="CF55" s="40" t="s">
        <v>64</v>
      </c>
      <c r="CG55" s="40" t="s">
        <v>64</v>
      </c>
      <c r="CH55" s="40" t="s">
        <v>64</v>
      </c>
      <c r="CI55" s="40" t="s">
        <v>64</v>
      </c>
      <c r="CJ55" s="40" t="s">
        <v>64</v>
      </c>
      <c r="CK55" s="40" t="s">
        <v>64</v>
      </c>
      <c r="CL55" s="40" t="s">
        <v>64</v>
      </c>
      <c r="CM55" s="40" t="s">
        <v>64</v>
      </c>
      <c r="CN55" s="40" t="s">
        <v>64</v>
      </c>
      <c r="CO55" s="40" t="s">
        <v>64</v>
      </c>
      <c r="CP55" s="40" t="s">
        <v>64</v>
      </c>
    </row>
    <row r="56" spans="1:94" ht="12" x14ac:dyDescent="0.25">
      <c r="A56" s="39" t="s">
        <v>495</v>
      </c>
      <c r="B56" s="39" t="s">
        <v>536</v>
      </c>
      <c r="C56" s="39" t="s">
        <v>495</v>
      </c>
      <c r="D56" s="40" t="s">
        <v>592</v>
      </c>
      <c r="E56" s="43">
        <v>284525409</v>
      </c>
      <c r="F56" s="40">
        <v>0</v>
      </c>
      <c r="G56" s="40" t="s">
        <v>349</v>
      </c>
      <c r="H56" s="40">
        <v>0</v>
      </c>
      <c r="I56" s="40">
        <v>0</v>
      </c>
      <c r="J56" s="13" t="s">
        <v>88</v>
      </c>
      <c r="K56" s="40" t="s">
        <v>60</v>
      </c>
      <c r="L56" s="40" t="s">
        <v>61</v>
      </c>
      <c r="M56" s="42">
        <v>5.2</v>
      </c>
      <c r="N56" s="40" t="s">
        <v>64</v>
      </c>
      <c r="O56" s="40" t="s">
        <v>64</v>
      </c>
      <c r="P56" s="40" t="s">
        <v>64</v>
      </c>
      <c r="Q56" s="40" t="s">
        <v>64</v>
      </c>
      <c r="R56" s="40" t="s">
        <v>64</v>
      </c>
      <c r="S56" s="13" t="s">
        <v>64</v>
      </c>
      <c r="T56" s="40" t="s">
        <v>64</v>
      </c>
      <c r="U56" s="40" t="s">
        <v>64</v>
      </c>
      <c r="V56" s="42" t="s">
        <v>64</v>
      </c>
      <c r="W56" s="40" t="s">
        <v>64</v>
      </c>
      <c r="X56" s="40" t="s">
        <v>64</v>
      </c>
      <c r="Y56" s="40" t="s">
        <v>64</v>
      </c>
      <c r="Z56" s="40" t="s">
        <v>64</v>
      </c>
      <c r="AA56" s="40" t="s">
        <v>64</v>
      </c>
      <c r="AB56" s="13" t="s">
        <v>64</v>
      </c>
      <c r="AC56" s="40" t="s">
        <v>64</v>
      </c>
      <c r="AD56" s="40" t="s">
        <v>64</v>
      </c>
      <c r="AE56" s="42" t="s">
        <v>64</v>
      </c>
      <c r="AF56" s="40" t="s">
        <v>64</v>
      </c>
      <c r="AG56" s="40" t="s">
        <v>64</v>
      </c>
      <c r="AH56" s="40" t="s">
        <v>64</v>
      </c>
      <c r="AI56" s="40" t="s">
        <v>64</v>
      </c>
      <c r="AJ56" s="40" t="s">
        <v>64</v>
      </c>
      <c r="AK56" s="40" t="s">
        <v>64</v>
      </c>
      <c r="AL56" s="40" t="s">
        <v>64</v>
      </c>
      <c r="AM56" s="40" t="s">
        <v>64</v>
      </c>
      <c r="AN56" s="40" t="s">
        <v>64</v>
      </c>
      <c r="AO56" s="40" t="s">
        <v>64</v>
      </c>
      <c r="AP56" s="40" t="s">
        <v>64</v>
      </c>
      <c r="AQ56" s="40" t="s">
        <v>64</v>
      </c>
      <c r="AR56" s="40" t="s">
        <v>64</v>
      </c>
      <c r="AS56" s="40" t="s">
        <v>64</v>
      </c>
      <c r="AT56" s="40" t="s">
        <v>64</v>
      </c>
      <c r="AU56" s="40" t="s">
        <v>64</v>
      </c>
      <c r="AV56" s="40" t="s">
        <v>64</v>
      </c>
      <c r="AW56" s="40" t="s">
        <v>64</v>
      </c>
      <c r="AX56" s="40" t="s">
        <v>64</v>
      </c>
      <c r="AY56" s="40" t="s">
        <v>64</v>
      </c>
      <c r="AZ56" s="40" t="s">
        <v>64</v>
      </c>
      <c r="BA56" s="40" t="s">
        <v>64</v>
      </c>
      <c r="BB56" s="40" t="s">
        <v>64</v>
      </c>
      <c r="BC56" s="40" t="s">
        <v>64</v>
      </c>
      <c r="BD56" s="40" t="s">
        <v>64</v>
      </c>
      <c r="BE56" s="40" t="s">
        <v>64</v>
      </c>
      <c r="BF56" s="40" t="s">
        <v>64</v>
      </c>
      <c r="BG56" s="40" t="s">
        <v>64</v>
      </c>
      <c r="BH56" s="40" t="s">
        <v>64</v>
      </c>
      <c r="BI56" s="40" t="s">
        <v>64</v>
      </c>
      <c r="BJ56" s="40" t="s">
        <v>64</v>
      </c>
      <c r="BK56" s="40" t="s">
        <v>64</v>
      </c>
      <c r="BL56" s="40" t="s">
        <v>64</v>
      </c>
      <c r="BM56" s="40" t="s">
        <v>64</v>
      </c>
      <c r="BN56" s="40" t="s">
        <v>64</v>
      </c>
      <c r="BO56" s="40" t="s">
        <v>64</v>
      </c>
      <c r="BP56" s="40" t="s">
        <v>64</v>
      </c>
      <c r="BQ56" s="40" t="s">
        <v>64</v>
      </c>
      <c r="BR56" s="40" t="s">
        <v>64</v>
      </c>
      <c r="BS56" s="40" t="s">
        <v>64</v>
      </c>
      <c r="BT56" s="40" t="s">
        <v>64</v>
      </c>
      <c r="BU56" s="40" t="s">
        <v>64</v>
      </c>
      <c r="BV56" s="40" t="s">
        <v>64</v>
      </c>
      <c r="BW56" s="40" t="s">
        <v>64</v>
      </c>
      <c r="BX56" s="40" t="s">
        <v>64</v>
      </c>
      <c r="BY56" s="40" t="s">
        <v>64</v>
      </c>
      <c r="BZ56" s="40" t="s">
        <v>64</v>
      </c>
      <c r="CA56" s="40" t="s">
        <v>64</v>
      </c>
      <c r="CB56" s="40" t="s">
        <v>64</v>
      </c>
      <c r="CC56" s="40" t="s">
        <v>64</v>
      </c>
      <c r="CD56" s="40" t="s">
        <v>64</v>
      </c>
      <c r="CE56" s="40" t="s">
        <v>64</v>
      </c>
      <c r="CF56" s="40" t="s">
        <v>64</v>
      </c>
      <c r="CG56" s="40" t="s">
        <v>64</v>
      </c>
      <c r="CH56" s="40" t="s">
        <v>64</v>
      </c>
      <c r="CI56" s="40" t="s">
        <v>64</v>
      </c>
      <c r="CJ56" s="40" t="s">
        <v>64</v>
      </c>
      <c r="CK56" s="40" t="s">
        <v>64</v>
      </c>
      <c r="CL56" s="40" t="s">
        <v>64</v>
      </c>
      <c r="CM56" s="40" t="s">
        <v>64</v>
      </c>
      <c r="CN56" s="40" t="s">
        <v>64</v>
      </c>
      <c r="CO56" s="40" t="s">
        <v>64</v>
      </c>
      <c r="CP56" s="40" t="s">
        <v>64</v>
      </c>
    </row>
    <row r="57" spans="1:94" ht="12" x14ac:dyDescent="0.25">
      <c r="A57" s="39" t="s">
        <v>496</v>
      </c>
      <c r="B57" s="39" t="s">
        <v>536</v>
      </c>
      <c r="C57" s="39" t="s">
        <v>496</v>
      </c>
      <c r="D57" s="40" t="s">
        <v>593</v>
      </c>
      <c r="E57" s="43">
        <v>284525428</v>
      </c>
      <c r="F57" s="40">
        <v>0</v>
      </c>
      <c r="G57" s="40" t="s">
        <v>349</v>
      </c>
      <c r="H57" s="40">
        <v>0</v>
      </c>
      <c r="I57" s="40">
        <v>0</v>
      </c>
      <c r="J57" s="13" t="s">
        <v>88</v>
      </c>
      <c r="K57" s="40" t="s">
        <v>60</v>
      </c>
      <c r="L57" s="40" t="s">
        <v>61</v>
      </c>
      <c r="M57" s="42">
        <v>2.6</v>
      </c>
      <c r="N57" s="40">
        <v>284525429</v>
      </c>
      <c r="O57" s="40">
        <v>0</v>
      </c>
      <c r="P57" s="40" t="s">
        <v>350</v>
      </c>
      <c r="Q57" s="40">
        <v>0</v>
      </c>
      <c r="R57" s="40">
        <v>0</v>
      </c>
      <c r="S57" s="13" t="s">
        <v>91</v>
      </c>
      <c r="T57" s="40" t="s">
        <v>60</v>
      </c>
      <c r="U57" s="40" t="s">
        <v>61</v>
      </c>
      <c r="V57" s="42">
        <v>5.2</v>
      </c>
      <c r="W57" s="40" t="s">
        <v>64</v>
      </c>
      <c r="X57" s="40" t="s">
        <v>64</v>
      </c>
      <c r="Y57" s="40" t="s">
        <v>64</v>
      </c>
      <c r="Z57" s="40" t="s">
        <v>64</v>
      </c>
      <c r="AA57" s="40" t="s">
        <v>64</v>
      </c>
      <c r="AB57" s="13" t="s">
        <v>64</v>
      </c>
      <c r="AC57" s="40" t="s">
        <v>64</v>
      </c>
      <c r="AD57" s="40" t="s">
        <v>64</v>
      </c>
      <c r="AE57" s="42" t="s">
        <v>64</v>
      </c>
      <c r="AF57" s="40" t="s">
        <v>64</v>
      </c>
      <c r="AG57" s="40" t="s">
        <v>64</v>
      </c>
      <c r="AH57" s="40" t="s">
        <v>64</v>
      </c>
      <c r="AI57" s="40" t="s">
        <v>64</v>
      </c>
      <c r="AJ57" s="40" t="s">
        <v>64</v>
      </c>
      <c r="AK57" s="40" t="s">
        <v>64</v>
      </c>
      <c r="AL57" s="40" t="s">
        <v>64</v>
      </c>
      <c r="AM57" s="40" t="s">
        <v>64</v>
      </c>
      <c r="AN57" s="40" t="s">
        <v>64</v>
      </c>
      <c r="AO57" s="40" t="s">
        <v>64</v>
      </c>
      <c r="AP57" s="40" t="s">
        <v>64</v>
      </c>
      <c r="AQ57" s="40" t="s">
        <v>64</v>
      </c>
      <c r="AR57" s="40" t="s">
        <v>64</v>
      </c>
      <c r="AS57" s="40" t="s">
        <v>64</v>
      </c>
      <c r="AT57" s="40" t="s">
        <v>64</v>
      </c>
      <c r="AU57" s="40" t="s">
        <v>64</v>
      </c>
      <c r="AV57" s="40" t="s">
        <v>64</v>
      </c>
      <c r="AW57" s="40" t="s">
        <v>64</v>
      </c>
      <c r="AX57" s="40" t="s">
        <v>64</v>
      </c>
      <c r="AY57" s="40" t="s">
        <v>64</v>
      </c>
      <c r="AZ57" s="40" t="s">
        <v>64</v>
      </c>
      <c r="BA57" s="40" t="s">
        <v>64</v>
      </c>
      <c r="BB57" s="40" t="s">
        <v>64</v>
      </c>
      <c r="BC57" s="40" t="s">
        <v>64</v>
      </c>
      <c r="BD57" s="40" t="s">
        <v>64</v>
      </c>
      <c r="BE57" s="40" t="s">
        <v>64</v>
      </c>
      <c r="BF57" s="40" t="s">
        <v>64</v>
      </c>
      <c r="BG57" s="40" t="s">
        <v>64</v>
      </c>
      <c r="BH57" s="40" t="s">
        <v>64</v>
      </c>
      <c r="BI57" s="40" t="s">
        <v>64</v>
      </c>
      <c r="BJ57" s="40" t="s">
        <v>64</v>
      </c>
      <c r="BK57" s="40" t="s">
        <v>64</v>
      </c>
      <c r="BL57" s="40" t="s">
        <v>64</v>
      </c>
      <c r="BM57" s="40" t="s">
        <v>64</v>
      </c>
      <c r="BN57" s="40" t="s">
        <v>64</v>
      </c>
      <c r="BO57" s="40" t="s">
        <v>64</v>
      </c>
      <c r="BP57" s="40" t="s">
        <v>64</v>
      </c>
      <c r="BQ57" s="40" t="s">
        <v>64</v>
      </c>
      <c r="BR57" s="40" t="s">
        <v>64</v>
      </c>
      <c r="BS57" s="40" t="s">
        <v>64</v>
      </c>
      <c r="BT57" s="40" t="s">
        <v>64</v>
      </c>
      <c r="BU57" s="40" t="s">
        <v>64</v>
      </c>
      <c r="BV57" s="40" t="s">
        <v>64</v>
      </c>
      <c r="BW57" s="40" t="s">
        <v>64</v>
      </c>
      <c r="BX57" s="40" t="s">
        <v>64</v>
      </c>
      <c r="BY57" s="40" t="s">
        <v>64</v>
      </c>
      <c r="BZ57" s="40" t="s">
        <v>64</v>
      </c>
      <c r="CA57" s="40" t="s">
        <v>64</v>
      </c>
      <c r="CB57" s="40" t="s">
        <v>64</v>
      </c>
      <c r="CC57" s="40" t="s">
        <v>64</v>
      </c>
      <c r="CD57" s="40" t="s">
        <v>64</v>
      </c>
      <c r="CE57" s="40" t="s">
        <v>64</v>
      </c>
      <c r="CF57" s="40" t="s">
        <v>64</v>
      </c>
      <c r="CG57" s="40" t="s">
        <v>64</v>
      </c>
      <c r="CH57" s="40" t="s">
        <v>64</v>
      </c>
      <c r="CI57" s="40" t="s">
        <v>64</v>
      </c>
      <c r="CJ57" s="40" t="s">
        <v>64</v>
      </c>
      <c r="CK57" s="40" t="s">
        <v>64</v>
      </c>
      <c r="CL57" s="40" t="s">
        <v>64</v>
      </c>
      <c r="CM57" s="40" t="s">
        <v>64</v>
      </c>
      <c r="CN57" s="40" t="s">
        <v>64</v>
      </c>
      <c r="CO57" s="40" t="s">
        <v>64</v>
      </c>
      <c r="CP57" s="40" t="s">
        <v>64</v>
      </c>
    </row>
    <row r="58" spans="1:94" ht="12" x14ac:dyDescent="0.25">
      <c r="A58" s="39" t="s">
        <v>497</v>
      </c>
      <c r="B58" s="39" t="s">
        <v>536</v>
      </c>
      <c r="C58" s="39" t="s">
        <v>497</v>
      </c>
      <c r="D58" s="40" t="s">
        <v>594</v>
      </c>
      <c r="E58" s="43">
        <v>284525431</v>
      </c>
      <c r="F58" s="40">
        <v>0</v>
      </c>
      <c r="G58" s="40" t="s">
        <v>349</v>
      </c>
      <c r="H58" s="40">
        <v>0</v>
      </c>
      <c r="I58" s="40">
        <v>0</v>
      </c>
      <c r="J58" s="13" t="s">
        <v>91</v>
      </c>
      <c r="K58" s="40" t="s">
        <v>60</v>
      </c>
      <c r="L58" s="40" t="s">
        <v>61</v>
      </c>
      <c r="M58" s="42">
        <v>5.2</v>
      </c>
      <c r="N58" s="40" t="s">
        <v>64</v>
      </c>
      <c r="O58" s="40" t="s">
        <v>64</v>
      </c>
      <c r="P58" s="40" t="s">
        <v>64</v>
      </c>
      <c r="Q58" s="40" t="s">
        <v>64</v>
      </c>
      <c r="R58" s="40" t="s">
        <v>64</v>
      </c>
      <c r="S58" s="13" t="s">
        <v>64</v>
      </c>
      <c r="T58" s="40" t="s">
        <v>64</v>
      </c>
      <c r="U58" s="40" t="s">
        <v>64</v>
      </c>
      <c r="V58" s="42" t="s">
        <v>64</v>
      </c>
      <c r="W58" s="40" t="s">
        <v>64</v>
      </c>
      <c r="X58" s="40" t="s">
        <v>64</v>
      </c>
      <c r="Y58" s="40" t="s">
        <v>64</v>
      </c>
      <c r="Z58" s="40" t="s">
        <v>64</v>
      </c>
      <c r="AA58" s="40" t="s">
        <v>64</v>
      </c>
      <c r="AB58" s="13" t="s">
        <v>64</v>
      </c>
      <c r="AC58" s="40" t="s">
        <v>64</v>
      </c>
      <c r="AD58" s="40" t="s">
        <v>64</v>
      </c>
      <c r="AE58" s="42" t="s">
        <v>64</v>
      </c>
      <c r="AF58" s="40" t="s">
        <v>64</v>
      </c>
      <c r="AG58" s="40" t="s">
        <v>64</v>
      </c>
      <c r="AH58" s="40" t="s">
        <v>64</v>
      </c>
      <c r="AI58" s="40" t="s">
        <v>64</v>
      </c>
      <c r="AJ58" s="40" t="s">
        <v>64</v>
      </c>
      <c r="AK58" s="40" t="s">
        <v>64</v>
      </c>
      <c r="AL58" s="40" t="s">
        <v>64</v>
      </c>
      <c r="AM58" s="40" t="s">
        <v>64</v>
      </c>
      <c r="AN58" s="40" t="s">
        <v>64</v>
      </c>
      <c r="AO58" s="40" t="s">
        <v>64</v>
      </c>
      <c r="AP58" s="40" t="s">
        <v>64</v>
      </c>
      <c r="AQ58" s="40" t="s">
        <v>64</v>
      </c>
      <c r="AR58" s="40" t="s">
        <v>64</v>
      </c>
      <c r="AS58" s="40" t="s">
        <v>64</v>
      </c>
      <c r="AT58" s="40" t="s">
        <v>64</v>
      </c>
      <c r="AU58" s="40" t="s">
        <v>64</v>
      </c>
      <c r="AV58" s="40" t="s">
        <v>64</v>
      </c>
      <c r="AW58" s="40" t="s">
        <v>64</v>
      </c>
      <c r="AX58" s="40" t="s">
        <v>64</v>
      </c>
      <c r="AY58" s="40" t="s">
        <v>64</v>
      </c>
      <c r="AZ58" s="40" t="s">
        <v>64</v>
      </c>
      <c r="BA58" s="40" t="s">
        <v>64</v>
      </c>
      <c r="BB58" s="40" t="s">
        <v>64</v>
      </c>
      <c r="BC58" s="40" t="s">
        <v>64</v>
      </c>
      <c r="BD58" s="40" t="s">
        <v>64</v>
      </c>
      <c r="BE58" s="40" t="s">
        <v>64</v>
      </c>
      <c r="BF58" s="40" t="s">
        <v>64</v>
      </c>
      <c r="BG58" s="40" t="s">
        <v>64</v>
      </c>
      <c r="BH58" s="40" t="s">
        <v>64</v>
      </c>
      <c r="BI58" s="40" t="s">
        <v>64</v>
      </c>
      <c r="BJ58" s="40" t="s">
        <v>64</v>
      </c>
      <c r="BK58" s="40" t="s">
        <v>64</v>
      </c>
      <c r="BL58" s="40" t="s">
        <v>64</v>
      </c>
      <c r="BM58" s="40" t="s">
        <v>64</v>
      </c>
      <c r="BN58" s="40" t="s">
        <v>64</v>
      </c>
      <c r="BO58" s="40" t="s">
        <v>64</v>
      </c>
      <c r="BP58" s="40" t="s">
        <v>64</v>
      </c>
      <c r="BQ58" s="40" t="s">
        <v>64</v>
      </c>
      <c r="BR58" s="40" t="s">
        <v>64</v>
      </c>
      <c r="BS58" s="40" t="s">
        <v>64</v>
      </c>
      <c r="BT58" s="40" t="s">
        <v>64</v>
      </c>
      <c r="BU58" s="40" t="s">
        <v>64</v>
      </c>
      <c r="BV58" s="40" t="s">
        <v>64</v>
      </c>
      <c r="BW58" s="40" t="s">
        <v>64</v>
      </c>
      <c r="BX58" s="40" t="s">
        <v>64</v>
      </c>
      <c r="BY58" s="40" t="s">
        <v>64</v>
      </c>
      <c r="BZ58" s="40" t="s">
        <v>64</v>
      </c>
      <c r="CA58" s="40" t="s">
        <v>64</v>
      </c>
      <c r="CB58" s="40" t="s">
        <v>64</v>
      </c>
      <c r="CC58" s="40" t="s">
        <v>64</v>
      </c>
      <c r="CD58" s="40" t="s">
        <v>64</v>
      </c>
      <c r="CE58" s="40" t="s">
        <v>64</v>
      </c>
      <c r="CF58" s="40" t="s">
        <v>64</v>
      </c>
      <c r="CG58" s="40" t="s">
        <v>64</v>
      </c>
      <c r="CH58" s="40" t="s">
        <v>64</v>
      </c>
      <c r="CI58" s="40" t="s">
        <v>64</v>
      </c>
      <c r="CJ58" s="40" t="s">
        <v>64</v>
      </c>
      <c r="CK58" s="40" t="s">
        <v>64</v>
      </c>
      <c r="CL58" s="40" t="s">
        <v>64</v>
      </c>
      <c r="CM58" s="40" t="s">
        <v>64</v>
      </c>
      <c r="CN58" s="40" t="s">
        <v>64</v>
      </c>
      <c r="CO58" s="40" t="s">
        <v>64</v>
      </c>
      <c r="CP58" s="40" t="s">
        <v>64</v>
      </c>
    </row>
    <row r="59" spans="1:94" ht="12" x14ac:dyDescent="0.25">
      <c r="A59" s="39" t="s">
        <v>498</v>
      </c>
      <c r="B59" s="39" t="s">
        <v>536</v>
      </c>
      <c r="C59" s="39" t="s">
        <v>498</v>
      </c>
      <c r="D59" s="40" t="s">
        <v>595</v>
      </c>
      <c r="E59" s="43">
        <v>284525432</v>
      </c>
      <c r="F59" s="40">
        <v>0</v>
      </c>
      <c r="G59" s="40" t="s">
        <v>349</v>
      </c>
      <c r="H59" s="40">
        <v>0</v>
      </c>
      <c r="I59" s="40">
        <v>0</v>
      </c>
      <c r="J59" s="13" t="s">
        <v>91</v>
      </c>
      <c r="K59" s="40" t="s">
        <v>60</v>
      </c>
      <c r="L59" s="40" t="s">
        <v>61</v>
      </c>
      <c r="M59" s="42">
        <v>5.2</v>
      </c>
      <c r="N59" s="40">
        <v>284525433</v>
      </c>
      <c r="O59" s="40">
        <v>0</v>
      </c>
      <c r="P59" s="40" t="s">
        <v>350</v>
      </c>
      <c r="Q59" s="40">
        <v>0</v>
      </c>
      <c r="R59" s="40">
        <v>0</v>
      </c>
      <c r="S59" s="13" t="s">
        <v>89</v>
      </c>
      <c r="T59" s="40" t="s">
        <v>60</v>
      </c>
      <c r="U59" s="40" t="s">
        <v>61</v>
      </c>
      <c r="V59" s="42">
        <v>2.6</v>
      </c>
      <c r="W59" s="40" t="s">
        <v>64</v>
      </c>
      <c r="X59" s="40" t="s">
        <v>64</v>
      </c>
      <c r="Y59" s="40" t="s">
        <v>64</v>
      </c>
      <c r="Z59" s="40" t="s">
        <v>64</v>
      </c>
      <c r="AA59" s="40" t="s">
        <v>64</v>
      </c>
      <c r="AB59" s="13" t="s">
        <v>64</v>
      </c>
      <c r="AC59" s="40" t="s">
        <v>64</v>
      </c>
      <c r="AD59" s="40" t="s">
        <v>64</v>
      </c>
      <c r="AE59" s="42" t="s">
        <v>64</v>
      </c>
      <c r="AF59" s="40" t="s">
        <v>64</v>
      </c>
      <c r="AG59" s="40" t="s">
        <v>64</v>
      </c>
      <c r="AH59" s="40" t="s">
        <v>64</v>
      </c>
      <c r="AI59" s="40" t="s">
        <v>64</v>
      </c>
      <c r="AJ59" s="40" t="s">
        <v>64</v>
      </c>
      <c r="AK59" s="40" t="s">
        <v>64</v>
      </c>
      <c r="AL59" s="40" t="s">
        <v>64</v>
      </c>
      <c r="AM59" s="40" t="s">
        <v>64</v>
      </c>
      <c r="AN59" s="40" t="s">
        <v>64</v>
      </c>
      <c r="AO59" s="40" t="s">
        <v>64</v>
      </c>
      <c r="AP59" s="40" t="s">
        <v>64</v>
      </c>
      <c r="AQ59" s="40" t="s">
        <v>64</v>
      </c>
      <c r="AR59" s="40" t="s">
        <v>64</v>
      </c>
      <c r="AS59" s="40" t="s">
        <v>64</v>
      </c>
      <c r="AT59" s="40" t="s">
        <v>64</v>
      </c>
      <c r="AU59" s="40" t="s">
        <v>64</v>
      </c>
      <c r="AV59" s="40" t="s">
        <v>64</v>
      </c>
      <c r="AW59" s="40" t="s">
        <v>64</v>
      </c>
      <c r="AX59" s="40" t="s">
        <v>64</v>
      </c>
      <c r="AY59" s="40" t="s">
        <v>64</v>
      </c>
      <c r="AZ59" s="40" t="s">
        <v>64</v>
      </c>
      <c r="BA59" s="40" t="s">
        <v>64</v>
      </c>
      <c r="BB59" s="40" t="s">
        <v>64</v>
      </c>
      <c r="BC59" s="40" t="s">
        <v>64</v>
      </c>
      <c r="BD59" s="40" t="s">
        <v>64</v>
      </c>
      <c r="BE59" s="40" t="s">
        <v>64</v>
      </c>
      <c r="BF59" s="40" t="s">
        <v>64</v>
      </c>
      <c r="BG59" s="40" t="s">
        <v>64</v>
      </c>
      <c r="BH59" s="40" t="s">
        <v>64</v>
      </c>
      <c r="BI59" s="40" t="s">
        <v>64</v>
      </c>
      <c r="BJ59" s="40" t="s">
        <v>64</v>
      </c>
      <c r="BK59" s="40" t="s">
        <v>64</v>
      </c>
      <c r="BL59" s="40" t="s">
        <v>64</v>
      </c>
      <c r="BM59" s="40" t="s">
        <v>64</v>
      </c>
      <c r="BN59" s="40" t="s">
        <v>64</v>
      </c>
      <c r="BO59" s="40" t="s">
        <v>64</v>
      </c>
      <c r="BP59" s="40" t="s">
        <v>64</v>
      </c>
      <c r="BQ59" s="40" t="s">
        <v>64</v>
      </c>
      <c r="BR59" s="40" t="s">
        <v>64</v>
      </c>
      <c r="BS59" s="40" t="s">
        <v>64</v>
      </c>
      <c r="BT59" s="40" t="s">
        <v>64</v>
      </c>
      <c r="BU59" s="40" t="s">
        <v>64</v>
      </c>
      <c r="BV59" s="40" t="s">
        <v>64</v>
      </c>
      <c r="BW59" s="40" t="s">
        <v>64</v>
      </c>
      <c r="BX59" s="40" t="s">
        <v>64</v>
      </c>
      <c r="BY59" s="40" t="s">
        <v>64</v>
      </c>
      <c r="BZ59" s="40" t="s">
        <v>64</v>
      </c>
      <c r="CA59" s="40" t="s">
        <v>64</v>
      </c>
      <c r="CB59" s="40" t="s">
        <v>64</v>
      </c>
      <c r="CC59" s="40" t="s">
        <v>64</v>
      </c>
      <c r="CD59" s="40" t="s">
        <v>64</v>
      </c>
      <c r="CE59" s="40" t="s">
        <v>64</v>
      </c>
      <c r="CF59" s="40" t="s">
        <v>64</v>
      </c>
      <c r="CG59" s="40" t="s">
        <v>64</v>
      </c>
      <c r="CH59" s="40" t="s">
        <v>64</v>
      </c>
      <c r="CI59" s="40" t="s">
        <v>64</v>
      </c>
      <c r="CJ59" s="40" t="s">
        <v>64</v>
      </c>
      <c r="CK59" s="40" t="s">
        <v>64</v>
      </c>
      <c r="CL59" s="40" t="s">
        <v>64</v>
      </c>
      <c r="CM59" s="40" t="s">
        <v>64</v>
      </c>
      <c r="CN59" s="40" t="s">
        <v>64</v>
      </c>
      <c r="CO59" s="40" t="s">
        <v>64</v>
      </c>
      <c r="CP59" s="40" t="s">
        <v>64</v>
      </c>
    </row>
    <row r="60" spans="1:94" ht="12" x14ac:dyDescent="0.25">
      <c r="A60" s="39" t="s">
        <v>499</v>
      </c>
      <c r="B60" s="39" t="s">
        <v>536</v>
      </c>
      <c r="C60" s="39" t="s">
        <v>499</v>
      </c>
      <c r="D60" s="40" t="s">
        <v>596</v>
      </c>
      <c r="E60" s="43">
        <v>284525436</v>
      </c>
      <c r="F60" s="40">
        <v>0</v>
      </c>
      <c r="G60" s="40" t="s">
        <v>349</v>
      </c>
      <c r="H60" s="40">
        <v>0</v>
      </c>
      <c r="I60" s="40">
        <v>0</v>
      </c>
      <c r="J60" s="13" t="s">
        <v>89</v>
      </c>
      <c r="K60" s="40" t="s">
        <v>60</v>
      </c>
      <c r="L60" s="40" t="s">
        <v>61</v>
      </c>
      <c r="M60" s="42">
        <v>5.2</v>
      </c>
      <c r="N60" s="40">
        <v>284525437</v>
      </c>
      <c r="O60" s="40">
        <v>0</v>
      </c>
      <c r="P60" s="40" t="s">
        <v>350</v>
      </c>
      <c r="Q60" s="40">
        <v>0</v>
      </c>
      <c r="R60" s="40">
        <v>0</v>
      </c>
      <c r="S60" s="13" t="s">
        <v>90</v>
      </c>
      <c r="T60" s="40" t="s">
        <v>60</v>
      </c>
      <c r="U60" s="40" t="s">
        <v>61</v>
      </c>
      <c r="V60" s="42">
        <v>2.6</v>
      </c>
      <c r="W60" s="40" t="s">
        <v>64</v>
      </c>
      <c r="X60" s="40" t="s">
        <v>64</v>
      </c>
      <c r="Y60" s="40" t="s">
        <v>64</v>
      </c>
      <c r="Z60" s="40" t="s">
        <v>64</v>
      </c>
      <c r="AA60" s="40" t="s">
        <v>64</v>
      </c>
      <c r="AB60" s="13" t="s">
        <v>64</v>
      </c>
      <c r="AC60" s="40" t="s">
        <v>64</v>
      </c>
      <c r="AD60" s="40" t="s">
        <v>64</v>
      </c>
      <c r="AE60" s="42" t="s">
        <v>64</v>
      </c>
      <c r="AF60" s="40" t="s">
        <v>64</v>
      </c>
      <c r="AG60" s="40" t="s">
        <v>64</v>
      </c>
      <c r="AH60" s="40" t="s">
        <v>64</v>
      </c>
      <c r="AI60" s="40" t="s">
        <v>64</v>
      </c>
      <c r="AJ60" s="40" t="s">
        <v>64</v>
      </c>
      <c r="AK60" s="40" t="s">
        <v>64</v>
      </c>
      <c r="AL60" s="40" t="s">
        <v>64</v>
      </c>
      <c r="AM60" s="40" t="s">
        <v>64</v>
      </c>
      <c r="AN60" s="40" t="s">
        <v>64</v>
      </c>
      <c r="AO60" s="40" t="s">
        <v>64</v>
      </c>
      <c r="AP60" s="40" t="s">
        <v>64</v>
      </c>
      <c r="AQ60" s="40" t="s">
        <v>64</v>
      </c>
      <c r="AR60" s="40" t="s">
        <v>64</v>
      </c>
      <c r="AS60" s="40" t="s">
        <v>64</v>
      </c>
      <c r="AT60" s="40" t="s">
        <v>64</v>
      </c>
      <c r="AU60" s="40" t="s">
        <v>64</v>
      </c>
      <c r="AV60" s="40" t="s">
        <v>64</v>
      </c>
      <c r="AW60" s="40" t="s">
        <v>64</v>
      </c>
      <c r="AX60" s="40" t="s">
        <v>64</v>
      </c>
      <c r="AY60" s="40" t="s">
        <v>64</v>
      </c>
      <c r="AZ60" s="40" t="s">
        <v>64</v>
      </c>
      <c r="BA60" s="40" t="s">
        <v>64</v>
      </c>
      <c r="BB60" s="40" t="s">
        <v>64</v>
      </c>
      <c r="BC60" s="40" t="s">
        <v>64</v>
      </c>
      <c r="BD60" s="40" t="s">
        <v>64</v>
      </c>
      <c r="BE60" s="40" t="s">
        <v>64</v>
      </c>
      <c r="BF60" s="40" t="s">
        <v>64</v>
      </c>
      <c r="BG60" s="40" t="s">
        <v>64</v>
      </c>
      <c r="BH60" s="40" t="s">
        <v>64</v>
      </c>
      <c r="BI60" s="40" t="s">
        <v>64</v>
      </c>
      <c r="BJ60" s="40" t="s">
        <v>64</v>
      </c>
      <c r="BK60" s="40" t="s">
        <v>64</v>
      </c>
      <c r="BL60" s="40" t="s">
        <v>64</v>
      </c>
      <c r="BM60" s="40" t="s">
        <v>64</v>
      </c>
      <c r="BN60" s="40" t="s">
        <v>64</v>
      </c>
      <c r="BO60" s="40" t="s">
        <v>64</v>
      </c>
      <c r="BP60" s="40" t="s">
        <v>64</v>
      </c>
      <c r="BQ60" s="40" t="s">
        <v>64</v>
      </c>
      <c r="BR60" s="40" t="s">
        <v>64</v>
      </c>
      <c r="BS60" s="40" t="s">
        <v>64</v>
      </c>
      <c r="BT60" s="40" t="s">
        <v>64</v>
      </c>
      <c r="BU60" s="40" t="s">
        <v>64</v>
      </c>
      <c r="BV60" s="40" t="s">
        <v>64</v>
      </c>
      <c r="BW60" s="40" t="s">
        <v>64</v>
      </c>
      <c r="BX60" s="40" t="s">
        <v>64</v>
      </c>
      <c r="BY60" s="40" t="s">
        <v>64</v>
      </c>
      <c r="BZ60" s="40" t="s">
        <v>64</v>
      </c>
      <c r="CA60" s="40" t="s">
        <v>64</v>
      </c>
      <c r="CB60" s="40" t="s">
        <v>64</v>
      </c>
      <c r="CC60" s="40" t="s">
        <v>64</v>
      </c>
      <c r="CD60" s="40" t="s">
        <v>64</v>
      </c>
      <c r="CE60" s="40" t="s">
        <v>64</v>
      </c>
      <c r="CF60" s="40" t="s">
        <v>64</v>
      </c>
      <c r="CG60" s="40" t="s">
        <v>64</v>
      </c>
      <c r="CH60" s="40" t="s">
        <v>64</v>
      </c>
      <c r="CI60" s="40" t="s">
        <v>64</v>
      </c>
      <c r="CJ60" s="40" t="s">
        <v>64</v>
      </c>
      <c r="CK60" s="40" t="s">
        <v>64</v>
      </c>
      <c r="CL60" s="40" t="s">
        <v>64</v>
      </c>
      <c r="CM60" s="40" t="s">
        <v>64</v>
      </c>
      <c r="CN60" s="40" t="s">
        <v>64</v>
      </c>
      <c r="CO60" s="40" t="s">
        <v>64</v>
      </c>
      <c r="CP60" s="40" t="s">
        <v>64</v>
      </c>
    </row>
    <row r="61" spans="1:94" ht="12" x14ac:dyDescent="0.25">
      <c r="A61" s="39" t="s">
        <v>500</v>
      </c>
      <c r="B61" s="39" t="s">
        <v>536</v>
      </c>
      <c r="C61" s="39" t="s">
        <v>500</v>
      </c>
      <c r="D61" s="40" t="s">
        <v>597</v>
      </c>
      <c r="E61" s="43">
        <v>284525444</v>
      </c>
      <c r="F61" s="40">
        <v>0</v>
      </c>
      <c r="G61" s="40" t="s">
        <v>349</v>
      </c>
      <c r="H61" s="40">
        <v>0</v>
      </c>
      <c r="I61" s="40">
        <v>0</v>
      </c>
      <c r="J61" s="13" t="s">
        <v>90</v>
      </c>
      <c r="K61" s="40" t="s">
        <v>60</v>
      </c>
      <c r="L61" s="40" t="s">
        <v>61</v>
      </c>
      <c r="M61" s="42">
        <v>4.53</v>
      </c>
      <c r="N61" s="40" t="s">
        <v>64</v>
      </c>
      <c r="O61" s="40" t="s">
        <v>64</v>
      </c>
      <c r="P61" s="40" t="s">
        <v>64</v>
      </c>
      <c r="Q61" s="40" t="s">
        <v>64</v>
      </c>
      <c r="R61" s="40" t="s">
        <v>64</v>
      </c>
      <c r="S61" s="13" t="s">
        <v>64</v>
      </c>
      <c r="T61" s="40" t="s">
        <v>64</v>
      </c>
      <c r="U61" s="40" t="s">
        <v>64</v>
      </c>
      <c r="V61" s="42" t="s">
        <v>64</v>
      </c>
      <c r="W61" s="40" t="s">
        <v>64</v>
      </c>
      <c r="X61" s="40" t="s">
        <v>64</v>
      </c>
      <c r="Y61" s="40" t="s">
        <v>64</v>
      </c>
      <c r="Z61" s="40" t="s">
        <v>64</v>
      </c>
      <c r="AA61" s="40" t="s">
        <v>64</v>
      </c>
      <c r="AB61" s="13" t="s">
        <v>64</v>
      </c>
      <c r="AC61" s="40" t="s">
        <v>64</v>
      </c>
      <c r="AD61" s="40" t="s">
        <v>64</v>
      </c>
      <c r="AE61" s="42" t="s">
        <v>64</v>
      </c>
      <c r="AF61" s="40" t="s">
        <v>64</v>
      </c>
      <c r="AG61" s="40" t="s">
        <v>64</v>
      </c>
      <c r="AH61" s="40" t="s">
        <v>64</v>
      </c>
      <c r="AI61" s="40" t="s">
        <v>64</v>
      </c>
      <c r="AJ61" s="40" t="s">
        <v>64</v>
      </c>
      <c r="AK61" s="40" t="s">
        <v>64</v>
      </c>
      <c r="AL61" s="40" t="s">
        <v>64</v>
      </c>
      <c r="AM61" s="40" t="s">
        <v>64</v>
      </c>
      <c r="AN61" s="40" t="s">
        <v>64</v>
      </c>
      <c r="AO61" s="40" t="s">
        <v>64</v>
      </c>
      <c r="AP61" s="40" t="s">
        <v>64</v>
      </c>
      <c r="AQ61" s="40" t="s">
        <v>64</v>
      </c>
      <c r="AR61" s="40" t="s">
        <v>64</v>
      </c>
      <c r="AS61" s="40" t="s">
        <v>64</v>
      </c>
      <c r="AT61" s="40" t="s">
        <v>64</v>
      </c>
      <c r="AU61" s="40" t="s">
        <v>64</v>
      </c>
      <c r="AV61" s="40" t="s">
        <v>64</v>
      </c>
      <c r="AW61" s="40" t="s">
        <v>64</v>
      </c>
      <c r="AX61" s="40" t="s">
        <v>64</v>
      </c>
      <c r="AY61" s="40" t="s">
        <v>64</v>
      </c>
      <c r="AZ61" s="40" t="s">
        <v>64</v>
      </c>
      <c r="BA61" s="40" t="s">
        <v>64</v>
      </c>
      <c r="BB61" s="40" t="s">
        <v>64</v>
      </c>
      <c r="BC61" s="40" t="s">
        <v>64</v>
      </c>
      <c r="BD61" s="40" t="s">
        <v>64</v>
      </c>
      <c r="BE61" s="40" t="s">
        <v>64</v>
      </c>
      <c r="BF61" s="40" t="s">
        <v>64</v>
      </c>
      <c r="BG61" s="40" t="s">
        <v>64</v>
      </c>
      <c r="BH61" s="40" t="s">
        <v>64</v>
      </c>
      <c r="BI61" s="40" t="s">
        <v>64</v>
      </c>
      <c r="BJ61" s="40" t="s">
        <v>64</v>
      </c>
      <c r="BK61" s="40" t="s">
        <v>64</v>
      </c>
      <c r="BL61" s="40" t="s">
        <v>64</v>
      </c>
      <c r="BM61" s="40" t="s">
        <v>64</v>
      </c>
      <c r="BN61" s="40" t="s">
        <v>64</v>
      </c>
      <c r="BO61" s="40" t="s">
        <v>64</v>
      </c>
      <c r="BP61" s="40" t="s">
        <v>64</v>
      </c>
      <c r="BQ61" s="40" t="s">
        <v>64</v>
      </c>
      <c r="BR61" s="40" t="s">
        <v>64</v>
      </c>
      <c r="BS61" s="40" t="s">
        <v>64</v>
      </c>
      <c r="BT61" s="40" t="s">
        <v>64</v>
      </c>
      <c r="BU61" s="40" t="s">
        <v>64</v>
      </c>
      <c r="BV61" s="40" t="s">
        <v>64</v>
      </c>
      <c r="BW61" s="40" t="s">
        <v>64</v>
      </c>
      <c r="BX61" s="40" t="s">
        <v>64</v>
      </c>
      <c r="BY61" s="40" t="s">
        <v>64</v>
      </c>
      <c r="BZ61" s="40" t="s">
        <v>64</v>
      </c>
      <c r="CA61" s="40" t="s">
        <v>64</v>
      </c>
      <c r="CB61" s="40" t="s">
        <v>64</v>
      </c>
      <c r="CC61" s="40" t="s">
        <v>64</v>
      </c>
      <c r="CD61" s="40" t="s">
        <v>64</v>
      </c>
      <c r="CE61" s="40" t="s">
        <v>64</v>
      </c>
      <c r="CF61" s="40" t="s">
        <v>64</v>
      </c>
      <c r="CG61" s="40" t="s">
        <v>64</v>
      </c>
      <c r="CH61" s="40" t="s">
        <v>64</v>
      </c>
      <c r="CI61" s="40" t="s">
        <v>64</v>
      </c>
      <c r="CJ61" s="40" t="s">
        <v>64</v>
      </c>
      <c r="CK61" s="40" t="s">
        <v>64</v>
      </c>
      <c r="CL61" s="40" t="s">
        <v>64</v>
      </c>
      <c r="CM61" s="40" t="s">
        <v>64</v>
      </c>
      <c r="CN61" s="40" t="s">
        <v>64</v>
      </c>
      <c r="CO61" s="40" t="s">
        <v>64</v>
      </c>
      <c r="CP61" s="40" t="s">
        <v>64</v>
      </c>
    </row>
    <row r="62" spans="1:94" ht="12" x14ac:dyDescent="0.25">
      <c r="A62" s="39" t="s">
        <v>501</v>
      </c>
      <c r="B62" s="39" t="s">
        <v>536</v>
      </c>
      <c r="C62" s="39" t="s">
        <v>501</v>
      </c>
      <c r="D62" s="40" t="s">
        <v>598</v>
      </c>
      <c r="E62" s="43">
        <v>284525449</v>
      </c>
      <c r="F62" s="40">
        <v>0</v>
      </c>
      <c r="G62" s="40" t="s">
        <v>349</v>
      </c>
      <c r="H62" s="40">
        <v>0</v>
      </c>
      <c r="I62" s="40">
        <v>0</v>
      </c>
      <c r="J62" s="13" t="s">
        <v>89</v>
      </c>
      <c r="K62" s="40" t="s">
        <v>60</v>
      </c>
      <c r="L62" s="40" t="s">
        <v>61</v>
      </c>
      <c r="M62" s="42">
        <v>2.6</v>
      </c>
      <c r="N62" s="40">
        <v>284525450</v>
      </c>
      <c r="O62" s="40">
        <v>0</v>
      </c>
      <c r="P62" s="40" t="s">
        <v>350</v>
      </c>
      <c r="Q62" s="40">
        <v>0</v>
      </c>
      <c r="R62" s="40">
        <v>0</v>
      </c>
      <c r="S62" s="13" t="s">
        <v>90</v>
      </c>
      <c r="T62" s="40" t="s">
        <v>60</v>
      </c>
      <c r="U62" s="40" t="s">
        <v>61</v>
      </c>
      <c r="V62" s="42">
        <v>4.53</v>
      </c>
      <c r="W62" s="40" t="s">
        <v>64</v>
      </c>
      <c r="X62" s="40" t="s">
        <v>64</v>
      </c>
      <c r="Y62" s="40" t="s">
        <v>64</v>
      </c>
      <c r="Z62" s="40" t="s">
        <v>64</v>
      </c>
      <c r="AA62" s="40" t="s">
        <v>64</v>
      </c>
      <c r="AB62" s="13" t="s">
        <v>64</v>
      </c>
      <c r="AC62" s="40" t="s">
        <v>64</v>
      </c>
      <c r="AD62" s="40" t="s">
        <v>64</v>
      </c>
      <c r="AE62" s="42" t="s">
        <v>64</v>
      </c>
      <c r="AF62" s="40" t="s">
        <v>64</v>
      </c>
      <c r="AG62" s="40" t="s">
        <v>64</v>
      </c>
      <c r="AH62" s="40" t="s">
        <v>64</v>
      </c>
      <c r="AI62" s="40" t="s">
        <v>64</v>
      </c>
      <c r="AJ62" s="40" t="s">
        <v>64</v>
      </c>
      <c r="AK62" s="40" t="s">
        <v>64</v>
      </c>
      <c r="AL62" s="40" t="s">
        <v>64</v>
      </c>
      <c r="AM62" s="40" t="s">
        <v>64</v>
      </c>
      <c r="AN62" s="40" t="s">
        <v>64</v>
      </c>
      <c r="AO62" s="40" t="s">
        <v>64</v>
      </c>
      <c r="AP62" s="40" t="s">
        <v>64</v>
      </c>
      <c r="AQ62" s="40" t="s">
        <v>64</v>
      </c>
      <c r="AR62" s="40" t="s">
        <v>64</v>
      </c>
      <c r="AS62" s="40" t="s">
        <v>64</v>
      </c>
      <c r="AT62" s="40" t="s">
        <v>64</v>
      </c>
      <c r="AU62" s="40" t="s">
        <v>64</v>
      </c>
      <c r="AV62" s="40" t="s">
        <v>64</v>
      </c>
      <c r="AW62" s="40" t="s">
        <v>64</v>
      </c>
      <c r="AX62" s="40" t="s">
        <v>64</v>
      </c>
      <c r="AY62" s="40" t="s">
        <v>64</v>
      </c>
      <c r="AZ62" s="40" t="s">
        <v>64</v>
      </c>
      <c r="BA62" s="40" t="s">
        <v>64</v>
      </c>
      <c r="BB62" s="40" t="s">
        <v>64</v>
      </c>
      <c r="BC62" s="40" t="s">
        <v>64</v>
      </c>
      <c r="BD62" s="40" t="s">
        <v>64</v>
      </c>
      <c r="BE62" s="40" t="s">
        <v>64</v>
      </c>
      <c r="BF62" s="40" t="s">
        <v>64</v>
      </c>
      <c r="BG62" s="40" t="s">
        <v>64</v>
      </c>
      <c r="BH62" s="40" t="s">
        <v>64</v>
      </c>
      <c r="BI62" s="40" t="s">
        <v>64</v>
      </c>
      <c r="BJ62" s="40" t="s">
        <v>64</v>
      </c>
      <c r="BK62" s="40" t="s">
        <v>64</v>
      </c>
      <c r="BL62" s="40" t="s">
        <v>64</v>
      </c>
      <c r="BM62" s="40" t="s">
        <v>64</v>
      </c>
      <c r="BN62" s="40" t="s">
        <v>64</v>
      </c>
      <c r="BO62" s="40" t="s">
        <v>64</v>
      </c>
      <c r="BP62" s="40" t="s">
        <v>64</v>
      </c>
      <c r="BQ62" s="40" t="s">
        <v>64</v>
      </c>
      <c r="BR62" s="40" t="s">
        <v>64</v>
      </c>
      <c r="BS62" s="40" t="s">
        <v>64</v>
      </c>
      <c r="BT62" s="40" t="s">
        <v>64</v>
      </c>
      <c r="BU62" s="40" t="s">
        <v>64</v>
      </c>
      <c r="BV62" s="40" t="s">
        <v>64</v>
      </c>
      <c r="BW62" s="40" t="s">
        <v>64</v>
      </c>
      <c r="BX62" s="40" t="s">
        <v>64</v>
      </c>
      <c r="BY62" s="40" t="s">
        <v>64</v>
      </c>
      <c r="BZ62" s="40" t="s">
        <v>64</v>
      </c>
      <c r="CA62" s="40" t="s">
        <v>64</v>
      </c>
      <c r="CB62" s="40" t="s">
        <v>64</v>
      </c>
      <c r="CC62" s="40" t="s">
        <v>64</v>
      </c>
      <c r="CD62" s="40" t="s">
        <v>64</v>
      </c>
      <c r="CE62" s="40" t="s">
        <v>64</v>
      </c>
      <c r="CF62" s="40" t="s">
        <v>64</v>
      </c>
      <c r="CG62" s="40" t="s">
        <v>64</v>
      </c>
      <c r="CH62" s="40" t="s">
        <v>64</v>
      </c>
      <c r="CI62" s="40" t="s">
        <v>64</v>
      </c>
      <c r="CJ62" s="40" t="s">
        <v>64</v>
      </c>
      <c r="CK62" s="40" t="s">
        <v>64</v>
      </c>
      <c r="CL62" s="40" t="s">
        <v>64</v>
      </c>
      <c r="CM62" s="40" t="s">
        <v>64</v>
      </c>
      <c r="CN62" s="40" t="s">
        <v>64</v>
      </c>
      <c r="CO62" s="40" t="s">
        <v>64</v>
      </c>
      <c r="CP62" s="40" t="s">
        <v>64</v>
      </c>
    </row>
    <row r="63" spans="1:94" ht="12" x14ac:dyDescent="0.25">
      <c r="A63" s="39" t="s">
        <v>502</v>
      </c>
      <c r="B63" s="39" t="s">
        <v>536</v>
      </c>
      <c r="C63" s="39" t="s">
        <v>502</v>
      </c>
      <c r="D63" s="40" t="s">
        <v>599</v>
      </c>
      <c r="E63" s="43">
        <v>284525452</v>
      </c>
      <c r="F63" s="40">
        <v>0</v>
      </c>
      <c r="G63" s="40" t="s">
        <v>349</v>
      </c>
      <c r="H63" s="40">
        <v>0</v>
      </c>
      <c r="I63" s="40">
        <v>0</v>
      </c>
      <c r="J63" s="13" t="s">
        <v>89</v>
      </c>
      <c r="K63" s="40" t="s">
        <v>60</v>
      </c>
      <c r="L63" s="40" t="s">
        <v>61</v>
      </c>
      <c r="M63" s="42">
        <v>5.2</v>
      </c>
      <c r="N63" s="40" t="s">
        <v>64</v>
      </c>
      <c r="O63" s="40" t="s">
        <v>64</v>
      </c>
      <c r="P63" s="40" t="s">
        <v>64</v>
      </c>
      <c r="Q63" s="40" t="s">
        <v>64</v>
      </c>
      <c r="R63" s="40" t="s">
        <v>64</v>
      </c>
      <c r="S63" s="13" t="s">
        <v>64</v>
      </c>
      <c r="T63" s="40" t="s">
        <v>64</v>
      </c>
      <c r="U63" s="40" t="s">
        <v>64</v>
      </c>
      <c r="V63" s="42" t="s">
        <v>64</v>
      </c>
      <c r="W63" s="40" t="s">
        <v>64</v>
      </c>
      <c r="X63" s="40" t="s">
        <v>64</v>
      </c>
      <c r="Y63" s="40" t="s">
        <v>64</v>
      </c>
      <c r="Z63" s="40" t="s">
        <v>64</v>
      </c>
      <c r="AA63" s="40" t="s">
        <v>64</v>
      </c>
      <c r="AB63" s="13" t="s">
        <v>64</v>
      </c>
      <c r="AC63" s="40" t="s">
        <v>64</v>
      </c>
      <c r="AD63" s="40" t="s">
        <v>64</v>
      </c>
      <c r="AE63" s="42" t="s">
        <v>64</v>
      </c>
      <c r="AF63" s="40" t="s">
        <v>64</v>
      </c>
      <c r="AG63" s="40" t="s">
        <v>64</v>
      </c>
      <c r="AH63" s="40" t="s">
        <v>64</v>
      </c>
      <c r="AI63" s="40" t="s">
        <v>64</v>
      </c>
      <c r="AJ63" s="40" t="s">
        <v>64</v>
      </c>
      <c r="AK63" s="40" t="s">
        <v>64</v>
      </c>
      <c r="AL63" s="40" t="s">
        <v>64</v>
      </c>
      <c r="AM63" s="40" t="s">
        <v>64</v>
      </c>
      <c r="AN63" s="40" t="s">
        <v>64</v>
      </c>
      <c r="AO63" s="40" t="s">
        <v>64</v>
      </c>
      <c r="AP63" s="40" t="s">
        <v>64</v>
      </c>
      <c r="AQ63" s="40" t="s">
        <v>64</v>
      </c>
      <c r="AR63" s="40" t="s">
        <v>64</v>
      </c>
      <c r="AS63" s="40" t="s">
        <v>64</v>
      </c>
      <c r="AT63" s="40" t="s">
        <v>64</v>
      </c>
      <c r="AU63" s="40" t="s">
        <v>64</v>
      </c>
      <c r="AV63" s="40" t="s">
        <v>64</v>
      </c>
      <c r="AW63" s="40" t="s">
        <v>64</v>
      </c>
      <c r="AX63" s="40" t="s">
        <v>64</v>
      </c>
      <c r="AY63" s="40" t="s">
        <v>64</v>
      </c>
      <c r="AZ63" s="40" t="s">
        <v>64</v>
      </c>
      <c r="BA63" s="40" t="s">
        <v>64</v>
      </c>
      <c r="BB63" s="40" t="s">
        <v>64</v>
      </c>
      <c r="BC63" s="40" t="s">
        <v>64</v>
      </c>
      <c r="BD63" s="40" t="s">
        <v>64</v>
      </c>
      <c r="BE63" s="40" t="s">
        <v>64</v>
      </c>
      <c r="BF63" s="40" t="s">
        <v>64</v>
      </c>
      <c r="BG63" s="40" t="s">
        <v>64</v>
      </c>
      <c r="BH63" s="40" t="s">
        <v>64</v>
      </c>
      <c r="BI63" s="40" t="s">
        <v>64</v>
      </c>
      <c r="BJ63" s="40" t="s">
        <v>64</v>
      </c>
      <c r="BK63" s="40" t="s">
        <v>64</v>
      </c>
      <c r="BL63" s="40" t="s">
        <v>64</v>
      </c>
      <c r="BM63" s="40" t="s">
        <v>64</v>
      </c>
      <c r="BN63" s="40" t="s">
        <v>64</v>
      </c>
      <c r="BO63" s="40" t="s">
        <v>64</v>
      </c>
      <c r="BP63" s="40" t="s">
        <v>64</v>
      </c>
      <c r="BQ63" s="40" t="s">
        <v>64</v>
      </c>
      <c r="BR63" s="40" t="s">
        <v>64</v>
      </c>
      <c r="BS63" s="40" t="s">
        <v>64</v>
      </c>
      <c r="BT63" s="40" t="s">
        <v>64</v>
      </c>
      <c r="BU63" s="40" t="s">
        <v>64</v>
      </c>
      <c r="BV63" s="40" t="s">
        <v>64</v>
      </c>
      <c r="BW63" s="40" t="s">
        <v>64</v>
      </c>
      <c r="BX63" s="40" t="s">
        <v>64</v>
      </c>
      <c r="BY63" s="40" t="s">
        <v>64</v>
      </c>
      <c r="BZ63" s="40" t="s">
        <v>64</v>
      </c>
      <c r="CA63" s="40" t="s">
        <v>64</v>
      </c>
      <c r="CB63" s="40" t="s">
        <v>64</v>
      </c>
      <c r="CC63" s="40" t="s">
        <v>64</v>
      </c>
      <c r="CD63" s="40" t="s">
        <v>64</v>
      </c>
      <c r="CE63" s="40" t="s">
        <v>64</v>
      </c>
      <c r="CF63" s="40" t="s">
        <v>64</v>
      </c>
      <c r="CG63" s="40" t="s">
        <v>64</v>
      </c>
      <c r="CH63" s="40" t="s">
        <v>64</v>
      </c>
      <c r="CI63" s="40" t="s">
        <v>64</v>
      </c>
      <c r="CJ63" s="40" t="s">
        <v>64</v>
      </c>
      <c r="CK63" s="40" t="s">
        <v>64</v>
      </c>
      <c r="CL63" s="40" t="s">
        <v>64</v>
      </c>
      <c r="CM63" s="40" t="s">
        <v>64</v>
      </c>
      <c r="CN63" s="40" t="s">
        <v>64</v>
      </c>
      <c r="CO63" s="40" t="s">
        <v>64</v>
      </c>
      <c r="CP63" s="40" t="s">
        <v>64</v>
      </c>
    </row>
    <row r="64" spans="1:94" ht="12" x14ac:dyDescent="0.25">
      <c r="A64" s="39" t="s">
        <v>503</v>
      </c>
      <c r="B64" s="39" t="s">
        <v>536</v>
      </c>
      <c r="C64" s="39" t="s">
        <v>503</v>
      </c>
      <c r="D64" s="40" t="s">
        <v>600</v>
      </c>
      <c r="E64" s="43">
        <v>284525454</v>
      </c>
      <c r="F64" s="40">
        <v>0</v>
      </c>
      <c r="G64" s="40" t="s">
        <v>349</v>
      </c>
      <c r="H64" s="40">
        <v>0</v>
      </c>
      <c r="I64" s="40">
        <v>0</v>
      </c>
      <c r="J64" s="13" t="s">
        <v>88</v>
      </c>
      <c r="K64" s="40" t="s">
        <v>60</v>
      </c>
      <c r="L64" s="40" t="s">
        <v>61</v>
      </c>
      <c r="M64" s="42">
        <v>2.6</v>
      </c>
      <c r="N64" s="40" t="s">
        <v>64</v>
      </c>
      <c r="O64" s="40" t="s">
        <v>64</v>
      </c>
      <c r="P64" s="40" t="s">
        <v>64</v>
      </c>
      <c r="Q64" s="40" t="s">
        <v>64</v>
      </c>
      <c r="R64" s="40" t="s">
        <v>64</v>
      </c>
      <c r="S64" s="13" t="s">
        <v>64</v>
      </c>
      <c r="T64" s="40" t="s">
        <v>64</v>
      </c>
      <c r="U64" s="40" t="s">
        <v>64</v>
      </c>
      <c r="V64" s="42" t="s">
        <v>64</v>
      </c>
      <c r="W64" s="40" t="s">
        <v>64</v>
      </c>
      <c r="X64" s="40" t="s">
        <v>64</v>
      </c>
      <c r="Y64" s="40" t="s">
        <v>64</v>
      </c>
      <c r="Z64" s="40" t="s">
        <v>64</v>
      </c>
      <c r="AA64" s="40" t="s">
        <v>64</v>
      </c>
      <c r="AB64" s="13" t="s">
        <v>64</v>
      </c>
      <c r="AC64" s="40" t="s">
        <v>64</v>
      </c>
      <c r="AD64" s="40" t="s">
        <v>64</v>
      </c>
      <c r="AE64" s="42" t="s">
        <v>64</v>
      </c>
      <c r="AF64" s="40" t="s">
        <v>64</v>
      </c>
      <c r="AG64" s="40" t="s">
        <v>64</v>
      </c>
      <c r="AH64" s="40" t="s">
        <v>64</v>
      </c>
      <c r="AI64" s="40" t="s">
        <v>64</v>
      </c>
      <c r="AJ64" s="40" t="s">
        <v>64</v>
      </c>
      <c r="AK64" s="40" t="s">
        <v>64</v>
      </c>
      <c r="AL64" s="40" t="s">
        <v>64</v>
      </c>
      <c r="AM64" s="40" t="s">
        <v>64</v>
      </c>
      <c r="AN64" s="40" t="s">
        <v>64</v>
      </c>
      <c r="AO64" s="40" t="s">
        <v>64</v>
      </c>
      <c r="AP64" s="40" t="s">
        <v>64</v>
      </c>
      <c r="AQ64" s="40" t="s">
        <v>64</v>
      </c>
      <c r="AR64" s="40" t="s">
        <v>64</v>
      </c>
      <c r="AS64" s="40" t="s">
        <v>64</v>
      </c>
      <c r="AT64" s="40" t="s">
        <v>64</v>
      </c>
      <c r="AU64" s="40" t="s">
        <v>64</v>
      </c>
      <c r="AV64" s="40" t="s">
        <v>64</v>
      </c>
      <c r="AW64" s="40" t="s">
        <v>64</v>
      </c>
      <c r="AX64" s="40" t="s">
        <v>64</v>
      </c>
      <c r="AY64" s="40" t="s">
        <v>64</v>
      </c>
      <c r="AZ64" s="40" t="s">
        <v>64</v>
      </c>
      <c r="BA64" s="40" t="s">
        <v>64</v>
      </c>
      <c r="BB64" s="40" t="s">
        <v>64</v>
      </c>
      <c r="BC64" s="40" t="s">
        <v>64</v>
      </c>
      <c r="BD64" s="40" t="s">
        <v>64</v>
      </c>
      <c r="BE64" s="40" t="s">
        <v>64</v>
      </c>
      <c r="BF64" s="40" t="s">
        <v>64</v>
      </c>
      <c r="BG64" s="40" t="s">
        <v>64</v>
      </c>
      <c r="BH64" s="40" t="s">
        <v>64</v>
      </c>
      <c r="BI64" s="40" t="s">
        <v>64</v>
      </c>
      <c r="BJ64" s="40" t="s">
        <v>64</v>
      </c>
      <c r="BK64" s="40" t="s">
        <v>64</v>
      </c>
      <c r="BL64" s="40" t="s">
        <v>64</v>
      </c>
      <c r="BM64" s="40" t="s">
        <v>64</v>
      </c>
      <c r="BN64" s="40" t="s">
        <v>64</v>
      </c>
      <c r="BO64" s="40" t="s">
        <v>64</v>
      </c>
      <c r="BP64" s="40" t="s">
        <v>64</v>
      </c>
      <c r="BQ64" s="40" t="s">
        <v>64</v>
      </c>
      <c r="BR64" s="40" t="s">
        <v>64</v>
      </c>
      <c r="BS64" s="40" t="s">
        <v>64</v>
      </c>
      <c r="BT64" s="40" t="s">
        <v>64</v>
      </c>
      <c r="BU64" s="40" t="s">
        <v>64</v>
      </c>
      <c r="BV64" s="40" t="s">
        <v>64</v>
      </c>
      <c r="BW64" s="40" t="s">
        <v>64</v>
      </c>
      <c r="BX64" s="40" t="s">
        <v>64</v>
      </c>
      <c r="BY64" s="40" t="s">
        <v>64</v>
      </c>
      <c r="BZ64" s="40" t="s">
        <v>64</v>
      </c>
      <c r="CA64" s="40" t="s">
        <v>64</v>
      </c>
      <c r="CB64" s="40" t="s">
        <v>64</v>
      </c>
      <c r="CC64" s="40" t="s">
        <v>64</v>
      </c>
      <c r="CD64" s="40" t="s">
        <v>64</v>
      </c>
      <c r="CE64" s="40" t="s">
        <v>64</v>
      </c>
      <c r="CF64" s="40" t="s">
        <v>64</v>
      </c>
      <c r="CG64" s="40" t="s">
        <v>64</v>
      </c>
      <c r="CH64" s="40" t="s">
        <v>64</v>
      </c>
      <c r="CI64" s="40" t="s">
        <v>64</v>
      </c>
      <c r="CJ64" s="40" t="s">
        <v>64</v>
      </c>
      <c r="CK64" s="40" t="s">
        <v>64</v>
      </c>
      <c r="CL64" s="40" t="s">
        <v>64</v>
      </c>
      <c r="CM64" s="40" t="s">
        <v>64</v>
      </c>
      <c r="CN64" s="40" t="s">
        <v>64</v>
      </c>
      <c r="CO64" s="40" t="s">
        <v>64</v>
      </c>
      <c r="CP64" s="40" t="s">
        <v>64</v>
      </c>
    </row>
    <row r="65" spans="1:94" ht="12" x14ac:dyDescent="0.25">
      <c r="A65" s="39" t="s">
        <v>504</v>
      </c>
      <c r="B65" s="39" t="s">
        <v>536</v>
      </c>
      <c r="C65" s="39" t="s">
        <v>504</v>
      </c>
      <c r="D65" s="40" t="s">
        <v>601</v>
      </c>
      <c r="E65" s="43">
        <v>284525477</v>
      </c>
      <c r="F65" s="40">
        <v>0</v>
      </c>
      <c r="G65" s="40" t="s">
        <v>349</v>
      </c>
      <c r="H65" s="40">
        <v>0</v>
      </c>
      <c r="I65" s="40">
        <v>0</v>
      </c>
      <c r="J65" s="13" t="s">
        <v>89</v>
      </c>
      <c r="K65" s="40" t="s">
        <v>60</v>
      </c>
      <c r="L65" s="40" t="s">
        <v>61</v>
      </c>
      <c r="M65" s="42">
        <v>5.2</v>
      </c>
      <c r="N65" s="40" t="s">
        <v>64</v>
      </c>
      <c r="O65" s="40" t="s">
        <v>64</v>
      </c>
      <c r="P65" s="40" t="s">
        <v>64</v>
      </c>
      <c r="Q65" s="40" t="s">
        <v>64</v>
      </c>
      <c r="R65" s="40" t="s">
        <v>64</v>
      </c>
      <c r="S65" s="13" t="s">
        <v>64</v>
      </c>
      <c r="T65" s="40" t="s">
        <v>64</v>
      </c>
      <c r="U65" s="40" t="s">
        <v>64</v>
      </c>
      <c r="V65" s="42" t="s">
        <v>64</v>
      </c>
      <c r="W65" s="40" t="s">
        <v>64</v>
      </c>
      <c r="X65" s="40" t="s">
        <v>64</v>
      </c>
      <c r="Y65" s="40" t="s">
        <v>64</v>
      </c>
      <c r="Z65" s="40" t="s">
        <v>64</v>
      </c>
      <c r="AA65" s="40" t="s">
        <v>64</v>
      </c>
      <c r="AB65" s="13" t="s">
        <v>64</v>
      </c>
      <c r="AC65" s="40" t="s">
        <v>64</v>
      </c>
      <c r="AD65" s="40" t="s">
        <v>64</v>
      </c>
      <c r="AE65" s="42" t="s">
        <v>64</v>
      </c>
      <c r="AF65" s="40" t="s">
        <v>64</v>
      </c>
      <c r="AG65" s="40" t="s">
        <v>64</v>
      </c>
      <c r="AH65" s="40" t="s">
        <v>64</v>
      </c>
      <c r="AI65" s="40" t="s">
        <v>64</v>
      </c>
      <c r="AJ65" s="40" t="s">
        <v>64</v>
      </c>
      <c r="AK65" s="40" t="s">
        <v>64</v>
      </c>
      <c r="AL65" s="40" t="s">
        <v>64</v>
      </c>
      <c r="AM65" s="40" t="s">
        <v>64</v>
      </c>
      <c r="AN65" s="40" t="s">
        <v>64</v>
      </c>
      <c r="AO65" s="40" t="s">
        <v>64</v>
      </c>
      <c r="AP65" s="40" t="s">
        <v>64</v>
      </c>
      <c r="AQ65" s="40" t="s">
        <v>64</v>
      </c>
      <c r="AR65" s="40" t="s">
        <v>64</v>
      </c>
      <c r="AS65" s="40" t="s">
        <v>64</v>
      </c>
      <c r="AT65" s="40" t="s">
        <v>64</v>
      </c>
      <c r="AU65" s="40" t="s">
        <v>64</v>
      </c>
      <c r="AV65" s="40" t="s">
        <v>64</v>
      </c>
      <c r="AW65" s="40" t="s">
        <v>64</v>
      </c>
      <c r="AX65" s="40" t="s">
        <v>64</v>
      </c>
      <c r="AY65" s="40" t="s">
        <v>64</v>
      </c>
      <c r="AZ65" s="40" t="s">
        <v>64</v>
      </c>
      <c r="BA65" s="40" t="s">
        <v>64</v>
      </c>
      <c r="BB65" s="40" t="s">
        <v>64</v>
      </c>
      <c r="BC65" s="40" t="s">
        <v>64</v>
      </c>
      <c r="BD65" s="40" t="s">
        <v>64</v>
      </c>
      <c r="BE65" s="40" t="s">
        <v>64</v>
      </c>
      <c r="BF65" s="40" t="s">
        <v>64</v>
      </c>
      <c r="BG65" s="40" t="s">
        <v>64</v>
      </c>
      <c r="BH65" s="40" t="s">
        <v>64</v>
      </c>
      <c r="BI65" s="40" t="s">
        <v>64</v>
      </c>
      <c r="BJ65" s="40" t="s">
        <v>64</v>
      </c>
      <c r="BK65" s="40" t="s">
        <v>64</v>
      </c>
      <c r="BL65" s="40" t="s">
        <v>64</v>
      </c>
      <c r="BM65" s="40" t="s">
        <v>64</v>
      </c>
      <c r="BN65" s="40" t="s">
        <v>64</v>
      </c>
      <c r="BO65" s="40" t="s">
        <v>64</v>
      </c>
      <c r="BP65" s="40" t="s">
        <v>64</v>
      </c>
      <c r="BQ65" s="40" t="s">
        <v>64</v>
      </c>
      <c r="BR65" s="40" t="s">
        <v>64</v>
      </c>
      <c r="BS65" s="40" t="s">
        <v>64</v>
      </c>
      <c r="BT65" s="40" t="s">
        <v>64</v>
      </c>
      <c r="BU65" s="40" t="s">
        <v>64</v>
      </c>
      <c r="BV65" s="40" t="s">
        <v>64</v>
      </c>
      <c r="BW65" s="40" t="s">
        <v>64</v>
      </c>
      <c r="BX65" s="40" t="s">
        <v>64</v>
      </c>
      <c r="BY65" s="40" t="s">
        <v>64</v>
      </c>
      <c r="BZ65" s="40" t="s">
        <v>64</v>
      </c>
      <c r="CA65" s="40" t="s">
        <v>64</v>
      </c>
      <c r="CB65" s="40" t="s">
        <v>64</v>
      </c>
      <c r="CC65" s="40" t="s">
        <v>64</v>
      </c>
      <c r="CD65" s="40" t="s">
        <v>64</v>
      </c>
      <c r="CE65" s="40" t="s">
        <v>64</v>
      </c>
      <c r="CF65" s="40" t="s">
        <v>64</v>
      </c>
      <c r="CG65" s="40" t="s">
        <v>64</v>
      </c>
      <c r="CH65" s="40" t="s">
        <v>64</v>
      </c>
      <c r="CI65" s="40" t="s">
        <v>64</v>
      </c>
      <c r="CJ65" s="40" t="s">
        <v>64</v>
      </c>
      <c r="CK65" s="40" t="s">
        <v>64</v>
      </c>
      <c r="CL65" s="40" t="s">
        <v>64</v>
      </c>
      <c r="CM65" s="40" t="s">
        <v>64</v>
      </c>
      <c r="CN65" s="40" t="s">
        <v>64</v>
      </c>
      <c r="CO65" s="40" t="s">
        <v>64</v>
      </c>
      <c r="CP65" s="40" t="s">
        <v>64</v>
      </c>
    </row>
    <row r="66" spans="1:94" ht="12" x14ac:dyDescent="0.25">
      <c r="A66" s="39" t="s">
        <v>505</v>
      </c>
      <c r="B66" s="39" t="s">
        <v>536</v>
      </c>
      <c r="C66" s="39" t="s">
        <v>505</v>
      </c>
      <c r="D66" s="40" t="s">
        <v>602</v>
      </c>
      <c r="E66" s="43">
        <v>284525478</v>
      </c>
      <c r="F66" s="40">
        <v>0</v>
      </c>
      <c r="G66" s="40" t="s">
        <v>349</v>
      </c>
      <c r="H66" s="40">
        <v>0</v>
      </c>
      <c r="I66" s="40">
        <v>0</v>
      </c>
      <c r="J66" s="13" t="s">
        <v>88</v>
      </c>
      <c r="K66" s="40" t="s">
        <v>60</v>
      </c>
      <c r="L66" s="40" t="s">
        <v>61</v>
      </c>
      <c r="M66" s="42">
        <v>5.2</v>
      </c>
      <c r="N66" s="40" t="s">
        <v>64</v>
      </c>
      <c r="O66" s="40" t="s">
        <v>64</v>
      </c>
      <c r="P66" s="40" t="s">
        <v>64</v>
      </c>
      <c r="Q66" s="40" t="s">
        <v>64</v>
      </c>
      <c r="R66" s="40" t="s">
        <v>64</v>
      </c>
      <c r="S66" s="13" t="s">
        <v>64</v>
      </c>
      <c r="T66" s="40" t="s">
        <v>64</v>
      </c>
      <c r="U66" s="40" t="s">
        <v>64</v>
      </c>
      <c r="V66" s="42" t="s">
        <v>64</v>
      </c>
      <c r="W66" s="40" t="s">
        <v>64</v>
      </c>
      <c r="X66" s="40" t="s">
        <v>64</v>
      </c>
      <c r="Y66" s="40" t="s">
        <v>64</v>
      </c>
      <c r="Z66" s="40" t="s">
        <v>64</v>
      </c>
      <c r="AA66" s="40" t="s">
        <v>64</v>
      </c>
      <c r="AB66" s="13" t="s">
        <v>64</v>
      </c>
      <c r="AC66" s="40" t="s">
        <v>64</v>
      </c>
      <c r="AD66" s="40" t="s">
        <v>64</v>
      </c>
      <c r="AE66" s="42" t="s">
        <v>64</v>
      </c>
      <c r="AF66" s="40" t="s">
        <v>64</v>
      </c>
      <c r="AG66" s="40" t="s">
        <v>64</v>
      </c>
      <c r="AH66" s="40" t="s">
        <v>64</v>
      </c>
      <c r="AI66" s="40" t="s">
        <v>64</v>
      </c>
      <c r="AJ66" s="40" t="s">
        <v>64</v>
      </c>
      <c r="AK66" s="40" t="s">
        <v>64</v>
      </c>
      <c r="AL66" s="40" t="s">
        <v>64</v>
      </c>
      <c r="AM66" s="40" t="s">
        <v>64</v>
      </c>
      <c r="AN66" s="40" t="s">
        <v>64</v>
      </c>
      <c r="AO66" s="40" t="s">
        <v>64</v>
      </c>
      <c r="AP66" s="40" t="s">
        <v>64</v>
      </c>
      <c r="AQ66" s="40" t="s">
        <v>64</v>
      </c>
      <c r="AR66" s="40" t="s">
        <v>64</v>
      </c>
      <c r="AS66" s="40" t="s">
        <v>64</v>
      </c>
      <c r="AT66" s="40" t="s">
        <v>64</v>
      </c>
      <c r="AU66" s="40" t="s">
        <v>64</v>
      </c>
      <c r="AV66" s="40" t="s">
        <v>64</v>
      </c>
      <c r="AW66" s="40" t="s">
        <v>64</v>
      </c>
      <c r="AX66" s="40" t="s">
        <v>64</v>
      </c>
      <c r="AY66" s="40" t="s">
        <v>64</v>
      </c>
      <c r="AZ66" s="40" t="s">
        <v>64</v>
      </c>
      <c r="BA66" s="40" t="s">
        <v>64</v>
      </c>
      <c r="BB66" s="40" t="s">
        <v>64</v>
      </c>
      <c r="BC66" s="40" t="s">
        <v>64</v>
      </c>
      <c r="BD66" s="40" t="s">
        <v>64</v>
      </c>
      <c r="BE66" s="40" t="s">
        <v>64</v>
      </c>
      <c r="BF66" s="40" t="s">
        <v>64</v>
      </c>
      <c r="BG66" s="40" t="s">
        <v>64</v>
      </c>
      <c r="BH66" s="40" t="s">
        <v>64</v>
      </c>
      <c r="BI66" s="40" t="s">
        <v>64</v>
      </c>
      <c r="BJ66" s="40" t="s">
        <v>64</v>
      </c>
      <c r="BK66" s="40" t="s">
        <v>64</v>
      </c>
      <c r="BL66" s="40" t="s">
        <v>64</v>
      </c>
      <c r="BM66" s="40" t="s">
        <v>64</v>
      </c>
      <c r="BN66" s="40" t="s">
        <v>64</v>
      </c>
      <c r="BO66" s="40" t="s">
        <v>64</v>
      </c>
      <c r="BP66" s="40" t="s">
        <v>64</v>
      </c>
      <c r="BQ66" s="40" t="s">
        <v>64</v>
      </c>
      <c r="BR66" s="40" t="s">
        <v>64</v>
      </c>
      <c r="BS66" s="40" t="s">
        <v>64</v>
      </c>
      <c r="BT66" s="40" t="s">
        <v>64</v>
      </c>
      <c r="BU66" s="40" t="s">
        <v>64</v>
      </c>
      <c r="BV66" s="40" t="s">
        <v>64</v>
      </c>
      <c r="BW66" s="40" t="s">
        <v>64</v>
      </c>
      <c r="BX66" s="40" t="s">
        <v>64</v>
      </c>
      <c r="BY66" s="40" t="s">
        <v>64</v>
      </c>
      <c r="BZ66" s="40" t="s">
        <v>64</v>
      </c>
      <c r="CA66" s="40" t="s">
        <v>64</v>
      </c>
      <c r="CB66" s="40" t="s">
        <v>64</v>
      </c>
      <c r="CC66" s="40" t="s">
        <v>64</v>
      </c>
      <c r="CD66" s="40" t="s">
        <v>64</v>
      </c>
      <c r="CE66" s="40" t="s">
        <v>64</v>
      </c>
      <c r="CF66" s="40" t="s">
        <v>64</v>
      </c>
      <c r="CG66" s="40" t="s">
        <v>64</v>
      </c>
      <c r="CH66" s="40" t="s">
        <v>64</v>
      </c>
      <c r="CI66" s="40" t="s">
        <v>64</v>
      </c>
      <c r="CJ66" s="40" t="s">
        <v>64</v>
      </c>
      <c r="CK66" s="40" t="s">
        <v>64</v>
      </c>
      <c r="CL66" s="40" t="s">
        <v>64</v>
      </c>
      <c r="CM66" s="40" t="s">
        <v>64</v>
      </c>
      <c r="CN66" s="40" t="s">
        <v>64</v>
      </c>
      <c r="CO66" s="40" t="s">
        <v>64</v>
      </c>
      <c r="CP66" s="40" t="s">
        <v>64</v>
      </c>
    </row>
    <row r="67" spans="1:94" ht="12" x14ac:dyDescent="0.25">
      <c r="A67" s="39" t="s">
        <v>506</v>
      </c>
      <c r="B67" s="39" t="s">
        <v>536</v>
      </c>
      <c r="C67" s="39" t="s">
        <v>506</v>
      </c>
      <c r="D67" s="40" t="s">
        <v>603</v>
      </c>
      <c r="E67" s="43">
        <v>284525487</v>
      </c>
      <c r="F67" s="40">
        <v>0</v>
      </c>
      <c r="G67" s="40" t="s">
        <v>349</v>
      </c>
      <c r="H67" s="40">
        <v>0</v>
      </c>
      <c r="I67" s="40">
        <v>0</v>
      </c>
      <c r="J67" s="13" t="s">
        <v>89</v>
      </c>
      <c r="K67" s="40" t="s">
        <v>60</v>
      </c>
      <c r="L67" s="40" t="s">
        <v>61</v>
      </c>
      <c r="M67" s="42">
        <v>2.6</v>
      </c>
      <c r="N67" s="40" t="s">
        <v>64</v>
      </c>
      <c r="O67" s="40" t="s">
        <v>64</v>
      </c>
      <c r="P67" s="40" t="s">
        <v>64</v>
      </c>
      <c r="Q67" s="40" t="s">
        <v>64</v>
      </c>
      <c r="R67" s="40" t="s">
        <v>64</v>
      </c>
      <c r="S67" s="13" t="s">
        <v>64</v>
      </c>
      <c r="T67" s="40" t="s">
        <v>64</v>
      </c>
      <c r="U67" s="40" t="s">
        <v>64</v>
      </c>
      <c r="V67" s="42" t="s">
        <v>64</v>
      </c>
      <c r="W67" s="40" t="s">
        <v>64</v>
      </c>
      <c r="X67" s="40" t="s">
        <v>64</v>
      </c>
      <c r="Y67" s="40" t="s">
        <v>64</v>
      </c>
      <c r="Z67" s="40" t="s">
        <v>64</v>
      </c>
      <c r="AA67" s="40" t="s">
        <v>64</v>
      </c>
      <c r="AB67" s="13" t="s">
        <v>64</v>
      </c>
      <c r="AC67" s="40" t="s">
        <v>64</v>
      </c>
      <c r="AD67" s="40" t="s">
        <v>64</v>
      </c>
      <c r="AE67" s="42" t="s">
        <v>64</v>
      </c>
      <c r="AF67" s="40" t="s">
        <v>64</v>
      </c>
      <c r="AG67" s="40" t="s">
        <v>64</v>
      </c>
      <c r="AH67" s="40" t="s">
        <v>64</v>
      </c>
      <c r="AI67" s="40" t="s">
        <v>64</v>
      </c>
      <c r="AJ67" s="40" t="s">
        <v>64</v>
      </c>
      <c r="AK67" s="40" t="s">
        <v>64</v>
      </c>
      <c r="AL67" s="40" t="s">
        <v>64</v>
      </c>
      <c r="AM67" s="40" t="s">
        <v>64</v>
      </c>
      <c r="AN67" s="40" t="s">
        <v>64</v>
      </c>
      <c r="AO67" s="40" t="s">
        <v>64</v>
      </c>
      <c r="AP67" s="40" t="s">
        <v>64</v>
      </c>
      <c r="AQ67" s="40" t="s">
        <v>64</v>
      </c>
      <c r="AR67" s="40" t="s">
        <v>64</v>
      </c>
      <c r="AS67" s="40" t="s">
        <v>64</v>
      </c>
      <c r="AT67" s="40" t="s">
        <v>64</v>
      </c>
      <c r="AU67" s="40" t="s">
        <v>64</v>
      </c>
      <c r="AV67" s="40" t="s">
        <v>64</v>
      </c>
      <c r="AW67" s="40" t="s">
        <v>64</v>
      </c>
      <c r="AX67" s="40" t="s">
        <v>64</v>
      </c>
      <c r="AY67" s="40" t="s">
        <v>64</v>
      </c>
      <c r="AZ67" s="40" t="s">
        <v>64</v>
      </c>
      <c r="BA67" s="40" t="s">
        <v>64</v>
      </c>
      <c r="BB67" s="40" t="s">
        <v>64</v>
      </c>
      <c r="BC67" s="40" t="s">
        <v>64</v>
      </c>
      <c r="BD67" s="40" t="s">
        <v>64</v>
      </c>
      <c r="BE67" s="40" t="s">
        <v>64</v>
      </c>
      <c r="BF67" s="40" t="s">
        <v>64</v>
      </c>
      <c r="BG67" s="40" t="s">
        <v>64</v>
      </c>
      <c r="BH67" s="40" t="s">
        <v>64</v>
      </c>
      <c r="BI67" s="40" t="s">
        <v>64</v>
      </c>
      <c r="BJ67" s="40" t="s">
        <v>64</v>
      </c>
      <c r="BK67" s="40" t="s">
        <v>64</v>
      </c>
      <c r="BL67" s="40" t="s">
        <v>64</v>
      </c>
      <c r="BM67" s="40" t="s">
        <v>64</v>
      </c>
      <c r="BN67" s="40" t="s">
        <v>64</v>
      </c>
      <c r="BO67" s="40" t="s">
        <v>64</v>
      </c>
      <c r="BP67" s="40" t="s">
        <v>64</v>
      </c>
      <c r="BQ67" s="40" t="s">
        <v>64</v>
      </c>
      <c r="BR67" s="40" t="s">
        <v>64</v>
      </c>
      <c r="BS67" s="40" t="s">
        <v>64</v>
      </c>
      <c r="BT67" s="40" t="s">
        <v>64</v>
      </c>
      <c r="BU67" s="40" t="s">
        <v>64</v>
      </c>
      <c r="BV67" s="40" t="s">
        <v>64</v>
      </c>
      <c r="BW67" s="40" t="s">
        <v>64</v>
      </c>
      <c r="BX67" s="40" t="s">
        <v>64</v>
      </c>
      <c r="BY67" s="40" t="s">
        <v>64</v>
      </c>
      <c r="BZ67" s="40" t="s">
        <v>64</v>
      </c>
      <c r="CA67" s="40" t="s">
        <v>64</v>
      </c>
      <c r="CB67" s="40" t="s">
        <v>64</v>
      </c>
      <c r="CC67" s="40" t="s">
        <v>64</v>
      </c>
      <c r="CD67" s="40" t="s">
        <v>64</v>
      </c>
      <c r="CE67" s="40" t="s">
        <v>64</v>
      </c>
      <c r="CF67" s="40" t="s">
        <v>64</v>
      </c>
      <c r="CG67" s="40" t="s">
        <v>64</v>
      </c>
      <c r="CH67" s="40" t="s">
        <v>64</v>
      </c>
      <c r="CI67" s="40" t="s">
        <v>64</v>
      </c>
      <c r="CJ67" s="40" t="s">
        <v>64</v>
      </c>
      <c r="CK67" s="40" t="s">
        <v>64</v>
      </c>
      <c r="CL67" s="40" t="s">
        <v>64</v>
      </c>
      <c r="CM67" s="40" t="s">
        <v>64</v>
      </c>
      <c r="CN67" s="40" t="s">
        <v>64</v>
      </c>
      <c r="CO67" s="40" t="s">
        <v>64</v>
      </c>
      <c r="CP67" s="40" t="s">
        <v>64</v>
      </c>
    </row>
    <row r="68" spans="1:94" ht="12" x14ac:dyDescent="0.25">
      <c r="A68" s="39" t="s">
        <v>507</v>
      </c>
      <c r="B68" s="39" t="s">
        <v>536</v>
      </c>
      <c r="C68" s="39" t="s">
        <v>507</v>
      </c>
      <c r="D68" s="40" t="s">
        <v>604</v>
      </c>
      <c r="E68" s="43">
        <v>284525489</v>
      </c>
      <c r="F68" s="40">
        <v>0</v>
      </c>
      <c r="G68" s="40" t="s">
        <v>349</v>
      </c>
      <c r="H68" s="40">
        <v>0</v>
      </c>
      <c r="I68" s="40">
        <v>0</v>
      </c>
      <c r="J68" s="13" t="s">
        <v>88</v>
      </c>
      <c r="K68" s="40" t="s">
        <v>60</v>
      </c>
      <c r="L68" s="40" t="s">
        <v>61</v>
      </c>
      <c r="M68" s="42">
        <v>5.2</v>
      </c>
      <c r="N68" s="40" t="s">
        <v>64</v>
      </c>
      <c r="O68" s="40" t="s">
        <v>64</v>
      </c>
      <c r="P68" s="40" t="s">
        <v>64</v>
      </c>
      <c r="Q68" s="40" t="s">
        <v>64</v>
      </c>
      <c r="R68" s="40" t="s">
        <v>64</v>
      </c>
      <c r="S68" s="13" t="s">
        <v>64</v>
      </c>
      <c r="T68" s="40" t="s">
        <v>64</v>
      </c>
      <c r="U68" s="40" t="s">
        <v>64</v>
      </c>
      <c r="V68" s="42" t="s">
        <v>64</v>
      </c>
      <c r="W68" s="40" t="s">
        <v>64</v>
      </c>
      <c r="X68" s="40" t="s">
        <v>64</v>
      </c>
      <c r="Y68" s="40" t="s">
        <v>64</v>
      </c>
      <c r="Z68" s="40" t="s">
        <v>64</v>
      </c>
      <c r="AA68" s="40" t="s">
        <v>64</v>
      </c>
      <c r="AB68" s="13" t="s">
        <v>64</v>
      </c>
      <c r="AC68" s="40" t="s">
        <v>64</v>
      </c>
      <c r="AD68" s="40" t="s">
        <v>64</v>
      </c>
      <c r="AE68" s="42" t="s">
        <v>64</v>
      </c>
      <c r="AF68" s="40" t="s">
        <v>64</v>
      </c>
      <c r="AG68" s="40" t="s">
        <v>64</v>
      </c>
      <c r="AH68" s="40" t="s">
        <v>64</v>
      </c>
      <c r="AI68" s="40" t="s">
        <v>64</v>
      </c>
      <c r="AJ68" s="40" t="s">
        <v>64</v>
      </c>
      <c r="AK68" s="40" t="s">
        <v>64</v>
      </c>
      <c r="AL68" s="40" t="s">
        <v>64</v>
      </c>
      <c r="AM68" s="40" t="s">
        <v>64</v>
      </c>
      <c r="AN68" s="40" t="s">
        <v>64</v>
      </c>
      <c r="AO68" s="40" t="s">
        <v>64</v>
      </c>
      <c r="AP68" s="40" t="s">
        <v>64</v>
      </c>
      <c r="AQ68" s="40" t="s">
        <v>64</v>
      </c>
      <c r="AR68" s="40" t="s">
        <v>64</v>
      </c>
      <c r="AS68" s="40" t="s">
        <v>64</v>
      </c>
      <c r="AT68" s="40" t="s">
        <v>64</v>
      </c>
      <c r="AU68" s="40" t="s">
        <v>64</v>
      </c>
      <c r="AV68" s="40" t="s">
        <v>64</v>
      </c>
      <c r="AW68" s="40" t="s">
        <v>64</v>
      </c>
      <c r="AX68" s="40" t="s">
        <v>64</v>
      </c>
      <c r="AY68" s="40" t="s">
        <v>64</v>
      </c>
      <c r="AZ68" s="40" t="s">
        <v>64</v>
      </c>
      <c r="BA68" s="40" t="s">
        <v>64</v>
      </c>
      <c r="BB68" s="40" t="s">
        <v>64</v>
      </c>
      <c r="BC68" s="40" t="s">
        <v>64</v>
      </c>
      <c r="BD68" s="40" t="s">
        <v>64</v>
      </c>
      <c r="BE68" s="40" t="s">
        <v>64</v>
      </c>
      <c r="BF68" s="40" t="s">
        <v>64</v>
      </c>
      <c r="BG68" s="40" t="s">
        <v>64</v>
      </c>
      <c r="BH68" s="40" t="s">
        <v>64</v>
      </c>
      <c r="BI68" s="40" t="s">
        <v>64</v>
      </c>
      <c r="BJ68" s="40" t="s">
        <v>64</v>
      </c>
      <c r="BK68" s="40" t="s">
        <v>64</v>
      </c>
      <c r="BL68" s="40" t="s">
        <v>64</v>
      </c>
      <c r="BM68" s="40" t="s">
        <v>64</v>
      </c>
      <c r="BN68" s="40" t="s">
        <v>64</v>
      </c>
      <c r="BO68" s="40" t="s">
        <v>64</v>
      </c>
      <c r="BP68" s="40" t="s">
        <v>64</v>
      </c>
      <c r="BQ68" s="40" t="s">
        <v>64</v>
      </c>
      <c r="BR68" s="40" t="s">
        <v>64</v>
      </c>
      <c r="BS68" s="40" t="s">
        <v>64</v>
      </c>
      <c r="BT68" s="40" t="s">
        <v>64</v>
      </c>
      <c r="BU68" s="40" t="s">
        <v>64</v>
      </c>
      <c r="BV68" s="40" t="s">
        <v>64</v>
      </c>
      <c r="BW68" s="40" t="s">
        <v>64</v>
      </c>
      <c r="BX68" s="40" t="s">
        <v>64</v>
      </c>
      <c r="BY68" s="40" t="s">
        <v>64</v>
      </c>
      <c r="BZ68" s="40" t="s">
        <v>64</v>
      </c>
      <c r="CA68" s="40" t="s">
        <v>64</v>
      </c>
      <c r="CB68" s="40" t="s">
        <v>64</v>
      </c>
      <c r="CC68" s="40" t="s">
        <v>64</v>
      </c>
      <c r="CD68" s="40" t="s">
        <v>64</v>
      </c>
      <c r="CE68" s="40" t="s">
        <v>64</v>
      </c>
      <c r="CF68" s="40" t="s">
        <v>64</v>
      </c>
      <c r="CG68" s="40" t="s">
        <v>64</v>
      </c>
      <c r="CH68" s="40" t="s">
        <v>64</v>
      </c>
      <c r="CI68" s="40" t="s">
        <v>64</v>
      </c>
      <c r="CJ68" s="40" t="s">
        <v>64</v>
      </c>
      <c r="CK68" s="40" t="s">
        <v>64</v>
      </c>
      <c r="CL68" s="40" t="s">
        <v>64</v>
      </c>
      <c r="CM68" s="40" t="s">
        <v>64</v>
      </c>
      <c r="CN68" s="40" t="s">
        <v>64</v>
      </c>
      <c r="CO68" s="40" t="s">
        <v>64</v>
      </c>
      <c r="CP68" s="40" t="s">
        <v>64</v>
      </c>
    </row>
    <row r="69" spans="1:94" ht="12" x14ac:dyDescent="0.25">
      <c r="A69" s="39" t="s">
        <v>508</v>
      </c>
      <c r="B69" s="39" t="s">
        <v>536</v>
      </c>
      <c r="C69" s="39" t="s">
        <v>508</v>
      </c>
      <c r="D69" s="40" t="s">
        <v>605</v>
      </c>
      <c r="E69" s="43">
        <v>284525499</v>
      </c>
      <c r="F69" s="40">
        <v>0</v>
      </c>
      <c r="G69" s="40" t="s">
        <v>349</v>
      </c>
      <c r="H69" s="40">
        <v>0</v>
      </c>
      <c r="I69" s="40">
        <v>0</v>
      </c>
      <c r="J69" s="13" t="s">
        <v>88</v>
      </c>
      <c r="K69" s="40" t="s">
        <v>60</v>
      </c>
      <c r="L69" s="40" t="s">
        <v>61</v>
      </c>
      <c r="M69" s="42">
        <v>2.6</v>
      </c>
      <c r="N69" s="40">
        <v>284525500</v>
      </c>
      <c r="O69" s="40">
        <v>0</v>
      </c>
      <c r="P69" s="40" t="s">
        <v>350</v>
      </c>
      <c r="Q69" s="40">
        <v>0</v>
      </c>
      <c r="R69" s="40">
        <v>0</v>
      </c>
      <c r="S69" s="13" t="s">
        <v>91</v>
      </c>
      <c r="T69" s="40" t="s">
        <v>60</v>
      </c>
      <c r="U69" s="40" t="s">
        <v>61</v>
      </c>
      <c r="V69" s="42">
        <v>5.2</v>
      </c>
      <c r="W69" s="40" t="s">
        <v>64</v>
      </c>
      <c r="X69" s="40" t="s">
        <v>64</v>
      </c>
      <c r="Y69" s="40" t="s">
        <v>64</v>
      </c>
      <c r="Z69" s="40" t="s">
        <v>64</v>
      </c>
      <c r="AA69" s="40" t="s">
        <v>64</v>
      </c>
      <c r="AB69" s="13" t="s">
        <v>64</v>
      </c>
      <c r="AC69" s="40" t="s">
        <v>64</v>
      </c>
      <c r="AD69" s="40" t="s">
        <v>64</v>
      </c>
      <c r="AE69" s="42" t="s">
        <v>64</v>
      </c>
      <c r="AF69" s="40" t="s">
        <v>64</v>
      </c>
      <c r="AG69" s="40" t="s">
        <v>64</v>
      </c>
      <c r="AH69" s="40" t="s">
        <v>64</v>
      </c>
      <c r="AI69" s="40" t="s">
        <v>64</v>
      </c>
      <c r="AJ69" s="40" t="s">
        <v>64</v>
      </c>
      <c r="AK69" s="40" t="s">
        <v>64</v>
      </c>
      <c r="AL69" s="40" t="s">
        <v>64</v>
      </c>
      <c r="AM69" s="40" t="s">
        <v>64</v>
      </c>
      <c r="AN69" s="40" t="s">
        <v>64</v>
      </c>
      <c r="AO69" s="40" t="s">
        <v>64</v>
      </c>
      <c r="AP69" s="40" t="s">
        <v>64</v>
      </c>
      <c r="AQ69" s="40" t="s">
        <v>64</v>
      </c>
      <c r="AR69" s="40" t="s">
        <v>64</v>
      </c>
      <c r="AS69" s="40" t="s">
        <v>64</v>
      </c>
      <c r="AT69" s="40" t="s">
        <v>64</v>
      </c>
      <c r="AU69" s="40" t="s">
        <v>64</v>
      </c>
      <c r="AV69" s="40" t="s">
        <v>64</v>
      </c>
      <c r="AW69" s="40" t="s">
        <v>64</v>
      </c>
      <c r="AX69" s="40" t="s">
        <v>64</v>
      </c>
      <c r="AY69" s="40" t="s">
        <v>64</v>
      </c>
      <c r="AZ69" s="40" t="s">
        <v>64</v>
      </c>
      <c r="BA69" s="40" t="s">
        <v>64</v>
      </c>
      <c r="BB69" s="40" t="s">
        <v>64</v>
      </c>
      <c r="BC69" s="40" t="s">
        <v>64</v>
      </c>
      <c r="BD69" s="40" t="s">
        <v>64</v>
      </c>
      <c r="BE69" s="40" t="s">
        <v>64</v>
      </c>
      <c r="BF69" s="40" t="s">
        <v>64</v>
      </c>
      <c r="BG69" s="40" t="s">
        <v>64</v>
      </c>
      <c r="BH69" s="40" t="s">
        <v>64</v>
      </c>
      <c r="BI69" s="40" t="s">
        <v>64</v>
      </c>
      <c r="BJ69" s="40" t="s">
        <v>64</v>
      </c>
      <c r="BK69" s="40" t="s">
        <v>64</v>
      </c>
      <c r="BL69" s="40" t="s">
        <v>64</v>
      </c>
      <c r="BM69" s="40" t="s">
        <v>64</v>
      </c>
      <c r="BN69" s="40" t="s">
        <v>64</v>
      </c>
      <c r="BO69" s="40" t="s">
        <v>64</v>
      </c>
      <c r="BP69" s="40" t="s">
        <v>64</v>
      </c>
      <c r="BQ69" s="40" t="s">
        <v>64</v>
      </c>
      <c r="BR69" s="40" t="s">
        <v>64</v>
      </c>
      <c r="BS69" s="40" t="s">
        <v>64</v>
      </c>
      <c r="BT69" s="40" t="s">
        <v>64</v>
      </c>
      <c r="BU69" s="40" t="s">
        <v>64</v>
      </c>
      <c r="BV69" s="40" t="s">
        <v>64</v>
      </c>
      <c r="BW69" s="40" t="s">
        <v>64</v>
      </c>
      <c r="BX69" s="40" t="s">
        <v>64</v>
      </c>
      <c r="BY69" s="40" t="s">
        <v>64</v>
      </c>
      <c r="BZ69" s="40" t="s">
        <v>64</v>
      </c>
      <c r="CA69" s="40" t="s">
        <v>64</v>
      </c>
      <c r="CB69" s="40" t="s">
        <v>64</v>
      </c>
      <c r="CC69" s="40" t="s">
        <v>64</v>
      </c>
      <c r="CD69" s="40" t="s">
        <v>64</v>
      </c>
      <c r="CE69" s="40" t="s">
        <v>64</v>
      </c>
      <c r="CF69" s="40" t="s">
        <v>64</v>
      </c>
      <c r="CG69" s="40" t="s">
        <v>64</v>
      </c>
      <c r="CH69" s="40" t="s">
        <v>64</v>
      </c>
      <c r="CI69" s="40" t="s">
        <v>64</v>
      </c>
      <c r="CJ69" s="40" t="s">
        <v>64</v>
      </c>
      <c r="CK69" s="40" t="s">
        <v>64</v>
      </c>
      <c r="CL69" s="40" t="s">
        <v>64</v>
      </c>
      <c r="CM69" s="40" t="s">
        <v>64</v>
      </c>
      <c r="CN69" s="40" t="s">
        <v>64</v>
      </c>
      <c r="CO69" s="40" t="s">
        <v>64</v>
      </c>
      <c r="CP69" s="40" t="s">
        <v>64</v>
      </c>
    </row>
    <row r="70" spans="1:94" ht="12" x14ac:dyDescent="0.25">
      <c r="A70" s="39" t="s">
        <v>509</v>
      </c>
      <c r="B70" s="39" t="s">
        <v>536</v>
      </c>
      <c r="C70" s="39" t="s">
        <v>509</v>
      </c>
      <c r="D70" s="40" t="s">
        <v>606</v>
      </c>
      <c r="E70" s="43">
        <v>284525504</v>
      </c>
      <c r="F70" s="40">
        <v>0</v>
      </c>
      <c r="G70" s="40" t="s">
        <v>349</v>
      </c>
      <c r="H70" s="40">
        <v>0</v>
      </c>
      <c r="I70" s="40">
        <v>0</v>
      </c>
      <c r="J70" s="13" t="s">
        <v>91</v>
      </c>
      <c r="K70" s="40" t="s">
        <v>60</v>
      </c>
      <c r="L70" s="40" t="s">
        <v>61</v>
      </c>
      <c r="M70" s="42">
        <v>5.2</v>
      </c>
      <c r="N70" s="40" t="s">
        <v>64</v>
      </c>
      <c r="O70" s="40" t="s">
        <v>64</v>
      </c>
      <c r="P70" s="40" t="s">
        <v>64</v>
      </c>
      <c r="Q70" s="40" t="s">
        <v>64</v>
      </c>
      <c r="R70" s="40" t="s">
        <v>64</v>
      </c>
      <c r="S70" s="13" t="s">
        <v>64</v>
      </c>
      <c r="T70" s="40" t="s">
        <v>64</v>
      </c>
      <c r="U70" s="40" t="s">
        <v>64</v>
      </c>
      <c r="V70" s="42" t="s">
        <v>64</v>
      </c>
      <c r="W70" s="40" t="s">
        <v>64</v>
      </c>
      <c r="X70" s="40" t="s">
        <v>64</v>
      </c>
      <c r="Y70" s="40" t="s">
        <v>64</v>
      </c>
      <c r="Z70" s="40" t="s">
        <v>64</v>
      </c>
      <c r="AA70" s="40" t="s">
        <v>64</v>
      </c>
      <c r="AB70" s="13" t="s">
        <v>64</v>
      </c>
      <c r="AC70" s="40" t="s">
        <v>64</v>
      </c>
      <c r="AD70" s="40" t="s">
        <v>64</v>
      </c>
      <c r="AE70" s="42" t="s">
        <v>64</v>
      </c>
      <c r="AF70" s="40" t="s">
        <v>64</v>
      </c>
      <c r="AG70" s="40" t="s">
        <v>64</v>
      </c>
      <c r="AH70" s="40" t="s">
        <v>64</v>
      </c>
      <c r="AI70" s="40" t="s">
        <v>64</v>
      </c>
      <c r="AJ70" s="40" t="s">
        <v>64</v>
      </c>
      <c r="AK70" s="40" t="s">
        <v>64</v>
      </c>
      <c r="AL70" s="40" t="s">
        <v>64</v>
      </c>
      <c r="AM70" s="40" t="s">
        <v>64</v>
      </c>
      <c r="AN70" s="40" t="s">
        <v>64</v>
      </c>
      <c r="AO70" s="40" t="s">
        <v>64</v>
      </c>
      <c r="AP70" s="40" t="s">
        <v>64</v>
      </c>
      <c r="AQ70" s="40" t="s">
        <v>64</v>
      </c>
      <c r="AR70" s="40" t="s">
        <v>64</v>
      </c>
      <c r="AS70" s="40" t="s">
        <v>64</v>
      </c>
      <c r="AT70" s="40" t="s">
        <v>64</v>
      </c>
      <c r="AU70" s="40" t="s">
        <v>64</v>
      </c>
      <c r="AV70" s="40" t="s">
        <v>64</v>
      </c>
      <c r="AW70" s="40" t="s">
        <v>64</v>
      </c>
      <c r="AX70" s="40" t="s">
        <v>64</v>
      </c>
      <c r="AY70" s="40" t="s">
        <v>64</v>
      </c>
      <c r="AZ70" s="40" t="s">
        <v>64</v>
      </c>
      <c r="BA70" s="40" t="s">
        <v>64</v>
      </c>
      <c r="BB70" s="40" t="s">
        <v>64</v>
      </c>
      <c r="BC70" s="40" t="s">
        <v>64</v>
      </c>
      <c r="BD70" s="40" t="s">
        <v>64</v>
      </c>
      <c r="BE70" s="40" t="s">
        <v>64</v>
      </c>
      <c r="BF70" s="40" t="s">
        <v>64</v>
      </c>
      <c r="BG70" s="40" t="s">
        <v>64</v>
      </c>
      <c r="BH70" s="40" t="s">
        <v>64</v>
      </c>
      <c r="BI70" s="40" t="s">
        <v>64</v>
      </c>
      <c r="BJ70" s="40" t="s">
        <v>64</v>
      </c>
      <c r="BK70" s="40" t="s">
        <v>64</v>
      </c>
      <c r="BL70" s="40" t="s">
        <v>64</v>
      </c>
      <c r="BM70" s="40" t="s">
        <v>64</v>
      </c>
      <c r="BN70" s="40" t="s">
        <v>64</v>
      </c>
      <c r="BO70" s="40" t="s">
        <v>64</v>
      </c>
      <c r="BP70" s="40" t="s">
        <v>64</v>
      </c>
      <c r="BQ70" s="40" t="s">
        <v>64</v>
      </c>
      <c r="BR70" s="40" t="s">
        <v>64</v>
      </c>
      <c r="BS70" s="40" t="s">
        <v>64</v>
      </c>
      <c r="BT70" s="40" t="s">
        <v>64</v>
      </c>
      <c r="BU70" s="40" t="s">
        <v>64</v>
      </c>
      <c r="BV70" s="40" t="s">
        <v>64</v>
      </c>
      <c r="BW70" s="40" t="s">
        <v>64</v>
      </c>
      <c r="BX70" s="40" t="s">
        <v>64</v>
      </c>
      <c r="BY70" s="40" t="s">
        <v>64</v>
      </c>
      <c r="BZ70" s="40" t="s">
        <v>64</v>
      </c>
      <c r="CA70" s="40" t="s">
        <v>64</v>
      </c>
      <c r="CB70" s="40" t="s">
        <v>64</v>
      </c>
      <c r="CC70" s="40" t="s">
        <v>64</v>
      </c>
      <c r="CD70" s="40" t="s">
        <v>64</v>
      </c>
      <c r="CE70" s="40" t="s">
        <v>64</v>
      </c>
      <c r="CF70" s="40" t="s">
        <v>64</v>
      </c>
      <c r="CG70" s="40" t="s">
        <v>64</v>
      </c>
      <c r="CH70" s="40" t="s">
        <v>64</v>
      </c>
      <c r="CI70" s="40" t="s">
        <v>64</v>
      </c>
      <c r="CJ70" s="40" t="s">
        <v>64</v>
      </c>
      <c r="CK70" s="40" t="s">
        <v>64</v>
      </c>
      <c r="CL70" s="40" t="s">
        <v>64</v>
      </c>
      <c r="CM70" s="40" t="s">
        <v>64</v>
      </c>
      <c r="CN70" s="40" t="s">
        <v>64</v>
      </c>
      <c r="CO70" s="40" t="s">
        <v>64</v>
      </c>
      <c r="CP70" s="40" t="s">
        <v>64</v>
      </c>
    </row>
    <row r="71" spans="1:94" ht="12" x14ac:dyDescent="0.25">
      <c r="A71" s="39" t="s">
        <v>510</v>
      </c>
      <c r="B71" s="39" t="s">
        <v>536</v>
      </c>
      <c r="C71" s="39" t="s">
        <v>510</v>
      </c>
      <c r="D71" s="40" t="s">
        <v>607</v>
      </c>
      <c r="E71" s="43">
        <v>284525505</v>
      </c>
      <c r="F71" s="40">
        <v>0</v>
      </c>
      <c r="G71" s="40" t="s">
        <v>349</v>
      </c>
      <c r="H71" s="40">
        <v>0</v>
      </c>
      <c r="I71" s="40">
        <v>0</v>
      </c>
      <c r="J71" s="13" t="s">
        <v>91</v>
      </c>
      <c r="K71" s="40" t="s">
        <v>60</v>
      </c>
      <c r="L71" s="40" t="s">
        <v>61</v>
      </c>
      <c r="M71" s="42">
        <v>5.2</v>
      </c>
      <c r="N71" s="40">
        <v>284525506</v>
      </c>
      <c r="O71" s="40">
        <v>0</v>
      </c>
      <c r="P71" s="40" t="s">
        <v>350</v>
      </c>
      <c r="Q71" s="40">
        <v>0</v>
      </c>
      <c r="R71" s="40">
        <v>0</v>
      </c>
      <c r="S71" s="13" t="s">
        <v>89</v>
      </c>
      <c r="T71" s="40" t="s">
        <v>60</v>
      </c>
      <c r="U71" s="40" t="s">
        <v>61</v>
      </c>
      <c r="V71" s="42">
        <v>2.6</v>
      </c>
      <c r="W71" s="40" t="s">
        <v>64</v>
      </c>
      <c r="X71" s="40" t="s">
        <v>64</v>
      </c>
      <c r="Y71" s="40" t="s">
        <v>64</v>
      </c>
      <c r="Z71" s="40" t="s">
        <v>64</v>
      </c>
      <c r="AA71" s="40" t="s">
        <v>64</v>
      </c>
      <c r="AB71" s="13" t="s">
        <v>64</v>
      </c>
      <c r="AC71" s="40" t="s">
        <v>64</v>
      </c>
      <c r="AD71" s="40" t="s">
        <v>64</v>
      </c>
      <c r="AE71" s="42" t="s">
        <v>64</v>
      </c>
      <c r="AF71" s="40" t="s">
        <v>64</v>
      </c>
      <c r="AG71" s="40" t="s">
        <v>64</v>
      </c>
      <c r="AH71" s="40" t="s">
        <v>64</v>
      </c>
      <c r="AI71" s="40" t="s">
        <v>64</v>
      </c>
      <c r="AJ71" s="40" t="s">
        <v>64</v>
      </c>
      <c r="AK71" s="40" t="s">
        <v>64</v>
      </c>
      <c r="AL71" s="40" t="s">
        <v>64</v>
      </c>
      <c r="AM71" s="40" t="s">
        <v>64</v>
      </c>
      <c r="AN71" s="40" t="s">
        <v>64</v>
      </c>
      <c r="AO71" s="40" t="s">
        <v>64</v>
      </c>
      <c r="AP71" s="40" t="s">
        <v>64</v>
      </c>
      <c r="AQ71" s="40" t="s">
        <v>64</v>
      </c>
      <c r="AR71" s="40" t="s">
        <v>64</v>
      </c>
      <c r="AS71" s="40" t="s">
        <v>64</v>
      </c>
      <c r="AT71" s="40" t="s">
        <v>64</v>
      </c>
      <c r="AU71" s="40" t="s">
        <v>64</v>
      </c>
      <c r="AV71" s="40" t="s">
        <v>64</v>
      </c>
      <c r="AW71" s="40" t="s">
        <v>64</v>
      </c>
      <c r="AX71" s="40" t="s">
        <v>64</v>
      </c>
      <c r="AY71" s="40" t="s">
        <v>64</v>
      </c>
      <c r="AZ71" s="40" t="s">
        <v>64</v>
      </c>
      <c r="BA71" s="40" t="s">
        <v>64</v>
      </c>
      <c r="BB71" s="40" t="s">
        <v>64</v>
      </c>
      <c r="BC71" s="40" t="s">
        <v>64</v>
      </c>
      <c r="BD71" s="40" t="s">
        <v>64</v>
      </c>
      <c r="BE71" s="40" t="s">
        <v>64</v>
      </c>
      <c r="BF71" s="40" t="s">
        <v>64</v>
      </c>
      <c r="BG71" s="40" t="s">
        <v>64</v>
      </c>
      <c r="BH71" s="40" t="s">
        <v>64</v>
      </c>
      <c r="BI71" s="40" t="s">
        <v>64</v>
      </c>
      <c r="BJ71" s="40" t="s">
        <v>64</v>
      </c>
      <c r="BK71" s="40" t="s">
        <v>64</v>
      </c>
      <c r="BL71" s="40" t="s">
        <v>64</v>
      </c>
      <c r="BM71" s="40" t="s">
        <v>64</v>
      </c>
      <c r="BN71" s="40" t="s">
        <v>64</v>
      </c>
      <c r="BO71" s="40" t="s">
        <v>64</v>
      </c>
      <c r="BP71" s="40" t="s">
        <v>64</v>
      </c>
      <c r="BQ71" s="40" t="s">
        <v>64</v>
      </c>
      <c r="BR71" s="40" t="s">
        <v>64</v>
      </c>
      <c r="BS71" s="40" t="s">
        <v>64</v>
      </c>
      <c r="BT71" s="40" t="s">
        <v>64</v>
      </c>
      <c r="BU71" s="40" t="s">
        <v>64</v>
      </c>
      <c r="BV71" s="40" t="s">
        <v>64</v>
      </c>
      <c r="BW71" s="40" t="s">
        <v>64</v>
      </c>
      <c r="BX71" s="40" t="s">
        <v>64</v>
      </c>
      <c r="BY71" s="40" t="s">
        <v>64</v>
      </c>
      <c r="BZ71" s="40" t="s">
        <v>64</v>
      </c>
      <c r="CA71" s="40" t="s">
        <v>64</v>
      </c>
      <c r="CB71" s="40" t="s">
        <v>64</v>
      </c>
      <c r="CC71" s="40" t="s">
        <v>64</v>
      </c>
      <c r="CD71" s="40" t="s">
        <v>64</v>
      </c>
      <c r="CE71" s="40" t="s">
        <v>64</v>
      </c>
      <c r="CF71" s="40" t="s">
        <v>64</v>
      </c>
      <c r="CG71" s="40" t="s">
        <v>64</v>
      </c>
      <c r="CH71" s="40" t="s">
        <v>64</v>
      </c>
      <c r="CI71" s="40" t="s">
        <v>64</v>
      </c>
      <c r="CJ71" s="40" t="s">
        <v>64</v>
      </c>
      <c r="CK71" s="40" t="s">
        <v>64</v>
      </c>
      <c r="CL71" s="40" t="s">
        <v>64</v>
      </c>
      <c r="CM71" s="40" t="s">
        <v>64</v>
      </c>
      <c r="CN71" s="40" t="s">
        <v>64</v>
      </c>
      <c r="CO71" s="40" t="s">
        <v>64</v>
      </c>
      <c r="CP71" s="40" t="s">
        <v>64</v>
      </c>
    </row>
    <row r="72" spans="1:94" ht="12" x14ac:dyDescent="0.25">
      <c r="A72" s="39" t="s">
        <v>511</v>
      </c>
      <c r="B72" s="39" t="s">
        <v>536</v>
      </c>
      <c r="C72" s="39" t="s">
        <v>511</v>
      </c>
      <c r="D72" s="40" t="s">
        <v>608</v>
      </c>
      <c r="E72" s="43">
        <v>284525513</v>
      </c>
      <c r="F72" s="40">
        <v>0</v>
      </c>
      <c r="G72" s="40" t="s">
        <v>349</v>
      </c>
      <c r="H72" s="40">
        <v>0</v>
      </c>
      <c r="I72" s="40">
        <v>0</v>
      </c>
      <c r="J72" s="13" t="s">
        <v>89</v>
      </c>
      <c r="K72" s="40" t="s">
        <v>60</v>
      </c>
      <c r="L72" s="40" t="s">
        <v>61</v>
      </c>
      <c r="M72" s="42">
        <v>5.2</v>
      </c>
      <c r="N72" s="40">
        <v>284525514</v>
      </c>
      <c r="O72" s="40">
        <v>0</v>
      </c>
      <c r="P72" s="40" t="s">
        <v>350</v>
      </c>
      <c r="Q72" s="40">
        <v>0</v>
      </c>
      <c r="R72" s="40">
        <v>0</v>
      </c>
      <c r="S72" s="13" t="s">
        <v>90</v>
      </c>
      <c r="T72" s="40" t="s">
        <v>60</v>
      </c>
      <c r="U72" s="40" t="s">
        <v>61</v>
      </c>
      <c r="V72" s="42">
        <v>2.6</v>
      </c>
      <c r="W72" s="40" t="s">
        <v>64</v>
      </c>
      <c r="X72" s="40" t="s">
        <v>64</v>
      </c>
      <c r="Y72" s="40" t="s">
        <v>64</v>
      </c>
      <c r="Z72" s="40" t="s">
        <v>64</v>
      </c>
      <c r="AA72" s="40" t="s">
        <v>64</v>
      </c>
      <c r="AB72" s="13" t="s">
        <v>64</v>
      </c>
      <c r="AC72" s="40" t="s">
        <v>64</v>
      </c>
      <c r="AD72" s="40" t="s">
        <v>64</v>
      </c>
      <c r="AE72" s="42" t="s">
        <v>64</v>
      </c>
      <c r="AF72" s="40" t="s">
        <v>64</v>
      </c>
      <c r="AG72" s="40" t="s">
        <v>64</v>
      </c>
      <c r="AH72" s="40" t="s">
        <v>64</v>
      </c>
      <c r="AI72" s="40" t="s">
        <v>64</v>
      </c>
      <c r="AJ72" s="40" t="s">
        <v>64</v>
      </c>
      <c r="AK72" s="40" t="s">
        <v>64</v>
      </c>
      <c r="AL72" s="40" t="s">
        <v>64</v>
      </c>
      <c r="AM72" s="40" t="s">
        <v>64</v>
      </c>
      <c r="AN72" s="40" t="s">
        <v>64</v>
      </c>
      <c r="AO72" s="40" t="s">
        <v>64</v>
      </c>
      <c r="AP72" s="40" t="s">
        <v>64</v>
      </c>
      <c r="AQ72" s="40" t="s">
        <v>64</v>
      </c>
      <c r="AR72" s="40" t="s">
        <v>64</v>
      </c>
      <c r="AS72" s="40" t="s">
        <v>64</v>
      </c>
      <c r="AT72" s="40" t="s">
        <v>64</v>
      </c>
      <c r="AU72" s="40" t="s">
        <v>64</v>
      </c>
      <c r="AV72" s="40" t="s">
        <v>64</v>
      </c>
      <c r="AW72" s="40" t="s">
        <v>64</v>
      </c>
      <c r="AX72" s="40" t="s">
        <v>64</v>
      </c>
      <c r="AY72" s="40" t="s">
        <v>64</v>
      </c>
      <c r="AZ72" s="40" t="s">
        <v>64</v>
      </c>
      <c r="BA72" s="40" t="s">
        <v>64</v>
      </c>
      <c r="BB72" s="40" t="s">
        <v>64</v>
      </c>
      <c r="BC72" s="40" t="s">
        <v>64</v>
      </c>
      <c r="BD72" s="40" t="s">
        <v>64</v>
      </c>
      <c r="BE72" s="40" t="s">
        <v>64</v>
      </c>
      <c r="BF72" s="40" t="s">
        <v>64</v>
      </c>
      <c r="BG72" s="40" t="s">
        <v>64</v>
      </c>
      <c r="BH72" s="40" t="s">
        <v>64</v>
      </c>
      <c r="BI72" s="40" t="s">
        <v>64</v>
      </c>
      <c r="BJ72" s="40" t="s">
        <v>64</v>
      </c>
      <c r="BK72" s="40" t="s">
        <v>64</v>
      </c>
      <c r="BL72" s="40" t="s">
        <v>64</v>
      </c>
      <c r="BM72" s="40" t="s">
        <v>64</v>
      </c>
      <c r="BN72" s="40" t="s">
        <v>64</v>
      </c>
      <c r="BO72" s="40" t="s">
        <v>64</v>
      </c>
      <c r="BP72" s="40" t="s">
        <v>64</v>
      </c>
      <c r="BQ72" s="40" t="s">
        <v>64</v>
      </c>
      <c r="BR72" s="40" t="s">
        <v>64</v>
      </c>
      <c r="BS72" s="40" t="s">
        <v>64</v>
      </c>
      <c r="BT72" s="40" t="s">
        <v>64</v>
      </c>
      <c r="BU72" s="40" t="s">
        <v>64</v>
      </c>
      <c r="BV72" s="40" t="s">
        <v>64</v>
      </c>
      <c r="BW72" s="40" t="s">
        <v>64</v>
      </c>
      <c r="BX72" s="40" t="s">
        <v>64</v>
      </c>
      <c r="BY72" s="40" t="s">
        <v>64</v>
      </c>
      <c r="BZ72" s="40" t="s">
        <v>64</v>
      </c>
      <c r="CA72" s="40" t="s">
        <v>64</v>
      </c>
      <c r="CB72" s="40" t="s">
        <v>64</v>
      </c>
      <c r="CC72" s="40" t="s">
        <v>64</v>
      </c>
      <c r="CD72" s="40" t="s">
        <v>64</v>
      </c>
      <c r="CE72" s="40" t="s">
        <v>64</v>
      </c>
      <c r="CF72" s="40" t="s">
        <v>64</v>
      </c>
      <c r="CG72" s="40" t="s">
        <v>64</v>
      </c>
      <c r="CH72" s="40" t="s">
        <v>64</v>
      </c>
      <c r="CI72" s="40" t="s">
        <v>64</v>
      </c>
      <c r="CJ72" s="40" t="s">
        <v>64</v>
      </c>
      <c r="CK72" s="40" t="s">
        <v>64</v>
      </c>
      <c r="CL72" s="40" t="s">
        <v>64</v>
      </c>
      <c r="CM72" s="40" t="s">
        <v>64</v>
      </c>
      <c r="CN72" s="40" t="s">
        <v>64</v>
      </c>
      <c r="CO72" s="40" t="s">
        <v>64</v>
      </c>
      <c r="CP72" s="40" t="s">
        <v>64</v>
      </c>
    </row>
    <row r="73" spans="1:94" ht="12" x14ac:dyDescent="0.25">
      <c r="A73" s="39" t="s">
        <v>512</v>
      </c>
      <c r="B73" s="39" t="s">
        <v>536</v>
      </c>
      <c r="C73" s="39" t="s">
        <v>512</v>
      </c>
      <c r="D73" s="40" t="s">
        <v>609</v>
      </c>
      <c r="E73" s="43">
        <v>284525515</v>
      </c>
      <c r="F73" s="40">
        <v>0</v>
      </c>
      <c r="G73" s="40" t="s">
        <v>349</v>
      </c>
      <c r="H73" s="40">
        <v>0</v>
      </c>
      <c r="I73" s="40">
        <v>0</v>
      </c>
      <c r="J73" s="13" t="s">
        <v>90</v>
      </c>
      <c r="K73" s="40" t="s">
        <v>60</v>
      </c>
      <c r="L73" s="40" t="s">
        <v>61</v>
      </c>
      <c r="M73" s="42">
        <v>4.53</v>
      </c>
      <c r="N73" s="40" t="s">
        <v>64</v>
      </c>
      <c r="O73" s="40" t="s">
        <v>64</v>
      </c>
      <c r="P73" s="40" t="s">
        <v>64</v>
      </c>
      <c r="Q73" s="40" t="s">
        <v>64</v>
      </c>
      <c r="R73" s="40" t="s">
        <v>64</v>
      </c>
      <c r="S73" s="13" t="s">
        <v>64</v>
      </c>
      <c r="T73" s="40" t="s">
        <v>64</v>
      </c>
      <c r="U73" s="40" t="s">
        <v>64</v>
      </c>
      <c r="V73" s="42" t="s">
        <v>64</v>
      </c>
      <c r="W73" s="40" t="s">
        <v>64</v>
      </c>
      <c r="X73" s="40" t="s">
        <v>64</v>
      </c>
      <c r="Y73" s="40" t="s">
        <v>64</v>
      </c>
      <c r="Z73" s="40" t="s">
        <v>64</v>
      </c>
      <c r="AA73" s="40" t="s">
        <v>64</v>
      </c>
      <c r="AB73" s="13" t="s">
        <v>64</v>
      </c>
      <c r="AC73" s="40" t="s">
        <v>64</v>
      </c>
      <c r="AD73" s="40" t="s">
        <v>64</v>
      </c>
      <c r="AE73" s="42" t="s">
        <v>64</v>
      </c>
      <c r="AF73" s="40" t="s">
        <v>64</v>
      </c>
      <c r="AG73" s="40" t="s">
        <v>64</v>
      </c>
      <c r="AH73" s="40" t="s">
        <v>64</v>
      </c>
      <c r="AI73" s="40" t="s">
        <v>64</v>
      </c>
      <c r="AJ73" s="40" t="s">
        <v>64</v>
      </c>
      <c r="AK73" s="40" t="s">
        <v>64</v>
      </c>
      <c r="AL73" s="40" t="s">
        <v>64</v>
      </c>
      <c r="AM73" s="40" t="s">
        <v>64</v>
      </c>
      <c r="AN73" s="40" t="s">
        <v>64</v>
      </c>
      <c r="AO73" s="40" t="s">
        <v>64</v>
      </c>
      <c r="AP73" s="40" t="s">
        <v>64</v>
      </c>
      <c r="AQ73" s="40" t="s">
        <v>64</v>
      </c>
      <c r="AR73" s="40" t="s">
        <v>64</v>
      </c>
      <c r="AS73" s="40" t="s">
        <v>64</v>
      </c>
      <c r="AT73" s="40" t="s">
        <v>64</v>
      </c>
      <c r="AU73" s="40" t="s">
        <v>64</v>
      </c>
      <c r="AV73" s="40" t="s">
        <v>64</v>
      </c>
      <c r="AW73" s="40" t="s">
        <v>64</v>
      </c>
      <c r="AX73" s="40" t="s">
        <v>64</v>
      </c>
      <c r="AY73" s="40" t="s">
        <v>64</v>
      </c>
      <c r="AZ73" s="40" t="s">
        <v>64</v>
      </c>
      <c r="BA73" s="40" t="s">
        <v>64</v>
      </c>
      <c r="BB73" s="40" t="s">
        <v>64</v>
      </c>
      <c r="BC73" s="40" t="s">
        <v>64</v>
      </c>
      <c r="BD73" s="40" t="s">
        <v>64</v>
      </c>
      <c r="BE73" s="40" t="s">
        <v>64</v>
      </c>
      <c r="BF73" s="40" t="s">
        <v>64</v>
      </c>
      <c r="BG73" s="40" t="s">
        <v>64</v>
      </c>
      <c r="BH73" s="40" t="s">
        <v>64</v>
      </c>
      <c r="BI73" s="40" t="s">
        <v>64</v>
      </c>
      <c r="BJ73" s="40" t="s">
        <v>64</v>
      </c>
      <c r="BK73" s="40" t="s">
        <v>64</v>
      </c>
      <c r="BL73" s="40" t="s">
        <v>64</v>
      </c>
      <c r="BM73" s="40" t="s">
        <v>64</v>
      </c>
      <c r="BN73" s="40" t="s">
        <v>64</v>
      </c>
      <c r="BO73" s="40" t="s">
        <v>64</v>
      </c>
      <c r="BP73" s="40" t="s">
        <v>64</v>
      </c>
      <c r="BQ73" s="40" t="s">
        <v>64</v>
      </c>
      <c r="BR73" s="40" t="s">
        <v>64</v>
      </c>
      <c r="BS73" s="40" t="s">
        <v>64</v>
      </c>
      <c r="BT73" s="40" t="s">
        <v>64</v>
      </c>
      <c r="BU73" s="40" t="s">
        <v>64</v>
      </c>
      <c r="BV73" s="40" t="s">
        <v>64</v>
      </c>
      <c r="BW73" s="40" t="s">
        <v>64</v>
      </c>
      <c r="BX73" s="40" t="s">
        <v>64</v>
      </c>
      <c r="BY73" s="40" t="s">
        <v>64</v>
      </c>
      <c r="BZ73" s="40" t="s">
        <v>64</v>
      </c>
      <c r="CA73" s="40" t="s">
        <v>64</v>
      </c>
      <c r="CB73" s="40" t="s">
        <v>64</v>
      </c>
      <c r="CC73" s="40" t="s">
        <v>64</v>
      </c>
      <c r="CD73" s="40" t="s">
        <v>64</v>
      </c>
      <c r="CE73" s="40" t="s">
        <v>64</v>
      </c>
      <c r="CF73" s="40" t="s">
        <v>64</v>
      </c>
      <c r="CG73" s="40" t="s">
        <v>64</v>
      </c>
      <c r="CH73" s="40" t="s">
        <v>64</v>
      </c>
      <c r="CI73" s="40" t="s">
        <v>64</v>
      </c>
      <c r="CJ73" s="40" t="s">
        <v>64</v>
      </c>
      <c r="CK73" s="40" t="s">
        <v>64</v>
      </c>
      <c r="CL73" s="40" t="s">
        <v>64</v>
      </c>
      <c r="CM73" s="40" t="s">
        <v>64</v>
      </c>
      <c r="CN73" s="40" t="s">
        <v>64</v>
      </c>
      <c r="CO73" s="40" t="s">
        <v>64</v>
      </c>
      <c r="CP73" s="40" t="s">
        <v>64</v>
      </c>
    </row>
    <row r="74" spans="1:94" ht="12" x14ac:dyDescent="0.25">
      <c r="A74" s="39" t="s">
        <v>513</v>
      </c>
      <c r="B74" s="39" t="s">
        <v>536</v>
      </c>
      <c r="C74" s="39" t="s">
        <v>513</v>
      </c>
      <c r="D74" s="40" t="s">
        <v>610</v>
      </c>
      <c r="E74" s="43">
        <v>284525533</v>
      </c>
      <c r="F74" s="40">
        <v>0</v>
      </c>
      <c r="G74" s="40" t="s">
        <v>349</v>
      </c>
      <c r="H74" s="40">
        <v>0</v>
      </c>
      <c r="I74" s="40">
        <v>0</v>
      </c>
      <c r="J74" s="13" t="s">
        <v>89</v>
      </c>
      <c r="K74" s="40" t="s">
        <v>60</v>
      </c>
      <c r="L74" s="40" t="s">
        <v>61</v>
      </c>
      <c r="M74" s="42">
        <v>2.6</v>
      </c>
      <c r="N74" s="40">
        <v>284525534</v>
      </c>
      <c r="O74" s="40">
        <v>0</v>
      </c>
      <c r="P74" s="40" t="s">
        <v>350</v>
      </c>
      <c r="Q74" s="40">
        <v>0</v>
      </c>
      <c r="R74" s="40">
        <v>0</v>
      </c>
      <c r="S74" s="13" t="s">
        <v>90</v>
      </c>
      <c r="T74" s="40" t="s">
        <v>60</v>
      </c>
      <c r="U74" s="40" t="s">
        <v>61</v>
      </c>
      <c r="V74" s="42">
        <v>4.53</v>
      </c>
      <c r="W74" s="40" t="s">
        <v>64</v>
      </c>
      <c r="X74" s="40" t="s">
        <v>64</v>
      </c>
      <c r="Y74" s="40" t="s">
        <v>64</v>
      </c>
      <c r="Z74" s="40" t="s">
        <v>64</v>
      </c>
      <c r="AA74" s="40" t="s">
        <v>64</v>
      </c>
      <c r="AB74" s="13" t="s">
        <v>64</v>
      </c>
      <c r="AC74" s="40" t="s">
        <v>64</v>
      </c>
      <c r="AD74" s="40" t="s">
        <v>64</v>
      </c>
      <c r="AE74" s="42" t="s">
        <v>64</v>
      </c>
      <c r="AF74" s="40" t="s">
        <v>64</v>
      </c>
      <c r="AG74" s="40" t="s">
        <v>64</v>
      </c>
      <c r="AH74" s="40" t="s">
        <v>64</v>
      </c>
      <c r="AI74" s="40" t="s">
        <v>64</v>
      </c>
      <c r="AJ74" s="40" t="s">
        <v>64</v>
      </c>
      <c r="AK74" s="40" t="s">
        <v>64</v>
      </c>
      <c r="AL74" s="40" t="s">
        <v>64</v>
      </c>
      <c r="AM74" s="40" t="s">
        <v>64</v>
      </c>
      <c r="AN74" s="40" t="s">
        <v>64</v>
      </c>
      <c r="AO74" s="40" t="s">
        <v>64</v>
      </c>
      <c r="AP74" s="40" t="s">
        <v>64</v>
      </c>
      <c r="AQ74" s="40" t="s">
        <v>64</v>
      </c>
      <c r="AR74" s="40" t="s">
        <v>64</v>
      </c>
      <c r="AS74" s="40" t="s">
        <v>64</v>
      </c>
      <c r="AT74" s="40" t="s">
        <v>64</v>
      </c>
      <c r="AU74" s="40" t="s">
        <v>64</v>
      </c>
      <c r="AV74" s="40" t="s">
        <v>64</v>
      </c>
      <c r="AW74" s="40" t="s">
        <v>64</v>
      </c>
      <c r="AX74" s="40" t="s">
        <v>64</v>
      </c>
      <c r="AY74" s="40" t="s">
        <v>64</v>
      </c>
      <c r="AZ74" s="40" t="s">
        <v>64</v>
      </c>
      <c r="BA74" s="40" t="s">
        <v>64</v>
      </c>
      <c r="BB74" s="40" t="s">
        <v>64</v>
      </c>
      <c r="BC74" s="40" t="s">
        <v>64</v>
      </c>
      <c r="BD74" s="40" t="s">
        <v>64</v>
      </c>
      <c r="BE74" s="40" t="s">
        <v>64</v>
      </c>
      <c r="BF74" s="40" t="s">
        <v>64</v>
      </c>
      <c r="BG74" s="40" t="s">
        <v>64</v>
      </c>
      <c r="BH74" s="40" t="s">
        <v>64</v>
      </c>
      <c r="BI74" s="40" t="s">
        <v>64</v>
      </c>
      <c r="BJ74" s="40" t="s">
        <v>64</v>
      </c>
      <c r="BK74" s="40" t="s">
        <v>64</v>
      </c>
      <c r="BL74" s="40" t="s">
        <v>64</v>
      </c>
      <c r="BM74" s="40" t="s">
        <v>64</v>
      </c>
      <c r="BN74" s="40" t="s">
        <v>64</v>
      </c>
      <c r="BO74" s="40" t="s">
        <v>64</v>
      </c>
      <c r="BP74" s="40" t="s">
        <v>64</v>
      </c>
      <c r="BQ74" s="40" t="s">
        <v>64</v>
      </c>
      <c r="BR74" s="40" t="s">
        <v>64</v>
      </c>
      <c r="BS74" s="40" t="s">
        <v>64</v>
      </c>
      <c r="BT74" s="40" t="s">
        <v>64</v>
      </c>
      <c r="BU74" s="40" t="s">
        <v>64</v>
      </c>
      <c r="BV74" s="40" t="s">
        <v>64</v>
      </c>
      <c r="BW74" s="40" t="s">
        <v>64</v>
      </c>
      <c r="BX74" s="40" t="s">
        <v>64</v>
      </c>
      <c r="BY74" s="40" t="s">
        <v>64</v>
      </c>
      <c r="BZ74" s="40" t="s">
        <v>64</v>
      </c>
      <c r="CA74" s="40" t="s">
        <v>64</v>
      </c>
      <c r="CB74" s="40" t="s">
        <v>64</v>
      </c>
      <c r="CC74" s="40" t="s">
        <v>64</v>
      </c>
      <c r="CD74" s="40" t="s">
        <v>64</v>
      </c>
      <c r="CE74" s="40" t="s">
        <v>64</v>
      </c>
      <c r="CF74" s="40" t="s">
        <v>64</v>
      </c>
      <c r="CG74" s="40" t="s">
        <v>64</v>
      </c>
      <c r="CH74" s="40" t="s">
        <v>64</v>
      </c>
      <c r="CI74" s="40" t="s">
        <v>64</v>
      </c>
      <c r="CJ74" s="40" t="s">
        <v>64</v>
      </c>
      <c r="CK74" s="40" t="s">
        <v>64</v>
      </c>
      <c r="CL74" s="40" t="s">
        <v>64</v>
      </c>
      <c r="CM74" s="40" t="s">
        <v>64</v>
      </c>
      <c r="CN74" s="40" t="s">
        <v>64</v>
      </c>
      <c r="CO74" s="40" t="s">
        <v>64</v>
      </c>
      <c r="CP74" s="40" t="s">
        <v>64</v>
      </c>
    </row>
    <row r="75" spans="1:94" ht="12" x14ac:dyDescent="0.25">
      <c r="A75" s="39" t="s">
        <v>514</v>
      </c>
      <c r="B75" s="39" t="s">
        <v>536</v>
      </c>
      <c r="C75" s="39" t="s">
        <v>514</v>
      </c>
      <c r="D75" s="40" t="s">
        <v>611</v>
      </c>
      <c r="E75" s="43">
        <v>284525540</v>
      </c>
      <c r="F75" s="40">
        <v>0</v>
      </c>
      <c r="G75" s="40" t="s">
        <v>349</v>
      </c>
      <c r="H75" s="40">
        <v>0</v>
      </c>
      <c r="I75" s="40">
        <v>0</v>
      </c>
      <c r="J75" s="13" t="s">
        <v>89</v>
      </c>
      <c r="K75" s="40" t="s">
        <v>60</v>
      </c>
      <c r="L75" s="40" t="s">
        <v>61</v>
      </c>
      <c r="M75" s="42">
        <v>5.2</v>
      </c>
      <c r="N75" s="40" t="s">
        <v>64</v>
      </c>
      <c r="O75" s="40" t="s">
        <v>64</v>
      </c>
      <c r="P75" s="40" t="s">
        <v>64</v>
      </c>
      <c r="Q75" s="40" t="s">
        <v>64</v>
      </c>
      <c r="R75" s="40" t="s">
        <v>64</v>
      </c>
      <c r="S75" s="13" t="s">
        <v>64</v>
      </c>
      <c r="T75" s="40" t="s">
        <v>64</v>
      </c>
      <c r="U75" s="40" t="s">
        <v>64</v>
      </c>
      <c r="V75" s="42" t="s">
        <v>64</v>
      </c>
      <c r="W75" s="40" t="s">
        <v>64</v>
      </c>
      <c r="X75" s="40" t="s">
        <v>64</v>
      </c>
      <c r="Y75" s="40" t="s">
        <v>64</v>
      </c>
      <c r="Z75" s="40" t="s">
        <v>64</v>
      </c>
      <c r="AA75" s="40" t="s">
        <v>64</v>
      </c>
      <c r="AB75" s="13" t="s">
        <v>64</v>
      </c>
      <c r="AC75" s="40" t="s">
        <v>64</v>
      </c>
      <c r="AD75" s="40" t="s">
        <v>64</v>
      </c>
      <c r="AE75" s="42" t="s">
        <v>64</v>
      </c>
      <c r="AF75" s="40" t="s">
        <v>64</v>
      </c>
      <c r="AG75" s="40" t="s">
        <v>64</v>
      </c>
      <c r="AH75" s="40" t="s">
        <v>64</v>
      </c>
      <c r="AI75" s="40" t="s">
        <v>64</v>
      </c>
      <c r="AJ75" s="40" t="s">
        <v>64</v>
      </c>
      <c r="AK75" s="40" t="s">
        <v>64</v>
      </c>
      <c r="AL75" s="40" t="s">
        <v>64</v>
      </c>
      <c r="AM75" s="40" t="s">
        <v>64</v>
      </c>
      <c r="AN75" s="40" t="s">
        <v>64</v>
      </c>
      <c r="AO75" s="40" t="s">
        <v>64</v>
      </c>
      <c r="AP75" s="40" t="s">
        <v>64</v>
      </c>
      <c r="AQ75" s="40" t="s">
        <v>64</v>
      </c>
      <c r="AR75" s="40" t="s">
        <v>64</v>
      </c>
      <c r="AS75" s="40" t="s">
        <v>64</v>
      </c>
      <c r="AT75" s="40" t="s">
        <v>64</v>
      </c>
      <c r="AU75" s="40" t="s">
        <v>64</v>
      </c>
      <c r="AV75" s="40" t="s">
        <v>64</v>
      </c>
      <c r="AW75" s="40" t="s">
        <v>64</v>
      </c>
      <c r="AX75" s="40" t="s">
        <v>64</v>
      </c>
      <c r="AY75" s="40" t="s">
        <v>64</v>
      </c>
      <c r="AZ75" s="40" t="s">
        <v>64</v>
      </c>
      <c r="BA75" s="40" t="s">
        <v>64</v>
      </c>
      <c r="BB75" s="40" t="s">
        <v>64</v>
      </c>
      <c r="BC75" s="40" t="s">
        <v>64</v>
      </c>
      <c r="BD75" s="40" t="s">
        <v>64</v>
      </c>
      <c r="BE75" s="40" t="s">
        <v>64</v>
      </c>
      <c r="BF75" s="40" t="s">
        <v>64</v>
      </c>
      <c r="BG75" s="40" t="s">
        <v>64</v>
      </c>
      <c r="BH75" s="40" t="s">
        <v>64</v>
      </c>
      <c r="BI75" s="40" t="s">
        <v>64</v>
      </c>
      <c r="BJ75" s="40" t="s">
        <v>64</v>
      </c>
      <c r="BK75" s="40" t="s">
        <v>64</v>
      </c>
      <c r="BL75" s="40" t="s">
        <v>64</v>
      </c>
      <c r="BM75" s="40" t="s">
        <v>64</v>
      </c>
      <c r="BN75" s="40" t="s">
        <v>64</v>
      </c>
      <c r="BO75" s="40" t="s">
        <v>64</v>
      </c>
      <c r="BP75" s="40" t="s">
        <v>64</v>
      </c>
      <c r="BQ75" s="40" t="s">
        <v>64</v>
      </c>
      <c r="BR75" s="40" t="s">
        <v>64</v>
      </c>
      <c r="BS75" s="40" t="s">
        <v>64</v>
      </c>
      <c r="BT75" s="40" t="s">
        <v>64</v>
      </c>
      <c r="BU75" s="40" t="s">
        <v>64</v>
      </c>
      <c r="BV75" s="40" t="s">
        <v>64</v>
      </c>
      <c r="BW75" s="40" t="s">
        <v>64</v>
      </c>
      <c r="BX75" s="40" t="s">
        <v>64</v>
      </c>
      <c r="BY75" s="40" t="s">
        <v>64</v>
      </c>
      <c r="BZ75" s="40" t="s">
        <v>64</v>
      </c>
      <c r="CA75" s="40" t="s">
        <v>64</v>
      </c>
      <c r="CB75" s="40" t="s">
        <v>64</v>
      </c>
      <c r="CC75" s="40" t="s">
        <v>64</v>
      </c>
      <c r="CD75" s="40" t="s">
        <v>64</v>
      </c>
      <c r="CE75" s="40" t="s">
        <v>64</v>
      </c>
      <c r="CF75" s="40" t="s">
        <v>64</v>
      </c>
      <c r="CG75" s="40" t="s">
        <v>64</v>
      </c>
      <c r="CH75" s="40" t="s">
        <v>64</v>
      </c>
      <c r="CI75" s="40" t="s">
        <v>64</v>
      </c>
      <c r="CJ75" s="40" t="s">
        <v>64</v>
      </c>
      <c r="CK75" s="40" t="s">
        <v>64</v>
      </c>
      <c r="CL75" s="40" t="s">
        <v>64</v>
      </c>
      <c r="CM75" s="40" t="s">
        <v>64</v>
      </c>
      <c r="CN75" s="40" t="s">
        <v>64</v>
      </c>
      <c r="CO75" s="40" t="s">
        <v>64</v>
      </c>
      <c r="CP75" s="40" t="s">
        <v>64</v>
      </c>
    </row>
    <row r="76" spans="1:94" ht="12" x14ac:dyDescent="0.25">
      <c r="A76" s="39" t="s">
        <v>515</v>
      </c>
      <c r="B76" s="39" t="s">
        <v>536</v>
      </c>
      <c r="C76" s="39" t="s">
        <v>515</v>
      </c>
      <c r="D76" s="40" t="s">
        <v>612</v>
      </c>
      <c r="E76" s="43">
        <v>284525543</v>
      </c>
      <c r="F76" s="40">
        <v>0</v>
      </c>
      <c r="G76" s="40" t="s">
        <v>349</v>
      </c>
      <c r="H76" s="40">
        <v>0</v>
      </c>
      <c r="I76" s="40">
        <v>0</v>
      </c>
      <c r="J76" s="13" t="s">
        <v>88</v>
      </c>
      <c r="K76" s="40" t="s">
        <v>60</v>
      </c>
      <c r="L76" s="40" t="s">
        <v>61</v>
      </c>
      <c r="M76" s="42">
        <v>2.6</v>
      </c>
      <c r="N76" s="40" t="s">
        <v>64</v>
      </c>
      <c r="O76" s="40" t="s">
        <v>64</v>
      </c>
      <c r="P76" s="40" t="s">
        <v>64</v>
      </c>
      <c r="Q76" s="40" t="s">
        <v>64</v>
      </c>
      <c r="R76" s="40" t="s">
        <v>64</v>
      </c>
      <c r="S76" s="13" t="s">
        <v>64</v>
      </c>
      <c r="T76" s="40" t="s">
        <v>64</v>
      </c>
      <c r="U76" s="40" t="s">
        <v>64</v>
      </c>
      <c r="V76" s="42" t="s">
        <v>64</v>
      </c>
      <c r="W76" s="40" t="s">
        <v>64</v>
      </c>
      <c r="X76" s="40" t="s">
        <v>64</v>
      </c>
      <c r="Y76" s="40" t="s">
        <v>64</v>
      </c>
      <c r="Z76" s="40" t="s">
        <v>64</v>
      </c>
      <c r="AA76" s="40" t="s">
        <v>64</v>
      </c>
      <c r="AB76" s="13" t="s">
        <v>64</v>
      </c>
      <c r="AC76" s="40" t="s">
        <v>64</v>
      </c>
      <c r="AD76" s="40" t="s">
        <v>64</v>
      </c>
      <c r="AE76" s="42" t="s">
        <v>64</v>
      </c>
      <c r="AF76" s="40" t="s">
        <v>64</v>
      </c>
      <c r="AG76" s="40" t="s">
        <v>64</v>
      </c>
      <c r="AH76" s="40" t="s">
        <v>64</v>
      </c>
      <c r="AI76" s="40" t="s">
        <v>64</v>
      </c>
      <c r="AJ76" s="40" t="s">
        <v>64</v>
      </c>
      <c r="AK76" s="40" t="s">
        <v>64</v>
      </c>
      <c r="AL76" s="40" t="s">
        <v>64</v>
      </c>
      <c r="AM76" s="40" t="s">
        <v>64</v>
      </c>
      <c r="AN76" s="40" t="s">
        <v>64</v>
      </c>
      <c r="AO76" s="40" t="s">
        <v>64</v>
      </c>
      <c r="AP76" s="40" t="s">
        <v>64</v>
      </c>
      <c r="AQ76" s="40" t="s">
        <v>64</v>
      </c>
      <c r="AR76" s="40" t="s">
        <v>64</v>
      </c>
      <c r="AS76" s="40" t="s">
        <v>64</v>
      </c>
      <c r="AT76" s="40" t="s">
        <v>64</v>
      </c>
      <c r="AU76" s="40" t="s">
        <v>64</v>
      </c>
      <c r="AV76" s="40" t="s">
        <v>64</v>
      </c>
      <c r="AW76" s="40" t="s">
        <v>64</v>
      </c>
      <c r="AX76" s="40" t="s">
        <v>64</v>
      </c>
      <c r="AY76" s="40" t="s">
        <v>64</v>
      </c>
      <c r="AZ76" s="40" t="s">
        <v>64</v>
      </c>
      <c r="BA76" s="40" t="s">
        <v>64</v>
      </c>
      <c r="BB76" s="40" t="s">
        <v>64</v>
      </c>
      <c r="BC76" s="40" t="s">
        <v>64</v>
      </c>
      <c r="BD76" s="40" t="s">
        <v>64</v>
      </c>
      <c r="BE76" s="40" t="s">
        <v>64</v>
      </c>
      <c r="BF76" s="40" t="s">
        <v>64</v>
      </c>
      <c r="BG76" s="40" t="s">
        <v>64</v>
      </c>
      <c r="BH76" s="40" t="s">
        <v>64</v>
      </c>
      <c r="BI76" s="40" t="s">
        <v>64</v>
      </c>
      <c r="BJ76" s="40" t="s">
        <v>64</v>
      </c>
      <c r="BK76" s="40" t="s">
        <v>64</v>
      </c>
      <c r="BL76" s="40" t="s">
        <v>64</v>
      </c>
      <c r="BM76" s="40" t="s">
        <v>64</v>
      </c>
      <c r="BN76" s="40" t="s">
        <v>64</v>
      </c>
      <c r="BO76" s="40" t="s">
        <v>64</v>
      </c>
      <c r="BP76" s="40" t="s">
        <v>64</v>
      </c>
      <c r="BQ76" s="40" t="s">
        <v>64</v>
      </c>
      <c r="BR76" s="40" t="s">
        <v>64</v>
      </c>
      <c r="BS76" s="40" t="s">
        <v>64</v>
      </c>
      <c r="BT76" s="40" t="s">
        <v>64</v>
      </c>
      <c r="BU76" s="40" t="s">
        <v>64</v>
      </c>
      <c r="BV76" s="40" t="s">
        <v>64</v>
      </c>
      <c r="BW76" s="40" t="s">
        <v>64</v>
      </c>
      <c r="BX76" s="40" t="s">
        <v>64</v>
      </c>
      <c r="BY76" s="40" t="s">
        <v>64</v>
      </c>
      <c r="BZ76" s="40" t="s">
        <v>64</v>
      </c>
      <c r="CA76" s="40" t="s">
        <v>64</v>
      </c>
      <c r="CB76" s="40" t="s">
        <v>64</v>
      </c>
      <c r="CC76" s="40" t="s">
        <v>64</v>
      </c>
      <c r="CD76" s="40" t="s">
        <v>64</v>
      </c>
      <c r="CE76" s="40" t="s">
        <v>64</v>
      </c>
      <c r="CF76" s="40" t="s">
        <v>64</v>
      </c>
      <c r="CG76" s="40" t="s">
        <v>64</v>
      </c>
      <c r="CH76" s="40" t="s">
        <v>64</v>
      </c>
      <c r="CI76" s="40" t="s">
        <v>64</v>
      </c>
      <c r="CJ76" s="40" t="s">
        <v>64</v>
      </c>
      <c r="CK76" s="40" t="s">
        <v>64</v>
      </c>
      <c r="CL76" s="40" t="s">
        <v>64</v>
      </c>
      <c r="CM76" s="40" t="s">
        <v>64</v>
      </c>
      <c r="CN76" s="40" t="s">
        <v>64</v>
      </c>
      <c r="CO76" s="40" t="s">
        <v>64</v>
      </c>
      <c r="CP76" s="40" t="s">
        <v>64</v>
      </c>
    </row>
    <row r="77" spans="1:94" ht="12" x14ac:dyDescent="0.25">
      <c r="A77" s="39" t="s">
        <v>516</v>
      </c>
      <c r="B77" s="39" t="s">
        <v>536</v>
      </c>
      <c r="C77" s="39" t="s">
        <v>516</v>
      </c>
      <c r="D77" s="40" t="s">
        <v>613</v>
      </c>
      <c r="E77" s="43">
        <v>284525556</v>
      </c>
      <c r="F77" s="40">
        <v>0</v>
      </c>
      <c r="G77" s="40" t="s">
        <v>349</v>
      </c>
      <c r="H77" s="40">
        <v>0</v>
      </c>
      <c r="I77" s="40">
        <v>0</v>
      </c>
      <c r="J77" s="13" t="s">
        <v>89</v>
      </c>
      <c r="K77" s="40" t="s">
        <v>60</v>
      </c>
      <c r="L77" s="40" t="s">
        <v>61</v>
      </c>
      <c r="M77" s="42">
        <v>5.2</v>
      </c>
      <c r="N77" s="40" t="s">
        <v>64</v>
      </c>
      <c r="O77" s="40" t="s">
        <v>64</v>
      </c>
      <c r="P77" s="40" t="s">
        <v>64</v>
      </c>
      <c r="Q77" s="40" t="s">
        <v>64</v>
      </c>
      <c r="R77" s="40" t="s">
        <v>64</v>
      </c>
      <c r="S77" s="13" t="s">
        <v>64</v>
      </c>
      <c r="T77" s="40" t="s">
        <v>64</v>
      </c>
      <c r="U77" s="40" t="s">
        <v>64</v>
      </c>
      <c r="V77" s="42" t="s">
        <v>64</v>
      </c>
      <c r="W77" s="40" t="s">
        <v>64</v>
      </c>
      <c r="X77" s="40" t="s">
        <v>64</v>
      </c>
      <c r="Y77" s="40" t="s">
        <v>64</v>
      </c>
      <c r="Z77" s="40" t="s">
        <v>64</v>
      </c>
      <c r="AA77" s="40" t="s">
        <v>64</v>
      </c>
      <c r="AB77" s="13" t="s">
        <v>64</v>
      </c>
      <c r="AC77" s="40" t="s">
        <v>64</v>
      </c>
      <c r="AD77" s="40" t="s">
        <v>64</v>
      </c>
      <c r="AE77" s="42" t="s">
        <v>64</v>
      </c>
      <c r="AF77" s="40" t="s">
        <v>64</v>
      </c>
      <c r="AG77" s="40" t="s">
        <v>64</v>
      </c>
      <c r="AH77" s="40" t="s">
        <v>64</v>
      </c>
      <c r="AI77" s="40" t="s">
        <v>64</v>
      </c>
      <c r="AJ77" s="40" t="s">
        <v>64</v>
      </c>
      <c r="AK77" s="40" t="s">
        <v>64</v>
      </c>
      <c r="AL77" s="40" t="s">
        <v>64</v>
      </c>
      <c r="AM77" s="40" t="s">
        <v>64</v>
      </c>
      <c r="AN77" s="40" t="s">
        <v>64</v>
      </c>
      <c r="AO77" s="40" t="s">
        <v>64</v>
      </c>
      <c r="AP77" s="40" t="s">
        <v>64</v>
      </c>
      <c r="AQ77" s="40" t="s">
        <v>64</v>
      </c>
      <c r="AR77" s="40" t="s">
        <v>64</v>
      </c>
      <c r="AS77" s="40" t="s">
        <v>64</v>
      </c>
      <c r="AT77" s="40" t="s">
        <v>64</v>
      </c>
      <c r="AU77" s="40" t="s">
        <v>64</v>
      </c>
      <c r="AV77" s="40" t="s">
        <v>64</v>
      </c>
      <c r="AW77" s="40" t="s">
        <v>64</v>
      </c>
      <c r="AX77" s="40" t="s">
        <v>64</v>
      </c>
      <c r="AY77" s="40" t="s">
        <v>64</v>
      </c>
      <c r="AZ77" s="40" t="s">
        <v>64</v>
      </c>
      <c r="BA77" s="40" t="s">
        <v>64</v>
      </c>
      <c r="BB77" s="40" t="s">
        <v>64</v>
      </c>
      <c r="BC77" s="40" t="s">
        <v>64</v>
      </c>
      <c r="BD77" s="40" t="s">
        <v>64</v>
      </c>
      <c r="BE77" s="40" t="s">
        <v>64</v>
      </c>
      <c r="BF77" s="40" t="s">
        <v>64</v>
      </c>
      <c r="BG77" s="40" t="s">
        <v>64</v>
      </c>
      <c r="BH77" s="40" t="s">
        <v>64</v>
      </c>
      <c r="BI77" s="40" t="s">
        <v>64</v>
      </c>
      <c r="BJ77" s="40" t="s">
        <v>64</v>
      </c>
      <c r="BK77" s="40" t="s">
        <v>64</v>
      </c>
      <c r="BL77" s="40" t="s">
        <v>64</v>
      </c>
      <c r="BM77" s="40" t="s">
        <v>64</v>
      </c>
      <c r="BN77" s="40" t="s">
        <v>64</v>
      </c>
      <c r="BO77" s="40" t="s">
        <v>64</v>
      </c>
      <c r="BP77" s="40" t="s">
        <v>64</v>
      </c>
      <c r="BQ77" s="40" t="s">
        <v>64</v>
      </c>
      <c r="BR77" s="40" t="s">
        <v>64</v>
      </c>
      <c r="BS77" s="40" t="s">
        <v>64</v>
      </c>
      <c r="BT77" s="40" t="s">
        <v>64</v>
      </c>
      <c r="BU77" s="40" t="s">
        <v>64</v>
      </c>
      <c r="BV77" s="40" t="s">
        <v>64</v>
      </c>
      <c r="BW77" s="40" t="s">
        <v>64</v>
      </c>
      <c r="BX77" s="40" t="s">
        <v>64</v>
      </c>
      <c r="BY77" s="40" t="s">
        <v>64</v>
      </c>
      <c r="BZ77" s="40" t="s">
        <v>64</v>
      </c>
      <c r="CA77" s="40" t="s">
        <v>64</v>
      </c>
      <c r="CB77" s="40" t="s">
        <v>64</v>
      </c>
      <c r="CC77" s="40" t="s">
        <v>64</v>
      </c>
      <c r="CD77" s="40" t="s">
        <v>64</v>
      </c>
      <c r="CE77" s="40" t="s">
        <v>64</v>
      </c>
      <c r="CF77" s="40" t="s">
        <v>64</v>
      </c>
      <c r="CG77" s="40" t="s">
        <v>64</v>
      </c>
      <c r="CH77" s="40" t="s">
        <v>64</v>
      </c>
      <c r="CI77" s="40" t="s">
        <v>64</v>
      </c>
      <c r="CJ77" s="40" t="s">
        <v>64</v>
      </c>
      <c r="CK77" s="40" t="s">
        <v>64</v>
      </c>
      <c r="CL77" s="40" t="s">
        <v>64</v>
      </c>
      <c r="CM77" s="40" t="s">
        <v>64</v>
      </c>
      <c r="CN77" s="40" t="s">
        <v>64</v>
      </c>
      <c r="CO77" s="40" t="s">
        <v>64</v>
      </c>
      <c r="CP77" s="40" t="s">
        <v>64</v>
      </c>
    </row>
    <row r="78" spans="1:94" ht="12" x14ac:dyDescent="0.25">
      <c r="A78" s="39" t="s">
        <v>517</v>
      </c>
      <c r="B78" s="39" t="s">
        <v>536</v>
      </c>
      <c r="C78" s="39" t="s">
        <v>517</v>
      </c>
      <c r="D78" s="40" t="s">
        <v>614</v>
      </c>
      <c r="E78" s="43">
        <v>284525558</v>
      </c>
      <c r="F78" s="40">
        <v>0</v>
      </c>
      <c r="G78" s="40" t="s">
        <v>349</v>
      </c>
      <c r="H78" s="40">
        <v>0</v>
      </c>
      <c r="I78" s="40">
        <v>0</v>
      </c>
      <c r="J78" s="13" t="s">
        <v>88</v>
      </c>
      <c r="K78" s="40" t="s">
        <v>60</v>
      </c>
      <c r="L78" s="40" t="s">
        <v>61</v>
      </c>
      <c r="M78" s="42">
        <v>5.2</v>
      </c>
      <c r="N78" s="40" t="s">
        <v>64</v>
      </c>
      <c r="O78" s="40" t="s">
        <v>64</v>
      </c>
      <c r="P78" s="40" t="s">
        <v>64</v>
      </c>
      <c r="Q78" s="40" t="s">
        <v>64</v>
      </c>
      <c r="R78" s="40" t="s">
        <v>64</v>
      </c>
      <c r="S78" s="13" t="s">
        <v>64</v>
      </c>
      <c r="T78" s="40" t="s">
        <v>64</v>
      </c>
      <c r="U78" s="40" t="s">
        <v>64</v>
      </c>
      <c r="V78" s="42" t="s">
        <v>64</v>
      </c>
      <c r="W78" s="40" t="s">
        <v>64</v>
      </c>
      <c r="X78" s="40" t="s">
        <v>64</v>
      </c>
      <c r="Y78" s="40" t="s">
        <v>64</v>
      </c>
      <c r="Z78" s="40" t="s">
        <v>64</v>
      </c>
      <c r="AA78" s="40" t="s">
        <v>64</v>
      </c>
      <c r="AB78" s="13" t="s">
        <v>64</v>
      </c>
      <c r="AC78" s="40" t="s">
        <v>64</v>
      </c>
      <c r="AD78" s="40" t="s">
        <v>64</v>
      </c>
      <c r="AE78" s="42" t="s">
        <v>64</v>
      </c>
      <c r="AF78" s="40" t="s">
        <v>64</v>
      </c>
      <c r="AG78" s="40" t="s">
        <v>64</v>
      </c>
      <c r="AH78" s="40" t="s">
        <v>64</v>
      </c>
      <c r="AI78" s="40" t="s">
        <v>64</v>
      </c>
      <c r="AJ78" s="40" t="s">
        <v>64</v>
      </c>
      <c r="AK78" s="40" t="s">
        <v>64</v>
      </c>
      <c r="AL78" s="40" t="s">
        <v>64</v>
      </c>
      <c r="AM78" s="40" t="s">
        <v>64</v>
      </c>
      <c r="AN78" s="40" t="s">
        <v>64</v>
      </c>
      <c r="AO78" s="40" t="s">
        <v>64</v>
      </c>
      <c r="AP78" s="40" t="s">
        <v>64</v>
      </c>
      <c r="AQ78" s="40" t="s">
        <v>64</v>
      </c>
      <c r="AR78" s="40" t="s">
        <v>64</v>
      </c>
      <c r="AS78" s="40" t="s">
        <v>64</v>
      </c>
      <c r="AT78" s="40" t="s">
        <v>64</v>
      </c>
      <c r="AU78" s="40" t="s">
        <v>64</v>
      </c>
      <c r="AV78" s="40" t="s">
        <v>64</v>
      </c>
      <c r="AW78" s="40" t="s">
        <v>64</v>
      </c>
      <c r="AX78" s="40" t="s">
        <v>64</v>
      </c>
      <c r="AY78" s="40" t="s">
        <v>64</v>
      </c>
      <c r="AZ78" s="40" t="s">
        <v>64</v>
      </c>
      <c r="BA78" s="40" t="s">
        <v>64</v>
      </c>
      <c r="BB78" s="40" t="s">
        <v>64</v>
      </c>
      <c r="BC78" s="40" t="s">
        <v>64</v>
      </c>
      <c r="BD78" s="40" t="s">
        <v>64</v>
      </c>
      <c r="BE78" s="40" t="s">
        <v>64</v>
      </c>
      <c r="BF78" s="40" t="s">
        <v>64</v>
      </c>
      <c r="BG78" s="40" t="s">
        <v>64</v>
      </c>
      <c r="BH78" s="40" t="s">
        <v>64</v>
      </c>
      <c r="BI78" s="40" t="s">
        <v>64</v>
      </c>
      <c r="BJ78" s="40" t="s">
        <v>64</v>
      </c>
      <c r="BK78" s="40" t="s">
        <v>64</v>
      </c>
      <c r="BL78" s="40" t="s">
        <v>64</v>
      </c>
      <c r="BM78" s="40" t="s">
        <v>64</v>
      </c>
      <c r="BN78" s="40" t="s">
        <v>64</v>
      </c>
      <c r="BO78" s="40" t="s">
        <v>64</v>
      </c>
      <c r="BP78" s="40" t="s">
        <v>64</v>
      </c>
      <c r="BQ78" s="40" t="s">
        <v>64</v>
      </c>
      <c r="BR78" s="40" t="s">
        <v>64</v>
      </c>
      <c r="BS78" s="40" t="s">
        <v>64</v>
      </c>
      <c r="BT78" s="40" t="s">
        <v>64</v>
      </c>
      <c r="BU78" s="40" t="s">
        <v>64</v>
      </c>
      <c r="BV78" s="40" t="s">
        <v>64</v>
      </c>
      <c r="BW78" s="40" t="s">
        <v>64</v>
      </c>
      <c r="BX78" s="40" t="s">
        <v>64</v>
      </c>
      <c r="BY78" s="40" t="s">
        <v>64</v>
      </c>
      <c r="BZ78" s="40" t="s">
        <v>64</v>
      </c>
      <c r="CA78" s="40" t="s">
        <v>64</v>
      </c>
      <c r="CB78" s="40" t="s">
        <v>64</v>
      </c>
      <c r="CC78" s="40" t="s">
        <v>64</v>
      </c>
      <c r="CD78" s="40" t="s">
        <v>64</v>
      </c>
      <c r="CE78" s="40" t="s">
        <v>64</v>
      </c>
      <c r="CF78" s="40" t="s">
        <v>64</v>
      </c>
      <c r="CG78" s="40" t="s">
        <v>64</v>
      </c>
      <c r="CH78" s="40" t="s">
        <v>64</v>
      </c>
      <c r="CI78" s="40" t="s">
        <v>64</v>
      </c>
      <c r="CJ78" s="40" t="s">
        <v>64</v>
      </c>
      <c r="CK78" s="40" t="s">
        <v>64</v>
      </c>
      <c r="CL78" s="40" t="s">
        <v>64</v>
      </c>
      <c r="CM78" s="40" t="s">
        <v>64</v>
      </c>
      <c r="CN78" s="40" t="s">
        <v>64</v>
      </c>
      <c r="CO78" s="40" t="s">
        <v>64</v>
      </c>
      <c r="CP78" s="40" t="s">
        <v>64</v>
      </c>
    </row>
    <row r="79" spans="1:94" ht="12" x14ac:dyDescent="0.25">
      <c r="A79" s="39" t="s">
        <v>518</v>
      </c>
      <c r="B79" s="39" t="s">
        <v>536</v>
      </c>
      <c r="C79" s="39" t="s">
        <v>518</v>
      </c>
      <c r="D79" s="40" t="s">
        <v>615</v>
      </c>
      <c r="E79" s="43">
        <v>284525561</v>
      </c>
      <c r="F79" s="40">
        <v>0</v>
      </c>
      <c r="G79" s="40" t="s">
        <v>349</v>
      </c>
      <c r="H79" s="40">
        <v>0</v>
      </c>
      <c r="I79" s="40">
        <v>0</v>
      </c>
      <c r="J79" s="13" t="s">
        <v>89</v>
      </c>
      <c r="K79" s="40" t="s">
        <v>60</v>
      </c>
      <c r="L79" s="40" t="s">
        <v>61</v>
      </c>
      <c r="M79" s="42">
        <v>2.6</v>
      </c>
      <c r="N79" s="40" t="s">
        <v>64</v>
      </c>
      <c r="O79" s="40" t="s">
        <v>64</v>
      </c>
      <c r="P79" s="40" t="s">
        <v>64</v>
      </c>
      <c r="Q79" s="40" t="s">
        <v>64</v>
      </c>
      <c r="R79" s="40" t="s">
        <v>64</v>
      </c>
      <c r="S79" s="13" t="s">
        <v>64</v>
      </c>
      <c r="T79" s="40" t="s">
        <v>64</v>
      </c>
      <c r="U79" s="40" t="s">
        <v>64</v>
      </c>
      <c r="V79" s="42" t="s">
        <v>64</v>
      </c>
      <c r="W79" s="40" t="s">
        <v>64</v>
      </c>
      <c r="X79" s="40" t="s">
        <v>64</v>
      </c>
      <c r="Y79" s="40" t="s">
        <v>64</v>
      </c>
      <c r="Z79" s="40" t="s">
        <v>64</v>
      </c>
      <c r="AA79" s="40" t="s">
        <v>64</v>
      </c>
      <c r="AB79" s="13" t="s">
        <v>64</v>
      </c>
      <c r="AC79" s="40" t="s">
        <v>64</v>
      </c>
      <c r="AD79" s="40" t="s">
        <v>64</v>
      </c>
      <c r="AE79" s="42" t="s">
        <v>64</v>
      </c>
      <c r="AF79" s="40" t="s">
        <v>64</v>
      </c>
      <c r="AG79" s="40" t="s">
        <v>64</v>
      </c>
      <c r="AH79" s="40" t="s">
        <v>64</v>
      </c>
      <c r="AI79" s="40" t="s">
        <v>64</v>
      </c>
      <c r="AJ79" s="40" t="s">
        <v>64</v>
      </c>
      <c r="AK79" s="40" t="s">
        <v>64</v>
      </c>
      <c r="AL79" s="40" t="s">
        <v>64</v>
      </c>
      <c r="AM79" s="40" t="s">
        <v>64</v>
      </c>
      <c r="AN79" s="40" t="s">
        <v>64</v>
      </c>
      <c r="AO79" s="40" t="s">
        <v>64</v>
      </c>
      <c r="AP79" s="40" t="s">
        <v>64</v>
      </c>
      <c r="AQ79" s="40" t="s">
        <v>64</v>
      </c>
      <c r="AR79" s="40" t="s">
        <v>64</v>
      </c>
      <c r="AS79" s="40" t="s">
        <v>64</v>
      </c>
      <c r="AT79" s="40" t="s">
        <v>64</v>
      </c>
      <c r="AU79" s="40" t="s">
        <v>64</v>
      </c>
      <c r="AV79" s="40" t="s">
        <v>64</v>
      </c>
      <c r="AW79" s="40" t="s">
        <v>64</v>
      </c>
      <c r="AX79" s="40" t="s">
        <v>64</v>
      </c>
      <c r="AY79" s="40" t="s">
        <v>64</v>
      </c>
      <c r="AZ79" s="40" t="s">
        <v>64</v>
      </c>
      <c r="BA79" s="40" t="s">
        <v>64</v>
      </c>
      <c r="BB79" s="40" t="s">
        <v>64</v>
      </c>
      <c r="BC79" s="40" t="s">
        <v>64</v>
      </c>
      <c r="BD79" s="40" t="s">
        <v>64</v>
      </c>
      <c r="BE79" s="40" t="s">
        <v>64</v>
      </c>
      <c r="BF79" s="40" t="s">
        <v>64</v>
      </c>
      <c r="BG79" s="40" t="s">
        <v>64</v>
      </c>
      <c r="BH79" s="40" t="s">
        <v>64</v>
      </c>
      <c r="BI79" s="40" t="s">
        <v>64</v>
      </c>
      <c r="BJ79" s="40" t="s">
        <v>64</v>
      </c>
      <c r="BK79" s="40" t="s">
        <v>64</v>
      </c>
      <c r="BL79" s="40" t="s">
        <v>64</v>
      </c>
      <c r="BM79" s="40" t="s">
        <v>64</v>
      </c>
      <c r="BN79" s="40" t="s">
        <v>64</v>
      </c>
      <c r="BO79" s="40" t="s">
        <v>64</v>
      </c>
      <c r="BP79" s="40" t="s">
        <v>64</v>
      </c>
      <c r="BQ79" s="40" t="s">
        <v>64</v>
      </c>
      <c r="BR79" s="40" t="s">
        <v>64</v>
      </c>
      <c r="BS79" s="40" t="s">
        <v>64</v>
      </c>
      <c r="BT79" s="40" t="s">
        <v>64</v>
      </c>
      <c r="BU79" s="40" t="s">
        <v>64</v>
      </c>
      <c r="BV79" s="40" t="s">
        <v>64</v>
      </c>
      <c r="BW79" s="40" t="s">
        <v>64</v>
      </c>
      <c r="BX79" s="40" t="s">
        <v>64</v>
      </c>
      <c r="BY79" s="40" t="s">
        <v>64</v>
      </c>
      <c r="BZ79" s="40" t="s">
        <v>64</v>
      </c>
      <c r="CA79" s="40" t="s">
        <v>64</v>
      </c>
      <c r="CB79" s="40" t="s">
        <v>64</v>
      </c>
      <c r="CC79" s="40" t="s">
        <v>64</v>
      </c>
      <c r="CD79" s="40" t="s">
        <v>64</v>
      </c>
      <c r="CE79" s="40" t="s">
        <v>64</v>
      </c>
      <c r="CF79" s="40" t="s">
        <v>64</v>
      </c>
      <c r="CG79" s="40" t="s">
        <v>64</v>
      </c>
      <c r="CH79" s="40" t="s">
        <v>64</v>
      </c>
      <c r="CI79" s="40" t="s">
        <v>64</v>
      </c>
      <c r="CJ79" s="40" t="s">
        <v>64</v>
      </c>
      <c r="CK79" s="40" t="s">
        <v>64</v>
      </c>
      <c r="CL79" s="40" t="s">
        <v>64</v>
      </c>
      <c r="CM79" s="40" t="s">
        <v>64</v>
      </c>
      <c r="CN79" s="40" t="s">
        <v>64</v>
      </c>
      <c r="CO79" s="40" t="s">
        <v>64</v>
      </c>
      <c r="CP79" s="40" t="s">
        <v>64</v>
      </c>
    </row>
    <row r="80" spans="1:94" ht="12" x14ac:dyDescent="0.25">
      <c r="A80" s="39" t="s">
        <v>519</v>
      </c>
      <c r="B80" s="39" t="s">
        <v>536</v>
      </c>
      <c r="C80" s="39" t="s">
        <v>519</v>
      </c>
      <c r="D80" s="40" t="s">
        <v>616</v>
      </c>
      <c r="E80" s="43">
        <v>284525574</v>
      </c>
      <c r="F80" s="40">
        <v>0</v>
      </c>
      <c r="G80" s="40" t="s">
        <v>349</v>
      </c>
      <c r="H80" s="40">
        <v>0</v>
      </c>
      <c r="I80" s="40">
        <v>0</v>
      </c>
      <c r="J80" s="13" t="s">
        <v>88</v>
      </c>
      <c r="K80" s="40" t="s">
        <v>60</v>
      </c>
      <c r="L80" s="40" t="s">
        <v>61</v>
      </c>
      <c r="M80" s="42">
        <v>5.2</v>
      </c>
      <c r="N80" s="40" t="s">
        <v>64</v>
      </c>
      <c r="O80" s="40" t="s">
        <v>64</v>
      </c>
      <c r="P80" s="40" t="s">
        <v>64</v>
      </c>
      <c r="Q80" s="40" t="s">
        <v>64</v>
      </c>
      <c r="R80" s="40" t="s">
        <v>64</v>
      </c>
      <c r="S80" s="13" t="s">
        <v>64</v>
      </c>
      <c r="T80" s="40" t="s">
        <v>64</v>
      </c>
      <c r="U80" s="40" t="s">
        <v>64</v>
      </c>
      <c r="V80" s="42" t="s">
        <v>64</v>
      </c>
      <c r="W80" s="40" t="s">
        <v>64</v>
      </c>
      <c r="X80" s="40" t="s">
        <v>64</v>
      </c>
      <c r="Y80" s="40" t="s">
        <v>64</v>
      </c>
      <c r="Z80" s="40" t="s">
        <v>64</v>
      </c>
      <c r="AA80" s="40" t="s">
        <v>64</v>
      </c>
      <c r="AB80" s="13" t="s">
        <v>64</v>
      </c>
      <c r="AC80" s="40" t="s">
        <v>64</v>
      </c>
      <c r="AD80" s="40" t="s">
        <v>64</v>
      </c>
      <c r="AE80" s="42" t="s">
        <v>64</v>
      </c>
      <c r="AF80" s="40" t="s">
        <v>64</v>
      </c>
      <c r="AG80" s="40" t="s">
        <v>64</v>
      </c>
      <c r="AH80" s="40" t="s">
        <v>64</v>
      </c>
      <c r="AI80" s="40" t="s">
        <v>64</v>
      </c>
      <c r="AJ80" s="40" t="s">
        <v>64</v>
      </c>
      <c r="AK80" s="40" t="s">
        <v>64</v>
      </c>
      <c r="AL80" s="40" t="s">
        <v>64</v>
      </c>
      <c r="AM80" s="40" t="s">
        <v>64</v>
      </c>
      <c r="AN80" s="40" t="s">
        <v>64</v>
      </c>
      <c r="AO80" s="40" t="s">
        <v>64</v>
      </c>
      <c r="AP80" s="40" t="s">
        <v>64</v>
      </c>
      <c r="AQ80" s="40" t="s">
        <v>64</v>
      </c>
      <c r="AR80" s="40" t="s">
        <v>64</v>
      </c>
      <c r="AS80" s="40" t="s">
        <v>64</v>
      </c>
      <c r="AT80" s="40" t="s">
        <v>64</v>
      </c>
      <c r="AU80" s="40" t="s">
        <v>64</v>
      </c>
      <c r="AV80" s="40" t="s">
        <v>64</v>
      </c>
      <c r="AW80" s="40" t="s">
        <v>64</v>
      </c>
      <c r="AX80" s="40" t="s">
        <v>64</v>
      </c>
      <c r="AY80" s="40" t="s">
        <v>64</v>
      </c>
      <c r="AZ80" s="40" t="s">
        <v>64</v>
      </c>
      <c r="BA80" s="40" t="s">
        <v>64</v>
      </c>
      <c r="BB80" s="40" t="s">
        <v>64</v>
      </c>
      <c r="BC80" s="40" t="s">
        <v>64</v>
      </c>
      <c r="BD80" s="40" t="s">
        <v>64</v>
      </c>
      <c r="BE80" s="40" t="s">
        <v>64</v>
      </c>
      <c r="BF80" s="40" t="s">
        <v>64</v>
      </c>
      <c r="BG80" s="40" t="s">
        <v>64</v>
      </c>
      <c r="BH80" s="40" t="s">
        <v>64</v>
      </c>
      <c r="BI80" s="40" t="s">
        <v>64</v>
      </c>
      <c r="BJ80" s="40" t="s">
        <v>64</v>
      </c>
      <c r="BK80" s="40" t="s">
        <v>64</v>
      </c>
      <c r="BL80" s="40" t="s">
        <v>64</v>
      </c>
      <c r="BM80" s="40" t="s">
        <v>64</v>
      </c>
      <c r="BN80" s="40" t="s">
        <v>64</v>
      </c>
      <c r="BO80" s="40" t="s">
        <v>64</v>
      </c>
      <c r="BP80" s="40" t="s">
        <v>64</v>
      </c>
      <c r="BQ80" s="40" t="s">
        <v>64</v>
      </c>
      <c r="BR80" s="40" t="s">
        <v>64</v>
      </c>
      <c r="BS80" s="40" t="s">
        <v>64</v>
      </c>
      <c r="BT80" s="40" t="s">
        <v>64</v>
      </c>
      <c r="BU80" s="40" t="s">
        <v>64</v>
      </c>
      <c r="BV80" s="40" t="s">
        <v>64</v>
      </c>
      <c r="BW80" s="40" t="s">
        <v>64</v>
      </c>
      <c r="BX80" s="40" t="s">
        <v>64</v>
      </c>
      <c r="BY80" s="40" t="s">
        <v>64</v>
      </c>
      <c r="BZ80" s="40" t="s">
        <v>64</v>
      </c>
      <c r="CA80" s="40" t="s">
        <v>64</v>
      </c>
      <c r="CB80" s="40" t="s">
        <v>64</v>
      </c>
      <c r="CC80" s="40" t="s">
        <v>64</v>
      </c>
      <c r="CD80" s="40" t="s">
        <v>64</v>
      </c>
      <c r="CE80" s="40" t="s">
        <v>64</v>
      </c>
      <c r="CF80" s="40" t="s">
        <v>64</v>
      </c>
      <c r="CG80" s="40" t="s">
        <v>64</v>
      </c>
      <c r="CH80" s="40" t="s">
        <v>64</v>
      </c>
      <c r="CI80" s="40" t="s">
        <v>64</v>
      </c>
      <c r="CJ80" s="40" t="s">
        <v>64</v>
      </c>
      <c r="CK80" s="40" t="s">
        <v>64</v>
      </c>
      <c r="CL80" s="40" t="s">
        <v>64</v>
      </c>
      <c r="CM80" s="40" t="s">
        <v>64</v>
      </c>
      <c r="CN80" s="40" t="s">
        <v>64</v>
      </c>
      <c r="CO80" s="40" t="s">
        <v>64</v>
      </c>
      <c r="CP80" s="40" t="s">
        <v>64</v>
      </c>
    </row>
    <row r="81" spans="1:94" ht="12" x14ac:dyDescent="0.25">
      <c r="A81" s="39" t="s">
        <v>520</v>
      </c>
      <c r="B81" s="39" t="s">
        <v>536</v>
      </c>
      <c r="C81" s="39" t="s">
        <v>520</v>
      </c>
      <c r="D81" s="40" t="s">
        <v>617</v>
      </c>
      <c r="E81" s="43">
        <v>284525577</v>
      </c>
      <c r="F81" s="40">
        <v>0</v>
      </c>
      <c r="G81" s="40" t="s">
        <v>349</v>
      </c>
      <c r="H81" s="40">
        <v>0</v>
      </c>
      <c r="I81" s="40">
        <v>0</v>
      </c>
      <c r="J81" s="13" t="s">
        <v>88</v>
      </c>
      <c r="K81" s="40" t="s">
        <v>60</v>
      </c>
      <c r="L81" s="40" t="s">
        <v>61</v>
      </c>
      <c r="M81" s="42">
        <v>2.6</v>
      </c>
      <c r="N81" s="40">
        <v>284525578</v>
      </c>
      <c r="O81" s="40">
        <v>0</v>
      </c>
      <c r="P81" s="40" t="s">
        <v>350</v>
      </c>
      <c r="Q81" s="40">
        <v>0</v>
      </c>
      <c r="R81" s="40">
        <v>0</v>
      </c>
      <c r="S81" s="13" t="s">
        <v>91</v>
      </c>
      <c r="T81" s="40" t="s">
        <v>60</v>
      </c>
      <c r="U81" s="40" t="s">
        <v>61</v>
      </c>
      <c r="V81" s="42">
        <v>5.2</v>
      </c>
      <c r="W81" s="40" t="s">
        <v>64</v>
      </c>
      <c r="X81" s="40" t="s">
        <v>64</v>
      </c>
      <c r="Y81" s="40" t="s">
        <v>64</v>
      </c>
      <c r="Z81" s="40" t="s">
        <v>64</v>
      </c>
      <c r="AA81" s="40" t="s">
        <v>64</v>
      </c>
      <c r="AB81" s="13" t="s">
        <v>64</v>
      </c>
      <c r="AC81" s="40" t="s">
        <v>64</v>
      </c>
      <c r="AD81" s="40" t="s">
        <v>64</v>
      </c>
      <c r="AE81" s="42" t="s">
        <v>64</v>
      </c>
      <c r="AF81" s="40" t="s">
        <v>64</v>
      </c>
      <c r="AG81" s="40" t="s">
        <v>64</v>
      </c>
      <c r="AH81" s="40" t="s">
        <v>64</v>
      </c>
      <c r="AI81" s="40" t="s">
        <v>64</v>
      </c>
      <c r="AJ81" s="40" t="s">
        <v>64</v>
      </c>
      <c r="AK81" s="40" t="s">
        <v>64</v>
      </c>
      <c r="AL81" s="40" t="s">
        <v>64</v>
      </c>
      <c r="AM81" s="40" t="s">
        <v>64</v>
      </c>
      <c r="AN81" s="40" t="s">
        <v>64</v>
      </c>
      <c r="AO81" s="40" t="s">
        <v>64</v>
      </c>
      <c r="AP81" s="40" t="s">
        <v>64</v>
      </c>
      <c r="AQ81" s="40" t="s">
        <v>64</v>
      </c>
      <c r="AR81" s="40" t="s">
        <v>64</v>
      </c>
      <c r="AS81" s="40" t="s">
        <v>64</v>
      </c>
      <c r="AT81" s="40" t="s">
        <v>64</v>
      </c>
      <c r="AU81" s="40" t="s">
        <v>64</v>
      </c>
      <c r="AV81" s="40" t="s">
        <v>64</v>
      </c>
      <c r="AW81" s="40" t="s">
        <v>64</v>
      </c>
      <c r="AX81" s="40" t="s">
        <v>64</v>
      </c>
      <c r="AY81" s="40" t="s">
        <v>64</v>
      </c>
      <c r="AZ81" s="40" t="s">
        <v>64</v>
      </c>
      <c r="BA81" s="40" t="s">
        <v>64</v>
      </c>
      <c r="BB81" s="40" t="s">
        <v>64</v>
      </c>
      <c r="BC81" s="40" t="s">
        <v>64</v>
      </c>
      <c r="BD81" s="40" t="s">
        <v>64</v>
      </c>
      <c r="BE81" s="40" t="s">
        <v>64</v>
      </c>
      <c r="BF81" s="40" t="s">
        <v>64</v>
      </c>
      <c r="BG81" s="40" t="s">
        <v>64</v>
      </c>
      <c r="BH81" s="40" t="s">
        <v>64</v>
      </c>
      <c r="BI81" s="40" t="s">
        <v>64</v>
      </c>
      <c r="BJ81" s="40" t="s">
        <v>64</v>
      </c>
      <c r="BK81" s="40" t="s">
        <v>64</v>
      </c>
      <c r="BL81" s="40" t="s">
        <v>64</v>
      </c>
      <c r="BM81" s="40" t="s">
        <v>64</v>
      </c>
      <c r="BN81" s="40" t="s">
        <v>64</v>
      </c>
      <c r="BO81" s="40" t="s">
        <v>64</v>
      </c>
      <c r="BP81" s="40" t="s">
        <v>64</v>
      </c>
      <c r="BQ81" s="40" t="s">
        <v>64</v>
      </c>
      <c r="BR81" s="40" t="s">
        <v>64</v>
      </c>
      <c r="BS81" s="40" t="s">
        <v>64</v>
      </c>
      <c r="BT81" s="40" t="s">
        <v>64</v>
      </c>
      <c r="BU81" s="40" t="s">
        <v>64</v>
      </c>
      <c r="BV81" s="40" t="s">
        <v>64</v>
      </c>
      <c r="BW81" s="40" t="s">
        <v>64</v>
      </c>
      <c r="BX81" s="40" t="s">
        <v>64</v>
      </c>
      <c r="BY81" s="40" t="s">
        <v>64</v>
      </c>
      <c r="BZ81" s="40" t="s">
        <v>64</v>
      </c>
      <c r="CA81" s="40" t="s">
        <v>64</v>
      </c>
      <c r="CB81" s="40" t="s">
        <v>64</v>
      </c>
      <c r="CC81" s="40" t="s">
        <v>64</v>
      </c>
      <c r="CD81" s="40" t="s">
        <v>64</v>
      </c>
      <c r="CE81" s="40" t="s">
        <v>64</v>
      </c>
      <c r="CF81" s="40" t="s">
        <v>64</v>
      </c>
      <c r="CG81" s="40" t="s">
        <v>64</v>
      </c>
      <c r="CH81" s="40" t="s">
        <v>64</v>
      </c>
      <c r="CI81" s="40" t="s">
        <v>64</v>
      </c>
      <c r="CJ81" s="40" t="s">
        <v>64</v>
      </c>
      <c r="CK81" s="40" t="s">
        <v>64</v>
      </c>
      <c r="CL81" s="40" t="s">
        <v>64</v>
      </c>
      <c r="CM81" s="40" t="s">
        <v>64</v>
      </c>
      <c r="CN81" s="40" t="s">
        <v>64</v>
      </c>
      <c r="CO81" s="40" t="s">
        <v>64</v>
      </c>
      <c r="CP81" s="40" t="s">
        <v>64</v>
      </c>
    </row>
    <row r="82" spans="1:94" ht="12" x14ac:dyDescent="0.25">
      <c r="A82" s="39" t="s">
        <v>521</v>
      </c>
      <c r="B82" s="39" t="s">
        <v>536</v>
      </c>
      <c r="C82" s="39" t="s">
        <v>521</v>
      </c>
      <c r="D82" s="40" t="s">
        <v>618</v>
      </c>
      <c r="E82" s="43">
        <v>284525579</v>
      </c>
      <c r="F82" s="40">
        <v>0</v>
      </c>
      <c r="G82" s="40" t="s">
        <v>349</v>
      </c>
      <c r="H82" s="40">
        <v>0</v>
      </c>
      <c r="I82" s="40">
        <v>0</v>
      </c>
      <c r="J82" s="13" t="s">
        <v>91</v>
      </c>
      <c r="K82" s="40" t="s">
        <v>60</v>
      </c>
      <c r="L82" s="40" t="s">
        <v>61</v>
      </c>
      <c r="M82" s="42">
        <v>5.2</v>
      </c>
      <c r="N82" s="40" t="s">
        <v>64</v>
      </c>
      <c r="O82" s="40" t="s">
        <v>64</v>
      </c>
      <c r="P82" s="40" t="s">
        <v>64</v>
      </c>
      <c r="Q82" s="40" t="s">
        <v>64</v>
      </c>
      <c r="R82" s="40" t="s">
        <v>64</v>
      </c>
      <c r="S82" s="13" t="s">
        <v>64</v>
      </c>
      <c r="T82" s="40" t="s">
        <v>64</v>
      </c>
      <c r="U82" s="40" t="s">
        <v>64</v>
      </c>
      <c r="V82" s="42" t="s">
        <v>64</v>
      </c>
      <c r="W82" s="40" t="s">
        <v>64</v>
      </c>
      <c r="X82" s="40" t="s">
        <v>64</v>
      </c>
      <c r="Y82" s="40" t="s">
        <v>64</v>
      </c>
      <c r="Z82" s="40" t="s">
        <v>64</v>
      </c>
      <c r="AA82" s="40" t="s">
        <v>64</v>
      </c>
      <c r="AB82" s="13" t="s">
        <v>64</v>
      </c>
      <c r="AC82" s="40" t="s">
        <v>64</v>
      </c>
      <c r="AD82" s="40" t="s">
        <v>64</v>
      </c>
      <c r="AE82" s="42" t="s">
        <v>64</v>
      </c>
      <c r="AF82" s="40" t="s">
        <v>64</v>
      </c>
      <c r="AG82" s="40" t="s">
        <v>64</v>
      </c>
      <c r="AH82" s="40" t="s">
        <v>64</v>
      </c>
      <c r="AI82" s="40" t="s">
        <v>64</v>
      </c>
      <c r="AJ82" s="40" t="s">
        <v>64</v>
      </c>
      <c r="AK82" s="40" t="s">
        <v>64</v>
      </c>
      <c r="AL82" s="40" t="s">
        <v>64</v>
      </c>
      <c r="AM82" s="40" t="s">
        <v>64</v>
      </c>
      <c r="AN82" s="40" t="s">
        <v>64</v>
      </c>
      <c r="AO82" s="40" t="s">
        <v>64</v>
      </c>
      <c r="AP82" s="40" t="s">
        <v>64</v>
      </c>
      <c r="AQ82" s="40" t="s">
        <v>64</v>
      </c>
      <c r="AR82" s="40" t="s">
        <v>64</v>
      </c>
      <c r="AS82" s="40" t="s">
        <v>64</v>
      </c>
      <c r="AT82" s="40" t="s">
        <v>64</v>
      </c>
      <c r="AU82" s="40" t="s">
        <v>64</v>
      </c>
      <c r="AV82" s="40" t="s">
        <v>64</v>
      </c>
      <c r="AW82" s="40" t="s">
        <v>64</v>
      </c>
      <c r="AX82" s="40" t="s">
        <v>64</v>
      </c>
      <c r="AY82" s="40" t="s">
        <v>64</v>
      </c>
      <c r="AZ82" s="40" t="s">
        <v>64</v>
      </c>
      <c r="BA82" s="40" t="s">
        <v>64</v>
      </c>
      <c r="BB82" s="40" t="s">
        <v>64</v>
      </c>
      <c r="BC82" s="40" t="s">
        <v>64</v>
      </c>
      <c r="BD82" s="40" t="s">
        <v>64</v>
      </c>
      <c r="BE82" s="40" t="s">
        <v>64</v>
      </c>
      <c r="BF82" s="40" t="s">
        <v>64</v>
      </c>
      <c r="BG82" s="40" t="s">
        <v>64</v>
      </c>
      <c r="BH82" s="40" t="s">
        <v>64</v>
      </c>
      <c r="BI82" s="40" t="s">
        <v>64</v>
      </c>
      <c r="BJ82" s="40" t="s">
        <v>64</v>
      </c>
      <c r="BK82" s="40" t="s">
        <v>64</v>
      </c>
      <c r="BL82" s="40" t="s">
        <v>64</v>
      </c>
      <c r="BM82" s="40" t="s">
        <v>64</v>
      </c>
      <c r="BN82" s="40" t="s">
        <v>64</v>
      </c>
      <c r="BO82" s="40" t="s">
        <v>64</v>
      </c>
      <c r="BP82" s="40" t="s">
        <v>64</v>
      </c>
      <c r="BQ82" s="40" t="s">
        <v>64</v>
      </c>
      <c r="BR82" s="40" t="s">
        <v>64</v>
      </c>
      <c r="BS82" s="40" t="s">
        <v>64</v>
      </c>
      <c r="BT82" s="40" t="s">
        <v>64</v>
      </c>
      <c r="BU82" s="40" t="s">
        <v>64</v>
      </c>
      <c r="BV82" s="40" t="s">
        <v>64</v>
      </c>
      <c r="BW82" s="40" t="s">
        <v>64</v>
      </c>
      <c r="BX82" s="40" t="s">
        <v>64</v>
      </c>
      <c r="BY82" s="40" t="s">
        <v>64</v>
      </c>
      <c r="BZ82" s="40" t="s">
        <v>64</v>
      </c>
      <c r="CA82" s="40" t="s">
        <v>64</v>
      </c>
      <c r="CB82" s="40" t="s">
        <v>64</v>
      </c>
      <c r="CC82" s="40" t="s">
        <v>64</v>
      </c>
      <c r="CD82" s="40" t="s">
        <v>64</v>
      </c>
      <c r="CE82" s="40" t="s">
        <v>64</v>
      </c>
      <c r="CF82" s="40" t="s">
        <v>64</v>
      </c>
      <c r="CG82" s="40" t="s">
        <v>64</v>
      </c>
      <c r="CH82" s="40" t="s">
        <v>64</v>
      </c>
      <c r="CI82" s="40" t="s">
        <v>64</v>
      </c>
      <c r="CJ82" s="40" t="s">
        <v>64</v>
      </c>
      <c r="CK82" s="40" t="s">
        <v>64</v>
      </c>
      <c r="CL82" s="40" t="s">
        <v>64</v>
      </c>
      <c r="CM82" s="40" t="s">
        <v>64</v>
      </c>
      <c r="CN82" s="40" t="s">
        <v>64</v>
      </c>
      <c r="CO82" s="40" t="s">
        <v>64</v>
      </c>
      <c r="CP82" s="40" t="s">
        <v>64</v>
      </c>
    </row>
    <row r="83" spans="1:94" ht="12" x14ac:dyDescent="0.25">
      <c r="A83" s="39" t="s">
        <v>522</v>
      </c>
      <c r="B83" s="39" t="s">
        <v>536</v>
      </c>
      <c r="C83" s="39" t="s">
        <v>522</v>
      </c>
      <c r="D83" s="40" t="s">
        <v>619</v>
      </c>
      <c r="E83" s="43">
        <v>284525580</v>
      </c>
      <c r="F83" s="40">
        <v>0</v>
      </c>
      <c r="G83" s="40" t="s">
        <v>349</v>
      </c>
      <c r="H83" s="40">
        <v>0</v>
      </c>
      <c r="I83" s="40">
        <v>0</v>
      </c>
      <c r="J83" s="13" t="s">
        <v>91</v>
      </c>
      <c r="K83" s="40" t="s">
        <v>60</v>
      </c>
      <c r="L83" s="40" t="s">
        <v>61</v>
      </c>
      <c r="M83" s="42">
        <v>5.2</v>
      </c>
      <c r="N83" s="40">
        <v>284525581</v>
      </c>
      <c r="O83" s="40">
        <v>0</v>
      </c>
      <c r="P83" s="40" t="s">
        <v>350</v>
      </c>
      <c r="Q83" s="40">
        <v>0</v>
      </c>
      <c r="R83" s="40">
        <v>0</v>
      </c>
      <c r="S83" s="13" t="s">
        <v>89</v>
      </c>
      <c r="T83" s="40" t="s">
        <v>60</v>
      </c>
      <c r="U83" s="40" t="s">
        <v>61</v>
      </c>
      <c r="V83" s="42">
        <v>2.6</v>
      </c>
      <c r="W83" s="40" t="s">
        <v>64</v>
      </c>
      <c r="X83" s="40" t="s">
        <v>64</v>
      </c>
      <c r="Y83" s="40" t="s">
        <v>64</v>
      </c>
      <c r="Z83" s="40" t="s">
        <v>64</v>
      </c>
      <c r="AA83" s="40" t="s">
        <v>64</v>
      </c>
      <c r="AB83" s="13" t="s">
        <v>64</v>
      </c>
      <c r="AC83" s="40" t="s">
        <v>64</v>
      </c>
      <c r="AD83" s="40" t="s">
        <v>64</v>
      </c>
      <c r="AE83" s="42" t="s">
        <v>64</v>
      </c>
      <c r="AF83" s="40" t="s">
        <v>64</v>
      </c>
      <c r="AG83" s="40" t="s">
        <v>64</v>
      </c>
      <c r="AH83" s="40" t="s">
        <v>64</v>
      </c>
      <c r="AI83" s="40" t="s">
        <v>64</v>
      </c>
      <c r="AJ83" s="40" t="s">
        <v>64</v>
      </c>
      <c r="AK83" s="40" t="s">
        <v>64</v>
      </c>
      <c r="AL83" s="40" t="s">
        <v>64</v>
      </c>
      <c r="AM83" s="40" t="s">
        <v>64</v>
      </c>
      <c r="AN83" s="40" t="s">
        <v>64</v>
      </c>
      <c r="AO83" s="40" t="s">
        <v>64</v>
      </c>
      <c r="AP83" s="40" t="s">
        <v>64</v>
      </c>
      <c r="AQ83" s="40" t="s">
        <v>64</v>
      </c>
      <c r="AR83" s="40" t="s">
        <v>64</v>
      </c>
      <c r="AS83" s="40" t="s">
        <v>64</v>
      </c>
      <c r="AT83" s="40" t="s">
        <v>64</v>
      </c>
      <c r="AU83" s="40" t="s">
        <v>64</v>
      </c>
      <c r="AV83" s="40" t="s">
        <v>64</v>
      </c>
      <c r="AW83" s="40" t="s">
        <v>64</v>
      </c>
      <c r="AX83" s="40" t="s">
        <v>64</v>
      </c>
      <c r="AY83" s="40" t="s">
        <v>64</v>
      </c>
      <c r="AZ83" s="40" t="s">
        <v>64</v>
      </c>
      <c r="BA83" s="40" t="s">
        <v>64</v>
      </c>
      <c r="BB83" s="40" t="s">
        <v>64</v>
      </c>
      <c r="BC83" s="40" t="s">
        <v>64</v>
      </c>
      <c r="BD83" s="40" t="s">
        <v>64</v>
      </c>
      <c r="BE83" s="40" t="s">
        <v>64</v>
      </c>
      <c r="BF83" s="40" t="s">
        <v>64</v>
      </c>
      <c r="BG83" s="40" t="s">
        <v>64</v>
      </c>
      <c r="BH83" s="40" t="s">
        <v>64</v>
      </c>
      <c r="BI83" s="40" t="s">
        <v>64</v>
      </c>
      <c r="BJ83" s="40" t="s">
        <v>64</v>
      </c>
      <c r="BK83" s="40" t="s">
        <v>64</v>
      </c>
      <c r="BL83" s="40" t="s">
        <v>64</v>
      </c>
      <c r="BM83" s="40" t="s">
        <v>64</v>
      </c>
      <c r="BN83" s="40" t="s">
        <v>64</v>
      </c>
      <c r="BO83" s="40" t="s">
        <v>64</v>
      </c>
      <c r="BP83" s="40" t="s">
        <v>64</v>
      </c>
      <c r="BQ83" s="40" t="s">
        <v>64</v>
      </c>
      <c r="BR83" s="40" t="s">
        <v>64</v>
      </c>
      <c r="BS83" s="40" t="s">
        <v>64</v>
      </c>
      <c r="BT83" s="40" t="s">
        <v>64</v>
      </c>
      <c r="BU83" s="40" t="s">
        <v>64</v>
      </c>
      <c r="BV83" s="40" t="s">
        <v>64</v>
      </c>
      <c r="BW83" s="40" t="s">
        <v>64</v>
      </c>
      <c r="BX83" s="40" t="s">
        <v>64</v>
      </c>
      <c r="BY83" s="40" t="s">
        <v>64</v>
      </c>
      <c r="BZ83" s="40" t="s">
        <v>64</v>
      </c>
      <c r="CA83" s="40" t="s">
        <v>64</v>
      </c>
      <c r="CB83" s="40" t="s">
        <v>64</v>
      </c>
      <c r="CC83" s="40" t="s">
        <v>64</v>
      </c>
      <c r="CD83" s="40" t="s">
        <v>64</v>
      </c>
      <c r="CE83" s="40" t="s">
        <v>64</v>
      </c>
      <c r="CF83" s="40" t="s">
        <v>64</v>
      </c>
      <c r="CG83" s="40" t="s">
        <v>64</v>
      </c>
      <c r="CH83" s="40" t="s">
        <v>64</v>
      </c>
      <c r="CI83" s="40" t="s">
        <v>64</v>
      </c>
      <c r="CJ83" s="40" t="s">
        <v>64</v>
      </c>
      <c r="CK83" s="40" t="s">
        <v>64</v>
      </c>
      <c r="CL83" s="40" t="s">
        <v>64</v>
      </c>
      <c r="CM83" s="40" t="s">
        <v>64</v>
      </c>
      <c r="CN83" s="40" t="s">
        <v>64</v>
      </c>
      <c r="CO83" s="40" t="s">
        <v>64</v>
      </c>
      <c r="CP83" s="40" t="s">
        <v>64</v>
      </c>
    </row>
    <row r="84" spans="1:94" ht="12" x14ac:dyDescent="0.25">
      <c r="A84" s="39" t="s">
        <v>523</v>
      </c>
      <c r="B84" s="39" t="s">
        <v>536</v>
      </c>
      <c r="C84" s="39" t="s">
        <v>523</v>
      </c>
      <c r="D84" s="40" t="s">
        <v>620</v>
      </c>
      <c r="E84" s="43">
        <v>284525585</v>
      </c>
      <c r="F84" s="40">
        <v>0</v>
      </c>
      <c r="G84" s="40" t="s">
        <v>349</v>
      </c>
      <c r="H84" s="40">
        <v>0</v>
      </c>
      <c r="I84" s="40">
        <v>0</v>
      </c>
      <c r="J84" s="13" t="s">
        <v>89</v>
      </c>
      <c r="K84" s="40" t="s">
        <v>60</v>
      </c>
      <c r="L84" s="40" t="s">
        <v>61</v>
      </c>
      <c r="M84" s="42">
        <v>5.2</v>
      </c>
      <c r="N84" s="40">
        <v>284525586</v>
      </c>
      <c r="O84" s="40">
        <v>0</v>
      </c>
      <c r="P84" s="40" t="s">
        <v>350</v>
      </c>
      <c r="Q84" s="40">
        <v>0</v>
      </c>
      <c r="R84" s="40">
        <v>0</v>
      </c>
      <c r="S84" s="13" t="s">
        <v>90</v>
      </c>
      <c r="T84" s="40" t="s">
        <v>60</v>
      </c>
      <c r="U84" s="40" t="s">
        <v>61</v>
      </c>
      <c r="V84" s="42">
        <v>2.6</v>
      </c>
      <c r="W84" s="40" t="s">
        <v>64</v>
      </c>
      <c r="X84" s="40" t="s">
        <v>64</v>
      </c>
      <c r="Y84" s="40" t="s">
        <v>64</v>
      </c>
      <c r="Z84" s="40" t="s">
        <v>64</v>
      </c>
      <c r="AA84" s="40" t="s">
        <v>64</v>
      </c>
      <c r="AB84" s="13" t="s">
        <v>64</v>
      </c>
      <c r="AC84" s="40" t="s">
        <v>64</v>
      </c>
      <c r="AD84" s="40" t="s">
        <v>64</v>
      </c>
      <c r="AE84" s="42" t="s">
        <v>64</v>
      </c>
      <c r="AF84" s="40" t="s">
        <v>64</v>
      </c>
      <c r="AG84" s="40" t="s">
        <v>64</v>
      </c>
      <c r="AH84" s="40" t="s">
        <v>64</v>
      </c>
      <c r="AI84" s="40" t="s">
        <v>64</v>
      </c>
      <c r="AJ84" s="40" t="s">
        <v>64</v>
      </c>
      <c r="AK84" s="40" t="s">
        <v>64</v>
      </c>
      <c r="AL84" s="40" t="s">
        <v>64</v>
      </c>
      <c r="AM84" s="40" t="s">
        <v>64</v>
      </c>
      <c r="AN84" s="40" t="s">
        <v>64</v>
      </c>
      <c r="AO84" s="40" t="s">
        <v>64</v>
      </c>
      <c r="AP84" s="40" t="s">
        <v>64</v>
      </c>
      <c r="AQ84" s="40" t="s">
        <v>64</v>
      </c>
      <c r="AR84" s="40" t="s">
        <v>64</v>
      </c>
      <c r="AS84" s="40" t="s">
        <v>64</v>
      </c>
      <c r="AT84" s="40" t="s">
        <v>64</v>
      </c>
      <c r="AU84" s="40" t="s">
        <v>64</v>
      </c>
      <c r="AV84" s="40" t="s">
        <v>64</v>
      </c>
      <c r="AW84" s="40" t="s">
        <v>64</v>
      </c>
      <c r="AX84" s="40" t="s">
        <v>64</v>
      </c>
      <c r="AY84" s="40" t="s">
        <v>64</v>
      </c>
      <c r="AZ84" s="40" t="s">
        <v>64</v>
      </c>
      <c r="BA84" s="40" t="s">
        <v>64</v>
      </c>
      <c r="BB84" s="40" t="s">
        <v>64</v>
      </c>
      <c r="BC84" s="40" t="s">
        <v>64</v>
      </c>
      <c r="BD84" s="40" t="s">
        <v>64</v>
      </c>
      <c r="BE84" s="40" t="s">
        <v>64</v>
      </c>
      <c r="BF84" s="40" t="s">
        <v>64</v>
      </c>
      <c r="BG84" s="40" t="s">
        <v>64</v>
      </c>
      <c r="BH84" s="40" t="s">
        <v>64</v>
      </c>
      <c r="BI84" s="40" t="s">
        <v>64</v>
      </c>
      <c r="BJ84" s="40" t="s">
        <v>64</v>
      </c>
      <c r="BK84" s="40" t="s">
        <v>64</v>
      </c>
      <c r="BL84" s="40" t="s">
        <v>64</v>
      </c>
      <c r="BM84" s="40" t="s">
        <v>64</v>
      </c>
      <c r="BN84" s="40" t="s">
        <v>64</v>
      </c>
      <c r="BO84" s="40" t="s">
        <v>64</v>
      </c>
      <c r="BP84" s="40" t="s">
        <v>64</v>
      </c>
      <c r="BQ84" s="40" t="s">
        <v>64</v>
      </c>
      <c r="BR84" s="40" t="s">
        <v>64</v>
      </c>
      <c r="BS84" s="40" t="s">
        <v>64</v>
      </c>
      <c r="BT84" s="40" t="s">
        <v>64</v>
      </c>
      <c r="BU84" s="40" t="s">
        <v>64</v>
      </c>
      <c r="BV84" s="40" t="s">
        <v>64</v>
      </c>
      <c r="BW84" s="40" t="s">
        <v>64</v>
      </c>
      <c r="BX84" s="40" t="s">
        <v>64</v>
      </c>
      <c r="BY84" s="40" t="s">
        <v>64</v>
      </c>
      <c r="BZ84" s="40" t="s">
        <v>64</v>
      </c>
      <c r="CA84" s="40" t="s">
        <v>64</v>
      </c>
      <c r="CB84" s="40" t="s">
        <v>64</v>
      </c>
      <c r="CC84" s="40" t="s">
        <v>64</v>
      </c>
      <c r="CD84" s="40" t="s">
        <v>64</v>
      </c>
      <c r="CE84" s="40" t="s">
        <v>64</v>
      </c>
      <c r="CF84" s="40" t="s">
        <v>64</v>
      </c>
      <c r="CG84" s="40" t="s">
        <v>64</v>
      </c>
      <c r="CH84" s="40" t="s">
        <v>64</v>
      </c>
      <c r="CI84" s="40" t="s">
        <v>64</v>
      </c>
      <c r="CJ84" s="40" t="s">
        <v>64</v>
      </c>
      <c r="CK84" s="40" t="s">
        <v>64</v>
      </c>
      <c r="CL84" s="40" t="s">
        <v>64</v>
      </c>
      <c r="CM84" s="40" t="s">
        <v>64</v>
      </c>
      <c r="CN84" s="40" t="s">
        <v>64</v>
      </c>
      <c r="CO84" s="40" t="s">
        <v>64</v>
      </c>
      <c r="CP84" s="40" t="s">
        <v>64</v>
      </c>
    </row>
    <row r="85" spans="1:94" ht="12" x14ac:dyDescent="0.25">
      <c r="A85" s="39" t="s">
        <v>524</v>
      </c>
      <c r="B85" s="39" t="s">
        <v>536</v>
      </c>
      <c r="C85" s="39" t="s">
        <v>524</v>
      </c>
      <c r="D85" s="40" t="s">
        <v>621</v>
      </c>
      <c r="E85" s="43">
        <v>284525596</v>
      </c>
      <c r="F85" s="40">
        <v>0</v>
      </c>
      <c r="G85" s="40" t="s">
        <v>349</v>
      </c>
      <c r="H85" s="40">
        <v>0</v>
      </c>
      <c r="I85" s="40">
        <v>0</v>
      </c>
      <c r="J85" s="13" t="s">
        <v>90</v>
      </c>
      <c r="K85" s="40" t="s">
        <v>60</v>
      </c>
      <c r="L85" s="40" t="s">
        <v>61</v>
      </c>
      <c r="M85" s="42">
        <v>4.53</v>
      </c>
      <c r="N85" s="40" t="s">
        <v>64</v>
      </c>
      <c r="O85" s="40" t="s">
        <v>64</v>
      </c>
      <c r="P85" s="40" t="s">
        <v>64</v>
      </c>
      <c r="Q85" s="40" t="s">
        <v>64</v>
      </c>
      <c r="R85" s="40" t="s">
        <v>64</v>
      </c>
      <c r="S85" s="13" t="s">
        <v>64</v>
      </c>
      <c r="T85" s="40" t="s">
        <v>64</v>
      </c>
      <c r="U85" s="40" t="s">
        <v>64</v>
      </c>
      <c r="V85" s="42" t="s">
        <v>64</v>
      </c>
      <c r="W85" s="40" t="s">
        <v>64</v>
      </c>
      <c r="X85" s="40" t="s">
        <v>64</v>
      </c>
      <c r="Y85" s="40" t="s">
        <v>64</v>
      </c>
      <c r="Z85" s="40" t="s">
        <v>64</v>
      </c>
      <c r="AA85" s="40" t="s">
        <v>64</v>
      </c>
      <c r="AB85" s="13" t="s">
        <v>64</v>
      </c>
      <c r="AC85" s="40" t="s">
        <v>64</v>
      </c>
      <c r="AD85" s="40" t="s">
        <v>64</v>
      </c>
      <c r="AE85" s="42" t="s">
        <v>64</v>
      </c>
      <c r="AF85" s="40" t="s">
        <v>64</v>
      </c>
      <c r="AG85" s="40" t="s">
        <v>64</v>
      </c>
      <c r="AH85" s="40" t="s">
        <v>64</v>
      </c>
      <c r="AI85" s="40" t="s">
        <v>64</v>
      </c>
      <c r="AJ85" s="40" t="s">
        <v>64</v>
      </c>
      <c r="AK85" s="40" t="s">
        <v>64</v>
      </c>
      <c r="AL85" s="40" t="s">
        <v>64</v>
      </c>
      <c r="AM85" s="40" t="s">
        <v>64</v>
      </c>
      <c r="AN85" s="40" t="s">
        <v>64</v>
      </c>
      <c r="AO85" s="40" t="s">
        <v>64</v>
      </c>
      <c r="AP85" s="40" t="s">
        <v>64</v>
      </c>
      <c r="AQ85" s="40" t="s">
        <v>64</v>
      </c>
      <c r="AR85" s="40" t="s">
        <v>64</v>
      </c>
      <c r="AS85" s="40" t="s">
        <v>64</v>
      </c>
      <c r="AT85" s="40" t="s">
        <v>64</v>
      </c>
      <c r="AU85" s="40" t="s">
        <v>64</v>
      </c>
      <c r="AV85" s="40" t="s">
        <v>64</v>
      </c>
      <c r="AW85" s="40" t="s">
        <v>64</v>
      </c>
      <c r="AX85" s="40" t="s">
        <v>64</v>
      </c>
      <c r="AY85" s="40" t="s">
        <v>64</v>
      </c>
      <c r="AZ85" s="40" t="s">
        <v>64</v>
      </c>
      <c r="BA85" s="40" t="s">
        <v>64</v>
      </c>
      <c r="BB85" s="40" t="s">
        <v>64</v>
      </c>
      <c r="BC85" s="40" t="s">
        <v>64</v>
      </c>
      <c r="BD85" s="40" t="s">
        <v>64</v>
      </c>
      <c r="BE85" s="40" t="s">
        <v>64</v>
      </c>
      <c r="BF85" s="40" t="s">
        <v>64</v>
      </c>
      <c r="BG85" s="40" t="s">
        <v>64</v>
      </c>
      <c r="BH85" s="40" t="s">
        <v>64</v>
      </c>
      <c r="BI85" s="40" t="s">
        <v>64</v>
      </c>
      <c r="BJ85" s="40" t="s">
        <v>64</v>
      </c>
      <c r="BK85" s="40" t="s">
        <v>64</v>
      </c>
      <c r="BL85" s="40" t="s">
        <v>64</v>
      </c>
      <c r="BM85" s="40" t="s">
        <v>64</v>
      </c>
      <c r="BN85" s="40" t="s">
        <v>64</v>
      </c>
      <c r="BO85" s="40" t="s">
        <v>64</v>
      </c>
      <c r="BP85" s="40" t="s">
        <v>64</v>
      </c>
      <c r="BQ85" s="40" t="s">
        <v>64</v>
      </c>
      <c r="BR85" s="40" t="s">
        <v>64</v>
      </c>
      <c r="BS85" s="40" t="s">
        <v>64</v>
      </c>
      <c r="BT85" s="40" t="s">
        <v>64</v>
      </c>
      <c r="BU85" s="40" t="s">
        <v>64</v>
      </c>
      <c r="BV85" s="40" t="s">
        <v>64</v>
      </c>
      <c r="BW85" s="40" t="s">
        <v>64</v>
      </c>
      <c r="BX85" s="40" t="s">
        <v>64</v>
      </c>
      <c r="BY85" s="40" t="s">
        <v>64</v>
      </c>
      <c r="BZ85" s="40" t="s">
        <v>64</v>
      </c>
      <c r="CA85" s="40" t="s">
        <v>64</v>
      </c>
      <c r="CB85" s="40" t="s">
        <v>64</v>
      </c>
      <c r="CC85" s="40" t="s">
        <v>64</v>
      </c>
      <c r="CD85" s="40" t="s">
        <v>64</v>
      </c>
      <c r="CE85" s="40" t="s">
        <v>64</v>
      </c>
      <c r="CF85" s="40" t="s">
        <v>64</v>
      </c>
      <c r="CG85" s="40" t="s">
        <v>64</v>
      </c>
      <c r="CH85" s="40" t="s">
        <v>64</v>
      </c>
      <c r="CI85" s="40" t="s">
        <v>64</v>
      </c>
      <c r="CJ85" s="40" t="s">
        <v>64</v>
      </c>
      <c r="CK85" s="40" t="s">
        <v>64</v>
      </c>
      <c r="CL85" s="40" t="s">
        <v>64</v>
      </c>
      <c r="CM85" s="40" t="s">
        <v>64</v>
      </c>
      <c r="CN85" s="40" t="s">
        <v>64</v>
      </c>
      <c r="CO85" s="40" t="s">
        <v>64</v>
      </c>
      <c r="CP85" s="40" t="s">
        <v>64</v>
      </c>
    </row>
    <row r="86" spans="1:94" ht="12" x14ac:dyDescent="0.25">
      <c r="A86" s="39" t="s">
        <v>525</v>
      </c>
      <c r="B86" s="39" t="s">
        <v>536</v>
      </c>
      <c r="C86" s="39" t="s">
        <v>525</v>
      </c>
      <c r="D86" s="40" t="s">
        <v>622</v>
      </c>
      <c r="E86" s="43">
        <v>284525598</v>
      </c>
      <c r="F86" s="40">
        <v>0</v>
      </c>
      <c r="G86" s="40" t="s">
        <v>349</v>
      </c>
      <c r="H86" s="40">
        <v>0</v>
      </c>
      <c r="I86" s="40">
        <v>0</v>
      </c>
      <c r="J86" s="13" t="s">
        <v>89</v>
      </c>
      <c r="K86" s="40" t="s">
        <v>60</v>
      </c>
      <c r="L86" s="40" t="s">
        <v>61</v>
      </c>
      <c r="M86" s="42">
        <v>2.6</v>
      </c>
      <c r="N86" s="40">
        <v>284525599</v>
      </c>
      <c r="O86" s="40">
        <v>0</v>
      </c>
      <c r="P86" s="40" t="s">
        <v>350</v>
      </c>
      <c r="Q86" s="40">
        <v>0</v>
      </c>
      <c r="R86" s="40">
        <v>0</v>
      </c>
      <c r="S86" s="13" t="s">
        <v>90</v>
      </c>
      <c r="T86" s="40" t="s">
        <v>60</v>
      </c>
      <c r="U86" s="40" t="s">
        <v>61</v>
      </c>
      <c r="V86" s="42">
        <v>4.53</v>
      </c>
      <c r="W86" s="40" t="s">
        <v>64</v>
      </c>
      <c r="X86" s="40" t="s">
        <v>64</v>
      </c>
      <c r="Y86" s="40" t="s">
        <v>64</v>
      </c>
      <c r="Z86" s="40" t="s">
        <v>64</v>
      </c>
      <c r="AA86" s="40" t="s">
        <v>64</v>
      </c>
      <c r="AB86" s="13" t="s">
        <v>64</v>
      </c>
      <c r="AC86" s="40" t="s">
        <v>64</v>
      </c>
      <c r="AD86" s="40" t="s">
        <v>64</v>
      </c>
      <c r="AE86" s="42" t="s">
        <v>64</v>
      </c>
      <c r="AF86" s="40" t="s">
        <v>64</v>
      </c>
      <c r="AG86" s="40" t="s">
        <v>64</v>
      </c>
      <c r="AH86" s="40" t="s">
        <v>64</v>
      </c>
      <c r="AI86" s="40" t="s">
        <v>64</v>
      </c>
      <c r="AJ86" s="40" t="s">
        <v>64</v>
      </c>
      <c r="AK86" s="40" t="s">
        <v>64</v>
      </c>
      <c r="AL86" s="40" t="s">
        <v>64</v>
      </c>
      <c r="AM86" s="40" t="s">
        <v>64</v>
      </c>
      <c r="AN86" s="40" t="s">
        <v>64</v>
      </c>
      <c r="AO86" s="40" t="s">
        <v>64</v>
      </c>
      <c r="AP86" s="40" t="s">
        <v>64</v>
      </c>
      <c r="AQ86" s="40" t="s">
        <v>64</v>
      </c>
      <c r="AR86" s="40" t="s">
        <v>64</v>
      </c>
      <c r="AS86" s="40" t="s">
        <v>64</v>
      </c>
      <c r="AT86" s="40" t="s">
        <v>64</v>
      </c>
      <c r="AU86" s="40" t="s">
        <v>64</v>
      </c>
      <c r="AV86" s="40" t="s">
        <v>64</v>
      </c>
      <c r="AW86" s="40" t="s">
        <v>64</v>
      </c>
      <c r="AX86" s="40" t="s">
        <v>64</v>
      </c>
      <c r="AY86" s="40" t="s">
        <v>64</v>
      </c>
      <c r="AZ86" s="40" t="s">
        <v>64</v>
      </c>
      <c r="BA86" s="40" t="s">
        <v>64</v>
      </c>
      <c r="BB86" s="40" t="s">
        <v>64</v>
      </c>
      <c r="BC86" s="40" t="s">
        <v>64</v>
      </c>
      <c r="BD86" s="40" t="s">
        <v>64</v>
      </c>
      <c r="BE86" s="40" t="s">
        <v>64</v>
      </c>
      <c r="BF86" s="40" t="s">
        <v>64</v>
      </c>
      <c r="BG86" s="40" t="s">
        <v>64</v>
      </c>
      <c r="BH86" s="40" t="s">
        <v>64</v>
      </c>
      <c r="BI86" s="40" t="s">
        <v>64</v>
      </c>
      <c r="BJ86" s="40" t="s">
        <v>64</v>
      </c>
      <c r="BK86" s="40" t="s">
        <v>64</v>
      </c>
      <c r="BL86" s="40" t="s">
        <v>64</v>
      </c>
      <c r="BM86" s="40" t="s">
        <v>64</v>
      </c>
      <c r="BN86" s="40" t="s">
        <v>64</v>
      </c>
      <c r="BO86" s="40" t="s">
        <v>64</v>
      </c>
      <c r="BP86" s="40" t="s">
        <v>64</v>
      </c>
      <c r="BQ86" s="40" t="s">
        <v>64</v>
      </c>
      <c r="BR86" s="40" t="s">
        <v>64</v>
      </c>
      <c r="BS86" s="40" t="s">
        <v>64</v>
      </c>
      <c r="BT86" s="40" t="s">
        <v>64</v>
      </c>
      <c r="BU86" s="40" t="s">
        <v>64</v>
      </c>
      <c r="BV86" s="40" t="s">
        <v>64</v>
      </c>
      <c r="BW86" s="40" t="s">
        <v>64</v>
      </c>
      <c r="BX86" s="40" t="s">
        <v>64</v>
      </c>
      <c r="BY86" s="40" t="s">
        <v>64</v>
      </c>
      <c r="BZ86" s="40" t="s">
        <v>64</v>
      </c>
      <c r="CA86" s="40" t="s">
        <v>64</v>
      </c>
      <c r="CB86" s="40" t="s">
        <v>64</v>
      </c>
      <c r="CC86" s="40" t="s">
        <v>64</v>
      </c>
      <c r="CD86" s="40" t="s">
        <v>64</v>
      </c>
      <c r="CE86" s="40" t="s">
        <v>64</v>
      </c>
      <c r="CF86" s="40" t="s">
        <v>64</v>
      </c>
      <c r="CG86" s="40" t="s">
        <v>64</v>
      </c>
      <c r="CH86" s="40" t="s">
        <v>64</v>
      </c>
      <c r="CI86" s="40" t="s">
        <v>64</v>
      </c>
      <c r="CJ86" s="40" t="s">
        <v>64</v>
      </c>
      <c r="CK86" s="40" t="s">
        <v>64</v>
      </c>
      <c r="CL86" s="40" t="s">
        <v>64</v>
      </c>
      <c r="CM86" s="40" t="s">
        <v>64</v>
      </c>
      <c r="CN86" s="40" t="s">
        <v>64</v>
      </c>
      <c r="CO86" s="40" t="s">
        <v>64</v>
      </c>
      <c r="CP86" s="40" t="s">
        <v>64</v>
      </c>
    </row>
    <row r="87" spans="1:94" ht="12" x14ac:dyDescent="0.25">
      <c r="A87" s="39" t="s">
        <v>526</v>
      </c>
      <c r="B87" s="39" t="s">
        <v>536</v>
      </c>
      <c r="C87" s="39" t="s">
        <v>526</v>
      </c>
      <c r="D87" s="40" t="s">
        <v>623</v>
      </c>
      <c r="E87" s="43">
        <v>284525600</v>
      </c>
      <c r="F87" s="40">
        <v>0</v>
      </c>
      <c r="G87" s="40" t="s">
        <v>349</v>
      </c>
      <c r="H87" s="40">
        <v>0</v>
      </c>
      <c r="I87" s="40">
        <v>0</v>
      </c>
      <c r="J87" s="13" t="s">
        <v>89</v>
      </c>
      <c r="K87" s="40" t="s">
        <v>60</v>
      </c>
      <c r="L87" s="40" t="s">
        <v>61</v>
      </c>
      <c r="M87" s="42">
        <v>5.2</v>
      </c>
      <c r="N87" s="40" t="s">
        <v>64</v>
      </c>
      <c r="O87" s="40" t="s">
        <v>64</v>
      </c>
      <c r="P87" s="40" t="s">
        <v>64</v>
      </c>
      <c r="Q87" s="40" t="s">
        <v>64</v>
      </c>
      <c r="R87" s="40" t="s">
        <v>64</v>
      </c>
      <c r="S87" s="13" t="s">
        <v>64</v>
      </c>
      <c r="T87" s="40" t="s">
        <v>64</v>
      </c>
      <c r="U87" s="40" t="s">
        <v>64</v>
      </c>
      <c r="V87" s="42" t="s">
        <v>64</v>
      </c>
      <c r="W87" s="40" t="s">
        <v>64</v>
      </c>
      <c r="X87" s="40" t="s">
        <v>64</v>
      </c>
      <c r="Y87" s="40" t="s">
        <v>64</v>
      </c>
      <c r="Z87" s="40" t="s">
        <v>64</v>
      </c>
      <c r="AA87" s="40" t="s">
        <v>64</v>
      </c>
      <c r="AB87" s="13" t="s">
        <v>64</v>
      </c>
      <c r="AC87" s="40" t="s">
        <v>64</v>
      </c>
      <c r="AD87" s="40" t="s">
        <v>64</v>
      </c>
      <c r="AE87" s="42" t="s">
        <v>64</v>
      </c>
      <c r="AF87" s="40" t="s">
        <v>64</v>
      </c>
      <c r="AG87" s="40" t="s">
        <v>64</v>
      </c>
      <c r="AH87" s="40" t="s">
        <v>64</v>
      </c>
      <c r="AI87" s="40" t="s">
        <v>64</v>
      </c>
      <c r="AJ87" s="40" t="s">
        <v>64</v>
      </c>
      <c r="AK87" s="40" t="s">
        <v>64</v>
      </c>
      <c r="AL87" s="40" t="s">
        <v>64</v>
      </c>
      <c r="AM87" s="40" t="s">
        <v>64</v>
      </c>
      <c r="AN87" s="40" t="s">
        <v>64</v>
      </c>
      <c r="AO87" s="40" t="s">
        <v>64</v>
      </c>
      <c r="AP87" s="40" t="s">
        <v>64</v>
      </c>
      <c r="AQ87" s="40" t="s">
        <v>64</v>
      </c>
      <c r="AR87" s="40" t="s">
        <v>64</v>
      </c>
      <c r="AS87" s="40" t="s">
        <v>64</v>
      </c>
      <c r="AT87" s="40" t="s">
        <v>64</v>
      </c>
      <c r="AU87" s="40" t="s">
        <v>64</v>
      </c>
      <c r="AV87" s="40" t="s">
        <v>64</v>
      </c>
      <c r="AW87" s="40" t="s">
        <v>64</v>
      </c>
      <c r="AX87" s="40" t="s">
        <v>64</v>
      </c>
      <c r="AY87" s="40" t="s">
        <v>64</v>
      </c>
      <c r="AZ87" s="40" t="s">
        <v>64</v>
      </c>
      <c r="BA87" s="40" t="s">
        <v>64</v>
      </c>
      <c r="BB87" s="40" t="s">
        <v>64</v>
      </c>
      <c r="BC87" s="40" t="s">
        <v>64</v>
      </c>
      <c r="BD87" s="40" t="s">
        <v>64</v>
      </c>
      <c r="BE87" s="40" t="s">
        <v>64</v>
      </c>
      <c r="BF87" s="40" t="s">
        <v>64</v>
      </c>
      <c r="BG87" s="40" t="s">
        <v>64</v>
      </c>
      <c r="BH87" s="40" t="s">
        <v>64</v>
      </c>
      <c r="BI87" s="40" t="s">
        <v>64</v>
      </c>
      <c r="BJ87" s="40" t="s">
        <v>64</v>
      </c>
      <c r="BK87" s="40" t="s">
        <v>64</v>
      </c>
      <c r="BL87" s="40" t="s">
        <v>64</v>
      </c>
      <c r="BM87" s="40" t="s">
        <v>64</v>
      </c>
      <c r="BN87" s="40" t="s">
        <v>64</v>
      </c>
      <c r="BO87" s="40" t="s">
        <v>64</v>
      </c>
      <c r="BP87" s="40" t="s">
        <v>64</v>
      </c>
      <c r="BQ87" s="40" t="s">
        <v>64</v>
      </c>
      <c r="BR87" s="40" t="s">
        <v>64</v>
      </c>
      <c r="BS87" s="40" t="s">
        <v>64</v>
      </c>
      <c r="BT87" s="40" t="s">
        <v>64</v>
      </c>
      <c r="BU87" s="40" t="s">
        <v>64</v>
      </c>
      <c r="BV87" s="40" t="s">
        <v>64</v>
      </c>
      <c r="BW87" s="40" t="s">
        <v>64</v>
      </c>
      <c r="BX87" s="40" t="s">
        <v>64</v>
      </c>
      <c r="BY87" s="40" t="s">
        <v>64</v>
      </c>
      <c r="BZ87" s="40" t="s">
        <v>64</v>
      </c>
      <c r="CA87" s="40" t="s">
        <v>64</v>
      </c>
      <c r="CB87" s="40" t="s">
        <v>64</v>
      </c>
      <c r="CC87" s="40" t="s">
        <v>64</v>
      </c>
      <c r="CD87" s="40" t="s">
        <v>64</v>
      </c>
      <c r="CE87" s="40" t="s">
        <v>64</v>
      </c>
      <c r="CF87" s="40" t="s">
        <v>64</v>
      </c>
      <c r="CG87" s="40" t="s">
        <v>64</v>
      </c>
      <c r="CH87" s="40" t="s">
        <v>64</v>
      </c>
      <c r="CI87" s="40" t="s">
        <v>64</v>
      </c>
      <c r="CJ87" s="40" t="s">
        <v>64</v>
      </c>
      <c r="CK87" s="40" t="s">
        <v>64</v>
      </c>
      <c r="CL87" s="40" t="s">
        <v>64</v>
      </c>
      <c r="CM87" s="40" t="s">
        <v>64</v>
      </c>
      <c r="CN87" s="40" t="s">
        <v>64</v>
      </c>
      <c r="CO87" s="40" t="s">
        <v>64</v>
      </c>
      <c r="CP87" s="40" t="s">
        <v>64</v>
      </c>
    </row>
    <row r="88" spans="1:94" ht="12" x14ac:dyDescent="0.25">
      <c r="A88" s="39" t="s">
        <v>527</v>
      </c>
      <c r="B88" s="39" t="s">
        <v>536</v>
      </c>
      <c r="C88" s="39" t="s">
        <v>527</v>
      </c>
      <c r="D88" s="40" t="s">
        <v>624</v>
      </c>
      <c r="E88" s="43">
        <v>284525606</v>
      </c>
      <c r="F88" s="40">
        <v>0</v>
      </c>
      <c r="G88" s="40" t="s">
        <v>349</v>
      </c>
      <c r="H88" s="40">
        <v>0</v>
      </c>
      <c r="I88" s="40">
        <v>0</v>
      </c>
      <c r="J88" s="13" t="s">
        <v>88</v>
      </c>
      <c r="K88" s="40" t="s">
        <v>60</v>
      </c>
      <c r="L88" s="40" t="s">
        <v>61</v>
      </c>
      <c r="M88" s="42">
        <v>2.6</v>
      </c>
      <c r="N88" s="40" t="s">
        <v>64</v>
      </c>
      <c r="O88" s="40" t="s">
        <v>64</v>
      </c>
      <c r="P88" s="40" t="s">
        <v>64</v>
      </c>
      <c r="Q88" s="40" t="s">
        <v>64</v>
      </c>
      <c r="R88" s="40" t="s">
        <v>64</v>
      </c>
      <c r="S88" s="13" t="s">
        <v>64</v>
      </c>
      <c r="T88" s="40" t="s">
        <v>64</v>
      </c>
      <c r="U88" s="40" t="s">
        <v>64</v>
      </c>
      <c r="V88" s="42" t="s">
        <v>64</v>
      </c>
      <c r="W88" s="40" t="s">
        <v>64</v>
      </c>
      <c r="X88" s="40" t="s">
        <v>64</v>
      </c>
      <c r="Y88" s="40" t="s">
        <v>64</v>
      </c>
      <c r="Z88" s="40" t="s">
        <v>64</v>
      </c>
      <c r="AA88" s="40" t="s">
        <v>64</v>
      </c>
      <c r="AB88" s="13" t="s">
        <v>64</v>
      </c>
      <c r="AC88" s="40" t="s">
        <v>64</v>
      </c>
      <c r="AD88" s="40" t="s">
        <v>64</v>
      </c>
      <c r="AE88" s="42" t="s">
        <v>64</v>
      </c>
      <c r="AF88" s="40" t="s">
        <v>64</v>
      </c>
      <c r="AG88" s="40" t="s">
        <v>64</v>
      </c>
      <c r="AH88" s="40" t="s">
        <v>64</v>
      </c>
      <c r="AI88" s="40" t="s">
        <v>64</v>
      </c>
      <c r="AJ88" s="40" t="s">
        <v>64</v>
      </c>
      <c r="AK88" s="40" t="s">
        <v>64</v>
      </c>
      <c r="AL88" s="40" t="s">
        <v>64</v>
      </c>
      <c r="AM88" s="40" t="s">
        <v>64</v>
      </c>
      <c r="AN88" s="40" t="s">
        <v>64</v>
      </c>
      <c r="AO88" s="40" t="s">
        <v>64</v>
      </c>
      <c r="AP88" s="40" t="s">
        <v>64</v>
      </c>
      <c r="AQ88" s="40" t="s">
        <v>64</v>
      </c>
      <c r="AR88" s="40" t="s">
        <v>64</v>
      </c>
      <c r="AS88" s="40" t="s">
        <v>64</v>
      </c>
      <c r="AT88" s="40" t="s">
        <v>64</v>
      </c>
      <c r="AU88" s="40" t="s">
        <v>64</v>
      </c>
      <c r="AV88" s="40" t="s">
        <v>64</v>
      </c>
      <c r="AW88" s="40" t="s">
        <v>64</v>
      </c>
      <c r="AX88" s="40" t="s">
        <v>64</v>
      </c>
      <c r="AY88" s="40" t="s">
        <v>64</v>
      </c>
      <c r="AZ88" s="40" t="s">
        <v>64</v>
      </c>
      <c r="BA88" s="40" t="s">
        <v>64</v>
      </c>
      <c r="BB88" s="40" t="s">
        <v>64</v>
      </c>
      <c r="BC88" s="40" t="s">
        <v>64</v>
      </c>
      <c r="BD88" s="40" t="s">
        <v>64</v>
      </c>
      <c r="BE88" s="40" t="s">
        <v>64</v>
      </c>
      <c r="BF88" s="40" t="s">
        <v>64</v>
      </c>
      <c r="BG88" s="40" t="s">
        <v>64</v>
      </c>
      <c r="BH88" s="40" t="s">
        <v>64</v>
      </c>
      <c r="BI88" s="40" t="s">
        <v>64</v>
      </c>
      <c r="BJ88" s="40" t="s">
        <v>64</v>
      </c>
      <c r="BK88" s="40" t="s">
        <v>64</v>
      </c>
      <c r="BL88" s="40" t="s">
        <v>64</v>
      </c>
      <c r="BM88" s="40" t="s">
        <v>64</v>
      </c>
      <c r="BN88" s="40" t="s">
        <v>64</v>
      </c>
      <c r="BO88" s="40" t="s">
        <v>64</v>
      </c>
      <c r="BP88" s="40" t="s">
        <v>64</v>
      </c>
      <c r="BQ88" s="40" t="s">
        <v>64</v>
      </c>
      <c r="BR88" s="40" t="s">
        <v>64</v>
      </c>
      <c r="BS88" s="40" t="s">
        <v>64</v>
      </c>
      <c r="BT88" s="40" t="s">
        <v>64</v>
      </c>
      <c r="BU88" s="40" t="s">
        <v>64</v>
      </c>
      <c r="BV88" s="40" t="s">
        <v>64</v>
      </c>
      <c r="BW88" s="40" t="s">
        <v>64</v>
      </c>
      <c r="BX88" s="40" t="s">
        <v>64</v>
      </c>
      <c r="BY88" s="40" t="s">
        <v>64</v>
      </c>
      <c r="BZ88" s="40" t="s">
        <v>64</v>
      </c>
      <c r="CA88" s="40" t="s">
        <v>64</v>
      </c>
      <c r="CB88" s="40" t="s">
        <v>64</v>
      </c>
      <c r="CC88" s="40" t="s">
        <v>64</v>
      </c>
      <c r="CD88" s="40" t="s">
        <v>64</v>
      </c>
      <c r="CE88" s="40" t="s">
        <v>64</v>
      </c>
      <c r="CF88" s="40" t="s">
        <v>64</v>
      </c>
      <c r="CG88" s="40" t="s">
        <v>64</v>
      </c>
      <c r="CH88" s="40" t="s">
        <v>64</v>
      </c>
      <c r="CI88" s="40" t="s">
        <v>64</v>
      </c>
      <c r="CJ88" s="40" t="s">
        <v>64</v>
      </c>
      <c r="CK88" s="40" t="s">
        <v>64</v>
      </c>
      <c r="CL88" s="40" t="s">
        <v>64</v>
      </c>
      <c r="CM88" s="40" t="s">
        <v>64</v>
      </c>
      <c r="CN88" s="40" t="s">
        <v>64</v>
      </c>
      <c r="CO88" s="40" t="s">
        <v>64</v>
      </c>
      <c r="CP88" s="40" t="s">
        <v>64</v>
      </c>
    </row>
    <row r="89" spans="1:94" ht="12" x14ac:dyDescent="0.25">
      <c r="A89" s="39" t="s">
        <v>528</v>
      </c>
      <c r="B89" s="39" t="s">
        <v>536</v>
      </c>
      <c r="C89" s="39" t="s">
        <v>528</v>
      </c>
      <c r="D89" s="40" t="s">
        <v>625</v>
      </c>
      <c r="E89" s="43">
        <v>284525614</v>
      </c>
      <c r="F89" s="40">
        <v>0</v>
      </c>
      <c r="G89" s="40" t="s">
        <v>349</v>
      </c>
      <c r="H89" s="40">
        <v>0</v>
      </c>
      <c r="I89" s="40">
        <v>0</v>
      </c>
      <c r="J89" s="13" t="s">
        <v>89</v>
      </c>
      <c r="K89" s="40" t="s">
        <v>60</v>
      </c>
      <c r="L89" s="40" t="s">
        <v>61</v>
      </c>
      <c r="M89" s="42">
        <v>5.2</v>
      </c>
      <c r="N89" s="40" t="s">
        <v>64</v>
      </c>
      <c r="O89" s="40" t="s">
        <v>64</v>
      </c>
      <c r="P89" s="40" t="s">
        <v>64</v>
      </c>
      <c r="Q89" s="40" t="s">
        <v>64</v>
      </c>
      <c r="R89" s="40" t="s">
        <v>64</v>
      </c>
      <c r="S89" s="13" t="s">
        <v>64</v>
      </c>
      <c r="T89" s="40" t="s">
        <v>64</v>
      </c>
      <c r="U89" s="40" t="s">
        <v>64</v>
      </c>
      <c r="V89" s="42" t="s">
        <v>64</v>
      </c>
      <c r="W89" s="40" t="s">
        <v>64</v>
      </c>
      <c r="X89" s="40" t="s">
        <v>64</v>
      </c>
      <c r="Y89" s="40" t="s">
        <v>64</v>
      </c>
      <c r="Z89" s="40" t="s">
        <v>64</v>
      </c>
      <c r="AA89" s="40" t="s">
        <v>64</v>
      </c>
      <c r="AB89" s="13" t="s">
        <v>64</v>
      </c>
      <c r="AC89" s="40" t="s">
        <v>64</v>
      </c>
      <c r="AD89" s="40" t="s">
        <v>64</v>
      </c>
      <c r="AE89" s="42" t="s">
        <v>64</v>
      </c>
      <c r="AF89" s="40" t="s">
        <v>64</v>
      </c>
      <c r="AG89" s="40" t="s">
        <v>64</v>
      </c>
      <c r="AH89" s="40" t="s">
        <v>64</v>
      </c>
      <c r="AI89" s="40" t="s">
        <v>64</v>
      </c>
      <c r="AJ89" s="40" t="s">
        <v>64</v>
      </c>
      <c r="AK89" s="40" t="s">
        <v>64</v>
      </c>
      <c r="AL89" s="40" t="s">
        <v>64</v>
      </c>
      <c r="AM89" s="40" t="s">
        <v>64</v>
      </c>
      <c r="AN89" s="40" t="s">
        <v>64</v>
      </c>
      <c r="AO89" s="40" t="s">
        <v>64</v>
      </c>
      <c r="AP89" s="40" t="s">
        <v>64</v>
      </c>
      <c r="AQ89" s="40" t="s">
        <v>64</v>
      </c>
      <c r="AR89" s="40" t="s">
        <v>64</v>
      </c>
      <c r="AS89" s="40" t="s">
        <v>64</v>
      </c>
      <c r="AT89" s="40" t="s">
        <v>64</v>
      </c>
      <c r="AU89" s="40" t="s">
        <v>64</v>
      </c>
      <c r="AV89" s="40" t="s">
        <v>64</v>
      </c>
      <c r="AW89" s="40" t="s">
        <v>64</v>
      </c>
      <c r="AX89" s="40" t="s">
        <v>64</v>
      </c>
      <c r="AY89" s="40" t="s">
        <v>64</v>
      </c>
      <c r="AZ89" s="40" t="s">
        <v>64</v>
      </c>
      <c r="BA89" s="40" t="s">
        <v>64</v>
      </c>
      <c r="BB89" s="40" t="s">
        <v>64</v>
      </c>
      <c r="BC89" s="40" t="s">
        <v>64</v>
      </c>
      <c r="BD89" s="40" t="s">
        <v>64</v>
      </c>
      <c r="BE89" s="40" t="s">
        <v>64</v>
      </c>
      <c r="BF89" s="40" t="s">
        <v>64</v>
      </c>
      <c r="BG89" s="40" t="s">
        <v>64</v>
      </c>
      <c r="BH89" s="40" t="s">
        <v>64</v>
      </c>
      <c r="BI89" s="40" t="s">
        <v>64</v>
      </c>
      <c r="BJ89" s="40" t="s">
        <v>64</v>
      </c>
      <c r="BK89" s="40" t="s">
        <v>64</v>
      </c>
      <c r="BL89" s="40" t="s">
        <v>64</v>
      </c>
      <c r="BM89" s="40" t="s">
        <v>64</v>
      </c>
      <c r="BN89" s="40" t="s">
        <v>64</v>
      </c>
      <c r="BO89" s="40" t="s">
        <v>64</v>
      </c>
      <c r="BP89" s="40" t="s">
        <v>64</v>
      </c>
      <c r="BQ89" s="40" t="s">
        <v>64</v>
      </c>
      <c r="BR89" s="40" t="s">
        <v>64</v>
      </c>
      <c r="BS89" s="40" t="s">
        <v>64</v>
      </c>
      <c r="BT89" s="40" t="s">
        <v>64</v>
      </c>
      <c r="BU89" s="40" t="s">
        <v>64</v>
      </c>
      <c r="BV89" s="40" t="s">
        <v>64</v>
      </c>
      <c r="BW89" s="40" t="s">
        <v>64</v>
      </c>
      <c r="BX89" s="40" t="s">
        <v>64</v>
      </c>
      <c r="BY89" s="40" t="s">
        <v>64</v>
      </c>
      <c r="BZ89" s="40" t="s">
        <v>64</v>
      </c>
      <c r="CA89" s="40" t="s">
        <v>64</v>
      </c>
      <c r="CB89" s="40" t="s">
        <v>64</v>
      </c>
      <c r="CC89" s="40" t="s">
        <v>64</v>
      </c>
      <c r="CD89" s="40" t="s">
        <v>64</v>
      </c>
      <c r="CE89" s="40" t="s">
        <v>64</v>
      </c>
      <c r="CF89" s="40" t="s">
        <v>64</v>
      </c>
      <c r="CG89" s="40" t="s">
        <v>64</v>
      </c>
      <c r="CH89" s="40" t="s">
        <v>64</v>
      </c>
      <c r="CI89" s="40" t="s">
        <v>64</v>
      </c>
      <c r="CJ89" s="40" t="s">
        <v>64</v>
      </c>
      <c r="CK89" s="40" t="s">
        <v>64</v>
      </c>
      <c r="CL89" s="40" t="s">
        <v>64</v>
      </c>
      <c r="CM89" s="40" t="s">
        <v>64</v>
      </c>
      <c r="CN89" s="40" t="s">
        <v>64</v>
      </c>
      <c r="CO89" s="40" t="s">
        <v>64</v>
      </c>
      <c r="CP89" s="40" t="s">
        <v>64</v>
      </c>
    </row>
    <row r="90" spans="1:94" ht="12" x14ac:dyDescent="0.25">
      <c r="A90" s="39" t="s">
        <v>529</v>
      </c>
      <c r="B90" s="39" t="s">
        <v>536</v>
      </c>
      <c r="C90" s="39" t="s">
        <v>529</v>
      </c>
      <c r="D90" s="40" t="s">
        <v>626</v>
      </c>
      <c r="E90" s="43">
        <v>284525643</v>
      </c>
      <c r="F90" s="40">
        <v>0</v>
      </c>
      <c r="G90" s="40" t="s">
        <v>349</v>
      </c>
      <c r="H90" s="40">
        <v>0</v>
      </c>
      <c r="I90" s="40">
        <v>0</v>
      </c>
      <c r="J90" s="13" t="s">
        <v>88</v>
      </c>
      <c r="K90" s="40" t="s">
        <v>60</v>
      </c>
      <c r="L90" s="40" t="s">
        <v>61</v>
      </c>
      <c r="M90" s="42">
        <v>5.2</v>
      </c>
      <c r="N90" s="40" t="s">
        <v>64</v>
      </c>
      <c r="O90" s="40" t="s">
        <v>64</v>
      </c>
      <c r="P90" s="40" t="s">
        <v>64</v>
      </c>
      <c r="Q90" s="40" t="s">
        <v>64</v>
      </c>
      <c r="R90" s="40" t="s">
        <v>64</v>
      </c>
      <c r="S90" s="13" t="s">
        <v>64</v>
      </c>
      <c r="T90" s="40" t="s">
        <v>64</v>
      </c>
      <c r="U90" s="40" t="s">
        <v>64</v>
      </c>
      <c r="V90" s="42" t="s">
        <v>64</v>
      </c>
      <c r="W90" s="40" t="s">
        <v>64</v>
      </c>
      <c r="X90" s="40" t="s">
        <v>64</v>
      </c>
      <c r="Y90" s="40" t="s">
        <v>64</v>
      </c>
      <c r="Z90" s="40" t="s">
        <v>64</v>
      </c>
      <c r="AA90" s="40" t="s">
        <v>64</v>
      </c>
      <c r="AB90" s="13" t="s">
        <v>64</v>
      </c>
      <c r="AC90" s="40" t="s">
        <v>64</v>
      </c>
      <c r="AD90" s="40" t="s">
        <v>64</v>
      </c>
      <c r="AE90" s="42" t="s">
        <v>64</v>
      </c>
      <c r="AF90" s="40" t="s">
        <v>64</v>
      </c>
      <c r="AG90" s="40" t="s">
        <v>64</v>
      </c>
      <c r="AH90" s="40" t="s">
        <v>64</v>
      </c>
      <c r="AI90" s="40" t="s">
        <v>64</v>
      </c>
      <c r="AJ90" s="40" t="s">
        <v>64</v>
      </c>
      <c r="AK90" s="40" t="s">
        <v>64</v>
      </c>
      <c r="AL90" s="40" t="s">
        <v>64</v>
      </c>
      <c r="AM90" s="40" t="s">
        <v>64</v>
      </c>
      <c r="AN90" s="40" t="s">
        <v>64</v>
      </c>
      <c r="AO90" s="40" t="s">
        <v>64</v>
      </c>
      <c r="AP90" s="40" t="s">
        <v>64</v>
      </c>
      <c r="AQ90" s="40" t="s">
        <v>64</v>
      </c>
      <c r="AR90" s="40" t="s">
        <v>64</v>
      </c>
      <c r="AS90" s="40" t="s">
        <v>64</v>
      </c>
      <c r="AT90" s="40" t="s">
        <v>64</v>
      </c>
      <c r="AU90" s="40" t="s">
        <v>64</v>
      </c>
      <c r="AV90" s="40" t="s">
        <v>64</v>
      </c>
      <c r="AW90" s="40" t="s">
        <v>64</v>
      </c>
      <c r="AX90" s="40" t="s">
        <v>64</v>
      </c>
      <c r="AY90" s="40" t="s">
        <v>64</v>
      </c>
      <c r="AZ90" s="40" t="s">
        <v>64</v>
      </c>
      <c r="BA90" s="40" t="s">
        <v>64</v>
      </c>
      <c r="BB90" s="40" t="s">
        <v>64</v>
      </c>
      <c r="BC90" s="40" t="s">
        <v>64</v>
      </c>
      <c r="BD90" s="40" t="s">
        <v>64</v>
      </c>
      <c r="BE90" s="40" t="s">
        <v>64</v>
      </c>
      <c r="BF90" s="40" t="s">
        <v>64</v>
      </c>
      <c r="BG90" s="40" t="s">
        <v>64</v>
      </c>
      <c r="BH90" s="40" t="s">
        <v>64</v>
      </c>
      <c r="BI90" s="40" t="s">
        <v>64</v>
      </c>
      <c r="BJ90" s="40" t="s">
        <v>64</v>
      </c>
      <c r="BK90" s="40" t="s">
        <v>64</v>
      </c>
      <c r="BL90" s="40" t="s">
        <v>64</v>
      </c>
      <c r="BM90" s="40" t="s">
        <v>64</v>
      </c>
      <c r="BN90" s="40" t="s">
        <v>64</v>
      </c>
      <c r="BO90" s="40" t="s">
        <v>64</v>
      </c>
      <c r="BP90" s="40" t="s">
        <v>64</v>
      </c>
      <c r="BQ90" s="40" t="s">
        <v>64</v>
      </c>
      <c r="BR90" s="40" t="s">
        <v>64</v>
      </c>
      <c r="BS90" s="40" t="s">
        <v>64</v>
      </c>
      <c r="BT90" s="40" t="s">
        <v>64</v>
      </c>
      <c r="BU90" s="40" t="s">
        <v>64</v>
      </c>
      <c r="BV90" s="40" t="s">
        <v>64</v>
      </c>
      <c r="BW90" s="40" t="s">
        <v>64</v>
      </c>
      <c r="BX90" s="40" t="s">
        <v>64</v>
      </c>
      <c r="BY90" s="40" t="s">
        <v>64</v>
      </c>
      <c r="BZ90" s="40" t="s">
        <v>64</v>
      </c>
      <c r="CA90" s="40" t="s">
        <v>64</v>
      </c>
      <c r="CB90" s="40" t="s">
        <v>64</v>
      </c>
      <c r="CC90" s="40" t="s">
        <v>64</v>
      </c>
      <c r="CD90" s="40" t="s">
        <v>64</v>
      </c>
      <c r="CE90" s="40" t="s">
        <v>64</v>
      </c>
      <c r="CF90" s="40" t="s">
        <v>64</v>
      </c>
      <c r="CG90" s="40" t="s">
        <v>64</v>
      </c>
      <c r="CH90" s="40" t="s">
        <v>64</v>
      </c>
      <c r="CI90" s="40" t="s">
        <v>64</v>
      </c>
      <c r="CJ90" s="40" t="s">
        <v>64</v>
      </c>
      <c r="CK90" s="40" t="s">
        <v>64</v>
      </c>
      <c r="CL90" s="40" t="s">
        <v>64</v>
      </c>
      <c r="CM90" s="40" t="s">
        <v>64</v>
      </c>
      <c r="CN90" s="40" t="s">
        <v>64</v>
      </c>
      <c r="CO90" s="40" t="s">
        <v>64</v>
      </c>
      <c r="CP90" s="40" t="s">
        <v>64</v>
      </c>
    </row>
    <row r="91" spans="1:94" ht="12" x14ac:dyDescent="0.25">
      <c r="A91" s="39" t="s">
        <v>530</v>
      </c>
      <c r="B91" s="39" t="s">
        <v>536</v>
      </c>
      <c r="C91" s="39" t="s">
        <v>530</v>
      </c>
      <c r="D91" s="40" t="s">
        <v>627</v>
      </c>
      <c r="E91" s="43">
        <v>284525650</v>
      </c>
      <c r="F91" s="40">
        <v>0</v>
      </c>
      <c r="G91" s="40" t="s">
        <v>349</v>
      </c>
      <c r="H91" s="40">
        <v>0</v>
      </c>
      <c r="I91" s="40">
        <v>0</v>
      </c>
      <c r="J91" s="13" t="s">
        <v>89</v>
      </c>
      <c r="K91" s="40" t="s">
        <v>60</v>
      </c>
      <c r="L91" s="40" t="s">
        <v>61</v>
      </c>
      <c r="M91" s="42">
        <v>2.6</v>
      </c>
      <c r="N91" s="40" t="s">
        <v>64</v>
      </c>
      <c r="O91" s="40" t="s">
        <v>64</v>
      </c>
      <c r="P91" s="40" t="s">
        <v>64</v>
      </c>
      <c r="Q91" s="40" t="s">
        <v>64</v>
      </c>
      <c r="R91" s="40" t="s">
        <v>64</v>
      </c>
      <c r="S91" s="13" t="s">
        <v>64</v>
      </c>
      <c r="T91" s="40" t="s">
        <v>64</v>
      </c>
      <c r="U91" s="40" t="s">
        <v>64</v>
      </c>
      <c r="V91" s="42" t="s">
        <v>64</v>
      </c>
      <c r="W91" s="40" t="s">
        <v>64</v>
      </c>
      <c r="X91" s="40" t="s">
        <v>64</v>
      </c>
      <c r="Y91" s="40" t="s">
        <v>64</v>
      </c>
      <c r="Z91" s="40" t="s">
        <v>64</v>
      </c>
      <c r="AA91" s="40" t="s">
        <v>64</v>
      </c>
      <c r="AB91" s="13" t="s">
        <v>64</v>
      </c>
      <c r="AC91" s="40" t="s">
        <v>64</v>
      </c>
      <c r="AD91" s="40" t="s">
        <v>64</v>
      </c>
      <c r="AE91" s="42" t="s">
        <v>64</v>
      </c>
      <c r="AF91" s="40" t="s">
        <v>64</v>
      </c>
      <c r="AG91" s="40" t="s">
        <v>64</v>
      </c>
      <c r="AH91" s="40" t="s">
        <v>64</v>
      </c>
      <c r="AI91" s="40" t="s">
        <v>64</v>
      </c>
      <c r="AJ91" s="40" t="s">
        <v>64</v>
      </c>
      <c r="AK91" s="40" t="s">
        <v>64</v>
      </c>
      <c r="AL91" s="40" t="s">
        <v>64</v>
      </c>
      <c r="AM91" s="40" t="s">
        <v>64</v>
      </c>
      <c r="AN91" s="40" t="s">
        <v>64</v>
      </c>
      <c r="AO91" s="40" t="s">
        <v>64</v>
      </c>
      <c r="AP91" s="40" t="s">
        <v>64</v>
      </c>
      <c r="AQ91" s="40" t="s">
        <v>64</v>
      </c>
      <c r="AR91" s="40" t="s">
        <v>64</v>
      </c>
      <c r="AS91" s="40" t="s">
        <v>64</v>
      </c>
      <c r="AT91" s="40" t="s">
        <v>64</v>
      </c>
      <c r="AU91" s="40" t="s">
        <v>64</v>
      </c>
      <c r="AV91" s="40" t="s">
        <v>64</v>
      </c>
      <c r="AW91" s="40" t="s">
        <v>64</v>
      </c>
      <c r="AX91" s="40" t="s">
        <v>64</v>
      </c>
      <c r="AY91" s="40" t="s">
        <v>64</v>
      </c>
      <c r="AZ91" s="40" t="s">
        <v>64</v>
      </c>
      <c r="BA91" s="40" t="s">
        <v>64</v>
      </c>
      <c r="BB91" s="40" t="s">
        <v>64</v>
      </c>
      <c r="BC91" s="40" t="s">
        <v>64</v>
      </c>
      <c r="BD91" s="40" t="s">
        <v>64</v>
      </c>
      <c r="BE91" s="40" t="s">
        <v>64</v>
      </c>
      <c r="BF91" s="40" t="s">
        <v>64</v>
      </c>
      <c r="BG91" s="40" t="s">
        <v>64</v>
      </c>
      <c r="BH91" s="40" t="s">
        <v>64</v>
      </c>
      <c r="BI91" s="40" t="s">
        <v>64</v>
      </c>
      <c r="BJ91" s="40" t="s">
        <v>64</v>
      </c>
      <c r="BK91" s="40" t="s">
        <v>64</v>
      </c>
      <c r="BL91" s="40" t="s">
        <v>64</v>
      </c>
      <c r="BM91" s="40" t="s">
        <v>64</v>
      </c>
      <c r="BN91" s="40" t="s">
        <v>64</v>
      </c>
      <c r="BO91" s="40" t="s">
        <v>64</v>
      </c>
      <c r="BP91" s="40" t="s">
        <v>64</v>
      </c>
      <c r="BQ91" s="40" t="s">
        <v>64</v>
      </c>
      <c r="BR91" s="40" t="s">
        <v>64</v>
      </c>
      <c r="BS91" s="40" t="s">
        <v>64</v>
      </c>
      <c r="BT91" s="40" t="s">
        <v>64</v>
      </c>
      <c r="BU91" s="40" t="s">
        <v>64</v>
      </c>
      <c r="BV91" s="40" t="s">
        <v>64</v>
      </c>
      <c r="BW91" s="40" t="s">
        <v>64</v>
      </c>
      <c r="BX91" s="40" t="s">
        <v>64</v>
      </c>
      <c r="BY91" s="40" t="s">
        <v>64</v>
      </c>
      <c r="BZ91" s="40" t="s">
        <v>64</v>
      </c>
      <c r="CA91" s="40" t="s">
        <v>64</v>
      </c>
      <c r="CB91" s="40" t="s">
        <v>64</v>
      </c>
      <c r="CC91" s="40" t="s">
        <v>64</v>
      </c>
      <c r="CD91" s="40" t="s">
        <v>64</v>
      </c>
      <c r="CE91" s="40" t="s">
        <v>64</v>
      </c>
      <c r="CF91" s="40" t="s">
        <v>64</v>
      </c>
      <c r="CG91" s="40" t="s">
        <v>64</v>
      </c>
      <c r="CH91" s="40" t="s">
        <v>64</v>
      </c>
      <c r="CI91" s="40" t="s">
        <v>64</v>
      </c>
      <c r="CJ91" s="40" t="s">
        <v>64</v>
      </c>
      <c r="CK91" s="40" t="s">
        <v>64</v>
      </c>
      <c r="CL91" s="40" t="s">
        <v>64</v>
      </c>
      <c r="CM91" s="40" t="s">
        <v>64</v>
      </c>
      <c r="CN91" s="40" t="s">
        <v>64</v>
      </c>
      <c r="CO91" s="40" t="s">
        <v>64</v>
      </c>
      <c r="CP91" s="40" t="s">
        <v>64</v>
      </c>
    </row>
    <row r="92" spans="1:94" ht="12" x14ac:dyDescent="0.25">
      <c r="A92" s="39" t="s">
        <v>531</v>
      </c>
      <c r="B92" s="39" t="s">
        <v>536</v>
      </c>
      <c r="C92" s="39" t="s">
        <v>531</v>
      </c>
      <c r="D92" s="40" t="s">
        <v>628</v>
      </c>
      <c r="E92" s="43">
        <v>284525652</v>
      </c>
      <c r="F92" s="40">
        <v>0</v>
      </c>
      <c r="G92" s="40" t="s">
        <v>349</v>
      </c>
      <c r="H92" s="40">
        <v>0</v>
      </c>
      <c r="I92" s="40">
        <v>0</v>
      </c>
      <c r="J92" s="13" t="s">
        <v>88</v>
      </c>
      <c r="K92" s="40" t="s">
        <v>60</v>
      </c>
      <c r="L92" s="40" t="s">
        <v>61</v>
      </c>
      <c r="M92" s="42">
        <v>5.2</v>
      </c>
      <c r="N92" s="40" t="s">
        <v>64</v>
      </c>
      <c r="O92" s="40" t="s">
        <v>64</v>
      </c>
      <c r="P92" s="40" t="s">
        <v>64</v>
      </c>
      <c r="Q92" s="40" t="s">
        <v>64</v>
      </c>
      <c r="R92" s="40" t="s">
        <v>64</v>
      </c>
      <c r="S92" s="13" t="s">
        <v>64</v>
      </c>
      <c r="T92" s="40" t="s">
        <v>64</v>
      </c>
      <c r="U92" s="40" t="s">
        <v>64</v>
      </c>
      <c r="V92" s="42" t="s">
        <v>64</v>
      </c>
      <c r="W92" s="40" t="s">
        <v>64</v>
      </c>
      <c r="X92" s="40" t="s">
        <v>64</v>
      </c>
      <c r="Y92" s="40" t="s">
        <v>64</v>
      </c>
      <c r="Z92" s="40" t="s">
        <v>64</v>
      </c>
      <c r="AA92" s="40" t="s">
        <v>64</v>
      </c>
      <c r="AB92" s="13" t="s">
        <v>64</v>
      </c>
      <c r="AC92" s="40" t="s">
        <v>64</v>
      </c>
      <c r="AD92" s="40" t="s">
        <v>64</v>
      </c>
      <c r="AE92" s="42" t="s">
        <v>64</v>
      </c>
      <c r="AF92" s="40" t="s">
        <v>64</v>
      </c>
      <c r="AG92" s="40" t="s">
        <v>64</v>
      </c>
      <c r="AH92" s="40" t="s">
        <v>64</v>
      </c>
      <c r="AI92" s="40" t="s">
        <v>64</v>
      </c>
      <c r="AJ92" s="40" t="s">
        <v>64</v>
      </c>
      <c r="AK92" s="40" t="s">
        <v>64</v>
      </c>
      <c r="AL92" s="40" t="s">
        <v>64</v>
      </c>
      <c r="AM92" s="40" t="s">
        <v>64</v>
      </c>
      <c r="AN92" s="40" t="s">
        <v>64</v>
      </c>
      <c r="AO92" s="40" t="s">
        <v>64</v>
      </c>
      <c r="AP92" s="40" t="s">
        <v>64</v>
      </c>
      <c r="AQ92" s="40" t="s">
        <v>64</v>
      </c>
      <c r="AR92" s="40" t="s">
        <v>64</v>
      </c>
      <c r="AS92" s="40" t="s">
        <v>64</v>
      </c>
      <c r="AT92" s="40" t="s">
        <v>64</v>
      </c>
      <c r="AU92" s="40" t="s">
        <v>64</v>
      </c>
      <c r="AV92" s="40" t="s">
        <v>64</v>
      </c>
      <c r="AW92" s="40" t="s">
        <v>64</v>
      </c>
      <c r="AX92" s="40" t="s">
        <v>64</v>
      </c>
      <c r="AY92" s="40" t="s">
        <v>64</v>
      </c>
      <c r="AZ92" s="40" t="s">
        <v>64</v>
      </c>
      <c r="BA92" s="40" t="s">
        <v>64</v>
      </c>
      <c r="BB92" s="40" t="s">
        <v>64</v>
      </c>
      <c r="BC92" s="40" t="s">
        <v>64</v>
      </c>
      <c r="BD92" s="40" t="s">
        <v>64</v>
      </c>
      <c r="BE92" s="40" t="s">
        <v>64</v>
      </c>
      <c r="BF92" s="40" t="s">
        <v>64</v>
      </c>
      <c r="BG92" s="40" t="s">
        <v>64</v>
      </c>
      <c r="BH92" s="40" t="s">
        <v>64</v>
      </c>
      <c r="BI92" s="40" t="s">
        <v>64</v>
      </c>
      <c r="BJ92" s="40" t="s">
        <v>64</v>
      </c>
      <c r="BK92" s="40" t="s">
        <v>64</v>
      </c>
      <c r="BL92" s="40" t="s">
        <v>64</v>
      </c>
      <c r="BM92" s="40" t="s">
        <v>64</v>
      </c>
      <c r="BN92" s="40" t="s">
        <v>64</v>
      </c>
      <c r="BO92" s="40" t="s">
        <v>64</v>
      </c>
      <c r="BP92" s="40" t="s">
        <v>64</v>
      </c>
      <c r="BQ92" s="40" t="s">
        <v>64</v>
      </c>
      <c r="BR92" s="40" t="s">
        <v>64</v>
      </c>
      <c r="BS92" s="40" t="s">
        <v>64</v>
      </c>
      <c r="BT92" s="40" t="s">
        <v>64</v>
      </c>
      <c r="BU92" s="40" t="s">
        <v>64</v>
      </c>
      <c r="BV92" s="40" t="s">
        <v>64</v>
      </c>
      <c r="BW92" s="40" t="s">
        <v>64</v>
      </c>
      <c r="BX92" s="40" t="s">
        <v>64</v>
      </c>
      <c r="BY92" s="40" t="s">
        <v>64</v>
      </c>
      <c r="BZ92" s="40" t="s">
        <v>64</v>
      </c>
      <c r="CA92" s="40" t="s">
        <v>64</v>
      </c>
      <c r="CB92" s="40" t="s">
        <v>64</v>
      </c>
      <c r="CC92" s="40" t="s">
        <v>64</v>
      </c>
      <c r="CD92" s="40" t="s">
        <v>64</v>
      </c>
      <c r="CE92" s="40" t="s">
        <v>64</v>
      </c>
      <c r="CF92" s="40" t="s">
        <v>64</v>
      </c>
      <c r="CG92" s="40" t="s">
        <v>64</v>
      </c>
      <c r="CH92" s="40" t="s">
        <v>64</v>
      </c>
      <c r="CI92" s="40" t="s">
        <v>64</v>
      </c>
      <c r="CJ92" s="40" t="s">
        <v>64</v>
      </c>
      <c r="CK92" s="40" t="s">
        <v>64</v>
      </c>
      <c r="CL92" s="40" t="s">
        <v>64</v>
      </c>
      <c r="CM92" s="40" t="s">
        <v>64</v>
      </c>
      <c r="CN92" s="40" t="s">
        <v>64</v>
      </c>
      <c r="CO92" s="40" t="s">
        <v>64</v>
      </c>
      <c r="CP92" s="40" t="s">
        <v>64</v>
      </c>
    </row>
    <row r="93" spans="1:94" ht="12" x14ac:dyDescent="0.25">
      <c r="A93" s="39" t="s">
        <v>532</v>
      </c>
      <c r="B93" s="39" t="s">
        <v>536</v>
      </c>
      <c r="C93" s="39" t="s">
        <v>532</v>
      </c>
      <c r="D93" s="40" t="s">
        <v>629</v>
      </c>
      <c r="E93" s="43">
        <v>284525653</v>
      </c>
      <c r="F93" s="40">
        <v>0</v>
      </c>
      <c r="G93" s="40" t="s">
        <v>349</v>
      </c>
      <c r="H93" s="40">
        <v>0</v>
      </c>
      <c r="I93" s="40">
        <v>0</v>
      </c>
      <c r="J93" s="13" t="s">
        <v>88</v>
      </c>
      <c r="K93" s="40" t="s">
        <v>60</v>
      </c>
      <c r="L93" s="40" t="s">
        <v>61</v>
      </c>
      <c r="M93" s="42">
        <v>2.6</v>
      </c>
      <c r="N93" s="40">
        <v>284525654</v>
      </c>
      <c r="O93" s="40">
        <v>0</v>
      </c>
      <c r="P93" s="40" t="s">
        <v>350</v>
      </c>
      <c r="Q93" s="40">
        <v>0</v>
      </c>
      <c r="R93" s="40">
        <v>0</v>
      </c>
      <c r="S93" s="13" t="s">
        <v>91</v>
      </c>
      <c r="T93" s="40" t="s">
        <v>60</v>
      </c>
      <c r="U93" s="40" t="s">
        <v>61</v>
      </c>
      <c r="V93" s="42">
        <v>5.2</v>
      </c>
      <c r="W93" s="40" t="s">
        <v>64</v>
      </c>
      <c r="X93" s="40" t="s">
        <v>64</v>
      </c>
      <c r="Y93" s="40" t="s">
        <v>64</v>
      </c>
      <c r="Z93" s="40" t="s">
        <v>64</v>
      </c>
      <c r="AA93" s="40" t="s">
        <v>64</v>
      </c>
      <c r="AB93" s="13" t="s">
        <v>64</v>
      </c>
      <c r="AC93" s="40" t="s">
        <v>64</v>
      </c>
      <c r="AD93" s="40" t="s">
        <v>64</v>
      </c>
      <c r="AE93" s="42" t="s">
        <v>64</v>
      </c>
      <c r="AF93" s="40" t="s">
        <v>64</v>
      </c>
      <c r="AG93" s="40" t="s">
        <v>64</v>
      </c>
      <c r="AH93" s="40" t="s">
        <v>64</v>
      </c>
      <c r="AI93" s="40" t="s">
        <v>64</v>
      </c>
      <c r="AJ93" s="40" t="s">
        <v>64</v>
      </c>
      <c r="AK93" s="40" t="s">
        <v>64</v>
      </c>
      <c r="AL93" s="40" t="s">
        <v>64</v>
      </c>
      <c r="AM93" s="40" t="s">
        <v>64</v>
      </c>
      <c r="AN93" s="40" t="s">
        <v>64</v>
      </c>
      <c r="AO93" s="40" t="s">
        <v>64</v>
      </c>
      <c r="AP93" s="40" t="s">
        <v>64</v>
      </c>
      <c r="AQ93" s="40" t="s">
        <v>64</v>
      </c>
      <c r="AR93" s="40" t="s">
        <v>64</v>
      </c>
      <c r="AS93" s="40" t="s">
        <v>64</v>
      </c>
      <c r="AT93" s="40" t="s">
        <v>64</v>
      </c>
      <c r="AU93" s="40" t="s">
        <v>64</v>
      </c>
      <c r="AV93" s="40" t="s">
        <v>64</v>
      </c>
      <c r="AW93" s="40" t="s">
        <v>64</v>
      </c>
      <c r="AX93" s="40" t="s">
        <v>64</v>
      </c>
      <c r="AY93" s="40" t="s">
        <v>64</v>
      </c>
      <c r="AZ93" s="40" t="s">
        <v>64</v>
      </c>
      <c r="BA93" s="40" t="s">
        <v>64</v>
      </c>
      <c r="BB93" s="40" t="s">
        <v>64</v>
      </c>
      <c r="BC93" s="40" t="s">
        <v>64</v>
      </c>
      <c r="BD93" s="40" t="s">
        <v>64</v>
      </c>
      <c r="BE93" s="40" t="s">
        <v>64</v>
      </c>
      <c r="BF93" s="40" t="s">
        <v>64</v>
      </c>
      <c r="BG93" s="40" t="s">
        <v>64</v>
      </c>
      <c r="BH93" s="40" t="s">
        <v>64</v>
      </c>
      <c r="BI93" s="40" t="s">
        <v>64</v>
      </c>
      <c r="BJ93" s="40" t="s">
        <v>64</v>
      </c>
      <c r="BK93" s="40" t="s">
        <v>64</v>
      </c>
      <c r="BL93" s="40" t="s">
        <v>64</v>
      </c>
      <c r="BM93" s="40" t="s">
        <v>64</v>
      </c>
      <c r="BN93" s="40" t="s">
        <v>64</v>
      </c>
      <c r="BO93" s="40" t="s">
        <v>64</v>
      </c>
      <c r="BP93" s="40" t="s">
        <v>64</v>
      </c>
      <c r="BQ93" s="40" t="s">
        <v>64</v>
      </c>
      <c r="BR93" s="40" t="s">
        <v>64</v>
      </c>
      <c r="BS93" s="40" t="s">
        <v>64</v>
      </c>
      <c r="BT93" s="40" t="s">
        <v>64</v>
      </c>
      <c r="BU93" s="40" t="s">
        <v>64</v>
      </c>
      <c r="BV93" s="40" t="s">
        <v>64</v>
      </c>
      <c r="BW93" s="40" t="s">
        <v>64</v>
      </c>
      <c r="BX93" s="40" t="s">
        <v>64</v>
      </c>
      <c r="BY93" s="40" t="s">
        <v>64</v>
      </c>
      <c r="BZ93" s="40" t="s">
        <v>64</v>
      </c>
      <c r="CA93" s="40" t="s">
        <v>64</v>
      </c>
      <c r="CB93" s="40" t="s">
        <v>64</v>
      </c>
      <c r="CC93" s="40" t="s">
        <v>64</v>
      </c>
      <c r="CD93" s="40" t="s">
        <v>64</v>
      </c>
      <c r="CE93" s="40" t="s">
        <v>64</v>
      </c>
      <c r="CF93" s="40" t="s">
        <v>64</v>
      </c>
      <c r="CG93" s="40" t="s">
        <v>64</v>
      </c>
      <c r="CH93" s="40" t="s">
        <v>64</v>
      </c>
      <c r="CI93" s="40" t="s">
        <v>64</v>
      </c>
      <c r="CJ93" s="40" t="s">
        <v>64</v>
      </c>
      <c r="CK93" s="40" t="s">
        <v>64</v>
      </c>
      <c r="CL93" s="40" t="s">
        <v>64</v>
      </c>
      <c r="CM93" s="40" t="s">
        <v>64</v>
      </c>
      <c r="CN93" s="40" t="s">
        <v>64</v>
      </c>
      <c r="CO93" s="40" t="s">
        <v>64</v>
      </c>
      <c r="CP93" s="40" t="s">
        <v>64</v>
      </c>
    </row>
    <row r="94" spans="1:94" ht="12" x14ac:dyDescent="0.25">
      <c r="A94" s="39" t="s">
        <v>533</v>
      </c>
      <c r="B94" s="39" t="s">
        <v>536</v>
      </c>
      <c r="C94" s="39" t="s">
        <v>533</v>
      </c>
      <c r="D94" s="40" t="s">
        <v>630</v>
      </c>
      <c r="E94" s="43">
        <v>284525670</v>
      </c>
      <c r="F94" s="40">
        <v>0</v>
      </c>
      <c r="G94" s="40" t="s">
        <v>349</v>
      </c>
      <c r="H94" s="40">
        <v>0</v>
      </c>
      <c r="I94" s="40">
        <v>0</v>
      </c>
      <c r="J94" s="13" t="s">
        <v>91</v>
      </c>
      <c r="K94" s="40" t="s">
        <v>60</v>
      </c>
      <c r="L94" s="40" t="s">
        <v>61</v>
      </c>
      <c r="M94" s="42">
        <v>5.2</v>
      </c>
      <c r="N94" s="40" t="s">
        <v>64</v>
      </c>
      <c r="O94" s="40" t="s">
        <v>64</v>
      </c>
      <c r="P94" s="40" t="s">
        <v>64</v>
      </c>
      <c r="Q94" s="40" t="s">
        <v>64</v>
      </c>
      <c r="R94" s="40" t="s">
        <v>64</v>
      </c>
      <c r="S94" s="13" t="s">
        <v>64</v>
      </c>
      <c r="T94" s="40" t="s">
        <v>64</v>
      </c>
      <c r="U94" s="40" t="s">
        <v>64</v>
      </c>
      <c r="V94" s="42" t="s">
        <v>64</v>
      </c>
      <c r="W94" s="40" t="s">
        <v>64</v>
      </c>
      <c r="X94" s="40" t="s">
        <v>64</v>
      </c>
      <c r="Y94" s="40" t="s">
        <v>64</v>
      </c>
      <c r="Z94" s="40" t="s">
        <v>64</v>
      </c>
      <c r="AA94" s="40" t="s">
        <v>64</v>
      </c>
      <c r="AB94" s="13" t="s">
        <v>64</v>
      </c>
      <c r="AC94" s="40" t="s">
        <v>64</v>
      </c>
      <c r="AD94" s="40" t="s">
        <v>64</v>
      </c>
      <c r="AE94" s="42" t="s">
        <v>64</v>
      </c>
      <c r="AF94" s="40" t="s">
        <v>64</v>
      </c>
      <c r="AG94" s="40" t="s">
        <v>64</v>
      </c>
      <c r="AH94" s="40" t="s">
        <v>64</v>
      </c>
      <c r="AI94" s="40" t="s">
        <v>64</v>
      </c>
      <c r="AJ94" s="40" t="s">
        <v>64</v>
      </c>
      <c r="AK94" s="40" t="s">
        <v>64</v>
      </c>
      <c r="AL94" s="40" t="s">
        <v>64</v>
      </c>
      <c r="AM94" s="40" t="s">
        <v>64</v>
      </c>
      <c r="AN94" s="40" t="s">
        <v>64</v>
      </c>
      <c r="AO94" s="40" t="s">
        <v>64</v>
      </c>
      <c r="AP94" s="40" t="s">
        <v>64</v>
      </c>
      <c r="AQ94" s="40" t="s">
        <v>64</v>
      </c>
      <c r="AR94" s="40" t="s">
        <v>64</v>
      </c>
      <c r="AS94" s="40" t="s">
        <v>64</v>
      </c>
      <c r="AT94" s="40" t="s">
        <v>64</v>
      </c>
      <c r="AU94" s="40" t="s">
        <v>64</v>
      </c>
      <c r="AV94" s="40" t="s">
        <v>64</v>
      </c>
      <c r="AW94" s="40" t="s">
        <v>64</v>
      </c>
      <c r="AX94" s="40" t="s">
        <v>64</v>
      </c>
      <c r="AY94" s="40" t="s">
        <v>64</v>
      </c>
      <c r="AZ94" s="40" t="s">
        <v>64</v>
      </c>
      <c r="BA94" s="40" t="s">
        <v>64</v>
      </c>
      <c r="BB94" s="40" t="s">
        <v>64</v>
      </c>
      <c r="BC94" s="40" t="s">
        <v>64</v>
      </c>
      <c r="BD94" s="40" t="s">
        <v>64</v>
      </c>
      <c r="BE94" s="40" t="s">
        <v>64</v>
      </c>
      <c r="BF94" s="40" t="s">
        <v>64</v>
      </c>
      <c r="BG94" s="40" t="s">
        <v>64</v>
      </c>
      <c r="BH94" s="40" t="s">
        <v>64</v>
      </c>
      <c r="BI94" s="40" t="s">
        <v>64</v>
      </c>
      <c r="BJ94" s="40" t="s">
        <v>64</v>
      </c>
      <c r="BK94" s="40" t="s">
        <v>64</v>
      </c>
      <c r="BL94" s="40" t="s">
        <v>64</v>
      </c>
      <c r="BM94" s="40" t="s">
        <v>64</v>
      </c>
      <c r="BN94" s="40" t="s">
        <v>64</v>
      </c>
      <c r="BO94" s="40" t="s">
        <v>64</v>
      </c>
      <c r="BP94" s="40" t="s">
        <v>64</v>
      </c>
      <c r="BQ94" s="40" t="s">
        <v>64</v>
      </c>
      <c r="BR94" s="40" t="s">
        <v>64</v>
      </c>
      <c r="BS94" s="40" t="s">
        <v>64</v>
      </c>
      <c r="BT94" s="40" t="s">
        <v>64</v>
      </c>
      <c r="BU94" s="40" t="s">
        <v>64</v>
      </c>
      <c r="BV94" s="40" t="s">
        <v>64</v>
      </c>
      <c r="BW94" s="40" t="s">
        <v>64</v>
      </c>
      <c r="BX94" s="40" t="s">
        <v>64</v>
      </c>
      <c r="BY94" s="40" t="s">
        <v>64</v>
      </c>
      <c r="BZ94" s="40" t="s">
        <v>64</v>
      </c>
      <c r="CA94" s="40" t="s">
        <v>64</v>
      </c>
      <c r="CB94" s="40" t="s">
        <v>64</v>
      </c>
      <c r="CC94" s="40" t="s">
        <v>64</v>
      </c>
      <c r="CD94" s="40" t="s">
        <v>64</v>
      </c>
      <c r="CE94" s="40" t="s">
        <v>64</v>
      </c>
      <c r="CF94" s="40" t="s">
        <v>64</v>
      </c>
      <c r="CG94" s="40" t="s">
        <v>64</v>
      </c>
      <c r="CH94" s="40" t="s">
        <v>64</v>
      </c>
      <c r="CI94" s="40" t="s">
        <v>64</v>
      </c>
      <c r="CJ94" s="40" t="s">
        <v>64</v>
      </c>
      <c r="CK94" s="40" t="s">
        <v>64</v>
      </c>
      <c r="CL94" s="40" t="s">
        <v>64</v>
      </c>
      <c r="CM94" s="40" t="s">
        <v>64</v>
      </c>
      <c r="CN94" s="40" t="s">
        <v>64</v>
      </c>
      <c r="CO94" s="40" t="s">
        <v>64</v>
      </c>
      <c r="CP94" s="40" t="s">
        <v>64</v>
      </c>
    </row>
    <row r="95" spans="1:94" ht="12" x14ac:dyDescent="0.25">
      <c r="A95" s="39" t="s">
        <v>534</v>
      </c>
      <c r="B95" s="39" t="s">
        <v>536</v>
      </c>
      <c r="C95" s="39" t="s">
        <v>534</v>
      </c>
      <c r="D95" s="40" t="s">
        <v>631</v>
      </c>
      <c r="E95" s="43">
        <v>284525671</v>
      </c>
      <c r="F95" s="40">
        <v>0</v>
      </c>
      <c r="G95" s="40" t="s">
        <v>349</v>
      </c>
      <c r="H95" s="40">
        <v>0</v>
      </c>
      <c r="I95" s="40">
        <v>0</v>
      </c>
      <c r="J95" s="13" t="s">
        <v>91</v>
      </c>
      <c r="K95" s="40" t="s">
        <v>60</v>
      </c>
      <c r="L95" s="40" t="s">
        <v>61</v>
      </c>
      <c r="M95" s="42">
        <v>5.2</v>
      </c>
      <c r="N95" s="40">
        <v>284525672</v>
      </c>
      <c r="O95" s="40">
        <v>0</v>
      </c>
      <c r="P95" s="40" t="s">
        <v>350</v>
      </c>
      <c r="Q95" s="40">
        <v>0</v>
      </c>
      <c r="R95" s="40">
        <v>0</v>
      </c>
      <c r="S95" s="13" t="s">
        <v>89</v>
      </c>
      <c r="T95" s="40" t="s">
        <v>60</v>
      </c>
      <c r="U95" s="40" t="s">
        <v>61</v>
      </c>
      <c r="V95" s="42">
        <v>2.6</v>
      </c>
      <c r="W95" s="40" t="s">
        <v>64</v>
      </c>
      <c r="X95" s="40" t="s">
        <v>64</v>
      </c>
      <c r="Y95" s="40" t="s">
        <v>64</v>
      </c>
      <c r="Z95" s="40" t="s">
        <v>64</v>
      </c>
      <c r="AA95" s="40" t="s">
        <v>64</v>
      </c>
      <c r="AB95" s="13" t="s">
        <v>64</v>
      </c>
      <c r="AC95" s="40" t="s">
        <v>64</v>
      </c>
      <c r="AD95" s="40" t="s">
        <v>64</v>
      </c>
      <c r="AE95" s="42" t="s">
        <v>64</v>
      </c>
      <c r="AF95" s="40" t="s">
        <v>64</v>
      </c>
      <c r="AG95" s="40" t="s">
        <v>64</v>
      </c>
      <c r="AH95" s="40" t="s">
        <v>64</v>
      </c>
      <c r="AI95" s="40" t="s">
        <v>64</v>
      </c>
      <c r="AJ95" s="40" t="s">
        <v>64</v>
      </c>
      <c r="AK95" s="40" t="s">
        <v>64</v>
      </c>
      <c r="AL95" s="40" t="s">
        <v>64</v>
      </c>
      <c r="AM95" s="40" t="s">
        <v>64</v>
      </c>
      <c r="AN95" s="40" t="s">
        <v>64</v>
      </c>
      <c r="AO95" s="40" t="s">
        <v>64</v>
      </c>
      <c r="AP95" s="40" t="s">
        <v>64</v>
      </c>
      <c r="AQ95" s="40" t="s">
        <v>64</v>
      </c>
      <c r="AR95" s="40" t="s">
        <v>64</v>
      </c>
      <c r="AS95" s="40" t="s">
        <v>64</v>
      </c>
      <c r="AT95" s="40" t="s">
        <v>64</v>
      </c>
      <c r="AU95" s="40" t="s">
        <v>64</v>
      </c>
      <c r="AV95" s="40" t="s">
        <v>64</v>
      </c>
      <c r="AW95" s="40" t="s">
        <v>64</v>
      </c>
      <c r="AX95" s="40" t="s">
        <v>64</v>
      </c>
      <c r="AY95" s="40" t="s">
        <v>64</v>
      </c>
      <c r="AZ95" s="40" t="s">
        <v>64</v>
      </c>
      <c r="BA95" s="40" t="s">
        <v>64</v>
      </c>
      <c r="BB95" s="40" t="s">
        <v>64</v>
      </c>
      <c r="BC95" s="40" t="s">
        <v>64</v>
      </c>
      <c r="BD95" s="40" t="s">
        <v>64</v>
      </c>
      <c r="BE95" s="40" t="s">
        <v>64</v>
      </c>
      <c r="BF95" s="40" t="s">
        <v>64</v>
      </c>
      <c r="BG95" s="40" t="s">
        <v>64</v>
      </c>
      <c r="BH95" s="40" t="s">
        <v>64</v>
      </c>
      <c r="BI95" s="40" t="s">
        <v>64</v>
      </c>
      <c r="BJ95" s="40" t="s">
        <v>64</v>
      </c>
      <c r="BK95" s="40" t="s">
        <v>64</v>
      </c>
      <c r="BL95" s="40" t="s">
        <v>64</v>
      </c>
      <c r="BM95" s="40" t="s">
        <v>64</v>
      </c>
      <c r="BN95" s="40" t="s">
        <v>64</v>
      </c>
      <c r="BO95" s="40" t="s">
        <v>64</v>
      </c>
      <c r="BP95" s="40" t="s">
        <v>64</v>
      </c>
      <c r="BQ95" s="40" t="s">
        <v>64</v>
      </c>
      <c r="BR95" s="40" t="s">
        <v>64</v>
      </c>
      <c r="BS95" s="40" t="s">
        <v>64</v>
      </c>
      <c r="BT95" s="40" t="s">
        <v>64</v>
      </c>
      <c r="BU95" s="40" t="s">
        <v>64</v>
      </c>
      <c r="BV95" s="40" t="s">
        <v>64</v>
      </c>
      <c r="BW95" s="40" t="s">
        <v>64</v>
      </c>
      <c r="BX95" s="40" t="s">
        <v>64</v>
      </c>
      <c r="BY95" s="40" t="s">
        <v>64</v>
      </c>
      <c r="BZ95" s="40" t="s">
        <v>64</v>
      </c>
      <c r="CA95" s="40" t="s">
        <v>64</v>
      </c>
      <c r="CB95" s="40" t="s">
        <v>64</v>
      </c>
      <c r="CC95" s="40" t="s">
        <v>64</v>
      </c>
      <c r="CD95" s="40" t="s">
        <v>64</v>
      </c>
      <c r="CE95" s="40" t="s">
        <v>64</v>
      </c>
      <c r="CF95" s="40" t="s">
        <v>64</v>
      </c>
      <c r="CG95" s="40" t="s">
        <v>64</v>
      </c>
      <c r="CH95" s="40" t="s">
        <v>64</v>
      </c>
      <c r="CI95" s="40" t="s">
        <v>64</v>
      </c>
      <c r="CJ95" s="40" t="s">
        <v>64</v>
      </c>
      <c r="CK95" s="40" t="s">
        <v>64</v>
      </c>
      <c r="CL95" s="40" t="s">
        <v>64</v>
      </c>
      <c r="CM95" s="40" t="s">
        <v>64</v>
      </c>
      <c r="CN95" s="40" t="s">
        <v>64</v>
      </c>
      <c r="CO95" s="40" t="s">
        <v>64</v>
      </c>
      <c r="CP95" s="40" t="s">
        <v>64</v>
      </c>
    </row>
    <row r="96" spans="1:94" ht="12" x14ac:dyDescent="0.25">
      <c r="A96" s="39" t="s">
        <v>535</v>
      </c>
      <c r="B96" s="39" t="s">
        <v>536</v>
      </c>
      <c r="C96" s="39" t="s">
        <v>535</v>
      </c>
      <c r="D96" s="40" t="s">
        <v>632</v>
      </c>
      <c r="E96" s="43">
        <v>284525673</v>
      </c>
      <c r="F96" s="40">
        <v>0</v>
      </c>
      <c r="G96" s="40" t="s">
        <v>349</v>
      </c>
      <c r="H96" s="40">
        <v>0</v>
      </c>
      <c r="I96" s="40">
        <v>0</v>
      </c>
      <c r="J96" s="13" t="s">
        <v>89</v>
      </c>
      <c r="K96" s="40" t="s">
        <v>60</v>
      </c>
      <c r="L96" s="40" t="s">
        <v>61</v>
      </c>
      <c r="M96" s="42">
        <v>5.2</v>
      </c>
      <c r="N96" s="40">
        <v>284525674</v>
      </c>
      <c r="O96" s="40">
        <v>0</v>
      </c>
      <c r="P96" s="40" t="s">
        <v>350</v>
      </c>
      <c r="Q96" s="40">
        <v>0</v>
      </c>
      <c r="R96" s="40">
        <v>0</v>
      </c>
      <c r="S96" s="13" t="s">
        <v>90</v>
      </c>
      <c r="T96" s="40" t="s">
        <v>60</v>
      </c>
      <c r="U96" s="40" t="s">
        <v>61</v>
      </c>
      <c r="V96" s="42">
        <v>2.6</v>
      </c>
      <c r="W96" s="40" t="s">
        <v>64</v>
      </c>
      <c r="X96" s="40" t="s">
        <v>64</v>
      </c>
      <c r="Y96" s="40" t="s">
        <v>64</v>
      </c>
      <c r="Z96" s="40" t="s">
        <v>64</v>
      </c>
      <c r="AA96" s="40" t="s">
        <v>64</v>
      </c>
      <c r="AB96" s="13" t="s">
        <v>64</v>
      </c>
      <c r="AC96" s="40" t="s">
        <v>64</v>
      </c>
      <c r="AD96" s="40" t="s">
        <v>64</v>
      </c>
      <c r="AE96" s="42" t="s">
        <v>64</v>
      </c>
      <c r="AF96" s="40" t="s">
        <v>64</v>
      </c>
      <c r="AG96" s="40" t="s">
        <v>64</v>
      </c>
      <c r="AH96" s="40" t="s">
        <v>64</v>
      </c>
      <c r="AI96" s="40" t="s">
        <v>64</v>
      </c>
      <c r="AJ96" s="40" t="s">
        <v>64</v>
      </c>
      <c r="AK96" s="40" t="s">
        <v>64</v>
      </c>
      <c r="AL96" s="40" t="s">
        <v>64</v>
      </c>
      <c r="AM96" s="40" t="s">
        <v>64</v>
      </c>
      <c r="AN96" s="40" t="s">
        <v>64</v>
      </c>
      <c r="AO96" s="40" t="s">
        <v>64</v>
      </c>
      <c r="AP96" s="40" t="s">
        <v>64</v>
      </c>
      <c r="AQ96" s="40" t="s">
        <v>64</v>
      </c>
      <c r="AR96" s="40" t="s">
        <v>64</v>
      </c>
      <c r="AS96" s="40" t="s">
        <v>64</v>
      </c>
      <c r="AT96" s="40" t="s">
        <v>64</v>
      </c>
      <c r="AU96" s="40" t="s">
        <v>64</v>
      </c>
      <c r="AV96" s="40" t="s">
        <v>64</v>
      </c>
      <c r="AW96" s="40" t="s">
        <v>64</v>
      </c>
      <c r="AX96" s="40" t="s">
        <v>64</v>
      </c>
      <c r="AY96" s="40" t="s">
        <v>64</v>
      </c>
      <c r="AZ96" s="40" t="s">
        <v>64</v>
      </c>
      <c r="BA96" s="40" t="s">
        <v>64</v>
      </c>
      <c r="BB96" s="40" t="s">
        <v>64</v>
      </c>
      <c r="BC96" s="40" t="s">
        <v>64</v>
      </c>
      <c r="BD96" s="40" t="s">
        <v>64</v>
      </c>
      <c r="BE96" s="40" t="s">
        <v>64</v>
      </c>
      <c r="BF96" s="40" t="s">
        <v>64</v>
      </c>
      <c r="BG96" s="40" t="s">
        <v>64</v>
      </c>
      <c r="BH96" s="40" t="s">
        <v>64</v>
      </c>
      <c r="BI96" s="40" t="s">
        <v>64</v>
      </c>
      <c r="BJ96" s="40" t="s">
        <v>64</v>
      </c>
      <c r="BK96" s="40" t="s">
        <v>64</v>
      </c>
      <c r="BL96" s="40" t="s">
        <v>64</v>
      </c>
      <c r="BM96" s="40" t="s">
        <v>64</v>
      </c>
      <c r="BN96" s="40" t="s">
        <v>64</v>
      </c>
      <c r="BO96" s="40" t="s">
        <v>64</v>
      </c>
      <c r="BP96" s="40" t="s">
        <v>64</v>
      </c>
      <c r="BQ96" s="40" t="s">
        <v>64</v>
      </c>
      <c r="BR96" s="40" t="s">
        <v>64</v>
      </c>
      <c r="BS96" s="40" t="s">
        <v>64</v>
      </c>
      <c r="BT96" s="40" t="s">
        <v>64</v>
      </c>
      <c r="BU96" s="40" t="s">
        <v>64</v>
      </c>
      <c r="BV96" s="40" t="s">
        <v>64</v>
      </c>
      <c r="BW96" s="40" t="s">
        <v>64</v>
      </c>
      <c r="BX96" s="40" t="s">
        <v>64</v>
      </c>
      <c r="BY96" s="40" t="s">
        <v>64</v>
      </c>
      <c r="BZ96" s="40" t="s">
        <v>64</v>
      </c>
      <c r="CA96" s="40" t="s">
        <v>64</v>
      </c>
      <c r="CB96" s="40" t="s">
        <v>64</v>
      </c>
      <c r="CC96" s="40" t="s">
        <v>64</v>
      </c>
      <c r="CD96" s="40" t="s">
        <v>64</v>
      </c>
      <c r="CE96" s="40" t="s">
        <v>64</v>
      </c>
      <c r="CF96" s="40" t="s">
        <v>64</v>
      </c>
      <c r="CG96" s="40" t="s">
        <v>64</v>
      </c>
      <c r="CH96" s="40" t="s">
        <v>64</v>
      </c>
      <c r="CI96" s="40" t="s">
        <v>64</v>
      </c>
      <c r="CJ96" s="40" t="s">
        <v>64</v>
      </c>
      <c r="CK96" s="40" t="s">
        <v>64</v>
      </c>
      <c r="CL96" s="40" t="s">
        <v>64</v>
      </c>
      <c r="CM96" s="40" t="s">
        <v>64</v>
      </c>
      <c r="CN96" s="40" t="s">
        <v>64</v>
      </c>
      <c r="CO96" s="40" t="s">
        <v>64</v>
      </c>
      <c r="CP96" s="40" t="s">
        <v>64</v>
      </c>
    </row>
    <row r="97" spans="1:3" x14ac:dyDescent="0.2">
      <c r="A97" s="44"/>
      <c r="B97" s="44"/>
      <c r="C97" s="44"/>
    </row>
    <row r="98" spans="1:3" x14ac:dyDescent="0.2">
      <c r="A98" s="44"/>
      <c r="B98" s="44"/>
      <c r="C98" s="44"/>
    </row>
    <row r="99" spans="1:3" x14ac:dyDescent="0.2">
      <c r="A99" s="44"/>
      <c r="B99" s="44"/>
      <c r="C99" s="44"/>
    </row>
    <row r="100" spans="1:3" x14ac:dyDescent="0.2">
      <c r="A100" s="44"/>
      <c r="B100" s="44"/>
      <c r="C100" s="44"/>
    </row>
    <row r="101" spans="1:3" x14ac:dyDescent="0.2">
      <c r="A101" s="44"/>
      <c r="B101" s="44"/>
      <c r="C101" s="44"/>
    </row>
    <row r="102" spans="1:3" x14ac:dyDescent="0.2">
      <c r="A102" s="44"/>
      <c r="B102" s="44"/>
      <c r="C102" s="44"/>
    </row>
    <row r="103" spans="1:3" x14ac:dyDescent="0.2">
      <c r="A103" s="44"/>
      <c r="B103" s="44"/>
      <c r="C103" s="44"/>
    </row>
    <row r="104" spans="1:3" x14ac:dyDescent="0.2">
      <c r="A104" s="44"/>
      <c r="B104" s="44"/>
      <c r="C104" s="44"/>
    </row>
    <row r="105" spans="1:3" x14ac:dyDescent="0.2">
      <c r="A105" s="44"/>
      <c r="B105" s="44"/>
      <c r="C105" s="44"/>
    </row>
    <row r="106" spans="1:3" x14ac:dyDescent="0.2">
      <c r="A106" s="44"/>
      <c r="B106" s="44"/>
      <c r="C106" s="44"/>
    </row>
    <row r="107" spans="1:3" x14ac:dyDescent="0.2">
      <c r="A107" s="44"/>
      <c r="B107" s="44"/>
      <c r="C107" s="44"/>
    </row>
    <row r="108" spans="1:3" x14ac:dyDescent="0.2">
      <c r="A108" s="44"/>
      <c r="B108" s="44"/>
      <c r="C108" s="44"/>
    </row>
    <row r="109" spans="1:3" x14ac:dyDescent="0.2">
      <c r="A109" s="44"/>
      <c r="B109" s="44"/>
      <c r="C109" s="44"/>
    </row>
    <row r="110" spans="1:3" x14ac:dyDescent="0.2">
      <c r="A110" s="44"/>
      <c r="B110" s="44"/>
      <c r="C110" s="44"/>
    </row>
    <row r="111" spans="1:3" x14ac:dyDescent="0.2">
      <c r="A111" s="44"/>
      <c r="B111" s="44"/>
      <c r="C111" s="44"/>
    </row>
    <row r="112" spans="1:3" x14ac:dyDescent="0.2">
      <c r="A112" s="44"/>
      <c r="B112" s="44"/>
      <c r="C112" s="44"/>
    </row>
    <row r="113" spans="1:3" x14ac:dyDescent="0.2">
      <c r="A113" s="44"/>
      <c r="B113" s="44"/>
      <c r="C113" s="44"/>
    </row>
    <row r="114" spans="1:3" x14ac:dyDescent="0.2">
      <c r="A114" s="44"/>
      <c r="B114" s="44"/>
      <c r="C114" s="44"/>
    </row>
    <row r="115" spans="1:3" x14ac:dyDescent="0.2">
      <c r="A115" s="44"/>
      <c r="B115" s="44"/>
      <c r="C115" s="44"/>
    </row>
    <row r="116" spans="1:3" x14ac:dyDescent="0.2">
      <c r="A116" s="44"/>
      <c r="B116" s="44"/>
      <c r="C116" s="44"/>
    </row>
    <row r="117" spans="1:3" x14ac:dyDescent="0.2">
      <c r="A117" s="44"/>
      <c r="B117" s="44"/>
      <c r="C117" s="44"/>
    </row>
    <row r="118" spans="1:3" x14ac:dyDescent="0.2">
      <c r="A118" s="44"/>
      <c r="B118" s="44"/>
      <c r="C118" s="44"/>
    </row>
    <row r="119" spans="1:3" x14ac:dyDescent="0.2">
      <c r="A119" s="44"/>
      <c r="B119" s="44"/>
      <c r="C119" s="44"/>
    </row>
    <row r="120" spans="1:3" x14ac:dyDescent="0.2">
      <c r="A120" s="44"/>
      <c r="B120" s="44"/>
      <c r="C120" s="44"/>
    </row>
    <row r="121" spans="1:3" x14ac:dyDescent="0.2">
      <c r="A121" s="44"/>
      <c r="B121" s="44"/>
      <c r="C121" s="44"/>
    </row>
    <row r="122" spans="1:3" x14ac:dyDescent="0.2">
      <c r="A122" s="44"/>
      <c r="B122" s="44"/>
      <c r="C122" s="44"/>
    </row>
    <row r="123" spans="1:3" x14ac:dyDescent="0.2">
      <c r="A123" s="44"/>
      <c r="B123" s="44"/>
      <c r="C123" s="44"/>
    </row>
    <row r="124" spans="1:3" x14ac:dyDescent="0.2">
      <c r="A124" s="44"/>
      <c r="B124" s="44"/>
      <c r="C124" s="44"/>
    </row>
    <row r="125" spans="1:3" x14ac:dyDescent="0.2">
      <c r="A125" s="44"/>
      <c r="B125" s="44"/>
      <c r="C125" s="44"/>
    </row>
    <row r="126" spans="1:3" x14ac:dyDescent="0.2">
      <c r="A126" s="44"/>
      <c r="B126" s="44"/>
      <c r="C126" s="44"/>
    </row>
    <row r="127" spans="1:3" x14ac:dyDescent="0.2">
      <c r="A127" s="44"/>
      <c r="B127" s="44"/>
      <c r="C127" s="44"/>
    </row>
    <row r="128" spans="1:3" x14ac:dyDescent="0.2">
      <c r="A128" s="44"/>
      <c r="B128" s="44"/>
      <c r="C128" s="44"/>
    </row>
    <row r="129" spans="1:3" x14ac:dyDescent="0.2">
      <c r="A129" s="44"/>
      <c r="B129" s="44"/>
      <c r="C129" s="44"/>
    </row>
    <row r="130" spans="1:3" x14ac:dyDescent="0.2">
      <c r="A130" s="44"/>
      <c r="B130" s="44"/>
      <c r="C130" s="44"/>
    </row>
    <row r="131" spans="1:3" x14ac:dyDescent="0.2">
      <c r="A131" s="44"/>
      <c r="B131" s="44"/>
      <c r="C131" s="44"/>
    </row>
    <row r="132" spans="1:3" x14ac:dyDescent="0.2">
      <c r="A132" s="44"/>
      <c r="B132" s="44"/>
      <c r="C132" s="44"/>
    </row>
    <row r="133" spans="1:3" x14ac:dyDescent="0.2">
      <c r="A133" s="44"/>
      <c r="B133" s="44"/>
      <c r="C133" s="44"/>
    </row>
    <row r="134" spans="1:3" x14ac:dyDescent="0.2">
      <c r="A134" s="44"/>
      <c r="B134" s="44"/>
      <c r="C134" s="44"/>
    </row>
    <row r="135" spans="1:3" x14ac:dyDescent="0.2">
      <c r="A135" s="44"/>
      <c r="B135" s="44"/>
      <c r="C135" s="44"/>
    </row>
    <row r="136" spans="1:3" x14ac:dyDescent="0.2">
      <c r="A136" s="44"/>
      <c r="B136" s="44"/>
      <c r="C136" s="44"/>
    </row>
    <row r="137" spans="1:3" x14ac:dyDescent="0.2">
      <c r="A137" s="44"/>
      <c r="B137" s="44"/>
      <c r="C137" s="44"/>
    </row>
    <row r="138" spans="1:3" x14ac:dyDescent="0.2">
      <c r="A138" s="44"/>
      <c r="B138" s="44"/>
      <c r="C138" s="44"/>
    </row>
    <row r="139" spans="1:3" x14ac:dyDescent="0.2">
      <c r="A139" s="44"/>
      <c r="B139" s="44"/>
      <c r="C139" s="44"/>
    </row>
    <row r="140" spans="1:3" x14ac:dyDescent="0.2">
      <c r="A140" s="44"/>
      <c r="B140" s="44"/>
      <c r="C140" s="44"/>
    </row>
    <row r="141" spans="1:3" x14ac:dyDescent="0.2">
      <c r="A141" s="44"/>
      <c r="B141" s="44"/>
      <c r="C141" s="44"/>
    </row>
    <row r="142" spans="1:3" x14ac:dyDescent="0.2">
      <c r="A142" s="44"/>
      <c r="B142" s="44"/>
      <c r="C142" s="44"/>
    </row>
    <row r="143" spans="1:3" x14ac:dyDescent="0.2">
      <c r="A143" s="44"/>
      <c r="B143" s="44"/>
      <c r="C143" s="44"/>
    </row>
    <row r="144" spans="1:3" x14ac:dyDescent="0.2">
      <c r="A144" s="44"/>
      <c r="B144" s="44"/>
      <c r="C144" s="44"/>
    </row>
    <row r="145" spans="1:3" x14ac:dyDescent="0.2">
      <c r="A145" s="44"/>
      <c r="B145" s="44"/>
      <c r="C145" s="44"/>
    </row>
    <row r="146" spans="1:3" x14ac:dyDescent="0.2">
      <c r="A146" s="44"/>
      <c r="B146" s="44"/>
      <c r="C146" s="44"/>
    </row>
    <row r="147" spans="1:3" x14ac:dyDescent="0.2">
      <c r="A147" s="44"/>
      <c r="B147" s="44"/>
      <c r="C147" s="44"/>
    </row>
    <row r="148" spans="1:3" x14ac:dyDescent="0.2">
      <c r="A148" s="44"/>
      <c r="B148" s="44"/>
      <c r="C148" s="44"/>
    </row>
    <row r="149" spans="1:3" x14ac:dyDescent="0.2">
      <c r="A149" s="44"/>
      <c r="B149" s="44"/>
      <c r="C149" s="44"/>
    </row>
    <row r="150" spans="1:3" x14ac:dyDescent="0.2">
      <c r="A150" s="44"/>
      <c r="B150" s="44"/>
      <c r="C150" s="44"/>
    </row>
    <row r="151" spans="1:3" x14ac:dyDescent="0.2">
      <c r="A151" s="44"/>
      <c r="B151" s="44"/>
      <c r="C151" s="44"/>
    </row>
    <row r="152" spans="1:3" x14ac:dyDescent="0.2">
      <c r="A152" s="44"/>
      <c r="B152" s="44"/>
      <c r="C152" s="44"/>
    </row>
    <row r="153" spans="1:3" x14ac:dyDescent="0.2">
      <c r="A153" s="44"/>
      <c r="B153" s="44"/>
      <c r="C153" s="44"/>
    </row>
    <row r="154" spans="1:3" x14ac:dyDescent="0.2">
      <c r="A154" s="44"/>
      <c r="B154" s="44"/>
      <c r="C154" s="44"/>
    </row>
    <row r="155" spans="1:3" x14ac:dyDescent="0.2">
      <c r="A155" s="44"/>
      <c r="B155" s="44"/>
      <c r="C155" s="44"/>
    </row>
    <row r="156" spans="1:3" x14ac:dyDescent="0.2">
      <c r="A156" s="44"/>
      <c r="B156" s="44"/>
      <c r="C156" s="44"/>
    </row>
    <row r="157" spans="1:3" x14ac:dyDescent="0.2">
      <c r="A157" s="44"/>
      <c r="B157" s="44"/>
      <c r="C157" s="44"/>
    </row>
    <row r="158" spans="1:3" x14ac:dyDescent="0.2">
      <c r="A158" s="44"/>
      <c r="B158" s="44"/>
      <c r="C158" s="44"/>
    </row>
    <row r="159" spans="1:3" x14ac:dyDescent="0.2">
      <c r="A159" s="44"/>
      <c r="B159" s="44"/>
      <c r="C159" s="44"/>
    </row>
    <row r="160" spans="1:3" x14ac:dyDescent="0.2">
      <c r="A160" s="44"/>
      <c r="B160" s="44"/>
      <c r="C160" s="44"/>
    </row>
    <row r="161" spans="1:3" x14ac:dyDescent="0.2">
      <c r="A161" s="44"/>
      <c r="B161" s="44"/>
      <c r="C161" s="44"/>
    </row>
    <row r="162" spans="1:3" x14ac:dyDescent="0.2">
      <c r="A162" s="44"/>
      <c r="B162" s="44"/>
      <c r="C162" s="44"/>
    </row>
    <row r="163" spans="1:3" x14ac:dyDescent="0.2">
      <c r="A163" s="44"/>
      <c r="B163" s="44"/>
      <c r="C163" s="44"/>
    </row>
    <row r="164" spans="1:3" x14ac:dyDescent="0.2">
      <c r="A164" s="44"/>
      <c r="B164" s="44"/>
      <c r="C164" s="44"/>
    </row>
    <row r="165" spans="1:3" x14ac:dyDescent="0.2">
      <c r="A165" s="44"/>
      <c r="B165" s="44"/>
      <c r="C165" s="44"/>
    </row>
    <row r="166" spans="1:3" x14ac:dyDescent="0.2">
      <c r="A166" s="44"/>
      <c r="B166" s="44"/>
      <c r="C166" s="44"/>
    </row>
    <row r="167" spans="1:3" x14ac:dyDescent="0.2">
      <c r="A167" s="44"/>
      <c r="B167" s="44"/>
      <c r="C167" s="44"/>
    </row>
    <row r="168" spans="1:3" x14ac:dyDescent="0.2">
      <c r="A168" s="44"/>
      <c r="B168" s="44"/>
      <c r="C168" s="44"/>
    </row>
    <row r="169" spans="1:3" x14ac:dyDescent="0.2">
      <c r="A169" s="44"/>
      <c r="B169" s="44"/>
      <c r="C169" s="44"/>
    </row>
    <row r="170" spans="1:3" x14ac:dyDescent="0.2">
      <c r="A170" s="44"/>
      <c r="B170" s="44"/>
      <c r="C170" s="44"/>
    </row>
    <row r="171" spans="1:3" x14ac:dyDescent="0.2">
      <c r="A171" s="44"/>
      <c r="B171" s="44"/>
      <c r="C171" s="44"/>
    </row>
    <row r="172" spans="1:3" x14ac:dyDescent="0.2">
      <c r="A172" s="44"/>
      <c r="B172" s="44"/>
      <c r="C172" s="44"/>
    </row>
    <row r="173" spans="1:3" x14ac:dyDescent="0.2">
      <c r="A173" s="44"/>
      <c r="B173" s="44"/>
      <c r="C173" s="44"/>
    </row>
    <row r="174" spans="1:3" x14ac:dyDescent="0.2">
      <c r="A174" s="44"/>
      <c r="B174" s="44"/>
      <c r="C174" s="44"/>
    </row>
    <row r="175" spans="1:3" x14ac:dyDescent="0.2">
      <c r="A175" s="44"/>
      <c r="B175" s="44"/>
      <c r="C175" s="44"/>
    </row>
    <row r="176" spans="1:3" x14ac:dyDescent="0.2">
      <c r="A176" s="44"/>
      <c r="B176" s="44"/>
      <c r="C176" s="44"/>
    </row>
    <row r="177" spans="1:3" x14ac:dyDescent="0.2">
      <c r="A177" s="44"/>
      <c r="B177" s="44"/>
      <c r="C177" s="44"/>
    </row>
    <row r="178" spans="1:3" x14ac:dyDescent="0.2">
      <c r="A178" s="44"/>
      <c r="B178" s="44"/>
      <c r="C178" s="44"/>
    </row>
    <row r="179" spans="1:3" x14ac:dyDescent="0.2">
      <c r="A179" s="44"/>
      <c r="B179" s="44"/>
      <c r="C179" s="44"/>
    </row>
    <row r="180" spans="1:3" x14ac:dyDescent="0.2">
      <c r="A180" s="44"/>
      <c r="B180" s="44"/>
      <c r="C180" s="44"/>
    </row>
    <row r="181" spans="1:3" x14ac:dyDescent="0.2">
      <c r="A181" s="44"/>
      <c r="B181" s="44"/>
      <c r="C181" s="44"/>
    </row>
    <row r="182" spans="1:3" x14ac:dyDescent="0.2">
      <c r="A182" s="44"/>
      <c r="B182" s="44"/>
      <c r="C182" s="44"/>
    </row>
    <row r="183" spans="1:3" x14ac:dyDescent="0.2">
      <c r="A183" s="44"/>
      <c r="B183" s="44"/>
      <c r="C183" s="44"/>
    </row>
    <row r="184" spans="1:3" x14ac:dyDescent="0.2">
      <c r="A184" s="44"/>
      <c r="B184" s="44"/>
      <c r="C184" s="44"/>
    </row>
  </sheetData>
  <conditionalFormatting sqref="J2:J96">
    <cfRule type="cellIs" dxfId="183" priority="21" operator="equal">
      <formula>"H"</formula>
    </cfRule>
    <cfRule type="cellIs" dxfId="182" priority="22" operator="equal">
      <formula>"N/A"</formula>
    </cfRule>
    <cfRule type="cellIs" dxfId="181" priority="23" operator="equal">
      <formula>"North"</formula>
    </cfRule>
    <cfRule type="cellIs" dxfId="180" priority="24" operator="equal">
      <formula>"Northeast"</formula>
    </cfRule>
    <cfRule type="cellIs" dxfId="179" priority="25" operator="equal">
      <formula>"East"</formula>
    </cfRule>
    <cfRule type="cellIs" dxfId="178" priority="26" operator="equal">
      <formula>"Southeast"</formula>
    </cfRule>
    <cfRule type="cellIs" dxfId="177" priority="27" operator="equal">
      <formula>"South"</formula>
    </cfRule>
    <cfRule type="cellIs" dxfId="176" priority="28" operator="equal">
      <formula>"West"</formula>
    </cfRule>
    <cfRule type="cellIs" dxfId="175" priority="29" operator="equal">
      <formula>"Northwest"</formula>
    </cfRule>
    <cfRule type="cellIs" dxfId="174" priority="30" operator="equal">
      <formula>"Southwest"</formula>
    </cfRule>
  </conditionalFormatting>
  <conditionalFormatting sqref="S2:S96">
    <cfRule type="cellIs" dxfId="173" priority="11" operator="equal">
      <formula>"H"</formula>
    </cfRule>
    <cfRule type="cellIs" dxfId="172" priority="12" operator="equal">
      <formula>"N/A"</formula>
    </cfRule>
    <cfRule type="cellIs" dxfId="171" priority="13" operator="equal">
      <formula>"North"</formula>
    </cfRule>
    <cfRule type="cellIs" dxfId="170" priority="14" operator="equal">
      <formula>"Northeast"</formula>
    </cfRule>
    <cfRule type="cellIs" dxfId="169" priority="15" operator="equal">
      <formula>"East"</formula>
    </cfRule>
    <cfRule type="cellIs" dxfId="168" priority="16" operator="equal">
      <formula>"Southeast"</formula>
    </cfRule>
    <cfRule type="cellIs" dxfId="167" priority="17" operator="equal">
      <formula>"South"</formula>
    </cfRule>
    <cfRule type="cellIs" dxfId="166" priority="18" operator="equal">
      <formula>"West"</formula>
    </cfRule>
    <cfRule type="cellIs" dxfId="165" priority="19" operator="equal">
      <formula>"Northwest"</formula>
    </cfRule>
    <cfRule type="cellIs" dxfId="164" priority="20" operator="equal">
      <formula>"Southwest"</formula>
    </cfRule>
  </conditionalFormatting>
  <conditionalFormatting sqref="AB2:AB96">
    <cfRule type="cellIs" dxfId="163" priority="1" operator="equal">
      <formula>"H"</formula>
    </cfRule>
    <cfRule type="cellIs" dxfId="162" priority="2" operator="equal">
      <formula>"N/A"</formula>
    </cfRule>
    <cfRule type="cellIs" dxfId="161" priority="3" operator="equal">
      <formula>"North"</formula>
    </cfRule>
    <cfRule type="cellIs" dxfId="160" priority="4" operator="equal">
      <formula>"Northeast"</formula>
    </cfRule>
    <cfRule type="cellIs" dxfId="159" priority="5" operator="equal">
      <formula>"East"</formula>
    </cfRule>
    <cfRule type="cellIs" dxfId="158" priority="6" operator="equal">
      <formula>"Southeast"</formula>
    </cfRule>
    <cfRule type="cellIs" dxfId="157" priority="7" operator="equal">
      <formula>"South"</formula>
    </cfRule>
    <cfRule type="cellIs" dxfId="156" priority="8" operator="equal">
      <formula>"West"</formula>
    </cfRule>
    <cfRule type="cellIs" dxfId="155" priority="9" operator="equal">
      <formula>"Northwest"</formula>
    </cfRule>
    <cfRule type="cellIs" dxfId="154" priority="10" operator="equal">
      <formula>"Southwest"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7DEB9-D108-40B6-A6B4-B1A4DEC82079}">
  <sheetPr codeName="Sheet3">
    <tabColor theme="8" tint="0.79998168889431442"/>
  </sheetPr>
  <dimension ref="B3:P100"/>
  <sheetViews>
    <sheetView showGridLines="0" topLeftCell="A60" workbookViewId="0">
      <selection activeCell="P6" sqref="P6:P100"/>
    </sheetView>
  </sheetViews>
  <sheetFormatPr defaultRowHeight="13.8" x14ac:dyDescent="0.25"/>
  <cols>
    <col min="1" max="1" width="8.796875" style="7"/>
    <col min="2" max="2" width="17.59765625" style="7" customWidth="1"/>
    <col min="3" max="3" width="6.8984375" style="7" bestFit="1" customWidth="1"/>
    <col min="4" max="4" width="13.69921875" style="7" customWidth="1"/>
    <col min="5" max="5" width="8.796875" style="7"/>
    <col min="6" max="6" width="9.3984375" style="7" customWidth="1"/>
    <col min="7" max="7" width="7.8984375" style="7" customWidth="1"/>
    <col min="8" max="8" width="5.09765625" style="7" customWidth="1"/>
    <col min="9" max="9" width="18.09765625" style="7" customWidth="1"/>
    <col min="10" max="10" width="11.796875" style="7" customWidth="1"/>
    <col min="11" max="12" width="5.09765625" style="7" customWidth="1"/>
    <col min="13" max="13" width="8.796875" style="7"/>
    <col min="14" max="14" width="3.59765625" style="7" customWidth="1"/>
    <col min="15" max="15" width="5.8984375" style="7" customWidth="1"/>
    <col min="16" max="16" width="5.5" style="7" customWidth="1"/>
    <col min="17" max="16384" width="8.796875" style="7"/>
  </cols>
  <sheetData>
    <row r="3" spans="2:16" x14ac:dyDescent="0.25">
      <c r="B3" s="28" t="s">
        <v>258</v>
      </c>
    </row>
    <row r="5" spans="2:16" ht="48" customHeight="1" x14ac:dyDescent="0.25">
      <c r="B5" s="27" t="s">
        <v>252</v>
      </c>
      <c r="C5" s="26" t="s">
        <v>262</v>
      </c>
      <c r="D5" s="27" t="s">
        <v>254</v>
      </c>
      <c r="F5" s="2" t="s">
        <v>150</v>
      </c>
      <c r="G5" s="2" t="s">
        <v>213</v>
      </c>
      <c r="M5" s="2" t="s">
        <v>218</v>
      </c>
      <c r="O5" s="2" t="s">
        <v>219</v>
      </c>
      <c r="P5" s="2" t="s">
        <v>220</v>
      </c>
    </row>
    <row r="6" spans="2:16" x14ac:dyDescent="0.25">
      <c r="B6" s="29" t="s">
        <v>162</v>
      </c>
      <c r="C6" s="4" t="s">
        <v>255</v>
      </c>
      <c r="D6" s="15"/>
      <c r="F6" s="9" t="s">
        <v>441</v>
      </c>
      <c r="G6" s="4">
        <v>51.97</v>
      </c>
      <c r="I6" s="28" t="s">
        <v>217</v>
      </c>
      <c r="M6" s="17">
        <f>185*G6</f>
        <v>9614.4499999999989</v>
      </c>
      <c r="O6" s="18">
        <f t="shared" ref="O6:O37" si="0">M6/$J$10</f>
        <v>21.365444444444442</v>
      </c>
      <c r="P6" s="19">
        <f>MROUND(O6,5)</f>
        <v>20</v>
      </c>
    </row>
    <row r="7" spans="2:16" x14ac:dyDescent="0.25">
      <c r="B7" s="29" t="s">
        <v>163</v>
      </c>
      <c r="C7" s="4" t="s">
        <v>255</v>
      </c>
      <c r="D7" s="15"/>
      <c r="F7" s="9" t="s">
        <v>442</v>
      </c>
      <c r="G7" s="4">
        <v>50.400000000000006</v>
      </c>
      <c r="I7" s="16" t="s">
        <v>214</v>
      </c>
      <c r="J7" s="9" t="s">
        <v>212</v>
      </c>
      <c r="M7" s="17">
        <f t="shared" ref="M7:M70" si="1">185*G7</f>
        <v>9324.0000000000018</v>
      </c>
      <c r="O7" s="18">
        <f t="shared" si="0"/>
        <v>20.720000000000002</v>
      </c>
      <c r="P7" s="19">
        <f t="shared" ref="P7:P70" si="2">MROUND(O7,5)</f>
        <v>20</v>
      </c>
    </row>
    <row r="8" spans="2:16" x14ac:dyDescent="0.25">
      <c r="B8" s="29" t="s">
        <v>164</v>
      </c>
      <c r="C8" s="4" t="s">
        <v>255</v>
      </c>
      <c r="D8" s="15"/>
      <c r="F8" s="9" t="s">
        <v>443</v>
      </c>
      <c r="G8" s="4">
        <v>51.96</v>
      </c>
      <c r="I8" s="16" t="s">
        <v>215</v>
      </c>
      <c r="J8" s="4">
        <v>5</v>
      </c>
      <c r="M8" s="17">
        <f t="shared" si="1"/>
        <v>9612.6</v>
      </c>
      <c r="O8" s="18">
        <f t="shared" si="0"/>
        <v>21.361333333333334</v>
      </c>
      <c r="P8" s="19">
        <f t="shared" si="2"/>
        <v>20</v>
      </c>
    </row>
    <row r="9" spans="2:16" x14ac:dyDescent="0.25">
      <c r="B9" s="29" t="s">
        <v>165</v>
      </c>
      <c r="C9" s="4" t="s">
        <v>255</v>
      </c>
      <c r="D9" s="15"/>
      <c r="F9" s="9" t="s">
        <v>444</v>
      </c>
      <c r="G9" s="4">
        <v>50.400000000000006</v>
      </c>
      <c r="I9" s="16" t="s">
        <v>216</v>
      </c>
      <c r="J9" s="4">
        <v>90</v>
      </c>
      <c r="M9" s="17">
        <f t="shared" si="1"/>
        <v>9324.0000000000018</v>
      </c>
      <c r="O9" s="18">
        <f t="shared" si="0"/>
        <v>20.720000000000002</v>
      </c>
      <c r="P9" s="19">
        <f t="shared" si="2"/>
        <v>20</v>
      </c>
    </row>
    <row r="10" spans="2:16" x14ac:dyDescent="0.25">
      <c r="B10" s="29" t="s">
        <v>166</v>
      </c>
      <c r="C10" s="4" t="s">
        <v>256</v>
      </c>
      <c r="D10" s="15" t="s">
        <v>264</v>
      </c>
      <c r="F10" s="9" t="s">
        <v>445</v>
      </c>
      <c r="G10" s="4">
        <v>42.13</v>
      </c>
      <c r="I10" s="16" t="s">
        <v>263</v>
      </c>
      <c r="J10" s="9">
        <v>450</v>
      </c>
      <c r="M10" s="17">
        <f t="shared" si="1"/>
        <v>7794.05</v>
      </c>
      <c r="O10" s="18">
        <f t="shared" si="0"/>
        <v>17.32011111111111</v>
      </c>
      <c r="P10" s="19">
        <f t="shared" si="2"/>
        <v>15</v>
      </c>
    </row>
    <row r="11" spans="2:16" x14ac:dyDescent="0.25">
      <c r="B11" s="34" t="s">
        <v>167</v>
      </c>
      <c r="C11" s="4" t="s">
        <v>255</v>
      </c>
      <c r="D11" s="15"/>
      <c r="F11" s="9" t="s">
        <v>446</v>
      </c>
      <c r="G11" s="4">
        <v>41.47</v>
      </c>
      <c r="M11" s="17">
        <f t="shared" si="1"/>
        <v>7671.95</v>
      </c>
      <c r="O11" s="18">
        <f t="shared" si="0"/>
        <v>17.048777777777776</v>
      </c>
      <c r="P11" s="19">
        <f t="shared" si="2"/>
        <v>15</v>
      </c>
    </row>
    <row r="12" spans="2:16" x14ac:dyDescent="0.25">
      <c r="B12" s="34" t="s">
        <v>168</v>
      </c>
      <c r="C12" s="4" t="s">
        <v>255</v>
      </c>
      <c r="D12" s="15"/>
      <c r="F12" s="9" t="s">
        <v>447</v>
      </c>
      <c r="G12" s="4">
        <v>37.33</v>
      </c>
      <c r="M12" s="17">
        <f t="shared" si="1"/>
        <v>6906.0499999999993</v>
      </c>
      <c r="O12" s="18">
        <f t="shared" si="0"/>
        <v>15.346777777777776</v>
      </c>
      <c r="P12" s="19">
        <f t="shared" si="2"/>
        <v>15</v>
      </c>
    </row>
    <row r="13" spans="2:16" x14ac:dyDescent="0.25">
      <c r="B13" s="34" t="s">
        <v>169</v>
      </c>
      <c r="C13" s="4" t="s">
        <v>255</v>
      </c>
      <c r="D13" s="15"/>
      <c r="F13" s="9" t="s">
        <v>448</v>
      </c>
      <c r="G13" s="4">
        <v>38.85</v>
      </c>
      <c r="M13" s="17">
        <f t="shared" si="1"/>
        <v>7187.25</v>
      </c>
      <c r="O13" s="18">
        <f t="shared" si="0"/>
        <v>15.971666666666666</v>
      </c>
      <c r="P13" s="19">
        <f t="shared" si="2"/>
        <v>15</v>
      </c>
    </row>
    <row r="14" spans="2:16" x14ac:dyDescent="0.25">
      <c r="B14" s="34" t="s">
        <v>170</v>
      </c>
      <c r="C14" s="4" t="s">
        <v>255</v>
      </c>
      <c r="D14" s="15"/>
      <c r="F14" s="9" t="s">
        <v>449</v>
      </c>
      <c r="G14" s="4">
        <v>42.07</v>
      </c>
      <c r="M14" s="17">
        <f t="shared" si="1"/>
        <v>7782.95</v>
      </c>
      <c r="O14" s="18">
        <f t="shared" si="0"/>
        <v>17.295444444444446</v>
      </c>
      <c r="P14" s="19">
        <f t="shared" si="2"/>
        <v>15</v>
      </c>
    </row>
    <row r="15" spans="2:16" x14ac:dyDescent="0.25">
      <c r="B15" s="34" t="s">
        <v>171</v>
      </c>
      <c r="C15" s="4" t="s">
        <v>255</v>
      </c>
      <c r="D15" s="15"/>
      <c r="F15" s="9" t="s">
        <v>450</v>
      </c>
      <c r="G15" s="4">
        <v>46.48</v>
      </c>
      <c r="M15" s="17">
        <f t="shared" si="1"/>
        <v>8598.7999999999993</v>
      </c>
      <c r="O15" s="18">
        <f t="shared" si="0"/>
        <v>19.108444444444444</v>
      </c>
      <c r="P15" s="19">
        <f t="shared" si="2"/>
        <v>20</v>
      </c>
    </row>
    <row r="16" spans="2:16" x14ac:dyDescent="0.25">
      <c r="B16" s="29" t="s">
        <v>172</v>
      </c>
      <c r="C16" s="4" t="s">
        <v>255</v>
      </c>
      <c r="D16" s="15"/>
      <c r="F16" s="9" t="s">
        <v>451</v>
      </c>
      <c r="G16" s="4">
        <v>38.93</v>
      </c>
      <c r="M16" s="17">
        <f t="shared" si="1"/>
        <v>7202.05</v>
      </c>
      <c r="O16" s="18">
        <f t="shared" si="0"/>
        <v>16.004555555555555</v>
      </c>
      <c r="P16" s="19">
        <f t="shared" si="2"/>
        <v>15</v>
      </c>
    </row>
    <row r="17" spans="2:16" x14ac:dyDescent="0.25">
      <c r="B17" s="29" t="s">
        <v>173</v>
      </c>
      <c r="C17" s="4" t="s">
        <v>255</v>
      </c>
      <c r="D17" s="15"/>
      <c r="F17" s="9" t="s">
        <v>452</v>
      </c>
      <c r="G17" s="4">
        <v>38.79</v>
      </c>
      <c r="M17" s="17">
        <f t="shared" si="1"/>
        <v>7176.15</v>
      </c>
      <c r="O17" s="18">
        <f t="shared" si="0"/>
        <v>15.946999999999999</v>
      </c>
      <c r="P17" s="19">
        <f t="shared" si="2"/>
        <v>15</v>
      </c>
    </row>
    <row r="18" spans="2:16" x14ac:dyDescent="0.25">
      <c r="B18" s="29" t="s">
        <v>174</v>
      </c>
      <c r="C18" s="4" t="s">
        <v>255</v>
      </c>
      <c r="D18" s="15"/>
      <c r="F18" s="9" t="s">
        <v>453</v>
      </c>
      <c r="G18" s="4">
        <v>50.33</v>
      </c>
      <c r="M18" s="17">
        <f t="shared" si="1"/>
        <v>9311.0499999999993</v>
      </c>
      <c r="O18" s="18">
        <f t="shared" si="0"/>
        <v>20.691222222222219</v>
      </c>
      <c r="P18" s="19">
        <f t="shared" si="2"/>
        <v>20</v>
      </c>
    </row>
    <row r="19" spans="2:16" x14ac:dyDescent="0.25">
      <c r="B19" s="29" t="s">
        <v>175</v>
      </c>
      <c r="C19" s="4" t="s">
        <v>255</v>
      </c>
      <c r="D19" s="15"/>
      <c r="F19" s="9" t="s">
        <v>454</v>
      </c>
      <c r="G19" s="4">
        <v>38.130000000000003</v>
      </c>
      <c r="M19" s="17">
        <f t="shared" si="1"/>
        <v>7054.05</v>
      </c>
      <c r="O19" s="18">
        <f t="shared" si="0"/>
        <v>15.675666666666666</v>
      </c>
      <c r="P19" s="19">
        <f t="shared" si="2"/>
        <v>15</v>
      </c>
    </row>
    <row r="20" spans="2:16" x14ac:dyDescent="0.25">
      <c r="B20" s="29" t="s">
        <v>176</v>
      </c>
      <c r="C20" s="4" t="s">
        <v>255</v>
      </c>
      <c r="D20" s="15"/>
      <c r="F20" s="9" t="s">
        <v>455</v>
      </c>
      <c r="G20" s="4">
        <v>38.04</v>
      </c>
      <c r="M20" s="17">
        <f t="shared" si="1"/>
        <v>7037.4</v>
      </c>
      <c r="O20" s="18">
        <f t="shared" si="0"/>
        <v>15.638666666666666</v>
      </c>
      <c r="P20" s="19">
        <f t="shared" si="2"/>
        <v>15</v>
      </c>
    </row>
    <row r="21" spans="2:16" x14ac:dyDescent="0.25">
      <c r="B21" s="34" t="s">
        <v>177</v>
      </c>
      <c r="C21" s="4" t="s">
        <v>255</v>
      </c>
      <c r="D21" s="15"/>
      <c r="F21" s="9" t="s">
        <v>456</v>
      </c>
      <c r="G21" s="4">
        <v>50.26</v>
      </c>
      <c r="M21" s="17">
        <f t="shared" si="1"/>
        <v>9298.1</v>
      </c>
      <c r="O21" s="18">
        <f t="shared" si="0"/>
        <v>20.662444444444446</v>
      </c>
      <c r="P21" s="19">
        <f t="shared" si="2"/>
        <v>20</v>
      </c>
    </row>
    <row r="22" spans="2:16" x14ac:dyDescent="0.25">
      <c r="B22" s="34" t="s">
        <v>178</v>
      </c>
      <c r="C22" s="4" t="s">
        <v>255</v>
      </c>
      <c r="D22" s="15"/>
      <c r="F22" s="9" t="s">
        <v>457</v>
      </c>
      <c r="G22" s="4">
        <v>51.97</v>
      </c>
      <c r="M22" s="17">
        <f t="shared" si="1"/>
        <v>9614.4499999999989</v>
      </c>
      <c r="O22" s="18">
        <f t="shared" si="0"/>
        <v>21.365444444444442</v>
      </c>
      <c r="P22" s="19">
        <f t="shared" si="2"/>
        <v>20</v>
      </c>
    </row>
    <row r="23" spans="2:16" x14ac:dyDescent="0.25">
      <c r="B23" s="34" t="s">
        <v>179</v>
      </c>
      <c r="C23" s="4" t="s">
        <v>255</v>
      </c>
      <c r="D23" s="15"/>
      <c r="F23" s="9" t="s">
        <v>458</v>
      </c>
      <c r="G23" s="4">
        <v>50.400000000000006</v>
      </c>
      <c r="M23" s="17">
        <f t="shared" si="1"/>
        <v>9324.0000000000018</v>
      </c>
      <c r="O23" s="18">
        <f t="shared" si="0"/>
        <v>20.720000000000002</v>
      </c>
      <c r="P23" s="19">
        <f t="shared" si="2"/>
        <v>20</v>
      </c>
    </row>
    <row r="24" spans="2:16" x14ac:dyDescent="0.25">
      <c r="B24" s="34" t="s">
        <v>180</v>
      </c>
      <c r="C24" s="4" t="s">
        <v>255</v>
      </c>
      <c r="D24" s="15"/>
      <c r="F24" s="9" t="s">
        <v>459</v>
      </c>
      <c r="G24" s="4">
        <v>51.96</v>
      </c>
      <c r="M24" s="17">
        <f t="shared" si="1"/>
        <v>9612.6</v>
      </c>
      <c r="O24" s="18">
        <f t="shared" si="0"/>
        <v>21.361333333333334</v>
      </c>
      <c r="P24" s="19">
        <f t="shared" si="2"/>
        <v>20</v>
      </c>
    </row>
    <row r="25" spans="2:16" x14ac:dyDescent="0.25">
      <c r="B25" s="34" t="s">
        <v>181</v>
      </c>
      <c r="C25" s="4" t="s">
        <v>255</v>
      </c>
      <c r="D25" s="15"/>
      <c r="F25" s="9" t="s">
        <v>460</v>
      </c>
      <c r="G25" s="4">
        <v>50.400000000000006</v>
      </c>
      <c r="M25" s="17">
        <f t="shared" si="1"/>
        <v>9324.0000000000018</v>
      </c>
      <c r="O25" s="18">
        <f t="shared" si="0"/>
        <v>20.720000000000002</v>
      </c>
      <c r="P25" s="19">
        <f t="shared" si="2"/>
        <v>20</v>
      </c>
    </row>
    <row r="26" spans="2:16" x14ac:dyDescent="0.25">
      <c r="B26" s="29" t="s">
        <v>182</v>
      </c>
      <c r="C26" s="4" t="s">
        <v>255</v>
      </c>
      <c r="D26" s="15"/>
      <c r="F26" s="9" t="s">
        <v>461</v>
      </c>
      <c r="G26" s="4">
        <v>42.13</v>
      </c>
      <c r="M26" s="17">
        <f t="shared" si="1"/>
        <v>7794.05</v>
      </c>
      <c r="O26" s="18">
        <f t="shared" si="0"/>
        <v>17.32011111111111</v>
      </c>
      <c r="P26" s="19">
        <f t="shared" si="2"/>
        <v>15</v>
      </c>
    </row>
    <row r="27" spans="2:16" x14ac:dyDescent="0.25">
      <c r="B27" s="29" t="s">
        <v>183</v>
      </c>
      <c r="C27" s="4" t="s">
        <v>255</v>
      </c>
      <c r="D27" s="15"/>
      <c r="F27" s="9" t="s">
        <v>462</v>
      </c>
      <c r="G27" s="4">
        <v>41.46</v>
      </c>
      <c r="M27" s="17">
        <f t="shared" si="1"/>
        <v>7670.1</v>
      </c>
      <c r="O27" s="18">
        <f t="shared" si="0"/>
        <v>17.044666666666668</v>
      </c>
      <c r="P27" s="19">
        <f t="shared" si="2"/>
        <v>15</v>
      </c>
    </row>
    <row r="28" spans="2:16" x14ac:dyDescent="0.25">
      <c r="B28" s="29" t="s">
        <v>184</v>
      </c>
      <c r="C28" s="4" t="s">
        <v>255</v>
      </c>
      <c r="D28" s="15"/>
      <c r="F28" s="9" t="s">
        <v>463</v>
      </c>
      <c r="G28" s="4">
        <v>37.32</v>
      </c>
      <c r="M28" s="17">
        <f t="shared" si="1"/>
        <v>6904.2</v>
      </c>
      <c r="O28" s="18">
        <f t="shared" si="0"/>
        <v>15.342666666666666</v>
      </c>
      <c r="P28" s="19">
        <f t="shared" si="2"/>
        <v>15</v>
      </c>
    </row>
    <row r="29" spans="2:16" x14ac:dyDescent="0.25">
      <c r="B29" s="29" t="s">
        <v>185</v>
      </c>
      <c r="C29" s="4" t="s">
        <v>255</v>
      </c>
      <c r="D29" s="15"/>
      <c r="F29" s="9" t="s">
        <v>464</v>
      </c>
      <c r="G29" s="4">
        <v>38.85</v>
      </c>
      <c r="M29" s="17">
        <f t="shared" si="1"/>
        <v>7187.25</v>
      </c>
      <c r="O29" s="18">
        <f t="shared" si="0"/>
        <v>15.971666666666666</v>
      </c>
      <c r="P29" s="19">
        <f t="shared" si="2"/>
        <v>15</v>
      </c>
    </row>
    <row r="30" spans="2:16" x14ac:dyDescent="0.25">
      <c r="B30" s="29" t="s">
        <v>186</v>
      </c>
      <c r="C30" s="4" t="s">
        <v>255</v>
      </c>
      <c r="D30" s="15"/>
      <c r="F30" s="9" t="s">
        <v>465</v>
      </c>
      <c r="G30" s="4">
        <v>42.08</v>
      </c>
      <c r="M30" s="17">
        <f t="shared" si="1"/>
        <v>7784.7999999999993</v>
      </c>
      <c r="O30" s="18">
        <f t="shared" si="0"/>
        <v>17.299555555555553</v>
      </c>
      <c r="P30" s="19">
        <f t="shared" si="2"/>
        <v>15</v>
      </c>
    </row>
    <row r="31" spans="2:16" x14ac:dyDescent="0.25">
      <c r="B31" s="34" t="s">
        <v>187</v>
      </c>
      <c r="C31" s="4" t="s">
        <v>255</v>
      </c>
      <c r="D31" s="15"/>
      <c r="F31" s="9" t="s">
        <v>466</v>
      </c>
      <c r="G31" s="4">
        <v>57.25</v>
      </c>
      <c r="M31" s="17">
        <f t="shared" si="1"/>
        <v>10591.25</v>
      </c>
      <c r="O31" s="18">
        <f t="shared" si="0"/>
        <v>23.536111111111111</v>
      </c>
      <c r="P31" s="19">
        <f t="shared" si="2"/>
        <v>25</v>
      </c>
    </row>
    <row r="32" spans="2:16" x14ac:dyDescent="0.25">
      <c r="B32" s="34" t="s">
        <v>188</v>
      </c>
      <c r="C32" s="4" t="s">
        <v>255</v>
      </c>
      <c r="D32" s="15"/>
      <c r="F32" s="9" t="s">
        <v>467</v>
      </c>
      <c r="G32" s="4">
        <v>50.55</v>
      </c>
      <c r="M32" s="17">
        <f t="shared" si="1"/>
        <v>9351.75</v>
      </c>
      <c r="O32" s="18">
        <f t="shared" si="0"/>
        <v>20.781666666666666</v>
      </c>
      <c r="P32" s="19">
        <f t="shared" si="2"/>
        <v>20</v>
      </c>
    </row>
    <row r="33" spans="2:16" x14ac:dyDescent="0.25">
      <c r="B33" s="34" t="s">
        <v>189</v>
      </c>
      <c r="C33" s="4" t="s">
        <v>255</v>
      </c>
      <c r="D33" s="15"/>
      <c r="F33" s="9" t="s">
        <v>468</v>
      </c>
      <c r="G33" s="4">
        <v>46.489999999999995</v>
      </c>
      <c r="M33" s="17">
        <f t="shared" si="1"/>
        <v>8600.65</v>
      </c>
      <c r="O33" s="18">
        <f t="shared" si="0"/>
        <v>19.112555555555556</v>
      </c>
      <c r="P33" s="19">
        <f t="shared" si="2"/>
        <v>20</v>
      </c>
    </row>
    <row r="34" spans="2:16" x14ac:dyDescent="0.25">
      <c r="B34" s="34" t="s">
        <v>190</v>
      </c>
      <c r="C34" s="4" t="s">
        <v>255</v>
      </c>
      <c r="D34" s="15"/>
      <c r="F34" s="9" t="s">
        <v>469</v>
      </c>
      <c r="G34" s="4">
        <v>38.93</v>
      </c>
      <c r="M34" s="17">
        <f t="shared" si="1"/>
        <v>7202.05</v>
      </c>
      <c r="O34" s="18">
        <f t="shared" si="0"/>
        <v>16.004555555555555</v>
      </c>
      <c r="P34" s="19">
        <f t="shared" si="2"/>
        <v>15</v>
      </c>
    </row>
    <row r="35" spans="2:16" x14ac:dyDescent="0.25">
      <c r="B35" s="34" t="s">
        <v>191</v>
      </c>
      <c r="C35" s="4" t="s">
        <v>255</v>
      </c>
      <c r="D35" s="15"/>
      <c r="F35" s="9" t="s">
        <v>470</v>
      </c>
      <c r="G35" s="4">
        <v>41.03</v>
      </c>
      <c r="M35" s="17">
        <f t="shared" si="1"/>
        <v>7590.55</v>
      </c>
      <c r="O35" s="18">
        <f t="shared" si="0"/>
        <v>16.867888888888888</v>
      </c>
      <c r="P35" s="19">
        <f t="shared" si="2"/>
        <v>15</v>
      </c>
    </row>
    <row r="36" spans="2:16" x14ac:dyDescent="0.25">
      <c r="B36" s="29" t="s">
        <v>192</v>
      </c>
      <c r="C36" s="4" t="s">
        <v>255</v>
      </c>
      <c r="D36" s="15"/>
      <c r="F36" s="9" t="s">
        <v>471</v>
      </c>
      <c r="G36" s="4">
        <v>38.79</v>
      </c>
      <c r="M36" s="17">
        <f t="shared" si="1"/>
        <v>7176.15</v>
      </c>
      <c r="O36" s="18">
        <f t="shared" si="0"/>
        <v>15.946999999999999</v>
      </c>
      <c r="P36" s="19">
        <f t="shared" si="2"/>
        <v>15</v>
      </c>
    </row>
    <row r="37" spans="2:16" x14ac:dyDescent="0.25">
      <c r="B37" s="29" t="s">
        <v>193</v>
      </c>
      <c r="C37" s="4" t="s">
        <v>255</v>
      </c>
      <c r="D37" s="15"/>
      <c r="F37" s="9" t="s">
        <v>472</v>
      </c>
      <c r="G37" s="4">
        <v>50.33</v>
      </c>
      <c r="M37" s="17">
        <f t="shared" si="1"/>
        <v>9311.0499999999993</v>
      </c>
      <c r="O37" s="18">
        <f t="shared" si="0"/>
        <v>20.691222222222219</v>
      </c>
      <c r="P37" s="19">
        <f t="shared" si="2"/>
        <v>20</v>
      </c>
    </row>
    <row r="38" spans="2:16" x14ac:dyDescent="0.25">
      <c r="B38" s="29" t="s">
        <v>194</v>
      </c>
      <c r="C38" s="4" t="s">
        <v>255</v>
      </c>
      <c r="D38" s="15"/>
      <c r="F38" s="9" t="s">
        <v>473</v>
      </c>
      <c r="G38" s="4">
        <v>38.130000000000003</v>
      </c>
      <c r="M38" s="17">
        <f t="shared" si="1"/>
        <v>7054.05</v>
      </c>
      <c r="O38" s="18">
        <f t="shared" ref="O38:O69" si="3">M38/$J$10</f>
        <v>15.675666666666666</v>
      </c>
      <c r="P38" s="19">
        <f t="shared" si="2"/>
        <v>15</v>
      </c>
    </row>
    <row r="39" spans="2:16" x14ac:dyDescent="0.25">
      <c r="B39" s="29" t="s">
        <v>195</v>
      </c>
      <c r="C39" s="4" t="s">
        <v>255</v>
      </c>
      <c r="D39" s="15"/>
      <c r="F39" s="9" t="s">
        <v>474</v>
      </c>
      <c r="G39" s="4">
        <v>38.04</v>
      </c>
      <c r="M39" s="17">
        <f t="shared" si="1"/>
        <v>7037.4</v>
      </c>
      <c r="O39" s="18">
        <f t="shared" si="3"/>
        <v>15.638666666666666</v>
      </c>
      <c r="P39" s="19">
        <f t="shared" si="2"/>
        <v>15</v>
      </c>
    </row>
    <row r="40" spans="2:16" x14ac:dyDescent="0.25">
      <c r="B40" s="29" t="s">
        <v>196</v>
      </c>
      <c r="C40" s="4" t="s">
        <v>255</v>
      </c>
      <c r="D40" s="15"/>
      <c r="F40" s="9" t="s">
        <v>475</v>
      </c>
      <c r="G40" s="4">
        <v>50.400000000000006</v>
      </c>
      <c r="M40" s="17">
        <f t="shared" si="1"/>
        <v>9324.0000000000018</v>
      </c>
      <c r="O40" s="18">
        <f t="shared" si="3"/>
        <v>20.720000000000002</v>
      </c>
      <c r="P40" s="19">
        <f t="shared" si="2"/>
        <v>20</v>
      </c>
    </row>
    <row r="41" spans="2:16" x14ac:dyDescent="0.25">
      <c r="B41" s="34" t="s">
        <v>197</v>
      </c>
      <c r="C41" s="4" t="s">
        <v>255</v>
      </c>
      <c r="D41" s="15"/>
      <c r="F41" s="9" t="s">
        <v>476</v>
      </c>
      <c r="G41" s="4">
        <v>37.33</v>
      </c>
      <c r="M41" s="17">
        <f t="shared" si="1"/>
        <v>6906.0499999999993</v>
      </c>
      <c r="O41" s="18">
        <f t="shared" si="3"/>
        <v>15.346777777777776</v>
      </c>
      <c r="P41" s="19">
        <f t="shared" si="2"/>
        <v>15</v>
      </c>
    </row>
    <row r="42" spans="2:16" x14ac:dyDescent="0.25">
      <c r="B42" s="34" t="s">
        <v>198</v>
      </c>
      <c r="C42" s="4" t="s">
        <v>255</v>
      </c>
      <c r="D42" s="15"/>
      <c r="F42" s="9" t="s">
        <v>477</v>
      </c>
      <c r="G42" s="4">
        <v>38.980000000000004</v>
      </c>
      <c r="M42" s="17">
        <f t="shared" si="1"/>
        <v>7211.3000000000011</v>
      </c>
      <c r="O42" s="18">
        <f t="shared" si="3"/>
        <v>16.025111111111112</v>
      </c>
      <c r="P42" s="19">
        <f t="shared" si="2"/>
        <v>15</v>
      </c>
    </row>
    <row r="43" spans="2:16" x14ac:dyDescent="0.25">
      <c r="B43" s="34" t="s">
        <v>199</v>
      </c>
      <c r="C43" s="4" t="s">
        <v>255</v>
      </c>
      <c r="D43" s="15"/>
      <c r="F43" s="9" t="s">
        <v>478</v>
      </c>
      <c r="G43" s="4">
        <v>37.03</v>
      </c>
      <c r="M43" s="17">
        <f t="shared" si="1"/>
        <v>6850.55</v>
      </c>
      <c r="O43" s="18">
        <f t="shared" si="3"/>
        <v>15.223444444444445</v>
      </c>
      <c r="P43" s="19">
        <f t="shared" si="2"/>
        <v>15</v>
      </c>
    </row>
    <row r="44" spans="2:16" x14ac:dyDescent="0.25">
      <c r="B44" s="34" t="s">
        <v>200</v>
      </c>
      <c r="C44" s="4" t="s">
        <v>255</v>
      </c>
      <c r="D44" s="15"/>
      <c r="F44" s="9" t="s">
        <v>479</v>
      </c>
      <c r="G44" s="4">
        <v>46.489999999999995</v>
      </c>
      <c r="M44" s="17">
        <f t="shared" si="1"/>
        <v>8600.65</v>
      </c>
      <c r="O44" s="18">
        <f t="shared" si="3"/>
        <v>19.112555555555556</v>
      </c>
      <c r="P44" s="19">
        <f t="shared" si="2"/>
        <v>20</v>
      </c>
    </row>
    <row r="45" spans="2:16" x14ac:dyDescent="0.25">
      <c r="B45" s="34" t="s">
        <v>201</v>
      </c>
      <c r="C45" s="4" t="s">
        <v>255</v>
      </c>
      <c r="D45" s="15"/>
      <c r="F45" s="9" t="s">
        <v>480</v>
      </c>
      <c r="G45" s="4">
        <v>39.26</v>
      </c>
      <c r="M45" s="17">
        <f t="shared" si="1"/>
        <v>7263.0999999999995</v>
      </c>
      <c r="O45" s="18">
        <f t="shared" si="3"/>
        <v>16.140222222222221</v>
      </c>
      <c r="P45" s="19">
        <f t="shared" si="2"/>
        <v>15</v>
      </c>
    </row>
    <row r="46" spans="2:16" x14ac:dyDescent="0.25">
      <c r="B46" s="29" t="s">
        <v>202</v>
      </c>
      <c r="C46" s="4" t="s">
        <v>255</v>
      </c>
      <c r="D46" s="15"/>
      <c r="F46" s="9" t="s">
        <v>481</v>
      </c>
      <c r="G46" s="4">
        <v>38.93</v>
      </c>
      <c r="M46" s="17">
        <f t="shared" si="1"/>
        <v>7202.05</v>
      </c>
      <c r="O46" s="18">
        <f t="shared" si="3"/>
        <v>16.004555555555555</v>
      </c>
      <c r="P46" s="19">
        <f t="shared" si="2"/>
        <v>15</v>
      </c>
    </row>
    <row r="47" spans="2:16" x14ac:dyDescent="0.25">
      <c r="B47" s="29" t="s">
        <v>203</v>
      </c>
      <c r="C47" s="4" t="s">
        <v>255</v>
      </c>
      <c r="D47" s="15"/>
      <c r="F47" s="9" t="s">
        <v>482</v>
      </c>
      <c r="G47" s="4">
        <v>45.51</v>
      </c>
      <c r="M47" s="17">
        <f t="shared" si="1"/>
        <v>8419.35</v>
      </c>
      <c r="O47" s="18">
        <f t="shared" si="3"/>
        <v>18.709666666666667</v>
      </c>
      <c r="P47" s="19">
        <f t="shared" si="2"/>
        <v>20</v>
      </c>
    </row>
    <row r="48" spans="2:16" x14ac:dyDescent="0.25">
      <c r="B48" s="29" t="s">
        <v>204</v>
      </c>
      <c r="C48" s="4" t="s">
        <v>255</v>
      </c>
      <c r="D48" s="15"/>
      <c r="F48" s="9" t="s">
        <v>483</v>
      </c>
      <c r="G48" s="4">
        <v>38.79</v>
      </c>
      <c r="M48" s="17">
        <f t="shared" si="1"/>
        <v>7176.15</v>
      </c>
      <c r="O48" s="18">
        <f t="shared" si="3"/>
        <v>15.946999999999999</v>
      </c>
      <c r="P48" s="19">
        <f t="shared" si="2"/>
        <v>15</v>
      </c>
    </row>
    <row r="49" spans="2:16" x14ac:dyDescent="0.25">
      <c r="B49" s="29" t="s">
        <v>205</v>
      </c>
      <c r="C49" s="4" t="s">
        <v>255</v>
      </c>
      <c r="D49" s="15"/>
      <c r="F49" s="9" t="s">
        <v>484</v>
      </c>
      <c r="G49" s="4">
        <v>50.33</v>
      </c>
      <c r="M49" s="17">
        <f t="shared" si="1"/>
        <v>9311.0499999999993</v>
      </c>
      <c r="O49" s="18">
        <f t="shared" si="3"/>
        <v>20.691222222222219</v>
      </c>
      <c r="P49" s="19">
        <f t="shared" si="2"/>
        <v>20</v>
      </c>
    </row>
    <row r="50" spans="2:16" x14ac:dyDescent="0.25">
      <c r="B50" s="29" t="s">
        <v>206</v>
      </c>
      <c r="C50" s="4" t="s">
        <v>255</v>
      </c>
      <c r="D50" s="15"/>
      <c r="F50" s="9" t="s">
        <v>485</v>
      </c>
      <c r="G50" s="4">
        <v>38.130000000000003</v>
      </c>
      <c r="M50" s="17">
        <f t="shared" si="1"/>
        <v>7054.05</v>
      </c>
      <c r="O50" s="18">
        <f t="shared" si="3"/>
        <v>15.675666666666666</v>
      </c>
      <c r="P50" s="19">
        <f t="shared" si="2"/>
        <v>15</v>
      </c>
    </row>
    <row r="51" spans="2:16" x14ac:dyDescent="0.25">
      <c r="B51" s="34" t="s">
        <v>207</v>
      </c>
      <c r="C51" s="4" t="s">
        <v>255</v>
      </c>
      <c r="D51" s="15"/>
      <c r="F51" s="9" t="s">
        <v>486</v>
      </c>
      <c r="G51" s="4">
        <v>38.04</v>
      </c>
      <c r="M51" s="17">
        <f t="shared" si="1"/>
        <v>7037.4</v>
      </c>
      <c r="O51" s="18">
        <f t="shared" si="3"/>
        <v>15.638666666666666</v>
      </c>
      <c r="P51" s="19">
        <f t="shared" si="2"/>
        <v>15</v>
      </c>
    </row>
    <row r="52" spans="2:16" x14ac:dyDescent="0.25">
      <c r="B52" s="34" t="s">
        <v>208</v>
      </c>
      <c r="C52" s="4" t="s">
        <v>255</v>
      </c>
      <c r="D52" s="15"/>
      <c r="F52" s="9" t="s">
        <v>487</v>
      </c>
      <c r="G52" s="4">
        <v>44.34</v>
      </c>
      <c r="M52" s="17">
        <f t="shared" si="1"/>
        <v>8202.9000000000015</v>
      </c>
      <c r="O52" s="18">
        <f t="shared" si="3"/>
        <v>18.228666666666669</v>
      </c>
      <c r="P52" s="19">
        <f t="shared" si="2"/>
        <v>20</v>
      </c>
    </row>
    <row r="53" spans="2:16" x14ac:dyDescent="0.25">
      <c r="B53" s="34" t="s">
        <v>209</v>
      </c>
      <c r="C53" s="4" t="s">
        <v>255</v>
      </c>
      <c r="D53" s="15"/>
      <c r="F53" s="9" t="s">
        <v>488</v>
      </c>
      <c r="G53" s="4">
        <v>37.33</v>
      </c>
      <c r="M53" s="17">
        <f t="shared" si="1"/>
        <v>6906.0499999999993</v>
      </c>
      <c r="O53" s="18">
        <f t="shared" si="3"/>
        <v>15.346777777777776</v>
      </c>
      <c r="P53" s="19">
        <f t="shared" si="2"/>
        <v>15</v>
      </c>
    </row>
    <row r="54" spans="2:16" x14ac:dyDescent="0.25">
      <c r="B54" s="34" t="s">
        <v>210</v>
      </c>
      <c r="C54" s="4" t="s">
        <v>255</v>
      </c>
      <c r="D54" s="15"/>
      <c r="F54" s="9" t="s">
        <v>489</v>
      </c>
      <c r="G54" s="4">
        <v>38.75</v>
      </c>
      <c r="M54" s="17">
        <f t="shared" si="1"/>
        <v>7168.75</v>
      </c>
      <c r="O54" s="18">
        <f t="shared" si="3"/>
        <v>15.930555555555555</v>
      </c>
      <c r="P54" s="19">
        <f t="shared" si="2"/>
        <v>15</v>
      </c>
    </row>
    <row r="55" spans="2:16" x14ac:dyDescent="0.25">
      <c r="B55" s="34" t="s">
        <v>211</v>
      </c>
      <c r="C55" s="4" t="s">
        <v>255</v>
      </c>
      <c r="D55" s="15"/>
      <c r="F55" s="9" t="s">
        <v>490</v>
      </c>
      <c r="G55" s="4">
        <v>37.03</v>
      </c>
      <c r="M55" s="17">
        <f t="shared" si="1"/>
        <v>6850.55</v>
      </c>
      <c r="O55" s="18">
        <f t="shared" si="3"/>
        <v>15.223444444444445</v>
      </c>
      <c r="P55" s="19">
        <f t="shared" si="2"/>
        <v>15</v>
      </c>
    </row>
    <row r="56" spans="2:16" x14ac:dyDescent="0.25">
      <c r="F56" s="9" t="s">
        <v>491</v>
      </c>
      <c r="G56" s="4">
        <v>46.489999999999995</v>
      </c>
      <c r="M56" s="17">
        <f t="shared" si="1"/>
        <v>8600.65</v>
      </c>
      <c r="O56" s="18">
        <f t="shared" si="3"/>
        <v>19.112555555555556</v>
      </c>
      <c r="P56" s="19">
        <f t="shared" si="2"/>
        <v>20</v>
      </c>
    </row>
    <row r="57" spans="2:16" x14ac:dyDescent="0.25">
      <c r="F57" s="9" t="s">
        <v>492</v>
      </c>
      <c r="G57" s="4">
        <v>39.26</v>
      </c>
      <c r="M57" s="17">
        <f t="shared" si="1"/>
        <v>7263.0999999999995</v>
      </c>
      <c r="O57" s="18">
        <f t="shared" si="3"/>
        <v>16.140222222222221</v>
      </c>
      <c r="P57" s="19">
        <f t="shared" si="2"/>
        <v>15</v>
      </c>
    </row>
    <row r="58" spans="2:16" x14ac:dyDescent="0.25">
      <c r="F58" s="9" t="s">
        <v>493</v>
      </c>
      <c r="G58" s="4">
        <v>38.93</v>
      </c>
      <c r="M58" s="17">
        <f t="shared" si="1"/>
        <v>7202.05</v>
      </c>
      <c r="O58" s="18">
        <f t="shared" si="3"/>
        <v>16.004555555555555</v>
      </c>
      <c r="P58" s="19">
        <f t="shared" si="2"/>
        <v>15</v>
      </c>
    </row>
    <row r="59" spans="2:16" x14ac:dyDescent="0.25">
      <c r="F59" s="9" t="s">
        <v>494</v>
      </c>
      <c r="G59" s="4">
        <v>45.510000000000005</v>
      </c>
      <c r="M59" s="17">
        <f t="shared" si="1"/>
        <v>8419.35</v>
      </c>
      <c r="O59" s="18">
        <f t="shared" si="3"/>
        <v>18.709666666666667</v>
      </c>
      <c r="P59" s="19">
        <f t="shared" si="2"/>
        <v>20</v>
      </c>
    </row>
    <row r="60" spans="2:16" x14ac:dyDescent="0.25">
      <c r="F60" s="9" t="s">
        <v>495</v>
      </c>
      <c r="G60" s="4">
        <v>38.79</v>
      </c>
      <c r="M60" s="17">
        <f t="shared" si="1"/>
        <v>7176.15</v>
      </c>
      <c r="O60" s="18">
        <f t="shared" si="3"/>
        <v>15.946999999999999</v>
      </c>
      <c r="P60" s="19">
        <f t="shared" si="2"/>
        <v>15</v>
      </c>
    </row>
    <row r="61" spans="2:16" x14ac:dyDescent="0.25">
      <c r="F61" s="9" t="s">
        <v>496</v>
      </c>
      <c r="G61" s="4">
        <v>50.33</v>
      </c>
      <c r="M61" s="17">
        <f t="shared" si="1"/>
        <v>9311.0499999999993</v>
      </c>
      <c r="O61" s="18">
        <f t="shared" si="3"/>
        <v>20.691222222222219</v>
      </c>
      <c r="P61" s="19">
        <f t="shared" si="2"/>
        <v>20</v>
      </c>
    </row>
    <row r="62" spans="2:16" x14ac:dyDescent="0.25">
      <c r="F62" s="9" t="s">
        <v>497</v>
      </c>
      <c r="G62" s="4">
        <v>38.130000000000003</v>
      </c>
      <c r="M62" s="17">
        <f t="shared" si="1"/>
        <v>7054.05</v>
      </c>
      <c r="O62" s="18">
        <f t="shared" si="3"/>
        <v>15.675666666666666</v>
      </c>
      <c r="P62" s="19">
        <f t="shared" si="2"/>
        <v>15</v>
      </c>
    </row>
    <row r="63" spans="2:16" x14ac:dyDescent="0.25">
      <c r="F63" s="9" t="s">
        <v>498</v>
      </c>
      <c r="G63" s="4">
        <v>38.04</v>
      </c>
      <c r="M63" s="17">
        <f t="shared" si="1"/>
        <v>7037.4</v>
      </c>
      <c r="O63" s="18">
        <f t="shared" si="3"/>
        <v>15.638666666666666</v>
      </c>
      <c r="P63" s="19">
        <f t="shared" si="2"/>
        <v>15</v>
      </c>
    </row>
    <row r="64" spans="2:16" x14ac:dyDescent="0.25">
      <c r="F64" s="9" t="s">
        <v>499</v>
      </c>
      <c r="G64" s="4">
        <v>44.34</v>
      </c>
      <c r="M64" s="17">
        <f t="shared" si="1"/>
        <v>8202.9000000000015</v>
      </c>
      <c r="O64" s="18">
        <f t="shared" si="3"/>
        <v>18.228666666666669</v>
      </c>
      <c r="P64" s="19">
        <f t="shared" si="2"/>
        <v>20</v>
      </c>
    </row>
    <row r="65" spans="6:16" x14ac:dyDescent="0.25">
      <c r="F65" s="9" t="s">
        <v>500</v>
      </c>
      <c r="G65" s="4">
        <v>37.33</v>
      </c>
      <c r="M65" s="17">
        <f t="shared" si="1"/>
        <v>6906.0499999999993</v>
      </c>
      <c r="O65" s="18">
        <f t="shared" si="3"/>
        <v>15.346777777777776</v>
      </c>
      <c r="P65" s="19">
        <f t="shared" si="2"/>
        <v>15</v>
      </c>
    </row>
    <row r="66" spans="6:16" x14ac:dyDescent="0.25">
      <c r="F66" s="9" t="s">
        <v>501</v>
      </c>
      <c r="G66" s="4">
        <v>38.75</v>
      </c>
      <c r="M66" s="17">
        <f t="shared" si="1"/>
        <v>7168.75</v>
      </c>
      <c r="O66" s="18">
        <f t="shared" si="3"/>
        <v>15.930555555555555</v>
      </c>
      <c r="P66" s="19">
        <f t="shared" si="2"/>
        <v>15</v>
      </c>
    </row>
    <row r="67" spans="6:16" x14ac:dyDescent="0.25">
      <c r="F67" s="9" t="s">
        <v>502</v>
      </c>
      <c r="G67" s="4">
        <v>37.03</v>
      </c>
      <c r="M67" s="17">
        <f t="shared" si="1"/>
        <v>6850.55</v>
      </c>
      <c r="O67" s="18">
        <f t="shared" si="3"/>
        <v>15.223444444444445</v>
      </c>
      <c r="P67" s="19">
        <f t="shared" si="2"/>
        <v>15</v>
      </c>
    </row>
    <row r="68" spans="6:16" x14ac:dyDescent="0.25">
      <c r="F68" s="9" t="s">
        <v>503</v>
      </c>
      <c r="G68" s="4">
        <v>46.489999999999995</v>
      </c>
      <c r="M68" s="17">
        <f t="shared" si="1"/>
        <v>8600.65</v>
      </c>
      <c r="O68" s="18">
        <f t="shared" si="3"/>
        <v>19.112555555555556</v>
      </c>
      <c r="P68" s="19">
        <f t="shared" si="2"/>
        <v>20</v>
      </c>
    </row>
    <row r="69" spans="6:16" x14ac:dyDescent="0.25">
      <c r="F69" s="9" t="s">
        <v>504</v>
      </c>
      <c r="G69" s="4">
        <v>39.26</v>
      </c>
      <c r="M69" s="17">
        <f t="shared" si="1"/>
        <v>7263.0999999999995</v>
      </c>
      <c r="O69" s="18">
        <f t="shared" si="3"/>
        <v>16.140222222222221</v>
      </c>
      <c r="P69" s="19">
        <f t="shared" si="2"/>
        <v>15</v>
      </c>
    </row>
    <row r="70" spans="6:16" x14ac:dyDescent="0.25">
      <c r="F70" s="9" t="s">
        <v>505</v>
      </c>
      <c r="G70" s="4">
        <v>38.93</v>
      </c>
      <c r="M70" s="17">
        <f t="shared" si="1"/>
        <v>7202.05</v>
      </c>
      <c r="O70" s="18">
        <f t="shared" ref="O70:O100" si="4">M70/$J$10</f>
        <v>16.004555555555555</v>
      </c>
      <c r="P70" s="19">
        <f t="shared" si="2"/>
        <v>15</v>
      </c>
    </row>
    <row r="71" spans="6:16" x14ac:dyDescent="0.25">
      <c r="F71" s="9" t="s">
        <v>506</v>
      </c>
      <c r="G71" s="4">
        <v>45.510000000000005</v>
      </c>
      <c r="M71" s="17">
        <f t="shared" ref="M71:M100" si="5">185*G71</f>
        <v>8419.35</v>
      </c>
      <c r="O71" s="18">
        <f t="shared" si="4"/>
        <v>18.709666666666667</v>
      </c>
      <c r="P71" s="19">
        <f t="shared" ref="P71:P100" si="6">MROUND(O71,5)</f>
        <v>20</v>
      </c>
    </row>
    <row r="72" spans="6:16" x14ac:dyDescent="0.25">
      <c r="F72" s="9" t="s">
        <v>507</v>
      </c>
      <c r="G72" s="4">
        <v>38.79</v>
      </c>
      <c r="M72" s="17">
        <f t="shared" si="5"/>
        <v>7176.15</v>
      </c>
      <c r="O72" s="18">
        <f t="shared" si="4"/>
        <v>15.946999999999999</v>
      </c>
      <c r="P72" s="19">
        <f t="shared" si="6"/>
        <v>15</v>
      </c>
    </row>
    <row r="73" spans="6:16" x14ac:dyDescent="0.25">
      <c r="F73" s="9" t="s">
        <v>508</v>
      </c>
      <c r="G73" s="4">
        <v>50.33</v>
      </c>
      <c r="M73" s="17">
        <f t="shared" si="5"/>
        <v>9311.0499999999993</v>
      </c>
      <c r="O73" s="18">
        <f t="shared" si="4"/>
        <v>20.691222222222219</v>
      </c>
      <c r="P73" s="19">
        <f t="shared" si="6"/>
        <v>20</v>
      </c>
    </row>
    <row r="74" spans="6:16" x14ac:dyDescent="0.25">
      <c r="F74" s="9" t="s">
        <v>509</v>
      </c>
      <c r="G74" s="4">
        <v>38.130000000000003</v>
      </c>
      <c r="M74" s="17">
        <f t="shared" si="5"/>
        <v>7054.05</v>
      </c>
      <c r="O74" s="18">
        <f t="shared" si="4"/>
        <v>15.675666666666666</v>
      </c>
      <c r="P74" s="19">
        <f t="shared" si="6"/>
        <v>15</v>
      </c>
    </row>
    <row r="75" spans="6:16" x14ac:dyDescent="0.25">
      <c r="F75" s="9" t="s">
        <v>510</v>
      </c>
      <c r="G75" s="4">
        <v>38.04</v>
      </c>
      <c r="M75" s="17">
        <f t="shared" si="5"/>
        <v>7037.4</v>
      </c>
      <c r="O75" s="18">
        <f t="shared" si="4"/>
        <v>15.638666666666666</v>
      </c>
      <c r="P75" s="19">
        <f t="shared" si="6"/>
        <v>15</v>
      </c>
    </row>
    <row r="76" spans="6:16" x14ac:dyDescent="0.25">
      <c r="F76" s="9" t="s">
        <v>511</v>
      </c>
      <c r="G76" s="4">
        <v>44.34</v>
      </c>
      <c r="M76" s="17">
        <f t="shared" si="5"/>
        <v>8202.9000000000015</v>
      </c>
      <c r="O76" s="18">
        <f t="shared" si="4"/>
        <v>18.228666666666669</v>
      </c>
      <c r="P76" s="19">
        <f t="shared" si="6"/>
        <v>20</v>
      </c>
    </row>
    <row r="77" spans="6:16" x14ac:dyDescent="0.25">
      <c r="F77" s="9" t="s">
        <v>512</v>
      </c>
      <c r="G77" s="4">
        <v>37.33</v>
      </c>
      <c r="M77" s="17">
        <f t="shared" si="5"/>
        <v>6906.0499999999993</v>
      </c>
      <c r="O77" s="18">
        <f t="shared" si="4"/>
        <v>15.346777777777776</v>
      </c>
      <c r="P77" s="19">
        <f t="shared" si="6"/>
        <v>15</v>
      </c>
    </row>
    <row r="78" spans="6:16" x14ac:dyDescent="0.25">
      <c r="F78" s="9" t="s">
        <v>513</v>
      </c>
      <c r="G78" s="4">
        <v>38.75</v>
      </c>
      <c r="M78" s="17">
        <f t="shared" si="5"/>
        <v>7168.75</v>
      </c>
      <c r="O78" s="18">
        <f t="shared" si="4"/>
        <v>15.930555555555555</v>
      </c>
      <c r="P78" s="19">
        <f t="shared" si="6"/>
        <v>15</v>
      </c>
    </row>
    <row r="79" spans="6:16" x14ac:dyDescent="0.25">
      <c r="F79" s="9" t="s">
        <v>514</v>
      </c>
      <c r="G79" s="4">
        <v>37.03</v>
      </c>
      <c r="M79" s="17">
        <f t="shared" si="5"/>
        <v>6850.55</v>
      </c>
      <c r="O79" s="18">
        <f t="shared" si="4"/>
        <v>15.223444444444445</v>
      </c>
      <c r="P79" s="19">
        <f t="shared" si="6"/>
        <v>15</v>
      </c>
    </row>
    <row r="80" spans="6:16" x14ac:dyDescent="0.25">
      <c r="F80" s="9" t="s">
        <v>515</v>
      </c>
      <c r="G80" s="4">
        <v>46.489999999999995</v>
      </c>
      <c r="M80" s="17">
        <f t="shared" si="5"/>
        <v>8600.65</v>
      </c>
      <c r="O80" s="18">
        <f t="shared" si="4"/>
        <v>19.112555555555556</v>
      </c>
      <c r="P80" s="19">
        <f t="shared" si="6"/>
        <v>20</v>
      </c>
    </row>
    <row r="81" spans="6:16" x14ac:dyDescent="0.25">
      <c r="F81" s="9" t="s">
        <v>516</v>
      </c>
      <c r="G81" s="4">
        <v>39.26</v>
      </c>
      <c r="M81" s="17">
        <f t="shared" si="5"/>
        <v>7263.0999999999995</v>
      </c>
      <c r="O81" s="18">
        <f t="shared" si="4"/>
        <v>16.140222222222221</v>
      </c>
      <c r="P81" s="19">
        <f t="shared" si="6"/>
        <v>15</v>
      </c>
    </row>
    <row r="82" spans="6:16" x14ac:dyDescent="0.25">
      <c r="F82" s="9" t="s">
        <v>517</v>
      </c>
      <c r="G82" s="4">
        <v>38.93</v>
      </c>
      <c r="M82" s="17">
        <f t="shared" si="5"/>
        <v>7202.05</v>
      </c>
      <c r="O82" s="18">
        <f t="shared" si="4"/>
        <v>16.004555555555555</v>
      </c>
      <c r="P82" s="19">
        <f t="shared" si="6"/>
        <v>15</v>
      </c>
    </row>
    <row r="83" spans="6:16" x14ac:dyDescent="0.25">
      <c r="F83" s="9" t="s">
        <v>518</v>
      </c>
      <c r="G83" s="4">
        <v>45.510000000000005</v>
      </c>
      <c r="M83" s="17">
        <f t="shared" si="5"/>
        <v>8419.35</v>
      </c>
      <c r="O83" s="18">
        <f t="shared" si="4"/>
        <v>18.709666666666667</v>
      </c>
      <c r="P83" s="19">
        <f t="shared" si="6"/>
        <v>20</v>
      </c>
    </row>
    <row r="84" spans="6:16" x14ac:dyDescent="0.25">
      <c r="F84" s="9" t="s">
        <v>519</v>
      </c>
      <c r="G84" s="4">
        <v>38.79</v>
      </c>
      <c r="M84" s="17">
        <f t="shared" si="5"/>
        <v>7176.15</v>
      </c>
      <c r="O84" s="18">
        <f t="shared" si="4"/>
        <v>15.946999999999999</v>
      </c>
      <c r="P84" s="19">
        <f t="shared" si="6"/>
        <v>15</v>
      </c>
    </row>
    <row r="85" spans="6:16" x14ac:dyDescent="0.25">
      <c r="F85" s="9" t="s">
        <v>520</v>
      </c>
      <c r="G85" s="4">
        <v>50.33</v>
      </c>
      <c r="M85" s="17">
        <f t="shared" si="5"/>
        <v>9311.0499999999993</v>
      </c>
      <c r="O85" s="18">
        <f t="shared" si="4"/>
        <v>20.691222222222219</v>
      </c>
      <c r="P85" s="19">
        <f t="shared" si="6"/>
        <v>20</v>
      </c>
    </row>
    <row r="86" spans="6:16" x14ac:dyDescent="0.25">
      <c r="F86" s="9" t="s">
        <v>521</v>
      </c>
      <c r="G86" s="4">
        <v>38.130000000000003</v>
      </c>
      <c r="M86" s="17">
        <f t="shared" si="5"/>
        <v>7054.05</v>
      </c>
      <c r="O86" s="18">
        <f t="shared" si="4"/>
        <v>15.675666666666666</v>
      </c>
      <c r="P86" s="19">
        <f t="shared" si="6"/>
        <v>15</v>
      </c>
    </row>
    <row r="87" spans="6:16" x14ac:dyDescent="0.25">
      <c r="F87" s="9" t="s">
        <v>522</v>
      </c>
      <c r="G87" s="4">
        <v>38.04</v>
      </c>
      <c r="M87" s="17">
        <f t="shared" si="5"/>
        <v>7037.4</v>
      </c>
      <c r="O87" s="18">
        <f t="shared" si="4"/>
        <v>15.638666666666666</v>
      </c>
      <c r="P87" s="19">
        <f t="shared" si="6"/>
        <v>15</v>
      </c>
    </row>
    <row r="88" spans="6:16" x14ac:dyDescent="0.25">
      <c r="F88" s="9" t="s">
        <v>523</v>
      </c>
      <c r="G88" s="4">
        <v>44.34</v>
      </c>
      <c r="M88" s="17">
        <f t="shared" si="5"/>
        <v>8202.9000000000015</v>
      </c>
      <c r="O88" s="18">
        <f t="shared" si="4"/>
        <v>18.228666666666669</v>
      </c>
      <c r="P88" s="19">
        <f t="shared" si="6"/>
        <v>20</v>
      </c>
    </row>
    <row r="89" spans="6:16" x14ac:dyDescent="0.25">
      <c r="F89" s="9" t="s">
        <v>524</v>
      </c>
      <c r="G89" s="4">
        <v>37.33</v>
      </c>
      <c r="M89" s="17">
        <f t="shared" si="5"/>
        <v>6906.0499999999993</v>
      </c>
      <c r="O89" s="18">
        <f t="shared" si="4"/>
        <v>15.346777777777776</v>
      </c>
      <c r="P89" s="19">
        <f t="shared" si="6"/>
        <v>15</v>
      </c>
    </row>
    <row r="90" spans="6:16" x14ac:dyDescent="0.25">
      <c r="F90" s="9" t="s">
        <v>525</v>
      </c>
      <c r="G90" s="4">
        <v>38.75</v>
      </c>
      <c r="M90" s="17">
        <f t="shared" si="5"/>
        <v>7168.75</v>
      </c>
      <c r="O90" s="18">
        <f t="shared" si="4"/>
        <v>15.930555555555555</v>
      </c>
      <c r="P90" s="19">
        <f t="shared" si="6"/>
        <v>15</v>
      </c>
    </row>
    <row r="91" spans="6:16" x14ac:dyDescent="0.25">
      <c r="F91" s="9" t="s">
        <v>526</v>
      </c>
      <c r="G91" s="4">
        <v>37.03</v>
      </c>
      <c r="M91" s="17">
        <f t="shared" si="5"/>
        <v>6850.55</v>
      </c>
      <c r="O91" s="18">
        <f t="shared" si="4"/>
        <v>15.223444444444445</v>
      </c>
      <c r="P91" s="19">
        <f t="shared" si="6"/>
        <v>15</v>
      </c>
    </row>
    <row r="92" spans="6:16" x14ac:dyDescent="0.25">
      <c r="F92" s="9" t="s">
        <v>527</v>
      </c>
      <c r="G92" s="4">
        <v>46.489999999999995</v>
      </c>
      <c r="M92" s="17">
        <f t="shared" si="5"/>
        <v>8600.65</v>
      </c>
      <c r="O92" s="18">
        <f t="shared" si="4"/>
        <v>19.112555555555556</v>
      </c>
      <c r="P92" s="19">
        <f t="shared" si="6"/>
        <v>20</v>
      </c>
    </row>
    <row r="93" spans="6:16" x14ac:dyDescent="0.25">
      <c r="F93" s="9" t="s">
        <v>528</v>
      </c>
      <c r="G93" s="4">
        <v>39.26</v>
      </c>
      <c r="M93" s="17">
        <f t="shared" si="5"/>
        <v>7263.0999999999995</v>
      </c>
      <c r="O93" s="18">
        <f t="shared" si="4"/>
        <v>16.140222222222221</v>
      </c>
      <c r="P93" s="19">
        <f t="shared" si="6"/>
        <v>15</v>
      </c>
    </row>
    <row r="94" spans="6:16" x14ac:dyDescent="0.25">
      <c r="F94" s="9" t="s">
        <v>529</v>
      </c>
      <c r="G94" s="4">
        <v>38.93</v>
      </c>
      <c r="M94" s="17">
        <f t="shared" si="5"/>
        <v>7202.05</v>
      </c>
      <c r="O94" s="18">
        <f t="shared" si="4"/>
        <v>16.004555555555555</v>
      </c>
      <c r="P94" s="19">
        <f t="shared" si="6"/>
        <v>15</v>
      </c>
    </row>
    <row r="95" spans="6:16" x14ac:dyDescent="0.25">
      <c r="F95" s="9" t="s">
        <v>530</v>
      </c>
      <c r="G95" s="4">
        <v>45.510000000000005</v>
      </c>
      <c r="M95" s="17">
        <f t="shared" si="5"/>
        <v>8419.35</v>
      </c>
      <c r="O95" s="18">
        <f t="shared" si="4"/>
        <v>18.709666666666667</v>
      </c>
      <c r="P95" s="19">
        <f t="shared" si="6"/>
        <v>20</v>
      </c>
    </row>
    <row r="96" spans="6:16" x14ac:dyDescent="0.25">
      <c r="F96" s="9" t="s">
        <v>531</v>
      </c>
      <c r="G96" s="4">
        <v>38.79</v>
      </c>
      <c r="M96" s="17">
        <f t="shared" si="5"/>
        <v>7176.15</v>
      </c>
      <c r="O96" s="18">
        <f t="shared" si="4"/>
        <v>15.946999999999999</v>
      </c>
      <c r="P96" s="19">
        <f t="shared" si="6"/>
        <v>15</v>
      </c>
    </row>
    <row r="97" spans="6:16" x14ac:dyDescent="0.25">
      <c r="F97" s="9" t="s">
        <v>532</v>
      </c>
      <c r="G97" s="4">
        <v>50.33</v>
      </c>
      <c r="M97" s="17">
        <f t="shared" si="5"/>
        <v>9311.0499999999993</v>
      </c>
      <c r="O97" s="18">
        <f t="shared" si="4"/>
        <v>20.691222222222219</v>
      </c>
      <c r="P97" s="19">
        <f t="shared" si="6"/>
        <v>20</v>
      </c>
    </row>
    <row r="98" spans="6:16" x14ac:dyDescent="0.25">
      <c r="F98" s="9" t="s">
        <v>533</v>
      </c>
      <c r="G98" s="4">
        <v>38.130000000000003</v>
      </c>
      <c r="M98" s="17">
        <f t="shared" si="5"/>
        <v>7054.05</v>
      </c>
      <c r="O98" s="18">
        <f t="shared" si="4"/>
        <v>15.675666666666666</v>
      </c>
      <c r="P98" s="19">
        <f t="shared" si="6"/>
        <v>15</v>
      </c>
    </row>
    <row r="99" spans="6:16" x14ac:dyDescent="0.25">
      <c r="F99" s="9" t="s">
        <v>534</v>
      </c>
      <c r="G99" s="4">
        <v>38.04</v>
      </c>
      <c r="M99" s="17">
        <f t="shared" si="5"/>
        <v>7037.4</v>
      </c>
      <c r="O99" s="18">
        <f t="shared" si="4"/>
        <v>15.638666666666666</v>
      </c>
      <c r="P99" s="19">
        <f t="shared" si="6"/>
        <v>15</v>
      </c>
    </row>
    <row r="100" spans="6:16" x14ac:dyDescent="0.25">
      <c r="F100" s="9" t="s">
        <v>535</v>
      </c>
      <c r="G100" s="4">
        <v>44.34</v>
      </c>
      <c r="M100" s="17">
        <f t="shared" si="5"/>
        <v>8202.9000000000015</v>
      </c>
      <c r="O100" s="18">
        <f t="shared" si="4"/>
        <v>18.228666666666669</v>
      </c>
      <c r="P100" s="19">
        <f t="shared" si="6"/>
        <v>20</v>
      </c>
    </row>
  </sheetData>
  <conditionalFormatting sqref="C8:C55">
    <cfRule type="cellIs" dxfId="153" priority="9" operator="equal">
      <formula>"Yes"</formula>
    </cfRule>
    <cfRule type="cellIs" dxfId="152" priority="10" operator="equal">
      <formula>"No"</formula>
    </cfRule>
  </conditionalFormatting>
  <conditionalFormatting sqref="C6">
    <cfRule type="cellIs" dxfId="151" priority="3" operator="equal">
      <formula>"Yes"</formula>
    </cfRule>
    <cfRule type="cellIs" dxfId="150" priority="4" operator="equal">
      <formula>"No"</formula>
    </cfRule>
  </conditionalFormatting>
  <conditionalFormatting sqref="C7">
    <cfRule type="cellIs" dxfId="149" priority="1" operator="equal">
      <formula>"Yes"</formula>
    </cfRule>
    <cfRule type="cellIs" dxfId="148" priority="2" operator="equal">
      <formula>"No"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AC5E-D888-4C7B-9464-A401EA822627}">
  <sheetPr codeName="Sheet2">
    <tabColor theme="7" tint="0.79998168889431442"/>
  </sheetPr>
  <dimension ref="A1:BB96"/>
  <sheetViews>
    <sheetView showGridLines="0" workbookViewId="0">
      <selection activeCell="I16" sqref="I16"/>
    </sheetView>
  </sheetViews>
  <sheetFormatPr defaultRowHeight="11.4" x14ac:dyDescent="0.2"/>
  <cols>
    <col min="1" max="4" width="8.796875" style="38"/>
    <col min="5" max="5" width="8.3984375" style="38" customWidth="1"/>
    <col min="6" max="54" width="4.5" style="38" bestFit="1" customWidth="1"/>
    <col min="55" max="16384" width="8.796875" style="38"/>
  </cols>
  <sheetData>
    <row r="1" spans="1:54" ht="57" customHeight="1" x14ac:dyDescent="0.2">
      <c r="A1" s="35" t="s">
        <v>93</v>
      </c>
      <c r="B1" s="35" t="s">
        <v>92</v>
      </c>
      <c r="C1" s="35" t="s">
        <v>0</v>
      </c>
      <c r="D1" s="35" t="s">
        <v>8</v>
      </c>
      <c r="E1" s="36" t="s">
        <v>162</v>
      </c>
      <c r="F1" s="36" t="s">
        <v>163</v>
      </c>
      <c r="G1" s="36" t="s">
        <v>164</v>
      </c>
      <c r="H1" s="36" t="s">
        <v>165</v>
      </c>
      <c r="I1" s="36" t="s">
        <v>166</v>
      </c>
      <c r="J1" s="37" t="s">
        <v>167</v>
      </c>
      <c r="K1" s="37" t="s">
        <v>168</v>
      </c>
      <c r="L1" s="37" t="s">
        <v>169</v>
      </c>
      <c r="M1" s="37" t="s">
        <v>170</v>
      </c>
      <c r="N1" s="37" t="s">
        <v>171</v>
      </c>
      <c r="O1" s="36" t="s">
        <v>172</v>
      </c>
      <c r="P1" s="36" t="s">
        <v>173</v>
      </c>
      <c r="Q1" s="36" t="s">
        <v>174</v>
      </c>
      <c r="R1" s="36" t="s">
        <v>175</v>
      </c>
      <c r="S1" s="36" t="s">
        <v>176</v>
      </c>
      <c r="T1" s="37" t="s">
        <v>177</v>
      </c>
      <c r="U1" s="37" t="s">
        <v>178</v>
      </c>
      <c r="V1" s="37" t="s">
        <v>179</v>
      </c>
      <c r="W1" s="37" t="s">
        <v>180</v>
      </c>
      <c r="X1" s="37" t="s">
        <v>181</v>
      </c>
      <c r="Y1" s="36" t="s">
        <v>182</v>
      </c>
      <c r="Z1" s="36" t="s">
        <v>183</v>
      </c>
      <c r="AA1" s="36" t="s">
        <v>184</v>
      </c>
      <c r="AB1" s="36" t="s">
        <v>185</v>
      </c>
      <c r="AC1" s="36" t="s">
        <v>186</v>
      </c>
      <c r="AD1" s="37" t="s">
        <v>187</v>
      </c>
      <c r="AE1" s="37" t="s">
        <v>188</v>
      </c>
      <c r="AF1" s="37" t="s">
        <v>189</v>
      </c>
      <c r="AG1" s="37" t="s">
        <v>190</v>
      </c>
      <c r="AH1" s="37" t="s">
        <v>191</v>
      </c>
      <c r="AI1" s="36" t="s">
        <v>192</v>
      </c>
      <c r="AJ1" s="36" t="s">
        <v>193</v>
      </c>
      <c r="AK1" s="36" t="s">
        <v>194</v>
      </c>
      <c r="AL1" s="36" t="s">
        <v>195</v>
      </c>
      <c r="AM1" s="36" t="s">
        <v>196</v>
      </c>
      <c r="AN1" s="37" t="s">
        <v>197</v>
      </c>
      <c r="AO1" s="37" t="s">
        <v>198</v>
      </c>
      <c r="AP1" s="37" t="s">
        <v>199</v>
      </c>
      <c r="AQ1" s="37" t="s">
        <v>200</v>
      </c>
      <c r="AR1" s="37" t="s">
        <v>201</v>
      </c>
      <c r="AS1" s="36" t="s">
        <v>202</v>
      </c>
      <c r="AT1" s="36" t="s">
        <v>203</v>
      </c>
      <c r="AU1" s="36" t="s">
        <v>204</v>
      </c>
      <c r="AV1" s="36" t="s">
        <v>205</v>
      </c>
      <c r="AW1" s="36" t="s">
        <v>206</v>
      </c>
      <c r="AX1" s="37" t="s">
        <v>207</v>
      </c>
      <c r="AY1" s="37" t="s">
        <v>208</v>
      </c>
      <c r="AZ1" s="37" t="s">
        <v>209</v>
      </c>
      <c r="BA1" s="37" t="s">
        <v>210</v>
      </c>
      <c r="BB1" s="37" t="s">
        <v>211</v>
      </c>
    </row>
    <row r="2" spans="1:54" x14ac:dyDescent="0.2">
      <c r="A2" s="39" t="s">
        <v>441</v>
      </c>
      <c r="B2" s="39" t="s">
        <v>536</v>
      </c>
      <c r="C2" s="39" t="s">
        <v>441</v>
      </c>
      <c r="D2" s="40" t="s">
        <v>537</v>
      </c>
      <c r="E2" s="40" t="s">
        <v>212</v>
      </c>
      <c r="F2" s="40">
        <v>90</v>
      </c>
      <c r="G2" s="40">
        <v>5</v>
      </c>
      <c r="H2" s="40">
        <v>450</v>
      </c>
      <c r="I2" s="40">
        <v>20</v>
      </c>
      <c r="J2" s="40" t="s">
        <v>64</v>
      </c>
      <c r="K2" s="40" t="s">
        <v>64</v>
      </c>
      <c r="L2" s="40" t="s">
        <v>64</v>
      </c>
      <c r="M2" s="40" t="s">
        <v>64</v>
      </c>
      <c r="N2" s="40" t="s">
        <v>64</v>
      </c>
      <c r="O2" s="40" t="s">
        <v>64</v>
      </c>
      <c r="P2" s="40" t="s">
        <v>64</v>
      </c>
      <c r="Q2" s="40" t="s">
        <v>64</v>
      </c>
      <c r="R2" s="40" t="s">
        <v>64</v>
      </c>
      <c r="S2" s="40" t="s">
        <v>64</v>
      </c>
      <c r="T2" s="40" t="s">
        <v>64</v>
      </c>
      <c r="U2" s="40" t="s">
        <v>64</v>
      </c>
      <c r="V2" s="40" t="s">
        <v>64</v>
      </c>
      <c r="W2" s="40" t="s">
        <v>64</v>
      </c>
      <c r="X2" s="40" t="s">
        <v>64</v>
      </c>
      <c r="Y2" s="40" t="s">
        <v>64</v>
      </c>
      <c r="Z2" s="40" t="s">
        <v>64</v>
      </c>
      <c r="AA2" s="40" t="s">
        <v>64</v>
      </c>
      <c r="AB2" s="40" t="s">
        <v>64</v>
      </c>
      <c r="AC2" s="40" t="s">
        <v>64</v>
      </c>
      <c r="AD2" s="40" t="s">
        <v>64</v>
      </c>
      <c r="AE2" s="40" t="s">
        <v>64</v>
      </c>
      <c r="AF2" s="40" t="s">
        <v>64</v>
      </c>
      <c r="AG2" s="40" t="s">
        <v>64</v>
      </c>
      <c r="AH2" s="40" t="s">
        <v>64</v>
      </c>
      <c r="AI2" s="40" t="s">
        <v>64</v>
      </c>
      <c r="AJ2" s="40" t="s">
        <v>64</v>
      </c>
      <c r="AK2" s="40" t="s">
        <v>64</v>
      </c>
      <c r="AL2" s="40" t="s">
        <v>64</v>
      </c>
      <c r="AM2" s="40" t="s">
        <v>64</v>
      </c>
      <c r="AN2" s="40" t="s">
        <v>64</v>
      </c>
      <c r="AO2" s="40" t="s">
        <v>64</v>
      </c>
      <c r="AP2" s="40" t="s">
        <v>64</v>
      </c>
      <c r="AQ2" s="40" t="s">
        <v>64</v>
      </c>
      <c r="AR2" s="40" t="s">
        <v>64</v>
      </c>
      <c r="AS2" s="40" t="s">
        <v>64</v>
      </c>
      <c r="AT2" s="40" t="s">
        <v>64</v>
      </c>
      <c r="AU2" s="40" t="s">
        <v>64</v>
      </c>
      <c r="AV2" s="40" t="s">
        <v>64</v>
      </c>
      <c r="AW2" s="40" t="s">
        <v>64</v>
      </c>
      <c r="AX2" s="40" t="s">
        <v>64</v>
      </c>
      <c r="AY2" s="40" t="s">
        <v>64</v>
      </c>
      <c r="AZ2" s="40" t="s">
        <v>64</v>
      </c>
      <c r="BA2" s="40" t="s">
        <v>64</v>
      </c>
      <c r="BB2" s="40" t="s">
        <v>64</v>
      </c>
    </row>
    <row r="3" spans="1:54" x14ac:dyDescent="0.2">
      <c r="A3" s="39" t="s">
        <v>442</v>
      </c>
      <c r="B3" s="39" t="s">
        <v>536</v>
      </c>
      <c r="C3" s="39" t="s">
        <v>442</v>
      </c>
      <c r="D3" s="40" t="s">
        <v>539</v>
      </c>
      <c r="E3" s="40" t="s">
        <v>212</v>
      </c>
      <c r="F3" s="40">
        <v>90</v>
      </c>
      <c r="G3" s="40">
        <v>5</v>
      </c>
      <c r="H3" s="40">
        <v>450</v>
      </c>
      <c r="I3" s="40">
        <v>20</v>
      </c>
      <c r="J3" s="40" t="s">
        <v>64</v>
      </c>
      <c r="K3" s="40" t="s">
        <v>64</v>
      </c>
      <c r="L3" s="40" t="s">
        <v>64</v>
      </c>
      <c r="M3" s="40" t="s">
        <v>64</v>
      </c>
      <c r="N3" s="40" t="s">
        <v>64</v>
      </c>
      <c r="O3" s="40" t="s">
        <v>64</v>
      </c>
      <c r="P3" s="40" t="s">
        <v>64</v>
      </c>
      <c r="Q3" s="40" t="s">
        <v>64</v>
      </c>
      <c r="R3" s="40" t="s">
        <v>64</v>
      </c>
      <c r="S3" s="40" t="s">
        <v>64</v>
      </c>
      <c r="T3" s="40" t="s">
        <v>64</v>
      </c>
      <c r="U3" s="40" t="s">
        <v>64</v>
      </c>
      <c r="V3" s="40" t="s">
        <v>64</v>
      </c>
      <c r="W3" s="40" t="s">
        <v>64</v>
      </c>
      <c r="X3" s="40" t="s">
        <v>64</v>
      </c>
      <c r="Y3" s="40" t="s">
        <v>64</v>
      </c>
      <c r="Z3" s="40" t="s">
        <v>64</v>
      </c>
      <c r="AA3" s="40" t="s">
        <v>64</v>
      </c>
      <c r="AB3" s="40" t="s">
        <v>64</v>
      </c>
      <c r="AC3" s="40" t="s">
        <v>64</v>
      </c>
      <c r="AD3" s="40" t="s">
        <v>64</v>
      </c>
      <c r="AE3" s="40" t="s">
        <v>64</v>
      </c>
      <c r="AF3" s="40" t="s">
        <v>64</v>
      </c>
      <c r="AG3" s="40" t="s">
        <v>64</v>
      </c>
      <c r="AH3" s="40" t="s">
        <v>64</v>
      </c>
      <c r="AI3" s="40" t="s">
        <v>64</v>
      </c>
      <c r="AJ3" s="40" t="s">
        <v>64</v>
      </c>
      <c r="AK3" s="40" t="s">
        <v>64</v>
      </c>
      <c r="AL3" s="40" t="s">
        <v>64</v>
      </c>
      <c r="AM3" s="40" t="s">
        <v>64</v>
      </c>
      <c r="AN3" s="40" t="s">
        <v>64</v>
      </c>
      <c r="AO3" s="40" t="s">
        <v>64</v>
      </c>
      <c r="AP3" s="40" t="s">
        <v>64</v>
      </c>
      <c r="AQ3" s="40" t="s">
        <v>64</v>
      </c>
      <c r="AR3" s="40" t="s">
        <v>64</v>
      </c>
      <c r="AS3" s="40" t="s">
        <v>64</v>
      </c>
      <c r="AT3" s="40" t="s">
        <v>64</v>
      </c>
      <c r="AU3" s="40" t="s">
        <v>64</v>
      </c>
      <c r="AV3" s="40" t="s">
        <v>64</v>
      </c>
      <c r="AW3" s="40" t="s">
        <v>64</v>
      </c>
      <c r="AX3" s="40" t="s">
        <v>64</v>
      </c>
      <c r="AY3" s="40" t="s">
        <v>64</v>
      </c>
      <c r="AZ3" s="40" t="s">
        <v>64</v>
      </c>
      <c r="BA3" s="40" t="s">
        <v>64</v>
      </c>
      <c r="BB3" s="40" t="s">
        <v>64</v>
      </c>
    </row>
    <row r="4" spans="1:54" x14ac:dyDescent="0.2">
      <c r="A4" s="39" t="s">
        <v>443</v>
      </c>
      <c r="B4" s="39" t="s">
        <v>536</v>
      </c>
      <c r="C4" s="39" t="s">
        <v>443</v>
      </c>
      <c r="D4" s="40" t="s">
        <v>540</v>
      </c>
      <c r="E4" s="40" t="s">
        <v>212</v>
      </c>
      <c r="F4" s="40">
        <v>90</v>
      </c>
      <c r="G4" s="40">
        <v>5</v>
      </c>
      <c r="H4" s="40">
        <v>450</v>
      </c>
      <c r="I4" s="40">
        <v>20</v>
      </c>
      <c r="J4" s="40" t="s">
        <v>64</v>
      </c>
      <c r="K4" s="40" t="s">
        <v>64</v>
      </c>
      <c r="L4" s="40" t="s">
        <v>64</v>
      </c>
      <c r="M4" s="40" t="s">
        <v>64</v>
      </c>
      <c r="N4" s="40" t="s">
        <v>64</v>
      </c>
      <c r="O4" s="40" t="s">
        <v>64</v>
      </c>
      <c r="P4" s="40" t="s">
        <v>64</v>
      </c>
      <c r="Q4" s="40" t="s">
        <v>64</v>
      </c>
      <c r="R4" s="40" t="s">
        <v>64</v>
      </c>
      <c r="S4" s="40" t="s">
        <v>64</v>
      </c>
      <c r="T4" s="40" t="s">
        <v>64</v>
      </c>
      <c r="U4" s="40" t="s">
        <v>64</v>
      </c>
      <c r="V4" s="40" t="s">
        <v>64</v>
      </c>
      <c r="W4" s="40" t="s">
        <v>64</v>
      </c>
      <c r="X4" s="40" t="s">
        <v>64</v>
      </c>
      <c r="Y4" s="40" t="s">
        <v>64</v>
      </c>
      <c r="Z4" s="40" t="s">
        <v>64</v>
      </c>
      <c r="AA4" s="40" t="s">
        <v>64</v>
      </c>
      <c r="AB4" s="40" t="s">
        <v>64</v>
      </c>
      <c r="AC4" s="40" t="s">
        <v>64</v>
      </c>
      <c r="AD4" s="40" t="s">
        <v>64</v>
      </c>
      <c r="AE4" s="40" t="s">
        <v>64</v>
      </c>
      <c r="AF4" s="40" t="s">
        <v>64</v>
      </c>
      <c r="AG4" s="40" t="s">
        <v>64</v>
      </c>
      <c r="AH4" s="40" t="s">
        <v>64</v>
      </c>
      <c r="AI4" s="40" t="s">
        <v>64</v>
      </c>
      <c r="AJ4" s="40" t="s">
        <v>64</v>
      </c>
      <c r="AK4" s="40" t="s">
        <v>64</v>
      </c>
      <c r="AL4" s="40" t="s">
        <v>64</v>
      </c>
      <c r="AM4" s="40" t="s">
        <v>64</v>
      </c>
      <c r="AN4" s="40" t="s">
        <v>64</v>
      </c>
      <c r="AO4" s="40" t="s">
        <v>64</v>
      </c>
      <c r="AP4" s="40" t="s">
        <v>64</v>
      </c>
      <c r="AQ4" s="40" t="s">
        <v>64</v>
      </c>
      <c r="AR4" s="40" t="s">
        <v>64</v>
      </c>
      <c r="AS4" s="40" t="s">
        <v>64</v>
      </c>
      <c r="AT4" s="40" t="s">
        <v>64</v>
      </c>
      <c r="AU4" s="40" t="s">
        <v>64</v>
      </c>
      <c r="AV4" s="40" t="s">
        <v>64</v>
      </c>
      <c r="AW4" s="40" t="s">
        <v>64</v>
      </c>
      <c r="AX4" s="40" t="s">
        <v>64</v>
      </c>
      <c r="AY4" s="40" t="s">
        <v>64</v>
      </c>
      <c r="AZ4" s="40" t="s">
        <v>64</v>
      </c>
      <c r="BA4" s="40" t="s">
        <v>64</v>
      </c>
      <c r="BB4" s="40" t="s">
        <v>64</v>
      </c>
    </row>
    <row r="5" spans="1:54" x14ac:dyDescent="0.2">
      <c r="A5" s="39" t="s">
        <v>444</v>
      </c>
      <c r="B5" s="39" t="s">
        <v>536</v>
      </c>
      <c r="C5" s="39" t="s">
        <v>444</v>
      </c>
      <c r="D5" s="40" t="s">
        <v>541</v>
      </c>
      <c r="E5" s="40" t="s">
        <v>212</v>
      </c>
      <c r="F5" s="40">
        <v>90</v>
      </c>
      <c r="G5" s="40">
        <v>5</v>
      </c>
      <c r="H5" s="40">
        <v>450</v>
      </c>
      <c r="I5" s="40">
        <v>20</v>
      </c>
      <c r="J5" s="40" t="s">
        <v>64</v>
      </c>
      <c r="K5" s="40" t="s">
        <v>64</v>
      </c>
      <c r="L5" s="40" t="s">
        <v>64</v>
      </c>
      <c r="M5" s="40" t="s">
        <v>64</v>
      </c>
      <c r="N5" s="40" t="s">
        <v>64</v>
      </c>
      <c r="O5" s="40" t="s">
        <v>64</v>
      </c>
      <c r="P5" s="40" t="s">
        <v>64</v>
      </c>
      <c r="Q5" s="40" t="s">
        <v>64</v>
      </c>
      <c r="R5" s="40" t="s">
        <v>64</v>
      </c>
      <c r="S5" s="40" t="s">
        <v>64</v>
      </c>
      <c r="T5" s="40" t="s">
        <v>64</v>
      </c>
      <c r="U5" s="40" t="s">
        <v>64</v>
      </c>
      <c r="V5" s="40" t="s">
        <v>64</v>
      </c>
      <c r="W5" s="40" t="s">
        <v>64</v>
      </c>
      <c r="X5" s="40" t="s">
        <v>64</v>
      </c>
      <c r="Y5" s="40" t="s">
        <v>64</v>
      </c>
      <c r="Z5" s="40" t="s">
        <v>64</v>
      </c>
      <c r="AA5" s="40" t="s">
        <v>64</v>
      </c>
      <c r="AB5" s="40" t="s">
        <v>64</v>
      </c>
      <c r="AC5" s="40" t="s">
        <v>64</v>
      </c>
      <c r="AD5" s="40" t="s">
        <v>64</v>
      </c>
      <c r="AE5" s="40" t="s">
        <v>64</v>
      </c>
      <c r="AF5" s="40" t="s">
        <v>64</v>
      </c>
      <c r="AG5" s="40" t="s">
        <v>64</v>
      </c>
      <c r="AH5" s="40" t="s">
        <v>64</v>
      </c>
      <c r="AI5" s="40" t="s">
        <v>64</v>
      </c>
      <c r="AJ5" s="40" t="s">
        <v>64</v>
      </c>
      <c r="AK5" s="40" t="s">
        <v>64</v>
      </c>
      <c r="AL5" s="40" t="s">
        <v>64</v>
      </c>
      <c r="AM5" s="40" t="s">
        <v>64</v>
      </c>
      <c r="AN5" s="40" t="s">
        <v>64</v>
      </c>
      <c r="AO5" s="40" t="s">
        <v>64</v>
      </c>
      <c r="AP5" s="40" t="s">
        <v>64</v>
      </c>
      <c r="AQ5" s="40" t="s">
        <v>64</v>
      </c>
      <c r="AR5" s="40" t="s">
        <v>64</v>
      </c>
      <c r="AS5" s="40" t="s">
        <v>64</v>
      </c>
      <c r="AT5" s="40" t="s">
        <v>64</v>
      </c>
      <c r="AU5" s="40" t="s">
        <v>64</v>
      </c>
      <c r="AV5" s="40" t="s">
        <v>64</v>
      </c>
      <c r="AW5" s="40" t="s">
        <v>64</v>
      </c>
      <c r="AX5" s="40" t="s">
        <v>64</v>
      </c>
      <c r="AY5" s="40" t="s">
        <v>64</v>
      </c>
      <c r="AZ5" s="40" t="s">
        <v>64</v>
      </c>
      <c r="BA5" s="40" t="s">
        <v>64</v>
      </c>
      <c r="BB5" s="40" t="s">
        <v>64</v>
      </c>
    </row>
    <row r="6" spans="1:54" x14ac:dyDescent="0.2">
      <c r="A6" s="39" t="s">
        <v>445</v>
      </c>
      <c r="B6" s="39" t="s">
        <v>536</v>
      </c>
      <c r="C6" s="39" t="s">
        <v>445</v>
      </c>
      <c r="D6" s="40" t="s">
        <v>542</v>
      </c>
      <c r="E6" s="40" t="s">
        <v>212</v>
      </c>
      <c r="F6" s="40">
        <v>90</v>
      </c>
      <c r="G6" s="40">
        <v>5</v>
      </c>
      <c r="H6" s="40">
        <v>450</v>
      </c>
      <c r="I6" s="40">
        <v>15</v>
      </c>
      <c r="J6" s="40" t="s">
        <v>64</v>
      </c>
      <c r="K6" s="40" t="s">
        <v>64</v>
      </c>
      <c r="L6" s="40" t="s">
        <v>64</v>
      </c>
      <c r="M6" s="40" t="s">
        <v>64</v>
      </c>
      <c r="N6" s="40" t="s">
        <v>64</v>
      </c>
      <c r="O6" s="40" t="s">
        <v>64</v>
      </c>
      <c r="P6" s="40" t="s">
        <v>64</v>
      </c>
      <c r="Q6" s="40" t="s">
        <v>64</v>
      </c>
      <c r="R6" s="40" t="s">
        <v>64</v>
      </c>
      <c r="S6" s="40" t="s">
        <v>64</v>
      </c>
      <c r="T6" s="40" t="s">
        <v>64</v>
      </c>
      <c r="U6" s="40" t="s">
        <v>64</v>
      </c>
      <c r="V6" s="40" t="s">
        <v>64</v>
      </c>
      <c r="W6" s="40" t="s">
        <v>64</v>
      </c>
      <c r="X6" s="40" t="s">
        <v>64</v>
      </c>
      <c r="Y6" s="40" t="s">
        <v>64</v>
      </c>
      <c r="Z6" s="40" t="s">
        <v>64</v>
      </c>
      <c r="AA6" s="40" t="s">
        <v>64</v>
      </c>
      <c r="AB6" s="40" t="s">
        <v>64</v>
      </c>
      <c r="AC6" s="40" t="s">
        <v>64</v>
      </c>
      <c r="AD6" s="40" t="s">
        <v>64</v>
      </c>
      <c r="AE6" s="40" t="s">
        <v>64</v>
      </c>
      <c r="AF6" s="40" t="s">
        <v>64</v>
      </c>
      <c r="AG6" s="40" t="s">
        <v>64</v>
      </c>
      <c r="AH6" s="40" t="s">
        <v>64</v>
      </c>
      <c r="AI6" s="40" t="s">
        <v>64</v>
      </c>
      <c r="AJ6" s="40" t="s">
        <v>64</v>
      </c>
      <c r="AK6" s="40" t="s">
        <v>64</v>
      </c>
      <c r="AL6" s="40" t="s">
        <v>64</v>
      </c>
      <c r="AM6" s="40" t="s">
        <v>64</v>
      </c>
      <c r="AN6" s="40" t="s">
        <v>64</v>
      </c>
      <c r="AO6" s="40" t="s">
        <v>64</v>
      </c>
      <c r="AP6" s="40" t="s">
        <v>64</v>
      </c>
      <c r="AQ6" s="40" t="s">
        <v>64</v>
      </c>
      <c r="AR6" s="40" t="s">
        <v>64</v>
      </c>
      <c r="AS6" s="40" t="s">
        <v>64</v>
      </c>
      <c r="AT6" s="40" t="s">
        <v>64</v>
      </c>
      <c r="AU6" s="40" t="s">
        <v>64</v>
      </c>
      <c r="AV6" s="40" t="s">
        <v>64</v>
      </c>
      <c r="AW6" s="40" t="s">
        <v>64</v>
      </c>
      <c r="AX6" s="40" t="s">
        <v>64</v>
      </c>
      <c r="AY6" s="40" t="s">
        <v>64</v>
      </c>
      <c r="AZ6" s="40" t="s">
        <v>64</v>
      </c>
      <c r="BA6" s="40" t="s">
        <v>64</v>
      </c>
      <c r="BB6" s="40" t="s">
        <v>64</v>
      </c>
    </row>
    <row r="7" spans="1:54" x14ac:dyDescent="0.2">
      <c r="A7" s="39" t="s">
        <v>446</v>
      </c>
      <c r="B7" s="39" t="s">
        <v>536</v>
      </c>
      <c r="C7" s="39" t="s">
        <v>446</v>
      </c>
      <c r="D7" s="40" t="s">
        <v>543</v>
      </c>
      <c r="E7" s="40" t="s">
        <v>212</v>
      </c>
      <c r="F7" s="40">
        <v>90</v>
      </c>
      <c r="G7" s="40">
        <v>5</v>
      </c>
      <c r="H7" s="40">
        <v>450</v>
      </c>
      <c r="I7" s="40">
        <v>15</v>
      </c>
      <c r="J7" s="40" t="s">
        <v>64</v>
      </c>
      <c r="K7" s="40" t="s">
        <v>64</v>
      </c>
      <c r="L7" s="40" t="s">
        <v>64</v>
      </c>
      <c r="M7" s="40" t="s">
        <v>64</v>
      </c>
      <c r="N7" s="40" t="s">
        <v>64</v>
      </c>
      <c r="O7" s="40" t="s">
        <v>64</v>
      </c>
      <c r="P7" s="40" t="s">
        <v>64</v>
      </c>
      <c r="Q7" s="40" t="s">
        <v>64</v>
      </c>
      <c r="R7" s="40" t="s">
        <v>64</v>
      </c>
      <c r="S7" s="40" t="s">
        <v>64</v>
      </c>
      <c r="T7" s="40" t="s">
        <v>64</v>
      </c>
      <c r="U7" s="40" t="s">
        <v>64</v>
      </c>
      <c r="V7" s="40" t="s">
        <v>64</v>
      </c>
      <c r="W7" s="40" t="s">
        <v>64</v>
      </c>
      <c r="X7" s="40" t="s">
        <v>64</v>
      </c>
      <c r="Y7" s="40" t="s">
        <v>64</v>
      </c>
      <c r="Z7" s="40" t="s">
        <v>64</v>
      </c>
      <c r="AA7" s="40" t="s">
        <v>64</v>
      </c>
      <c r="AB7" s="40" t="s">
        <v>64</v>
      </c>
      <c r="AC7" s="40" t="s">
        <v>64</v>
      </c>
      <c r="AD7" s="40" t="s">
        <v>64</v>
      </c>
      <c r="AE7" s="40" t="s">
        <v>64</v>
      </c>
      <c r="AF7" s="40" t="s">
        <v>64</v>
      </c>
      <c r="AG7" s="40" t="s">
        <v>64</v>
      </c>
      <c r="AH7" s="40" t="s">
        <v>64</v>
      </c>
      <c r="AI7" s="40" t="s">
        <v>64</v>
      </c>
      <c r="AJ7" s="40" t="s">
        <v>64</v>
      </c>
      <c r="AK7" s="40" t="s">
        <v>64</v>
      </c>
      <c r="AL7" s="40" t="s">
        <v>64</v>
      </c>
      <c r="AM7" s="40" t="s">
        <v>64</v>
      </c>
      <c r="AN7" s="40" t="s">
        <v>64</v>
      </c>
      <c r="AO7" s="40" t="s">
        <v>64</v>
      </c>
      <c r="AP7" s="40" t="s">
        <v>64</v>
      </c>
      <c r="AQ7" s="40" t="s">
        <v>64</v>
      </c>
      <c r="AR7" s="40" t="s">
        <v>64</v>
      </c>
      <c r="AS7" s="40" t="s">
        <v>64</v>
      </c>
      <c r="AT7" s="40" t="s">
        <v>64</v>
      </c>
      <c r="AU7" s="40" t="s">
        <v>64</v>
      </c>
      <c r="AV7" s="40" t="s">
        <v>64</v>
      </c>
      <c r="AW7" s="40" t="s">
        <v>64</v>
      </c>
      <c r="AX7" s="40" t="s">
        <v>64</v>
      </c>
      <c r="AY7" s="40" t="s">
        <v>64</v>
      </c>
      <c r="AZ7" s="40" t="s">
        <v>64</v>
      </c>
      <c r="BA7" s="40" t="s">
        <v>64</v>
      </c>
      <c r="BB7" s="40" t="s">
        <v>64</v>
      </c>
    </row>
    <row r="8" spans="1:54" x14ac:dyDescent="0.2">
      <c r="A8" s="39" t="s">
        <v>447</v>
      </c>
      <c r="B8" s="39" t="s">
        <v>536</v>
      </c>
      <c r="C8" s="39" t="s">
        <v>447</v>
      </c>
      <c r="D8" s="40" t="s">
        <v>544</v>
      </c>
      <c r="E8" s="40" t="s">
        <v>212</v>
      </c>
      <c r="F8" s="40">
        <v>90</v>
      </c>
      <c r="G8" s="40">
        <v>5</v>
      </c>
      <c r="H8" s="40">
        <v>450</v>
      </c>
      <c r="I8" s="40">
        <v>15</v>
      </c>
      <c r="J8" s="40" t="s">
        <v>64</v>
      </c>
      <c r="K8" s="40" t="s">
        <v>64</v>
      </c>
      <c r="L8" s="40" t="s">
        <v>64</v>
      </c>
      <c r="M8" s="40" t="s">
        <v>64</v>
      </c>
      <c r="N8" s="40" t="s">
        <v>64</v>
      </c>
      <c r="O8" s="40" t="s">
        <v>64</v>
      </c>
      <c r="P8" s="40" t="s">
        <v>64</v>
      </c>
      <c r="Q8" s="40" t="s">
        <v>64</v>
      </c>
      <c r="R8" s="40" t="s">
        <v>64</v>
      </c>
      <c r="S8" s="40" t="s">
        <v>64</v>
      </c>
      <c r="T8" s="40" t="s">
        <v>64</v>
      </c>
      <c r="U8" s="40" t="s">
        <v>64</v>
      </c>
      <c r="V8" s="40" t="s">
        <v>64</v>
      </c>
      <c r="W8" s="40" t="s">
        <v>64</v>
      </c>
      <c r="X8" s="40" t="s">
        <v>64</v>
      </c>
      <c r="Y8" s="40" t="s">
        <v>64</v>
      </c>
      <c r="Z8" s="40" t="s">
        <v>64</v>
      </c>
      <c r="AA8" s="40" t="s">
        <v>64</v>
      </c>
      <c r="AB8" s="40" t="s">
        <v>64</v>
      </c>
      <c r="AC8" s="40" t="s">
        <v>64</v>
      </c>
      <c r="AD8" s="40" t="s">
        <v>64</v>
      </c>
      <c r="AE8" s="40" t="s">
        <v>64</v>
      </c>
      <c r="AF8" s="40" t="s">
        <v>64</v>
      </c>
      <c r="AG8" s="40" t="s">
        <v>64</v>
      </c>
      <c r="AH8" s="40" t="s">
        <v>64</v>
      </c>
      <c r="AI8" s="40" t="s">
        <v>64</v>
      </c>
      <c r="AJ8" s="40" t="s">
        <v>64</v>
      </c>
      <c r="AK8" s="40" t="s">
        <v>64</v>
      </c>
      <c r="AL8" s="40" t="s">
        <v>64</v>
      </c>
      <c r="AM8" s="40" t="s">
        <v>64</v>
      </c>
      <c r="AN8" s="40" t="s">
        <v>64</v>
      </c>
      <c r="AO8" s="40" t="s">
        <v>64</v>
      </c>
      <c r="AP8" s="40" t="s">
        <v>64</v>
      </c>
      <c r="AQ8" s="40" t="s">
        <v>64</v>
      </c>
      <c r="AR8" s="40" t="s">
        <v>64</v>
      </c>
      <c r="AS8" s="40" t="s">
        <v>64</v>
      </c>
      <c r="AT8" s="40" t="s">
        <v>64</v>
      </c>
      <c r="AU8" s="40" t="s">
        <v>64</v>
      </c>
      <c r="AV8" s="40" t="s">
        <v>64</v>
      </c>
      <c r="AW8" s="40" t="s">
        <v>64</v>
      </c>
      <c r="AX8" s="40" t="s">
        <v>64</v>
      </c>
      <c r="AY8" s="40" t="s">
        <v>64</v>
      </c>
      <c r="AZ8" s="40" t="s">
        <v>64</v>
      </c>
      <c r="BA8" s="40" t="s">
        <v>64</v>
      </c>
      <c r="BB8" s="40" t="s">
        <v>64</v>
      </c>
    </row>
    <row r="9" spans="1:54" x14ac:dyDescent="0.2">
      <c r="A9" s="39" t="s">
        <v>448</v>
      </c>
      <c r="B9" s="39" t="s">
        <v>536</v>
      </c>
      <c r="C9" s="39" t="s">
        <v>448</v>
      </c>
      <c r="D9" s="40" t="s">
        <v>545</v>
      </c>
      <c r="E9" s="40" t="s">
        <v>212</v>
      </c>
      <c r="F9" s="40">
        <v>90</v>
      </c>
      <c r="G9" s="40">
        <v>5</v>
      </c>
      <c r="H9" s="40">
        <v>450</v>
      </c>
      <c r="I9" s="40">
        <v>15</v>
      </c>
      <c r="J9" s="40" t="s">
        <v>64</v>
      </c>
      <c r="K9" s="40" t="s">
        <v>64</v>
      </c>
      <c r="L9" s="40" t="s">
        <v>64</v>
      </c>
      <c r="M9" s="40" t="s">
        <v>64</v>
      </c>
      <c r="N9" s="40" t="s">
        <v>64</v>
      </c>
      <c r="O9" s="40" t="s">
        <v>64</v>
      </c>
      <c r="P9" s="40" t="s">
        <v>64</v>
      </c>
      <c r="Q9" s="40" t="s">
        <v>64</v>
      </c>
      <c r="R9" s="40" t="s">
        <v>64</v>
      </c>
      <c r="S9" s="40" t="s">
        <v>64</v>
      </c>
      <c r="T9" s="40" t="s">
        <v>64</v>
      </c>
      <c r="U9" s="40" t="s">
        <v>64</v>
      </c>
      <c r="V9" s="40" t="s">
        <v>64</v>
      </c>
      <c r="W9" s="40" t="s">
        <v>64</v>
      </c>
      <c r="X9" s="40" t="s">
        <v>64</v>
      </c>
      <c r="Y9" s="40" t="s">
        <v>64</v>
      </c>
      <c r="Z9" s="40" t="s">
        <v>64</v>
      </c>
      <c r="AA9" s="40" t="s">
        <v>64</v>
      </c>
      <c r="AB9" s="40" t="s">
        <v>64</v>
      </c>
      <c r="AC9" s="40" t="s">
        <v>64</v>
      </c>
      <c r="AD9" s="40" t="s">
        <v>64</v>
      </c>
      <c r="AE9" s="40" t="s">
        <v>64</v>
      </c>
      <c r="AF9" s="40" t="s">
        <v>64</v>
      </c>
      <c r="AG9" s="40" t="s">
        <v>64</v>
      </c>
      <c r="AH9" s="40" t="s">
        <v>64</v>
      </c>
      <c r="AI9" s="40" t="s">
        <v>64</v>
      </c>
      <c r="AJ9" s="40" t="s">
        <v>64</v>
      </c>
      <c r="AK9" s="40" t="s">
        <v>64</v>
      </c>
      <c r="AL9" s="40" t="s">
        <v>64</v>
      </c>
      <c r="AM9" s="40" t="s">
        <v>64</v>
      </c>
      <c r="AN9" s="40" t="s">
        <v>64</v>
      </c>
      <c r="AO9" s="40" t="s">
        <v>64</v>
      </c>
      <c r="AP9" s="40" t="s">
        <v>64</v>
      </c>
      <c r="AQ9" s="40" t="s">
        <v>64</v>
      </c>
      <c r="AR9" s="40" t="s">
        <v>64</v>
      </c>
      <c r="AS9" s="40" t="s">
        <v>64</v>
      </c>
      <c r="AT9" s="40" t="s">
        <v>64</v>
      </c>
      <c r="AU9" s="40" t="s">
        <v>64</v>
      </c>
      <c r="AV9" s="40" t="s">
        <v>64</v>
      </c>
      <c r="AW9" s="40" t="s">
        <v>64</v>
      </c>
      <c r="AX9" s="40" t="s">
        <v>64</v>
      </c>
      <c r="AY9" s="40" t="s">
        <v>64</v>
      </c>
      <c r="AZ9" s="40" t="s">
        <v>64</v>
      </c>
      <c r="BA9" s="40" t="s">
        <v>64</v>
      </c>
      <c r="BB9" s="40" t="s">
        <v>64</v>
      </c>
    </row>
    <row r="10" spans="1:54" x14ac:dyDescent="0.2">
      <c r="A10" s="39" t="s">
        <v>449</v>
      </c>
      <c r="B10" s="39" t="s">
        <v>536</v>
      </c>
      <c r="C10" s="39" t="s">
        <v>449</v>
      </c>
      <c r="D10" s="40" t="s">
        <v>546</v>
      </c>
      <c r="E10" s="40" t="s">
        <v>212</v>
      </c>
      <c r="F10" s="40">
        <v>90</v>
      </c>
      <c r="G10" s="40">
        <v>5</v>
      </c>
      <c r="H10" s="40">
        <v>450</v>
      </c>
      <c r="I10" s="40">
        <v>15</v>
      </c>
      <c r="J10" s="40" t="s">
        <v>64</v>
      </c>
      <c r="K10" s="40" t="s">
        <v>64</v>
      </c>
      <c r="L10" s="40" t="s">
        <v>64</v>
      </c>
      <c r="M10" s="40" t="s">
        <v>64</v>
      </c>
      <c r="N10" s="40" t="s">
        <v>64</v>
      </c>
      <c r="O10" s="40" t="s">
        <v>64</v>
      </c>
      <c r="P10" s="40" t="s">
        <v>64</v>
      </c>
      <c r="Q10" s="40" t="s">
        <v>64</v>
      </c>
      <c r="R10" s="40" t="s">
        <v>64</v>
      </c>
      <c r="S10" s="40" t="s">
        <v>64</v>
      </c>
      <c r="T10" s="40" t="s">
        <v>64</v>
      </c>
      <c r="U10" s="40" t="s">
        <v>64</v>
      </c>
      <c r="V10" s="40" t="s">
        <v>64</v>
      </c>
      <c r="W10" s="40" t="s">
        <v>64</v>
      </c>
      <c r="X10" s="40" t="s">
        <v>64</v>
      </c>
      <c r="Y10" s="40" t="s">
        <v>64</v>
      </c>
      <c r="Z10" s="40" t="s">
        <v>64</v>
      </c>
      <c r="AA10" s="40" t="s">
        <v>64</v>
      </c>
      <c r="AB10" s="40" t="s">
        <v>64</v>
      </c>
      <c r="AC10" s="40" t="s">
        <v>64</v>
      </c>
      <c r="AD10" s="40" t="s">
        <v>64</v>
      </c>
      <c r="AE10" s="40" t="s">
        <v>64</v>
      </c>
      <c r="AF10" s="40" t="s">
        <v>64</v>
      </c>
      <c r="AG10" s="40" t="s">
        <v>64</v>
      </c>
      <c r="AH10" s="40" t="s">
        <v>64</v>
      </c>
      <c r="AI10" s="40" t="s">
        <v>64</v>
      </c>
      <c r="AJ10" s="40" t="s">
        <v>64</v>
      </c>
      <c r="AK10" s="40" t="s">
        <v>64</v>
      </c>
      <c r="AL10" s="40" t="s">
        <v>64</v>
      </c>
      <c r="AM10" s="40" t="s">
        <v>64</v>
      </c>
      <c r="AN10" s="40" t="s">
        <v>64</v>
      </c>
      <c r="AO10" s="40" t="s">
        <v>64</v>
      </c>
      <c r="AP10" s="40" t="s">
        <v>64</v>
      </c>
      <c r="AQ10" s="40" t="s">
        <v>64</v>
      </c>
      <c r="AR10" s="40" t="s">
        <v>64</v>
      </c>
      <c r="AS10" s="40" t="s">
        <v>64</v>
      </c>
      <c r="AT10" s="40" t="s">
        <v>64</v>
      </c>
      <c r="AU10" s="40" t="s">
        <v>64</v>
      </c>
      <c r="AV10" s="40" t="s">
        <v>64</v>
      </c>
      <c r="AW10" s="40" t="s">
        <v>64</v>
      </c>
      <c r="AX10" s="40" t="s">
        <v>64</v>
      </c>
      <c r="AY10" s="40" t="s">
        <v>64</v>
      </c>
      <c r="AZ10" s="40" t="s">
        <v>64</v>
      </c>
      <c r="BA10" s="40" t="s">
        <v>64</v>
      </c>
      <c r="BB10" s="40" t="s">
        <v>64</v>
      </c>
    </row>
    <row r="11" spans="1:54" x14ac:dyDescent="0.2">
      <c r="A11" s="39" t="s">
        <v>450</v>
      </c>
      <c r="B11" s="39" t="s">
        <v>536</v>
      </c>
      <c r="C11" s="39" t="s">
        <v>450</v>
      </c>
      <c r="D11" s="40" t="s">
        <v>547</v>
      </c>
      <c r="E11" s="40" t="s">
        <v>212</v>
      </c>
      <c r="F11" s="40">
        <v>90</v>
      </c>
      <c r="G11" s="40">
        <v>5</v>
      </c>
      <c r="H11" s="40">
        <v>450</v>
      </c>
      <c r="I11" s="40">
        <v>20</v>
      </c>
      <c r="J11" s="40" t="s">
        <v>64</v>
      </c>
      <c r="K11" s="40" t="s">
        <v>64</v>
      </c>
      <c r="L11" s="40" t="s">
        <v>64</v>
      </c>
      <c r="M11" s="40" t="s">
        <v>64</v>
      </c>
      <c r="N11" s="40" t="s">
        <v>64</v>
      </c>
      <c r="O11" s="40" t="s">
        <v>64</v>
      </c>
      <c r="P11" s="40" t="s">
        <v>64</v>
      </c>
      <c r="Q11" s="40" t="s">
        <v>64</v>
      </c>
      <c r="R11" s="40" t="s">
        <v>64</v>
      </c>
      <c r="S11" s="40" t="s">
        <v>64</v>
      </c>
      <c r="T11" s="40" t="s">
        <v>64</v>
      </c>
      <c r="U11" s="40" t="s">
        <v>64</v>
      </c>
      <c r="V11" s="40" t="s">
        <v>64</v>
      </c>
      <c r="W11" s="40" t="s">
        <v>64</v>
      </c>
      <c r="X11" s="40" t="s">
        <v>64</v>
      </c>
      <c r="Y11" s="40" t="s">
        <v>64</v>
      </c>
      <c r="Z11" s="40" t="s">
        <v>64</v>
      </c>
      <c r="AA11" s="40" t="s">
        <v>64</v>
      </c>
      <c r="AB11" s="40" t="s">
        <v>64</v>
      </c>
      <c r="AC11" s="40" t="s">
        <v>64</v>
      </c>
      <c r="AD11" s="40" t="s">
        <v>64</v>
      </c>
      <c r="AE11" s="40" t="s">
        <v>64</v>
      </c>
      <c r="AF11" s="40" t="s">
        <v>64</v>
      </c>
      <c r="AG11" s="40" t="s">
        <v>64</v>
      </c>
      <c r="AH11" s="40" t="s">
        <v>64</v>
      </c>
      <c r="AI11" s="40" t="s">
        <v>64</v>
      </c>
      <c r="AJ11" s="40" t="s">
        <v>64</v>
      </c>
      <c r="AK11" s="40" t="s">
        <v>64</v>
      </c>
      <c r="AL11" s="40" t="s">
        <v>64</v>
      </c>
      <c r="AM11" s="40" t="s">
        <v>64</v>
      </c>
      <c r="AN11" s="40" t="s">
        <v>64</v>
      </c>
      <c r="AO11" s="40" t="s">
        <v>64</v>
      </c>
      <c r="AP11" s="40" t="s">
        <v>64</v>
      </c>
      <c r="AQ11" s="40" t="s">
        <v>64</v>
      </c>
      <c r="AR11" s="40" t="s">
        <v>64</v>
      </c>
      <c r="AS11" s="40" t="s">
        <v>64</v>
      </c>
      <c r="AT11" s="40" t="s">
        <v>64</v>
      </c>
      <c r="AU11" s="40" t="s">
        <v>64</v>
      </c>
      <c r="AV11" s="40" t="s">
        <v>64</v>
      </c>
      <c r="AW11" s="40" t="s">
        <v>64</v>
      </c>
      <c r="AX11" s="40" t="s">
        <v>64</v>
      </c>
      <c r="AY11" s="40" t="s">
        <v>64</v>
      </c>
      <c r="AZ11" s="40" t="s">
        <v>64</v>
      </c>
      <c r="BA11" s="40" t="s">
        <v>64</v>
      </c>
      <c r="BB11" s="40" t="s">
        <v>64</v>
      </c>
    </row>
    <row r="12" spans="1:54" x14ac:dyDescent="0.2">
      <c r="A12" s="39" t="s">
        <v>451</v>
      </c>
      <c r="B12" s="39" t="s">
        <v>536</v>
      </c>
      <c r="C12" s="39" t="s">
        <v>451</v>
      </c>
      <c r="D12" s="40" t="s">
        <v>548</v>
      </c>
      <c r="E12" s="40" t="s">
        <v>212</v>
      </c>
      <c r="F12" s="40">
        <v>90</v>
      </c>
      <c r="G12" s="40">
        <v>5</v>
      </c>
      <c r="H12" s="40">
        <v>450</v>
      </c>
      <c r="I12" s="40">
        <v>15</v>
      </c>
      <c r="J12" s="40" t="s">
        <v>64</v>
      </c>
      <c r="K12" s="40" t="s">
        <v>64</v>
      </c>
      <c r="L12" s="40" t="s">
        <v>64</v>
      </c>
      <c r="M12" s="40" t="s">
        <v>64</v>
      </c>
      <c r="N12" s="40" t="s">
        <v>64</v>
      </c>
      <c r="O12" s="40" t="s">
        <v>64</v>
      </c>
      <c r="P12" s="40" t="s">
        <v>64</v>
      </c>
      <c r="Q12" s="40" t="s">
        <v>64</v>
      </c>
      <c r="R12" s="40" t="s">
        <v>64</v>
      </c>
      <c r="S12" s="40" t="s">
        <v>64</v>
      </c>
      <c r="T12" s="40" t="s">
        <v>64</v>
      </c>
      <c r="U12" s="40" t="s">
        <v>64</v>
      </c>
      <c r="V12" s="40" t="s">
        <v>64</v>
      </c>
      <c r="W12" s="40" t="s">
        <v>64</v>
      </c>
      <c r="X12" s="40" t="s">
        <v>64</v>
      </c>
      <c r="Y12" s="40" t="s">
        <v>64</v>
      </c>
      <c r="Z12" s="40" t="s">
        <v>64</v>
      </c>
      <c r="AA12" s="40" t="s">
        <v>64</v>
      </c>
      <c r="AB12" s="40" t="s">
        <v>64</v>
      </c>
      <c r="AC12" s="40" t="s">
        <v>64</v>
      </c>
      <c r="AD12" s="40" t="s">
        <v>64</v>
      </c>
      <c r="AE12" s="40" t="s">
        <v>64</v>
      </c>
      <c r="AF12" s="40" t="s">
        <v>64</v>
      </c>
      <c r="AG12" s="40" t="s">
        <v>64</v>
      </c>
      <c r="AH12" s="40" t="s">
        <v>64</v>
      </c>
      <c r="AI12" s="40" t="s">
        <v>64</v>
      </c>
      <c r="AJ12" s="40" t="s">
        <v>64</v>
      </c>
      <c r="AK12" s="40" t="s">
        <v>64</v>
      </c>
      <c r="AL12" s="40" t="s">
        <v>64</v>
      </c>
      <c r="AM12" s="40" t="s">
        <v>64</v>
      </c>
      <c r="AN12" s="40" t="s">
        <v>64</v>
      </c>
      <c r="AO12" s="40" t="s">
        <v>64</v>
      </c>
      <c r="AP12" s="40" t="s">
        <v>64</v>
      </c>
      <c r="AQ12" s="40" t="s">
        <v>64</v>
      </c>
      <c r="AR12" s="40" t="s">
        <v>64</v>
      </c>
      <c r="AS12" s="40" t="s">
        <v>64</v>
      </c>
      <c r="AT12" s="40" t="s">
        <v>64</v>
      </c>
      <c r="AU12" s="40" t="s">
        <v>64</v>
      </c>
      <c r="AV12" s="40" t="s">
        <v>64</v>
      </c>
      <c r="AW12" s="40" t="s">
        <v>64</v>
      </c>
      <c r="AX12" s="40" t="s">
        <v>64</v>
      </c>
      <c r="AY12" s="40" t="s">
        <v>64</v>
      </c>
      <c r="AZ12" s="40" t="s">
        <v>64</v>
      </c>
      <c r="BA12" s="40" t="s">
        <v>64</v>
      </c>
      <c r="BB12" s="40" t="s">
        <v>64</v>
      </c>
    </row>
    <row r="13" spans="1:54" x14ac:dyDescent="0.2">
      <c r="A13" s="39" t="s">
        <v>452</v>
      </c>
      <c r="B13" s="39" t="s">
        <v>536</v>
      </c>
      <c r="C13" s="39" t="s">
        <v>452</v>
      </c>
      <c r="D13" s="40" t="s">
        <v>549</v>
      </c>
      <c r="E13" s="40" t="s">
        <v>212</v>
      </c>
      <c r="F13" s="40">
        <v>90</v>
      </c>
      <c r="G13" s="40">
        <v>5</v>
      </c>
      <c r="H13" s="40">
        <v>450</v>
      </c>
      <c r="I13" s="40">
        <v>15</v>
      </c>
      <c r="J13" s="40" t="s">
        <v>64</v>
      </c>
      <c r="K13" s="40" t="s">
        <v>64</v>
      </c>
      <c r="L13" s="40" t="s">
        <v>64</v>
      </c>
      <c r="M13" s="40" t="s">
        <v>64</v>
      </c>
      <c r="N13" s="40" t="s">
        <v>64</v>
      </c>
      <c r="O13" s="40" t="s">
        <v>64</v>
      </c>
      <c r="P13" s="40" t="s">
        <v>64</v>
      </c>
      <c r="Q13" s="40" t="s">
        <v>64</v>
      </c>
      <c r="R13" s="40" t="s">
        <v>64</v>
      </c>
      <c r="S13" s="40" t="s">
        <v>64</v>
      </c>
      <c r="T13" s="40" t="s">
        <v>64</v>
      </c>
      <c r="U13" s="40" t="s">
        <v>64</v>
      </c>
      <c r="V13" s="40" t="s">
        <v>64</v>
      </c>
      <c r="W13" s="40" t="s">
        <v>64</v>
      </c>
      <c r="X13" s="40" t="s">
        <v>64</v>
      </c>
      <c r="Y13" s="40" t="s">
        <v>64</v>
      </c>
      <c r="Z13" s="40" t="s">
        <v>64</v>
      </c>
      <c r="AA13" s="40" t="s">
        <v>64</v>
      </c>
      <c r="AB13" s="40" t="s">
        <v>64</v>
      </c>
      <c r="AC13" s="40" t="s">
        <v>64</v>
      </c>
      <c r="AD13" s="40" t="s">
        <v>64</v>
      </c>
      <c r="AE13" s="40" t="s">
        <v>64</v>
      </c>
      <c r="AF13" s="40" t="s">
        <v>64</v>
      </c>
      <c r="AG13" s="40" t="s">
        <v>64</v>
      </c>
      <c r="AH13" s="40" t="s">
        <v>64</v>
      </c>
      <c r="AI13" s="40" t="s">
        <v>64</v>
      </c>
      <c r="AJ13" s="40" t="s">
        <v>64</v>
      </c>
      <c r="AK13" s="40" t="s">
        <v>64</v>
      </c>
      <c r="AL13" s="40" t="s">
        <v>64</v>
      </c>
      <c r="AM13" s="40" t="s">
        <v>64</v>
      </c>
      <c r="AN13" s="40" t="s">
        <v>64</v>
      </c>
      <c r="AO13" s="40" t="s">
        <v>64</v>
      </c>
      <c r="AP13" s="40" t="s">
        <v>64</v>
      </c>
      <c r="AQ13" s="40" t="s">
        <v>64</v>
      </c>
      <c r="AR13" s="40" t="s">
        <v>64</v>
      </c>
      <c r="AS13" s="40" t="s">
        <v>64</v>
      </c>
      <c r="AT13" s="40" t="s">
        <v>64</v>
      </c>
      <c r="AU13" s="40" t="s">
        <v>64</v>
      </c>
      <c r="AV13" s="40" t="s">
        <v>64</v>
      </c>
      <c r="AW13" s="40" t="s">
        <v>64</v>
      </c>
      <c r="AX13" s="40" t="s">
        <v>64</v>
      </c>
      <c r="AY13" s="40" t="s">
        <v>64</v>
      </c>
      <c r="AZ13" s="40" t="s">
        <v>64</v>
      </c>
      <c r="BA13" s="40" t="s">
        <v>64</v>
      </c>
      <c r="BB13" s="40" t="s">
        <v>64</v>
      </c>
    </row>
    <row r="14" spans="1:54" x14ac:dyDescent="0.2">
      <c r="A14" s="39" t="s">
        <v>453</v>
      </c>
      <c r="B14" s="39" t="s">
        <v>536</v>
      </c>
      <c r="C14" s="39" t="s">
        <v>453</v>
      </c>
      <c r="D14" s="40" t="s">
        <v>550</v>
      </c>
      <c r="E14" s="40" t="s">
        <v>212</v>
      </c>
      <c r="F14" s="40">
        <v>90</v>
      </c>
      <c r="G14" s="40">
        <v>5</v>
      </c>
      <c r="H14" s="40">
        <v>450</v>
      </c>
      <c r="I14" s="40">
        <v>20</v>
      </c>
      <c r="J14" s="40" t="s">
        <v>64</v>
      </c>
      <c r="K14" s="40" t="s">
        <v>64</v>
      </c>
      <c r="L14" s="40" t="s">
        <v>64</v>
      </c>
      <c r="M14" s="40" t="s">
        <v>64</v>
      </c>
      <c r="N14" s="40" t="s">
        <v>64</v>
      </c>
      <c r="O14" s="40" t="s">
        <v>64</v>
      </c>
      <c r="P14" s="40" t="s">
        <v>64</v>
      </c>
      <c r="Q14" s="40" t="s">
        <v>64</v>
      </c>
      <c r="R14" s="40" t="s">
        <v>64</v>
      </c>
      <c r="S14" s="40" t="s">
        <v>64</v>
      </c>
      <c r="T14" s="40" t="s">
        <v>64</v>
      </c>
      <c r="U14" s="40" t="s">
        <v>64</v>
      </c>
      <c r="V14" s="40" t="s">
        <v>64</v>
      </c>
      <c r="W14" s="40" t="s">
        <v>64</v>
      </c>
      <c r="X14" s="40" t="s">
        <v>64</v>
      </c>
      <c r="Y14" s="40" t="s">
        <v>64</v>
      </c>
      <c r="Z14" s="40" t="s">
        <v>64</v>
      </c>
      <c r="AA14" s="40" t="s">
        <v>64</v>
      </c>
      <c r="AB14" s="40" t="s">
        <v>64</v>
      </c>
      <c r="AC14" s="40" t="s">
        <v>64</v>
      </c>
      <c r="AD14" s="40" t="s">
        <v>64</v>
      </c>
      <c r="AE14" s="40" t="s">
        <v>64</v>
      </c>
      <c r="AF14" s="40" t="s">
        <v>64</v>
      </c>
      <c r="AG14" s="40" t="s">
        <v>64</v>
      </c>
      <c r="AH14" s="40" t="s">
        <v>64</v>
      </c>
      <c r="AI14" s="40" t="s">
        <v>64</v>
      </c>
      <c r="AJ14" s="40" t="s">
        <v>64</v>
      </c>
      <c r="AK14" s="40" t="s">
        <v>64</v>
      </c>
      <c r="AL14" s="40" t="s">
        <v>64</v>
      </c>
      <c r="AM14" s="40" t="s">
        <v>64</v>
      </c>
      <c r="AN14" s="40" t="s">
        <v>64</v>
      </c>
      <c r="AO14" s="40" t="s">
        <v>64</v>
      </c>
      <c r="AP14" s="40" t="s">
        <v>64</v>
      </c>
      <c r="AQ14" s="40" t="s">
        <v>64</v>
      </c>
      <c r="AR14" s="40" t="s">
        <v>64</v>
      </c>
      <c r="AS14" s="40" t="s">
        <v>64</v>
      </c>
      <c r="AT14" s="40" t="s">
        <v>64</v>
      </c>
      <c r="AU14" s="40" t="s">
        <v>64</v>
      </c>
      <c r="AV14" s="40" t="s">
        <v>64</v>
      </c>
      <c r="AW14" s="40" t="s">
        <v>64</v>
      </c>
      <c r="AX14" s="40" t="s">
        <v>64</v>
      </c>
      <c r="AY14" s="40" t="s">
        <v>64</v>
      </c>
      <c r="AZ14" s="40" t="s">
        <v>64</v>
      </c>
      <c r="BA14" s="40" t="s">
        <v>64</v>
      </c>
      <c r="BB14" s="40" t="s">
        <v>64</v>
      </c>
    </row>
    <row r="15" spans="1:54" x14ac:dyDescent="0.2">
      <c r="A15" s="39" t="s">
        <v>454</v>
      </c>
      <c r="B15" s="39" t="s">
        <v>536</v>
      </c>
      <c r="C15" s="39" t="s">
        <v>454</v>
      </c>
      <c r="D15" s="40" t="s">
        <v>551</v>
      </c>
      <c r="E15" s="40" t="s">
        <v>212</v>
      </c>
      <c r="F15" s="40">
        <v>90</v>
      </c>
      <c r="G15" s="40">
        <v>5</v>
      </c>
      <c r="H15" s="40">
        <v>450</v>
      </c>
      <c r="I15" s="40">
        <v>15</v>
      </c>
      <c r="J15" s="40" t="s">
        <v>64</v>
      </c>
      <c r="K15" s="40" t="s">
        <v>64</v>
      </c>
      <c r="L15" s="40" t="s">
        <v>64</v>
      </c>
      <c r="M15" s="40" t="s">
        <v>64</v>
      </c>
      <c r="N15" s="40" t="s">
        <v>64</v>
      </c>
      <c r="O15" s="40" t="s">
        <v>64</v>
      </c>
      <c r="P15" s="40" t="s">
        <v>64</v>
      </c>
      <c r="Q15" s="40" t="s">
        <v>64</v>
      </c>
      <c r="R15" s="40" t="s">
        <v>64</v>
      </c>
      <c r="S15" s="40" t="s">
        <v>64</v>
      </c>
      <c r="T15" s="40" t="s">
        <v>64</v>
      </c>
      <c r="U15" s="40" t="s">
        <v>64</v>
      </c>
      <c r="V15" s="40" t="s">
        <v>64</v>
      </c>
      <c r="W15" s="40" t="s">
        <v>64</v>
      </c>
      <c r="X15" s="40" t="s">
        <v>64</v>
      </c>
      <c r="Y15" s="40" t="s">
        <v>64</v>
      </c>
      <c r="Z15" s="40" t="s">
        <v>64</v>
      </c>
      <c r="AA15" s="40" t="s">
        <v>64</v>
      </c>
      <c r="AB15" s="40" t="s">
        <v>64</v>
      </c>
      <c r="AC15" s="40" t="s">
        <v>64</v>
      </c>
      <c r="AD15" s="40" t="s">
        <v>64</v>
      </c>
      <c r="AE15" s="40" t="s">
        <v>64</v>
      </c>
      <c r="AF15" s="40" t="s">
        <v>64</v>
      </c>
      <c r="AG15" s="40" t="s">
        <v>64</v>
      </c>
      <c r="AH15" s="40" t="s">
        <v>64</v>
      </c>
      <c r="AI15" s="40" t="s">
        <v>64</v>
      </c>
      <c r="AJ15" s="40" t="s">
        <v>64</v>
      </c>
      <c r="AK15" s="40" t="s">
        <v>64</v>
      </c>
      <c r="AL15" s="40" t="s">
        <v>64</v>
      </c>
      <c r="AM15" s="40" t="s">
        <v>64</v>
      </c>
      <c r="AN15" s="40" t="s">
        <v>64</v>
      </c>
      <c r="AO15" s="40" t="s">
        <v>64</v>
      </c>
      <c r="AP15" s="40" t="s">
        <v>64</v>
      </c>
      <c r="AQ15" s="40" t="s">
        <v>64</v>
      </c>
      <c r="AR15" s="40" t="s">
        <v>64</v>
      </c>
      <c r="AS15" s="40" t="s">
        <v>64</v>
      </c>
      <c r="AT15" s="40" t="s">
        <v>64</v>
      </c>
      <c r="AU15" s="40" t="s">
        <v>64</v>
      </c>
      <c r="AV15" s="40" t="s">
        <v>64</v>
      </c>
      <c r="AW15" s="40" t="s">
        <v>64</v>
      </c>
      <c r="AX15" s="40" t="s">
        <v>64</v>
      </c>
      <c r="AY15" s="40" t="s">
        <v>64</v>
      </c>
      <c r="AZ15" s="40" t="s">
        <v>64</v>
      </c>
      <c r="BA15" s="40" t="s">
        <v>64</v>
      </c>
      <c r="BB15" s="40" t="s">
        <v>64</v>
      </c>
    </row>
    <row r="16" spans="1:54" x14ac:dyDescent="0.2">
      <c r="A16" s="39" t="s">
        <v>455</v>
      </c>
      <c r="B16" s="39" t="s">
        <v>536</v>
      </c>
      <c r="C16" s="39" t="s">
        <v>455</v>
      </c>
      <c r="D16" s="40" t="s">
        <v>552</v>
      </c>
      <c r="E16" s="40" t="s">
        <v>212</v>
      </c>
      <c r="F16" s="40">
        <v>90</v>
      </c>
      <c r="G16" s="40">
        <v>5</v>
      </c>
      <c r="H16" s="40">
        <v>450</v>
      </c>
      <c r="I16" s="40">
        <v>15</v>
      </c>
      <c r="J16" s="40" t="s">
        <v>64</v>
      </c>
      <c r="K16" s="40" t="s">
        <v>64</v>
      </c>
      <c r="L16" s="40" t="s">
        <v>64</v>
      </c>
      <c r="M16" s="40" t="s">
        <v>64</v>
      </c>
      <c r="N16" s="40" t="s">
        <v>64</v>
      </c>
      <c r="O16" s="40" t="s">
        <v>64</v>
      </c>
      <c r="P16" s="40" t="s">
        <v>64</v>
      </c>
      <c r="Q16" s="40" t="s">
        <v>64</v>
      </c>
      <c r="R16" s="40" t="s">
        <v>64</v>
      </c>
      <c r="S16" s="40" t="s">
        <v>64</v>
      </c>
      <c r="T16" s="40" t="s">
        <v>64</v>
      </c>
      <c r="U16" s="40" t="s">
        <v>64</v>
      </c>
      <c r="V16" s="40" t="s">
        <v>64</v>
      </c>
      <c r="W16" s="40" t="s">
        <v>64</v>
      </c>
      <c r="X16" s="40" t="s">
        <v>64</v>
      </c>
      <c r="Y16" s="40" t="s">
        <v>64</v>
      </c>
      <c r="Z16" s="40" t="s">
        <v>64</v>
      </c>
      <c r="AA16" s="40" t="s">
        <v>64</v>
      </c>
      <c r="AB16" s="40" t="s">
        <v>64</v>
      </c>
      <c r="AC16" s="40" t="s">
        <v>64</v>
      </c>
      <c r="AD16" s="40" t="s">
        <v>64</v>
      </c>
      <c r="AE16" s="40" t="s">
        <v>64</v>
      </c>
      <c r="AF16" s="40" t="s">
        <v>64</v>
      </c>
      <c r="AG16" s="40" t="s">
        <v>64</v>
      </c>
      <c r="AH16" s="40" t="s">
        <v>64</v>
      </c>
      <c r="AI16" s="40" t="s">
        <v>64</v>
      </c>
      <c r="AJ16" s="40" t="s">
        <v>64</v>
      </c>
      <c r="AK16" s="40" t="s">
        <v>64</v>
      </c>
      <c r="AL16" s="40" t="s">
        <v>64</v>
      </c>
      <c r="AM16" s="40" t="s">
        <v>64</v>
      </c>
      <c r="AN16" s="40" t="s">
        <v>64</v>
      </c>
      <c r="AO16" s="40" t="s">
        <v>64</v>
      </c>
      <c r="AP16" s="40" t="s">
        <v>64</v>
      </c>
      <c r="AQ16" s="40" t="s">
        <v>64</v>
      </c>
      <c r="AR16" s="40" t="s">
        <v>64</v>
      </c>
      <c r="AS16" s="40" t="s">
        <v>64</v>
      </c>
      <c r="AT16" s="40" t="s">
        <v>64</v>
      </c>
      <c r="AU16" s="40" t="s">
        <v>64</v>
      </c>
      <c r="AV16" s="40" t="s">
        <v>64</v>
      </c>
      <c r="AW16" s="40" t="s">
        <v>64</v>
      </c>
      <c r="AX16" s="40" t="s">
        <v>64</v>
      </c>
      <c r="AY16" s="40" t="s">
        <v>64</v>
      </c>
      <c r="AZ16" s="40" t="s">
        <v>64</v>
      </c>
      <c r="BA16" s="40" t="s">
        <v>64</v>
      </c>
      <c r="BB16" s="40" t="s">
        <v>64</v>
      </c>
    </row>
    <row r="17" spans="1:54" x14ac:dyDescent="0.2">
      <c r="A17" s="39" t="s">
        <v>456</v>
      </c>
      <c r="B17" s="39" t="s">
        <v>536</v>
      </c>
      <c r="C17" s="39" t="s">
        <v>456</v>
      </c>
      <c r="D17" s="40" t="s">
        <v>553</v>
      </c>
      <c r="E17" s="40" t="s">
        <v>212</v>
      </c>
      <c r="F17" s="40">
        <v>90</v>
      </c>
      <c r="G17" s="40">
        <v>5</v>
      </c>
      <c r="H17" s="40">
        <v>450</v>
      </c>
      <c r="I17" s="40">
        <v>20</v>
      </c>
      <c r="J17" s="40" t="s">
        <v>64</v>
      </c>
      <c r="K17" s="40" t="s">
        <v>64</v>
      </c>
      <c r="L17" s="40" t="s">
        <v>64</v>
      </c>
      <c r="M17" s="40" t="s">
        <v>64</v>
      </c>
      <c r="N17" s="40" t="s">
        <v>64</v>
      </c>
      <c r="O17" s="40" t="s">
        <v>64</v>
      </c>
      <c r="P17" s="40" t="s">
        <v>64</v>
      </c>
      <c r="Q17" s="40" t="s">
        <v>64</v>
      </c>
      <c r="R17" s="40" t="s">
        <v>64</v>
      </c>
      <c r="S17" s="40" t="s">
        <v>64</v>
      </c>
      <c r="T17" s="40" t="s">
        <v>64</v>
      </c>
      <c r="U17" s="40" t="s">
        <v>64</v>
      </c>
      <c r="V17" s="40" t="s">
        <v>64</v>
      </c>
      <c r="W17" s="40" t="s">
        <v>64</v>
      </c>
      <c r="X17" s="40" t="s">
        <v>64</v>
      </c>
      <c r="Y17" s="40" t="s">
        <v>64</v>
      </c>
      <c r="Z17" s="40" t="s">
        <v>64</v>
      </c>
      <c r="AA17" s="40" t="s">
        <v>64</v>
      </c>
      <c r="AB17" s="40" t="s">
        <v>64</v>
      </c>
      <c r="AC17" s="40" t="s">
        <v>64</v>
      </c>
      <c r="AD17" s="40" t="s">
        <v>64</v>
      </c>
      <c r="AE17" s="40" t="s">
        <v>64</v>
      </c>
      <c r="AF17" s="40" t="s">
        <v>64</v>
      </c>
      <c r="AG17" s="40" t="s">
        <v>64</v>
      </c>
      <c r="AH17" s="40" t="s">
        <v>64</v>
      </c>
      <c r="AI17" s="40" t="s">
        <v>64</v>
      </c>
      <c r="AJ17" s="40" t="s">
        <v>64</v>
      </c>
      <c r="AK17" s="40" t="s">
        <v>64</v>
      </c>
      <c r="AL17" s="40" t="s">
        <v>64</v>
      </c>
      <c r="AM17" s="40" t="s">
        <v>64</v>
      </c>
      <c r="AN17" s="40" t="s">
        <v>64</v>
      </c>
      <c r="AO17" s="40" t="s">
        <v>64</v>
      </c>
      <c r="AP17" s="40" t="s">
        <v>64</v>
      </c>
      <c r="AQ17" s="40" t="s">
        <v>64</v>
      </c>
      <c r="AR17" s="40" t="s">
        <v>64</v>
      </c>
      <c r="AS17" s="40" t="s">
        <v>64</v>
      </c>
      <c r="AT17" s="40" t="s">
        <v>64</v>
      </c>
      <c r="AU17" s="40" t="s">
        <v>64</v>
      </c>
      <c r="AV17" s="40" t="s">
        <v>64</v>
      </c>
      <c r="AW17" s="40" t="s">
        <v>64</v>
      </c>
      <c r="AX17" s="40" t="s">
        <v>64</v>
      </c>
      <c r="AY17" s="40" t="s">
        <v>64</v>
      </c>
      <c r="AZ17" s="40" t="s">
        <v>64</v>
      </c>
      <c r="BA17" s="40" t="s">
        <v>64</v>
      </c>
      <c r="BB17" s="40" t="s">
        <v>64</v>
      </c>
    </row>
    <row r="18" spans="1:54" x14ac:dyDescent="0.2">
      <c r="A18" s="39" t="s">
        <v>457</v>
      </c>
      <c r="B18" s="39" t="s">
        <v>536</v>
      </c>
      <c r="C18" s="39" t="s">
        <v>457</v>
      </c>
      <c r="D18" s="40" t="s">
        <v>554</v>
      </c>
      <c r="E18" s="40" t="s">
        <v>212</v>
      </c>
      <c r="F18" s="40">
        <v>90</v>
      </c>
      <c r="G18" s="40">
        <v>5</v>
      </c>
      <c r="H18" s="40">
        <v>450</v>
      </c>
      <c r="I18" s="40">
        <v>20</v>
      </c>
      <c r="J18" s="40" t="s">
        <v>64</v>
      </c>
      <c r="K18" s="40" t="s">
        <v>64</v>
      </c>
      <c r="L18" s="40" t="s">
        <v>64</v>
      </c>
      <c r="M18" s="40" t="s">
        <v>64</v>
      </c>
      <c r="N18" s="40" t="s">
        <v>64</v>
      </c>
      <c r="O18" s="40" t="s">
        <v>64</v>
      </c>
      <c r="P18" s="40" t="s">
        <v>64</v>
      </c>
      <c r="Q18" s="40" t="s">
        <v>64</v>
      </c>
      <c r="R18" s="40" t="s">
        <v>64</v>
      </c>
      <c r="S18" s="40" t="s">
        <v>64</v>
      </c>
      <c r="T18" s="40" t="s">
        <v>64</v>
      </c>
      <c r="U18" s="40" t="s">
        <v>64</v>
      </c>
      <c r="V18" s="40" t="s">
        <v>64</v>
      </c>
      <c r="W18" s="40" t="s">
        <v>64</v>
      </c>
      <c r="X18" s="40" t="s">
        <v>64</v>
      </c>
      <c r="Y18" s="40" t="s">
        <v>64</v>
      </c>
      <c r="Z18" s="40" t="s">
        <v>64</v>
      </c>
      <c r="AA18" s="40" t="s">
        <v>64</v>
      </c>
      <c r="AB18" s="40" t="s">
        <v>64</v>
      </c>
      <c r="AC18" s="40" t="s">
        <v>64</v>
      </c>
      <c r="AD18" s="40" t="s">
        <v>64</v>
      </c>
      <c r="AE18" s="40" t="s">
        <v>64</v>
      </c>
      <c r="AF18" s="40" t="s">
        <v>64</v>
      </c>
      <c r="AG18" s="40" t="s">
        <v>64</v>
      </c>
      <c r="AH18" s="40" t="s">
        <v>64</v>
      </c>
      <c r="AI18" s="40" t="s">
        <v>64</v>
      </c>
      <c r="AJ18" s="40" t="s">
        <v>64</v>
      </c>
      <c r="AK18" s="40" t="s">
        <v>64</v>
      </c>
      <c r="AL18" s="40" t="s">
        <v>64</v>
      </c>
      <c r="AM18" s="40" t="s">
        <v>64</v>
      </c>
      <c r="AN18" s="40" t="s">
        <v>64</v>
      </c>
      <c r="AO18" s="40" t="s">
        <v>64</v>
      </c>
      <c r="AP18" s="40" t="s">
        <v>64</v>
      </c>
      <c r="AQ18" s="40" t="s">
        <v>64</v>
      </c>
      <c r="AR18" s="40" t="s">
        <v>64</v>
      </c>
      <c r="AS18" s="40" t="s">
        <v>64</v>
      </c>
      <c r="AT18" s="40" t="s">
        <v>64</v>
      </c>
      <c r="AU18" s="40" t="s">
        <v>64</v>
      </c>
      <c r="AV18" s="40" t="s">
        <v>64</v>
      </c>
      <c r="AW18" s="40" t="s">
        <v>64</v>
      </c>
      <c r="AX18" s="40" t="s">
        <v>64</v>
      </c>
      <c r="AY18" s="40" t="s">
        <v>64</v>
      </c>
      <c r="AZ18" s="40" t="s">
        <v>64</v>
      </c>
      <c r="BA18" s="40" t="s">
        <v>64</v>
      </c>
      <c r="BB18" s="40" t="s">
        <v>64</v>
      </c>
    </row>
    <row r="19" spans="1:54" x14ac:dyDescent="0.2">
      <c r="A19" s="39" t="s">
        <v>458</v>
      </c>
      <c r="B19" s="39" t="s">
        <v>536</v>
      </c>
      <c r="C19" s="39" t="s">
        <v>458</v>
      </c>
      <c r="D19" s="40" t="s">
        <v>555</v>
      </c>
      <c r="E19" s="40" t="s">
        <v>212</v>
      </c>
      <c r="F19" s="40">
        <v>90</v>
      </c>
      <c r="G19" s="40">
        <v>5</v>
      </c>
      <c r="H19" s="40">
        <v>450</v>
      </c>
      <c r="I19" s="40">
        <v>20</v>
      </c>
      <c r="J19" s="40" t="s">
        <v>64</v>
      </c>
      <c r="K19" s="40" t="s">
        <v>64</v>
      </c>
      <c r="L19" s="40" t="s">
        <v>64</v>
      </c>
      <c r="M19" s="40" t="s">
        <v>64</v>
      </c>
      <c r="N19" s="40" t="s">
        <v>64</v>
      </c>
      <c r="O19" s="40" t="s">
        <v>64</v>
      </c>
      <c r="P19" s="40" t="s">
        <v>64</v>
      </c>
      <c r="Q19" s="40" t="s">
        <v>64</v>
      </c>
      <c r="R19" s="40" t="s">
        <v>64</v>
      </c>
      <c r="S19" s="40" t="s">
        <v>64</v>
      </c>
      <c r="T19" s="40" t="s">
        <v>64</v>
      </c>
      <c r="U19" s="40" t="s">
        <v>64</v>
      </c>
      <c r="V19" s="40" t="s">
        <v>64</v>
      </c>
      <c r="W19" s="40" t="s">
        <v>64</v>
      </c>
      <c r="X19" s="40" t="s">
        <v>64</v>
      </c>
      <c r="Y19" s="40" t="s">
        <v>64</v>
      </c>
      <c r="Z19" s="40" t="s">
        <v>64</v>
      </c>
      <c r="AA19" s="40" t="s">
        <v>64</v>
      </c>
      <c r="AB19" s="40" t="s">
        <v>64</v>
      </c>
      <c r="AC19" s="40" t="s">
        <v>64</v>
      </c>
      <c r="AD19" s="40" t="s">
        <v>64</v>
      </c>
      <c r="AE19" s="40" t="s">
        <v>64</v>
      </c>
      <c r="AF19" s="40" t="s">
        <v>64</v>
      </c>
      <c r="AG19" s="40" t="s">
        <v>64</v>
      </c>
      <c r="AH19" s="40" t="s">
        <v>64</v>
      </c>
      <c r="AI19" s="40" t="s">
        <v>64</v>
      </c>
      <c r="AJ19" s="40" t="s">
        <v>64</v>
      </c>
      <c r="AK19" s="40" t="s">
        <v>64</v>
      </c>
      <c r="AL19" s="40" t="s">
        <v>64</v>
      </c>
      <c r="AM19" s="40" t="s">
        <v>64</v>
      </c>
      <c r="AN19" s="40" t="s">
        <v>64</v>
      </c>
      <c r="AO19" s="40" t="s">
        <v>64</v>
      </c>
      <c r="AP19" s="40" t="s">
        <v>64</v>
      </c>
      <c r="AQ19" s="40" t="s">
        <v>64</v>
      </c>
      <c r="AR19" s="40" t="s">
        <v>64</v>
      </c>
      <c r="AS19" s="40" t="s">
        <v>64</v>
      </c>
      <c r="AT19" s="40" t="s">
        <v>64</v>
      </c>
      <c r="AU19" s="40" t="s">
        <v>64</v>
      </c>
      <c r="AV19" s="40" t="s">
        <v>64</v>
      </c>
      <c r="AW19" s="40" t="s">
        <v>64</v>
      </c>
      <c r="AX19" s="40" t="s">
        <v>64</v>
      </c>
      <c r="AY19" s="40" t="s">
        <v>64</v>
      </c>
      <c r="AZ19" s="40" t="s">
        <v>64</v>
      </c>
      <c r="BA19" s="40" t="s">
        <v>64</v>
      </c>
      <c r="BB19" s="40" t="s">
        <v>64</v>
      </c>
    </row>
    <row r="20" spans="1:54" x14ac:dyDescent="0.2">
      <c r="A20" s="39" t="s">
        <v>459</v>
      </c>
      <c r="B20" s="39" t="s">
        <v>536</v>
      </c>
      <c r="C20" s="39" t="s">
        <v>459</v>
      </c>
      <c r="D20" s="40" t="s">
        <v>556</v>
      </c>
      <c r="E20" s="40" t="s">
        <v>212</v>
      </c>
      <c r="F20" s="40">
        <v>90</v>
      </c>
      <c r="G20" s="40">
        <v>5</v>
      </c>
      <c r="H20" s="40">
        <v>450</v>
      </c>
      <c r="I20" s="40">
        <v>20</v>
      </c>
      <c r="J20" s="40" t="s">
        <v>64</v>
      </c>
      <c r="K20" s="40" t="s">
        <v>64</v>
      </c>
      <c r="L20" s="40" t="s">
        <v>64</v>
      </c>
      <c r="M20" s="40" t="s">
        <v>64</v>
      </c>
      <c r="N20" s="40" t="s">
        <v>64</v>
      </c>
      <c r="O20" s="40" t="s">
        <v>64</v>
      </c>
      <c r="P20" s="40" t="s">
        <v>64</v>
      </c>
      <c r="Q20" s="40" t="s">
        <v>64</v>
      </c>
      <c r="R20" s="40" t="s">
        <v>64</v>
      </c>
      <c r="S20" s="40" t="s">
        <v>64</v>
      </c>
      <c r="T20" s="40" t="s">
        <v>64</v>
      </c>
      <c r="U20" s="40" t="s">
        <v>64</v>
      </c>
      <c r="V20" s="40" t="s">
        <v>64</v>
      </c>
      <c r="W20" s="40" t="s">
        <v>64</v>
      </c>
      <c r="X20" s="40" t="s">
        <v>64</v>
      </c>
      <c r="Y20" s="40" t="s">
        <v>64</v>
      </c>
      <c r="Z20" s="40" t="s">
        <v>64</v>
      </c>
      <c r="AA20" s="40" t="s">
        <v>64</v>
      </c>
      <c r="AB20" s="40" t="s">
        <v>64</v>
      </c>
      <c r="AC20" s="40" t="s">
        <v>64</v>
      </c>
      <c r="AD20" s="40" t="s">
        <v>64</v>
      </c>
      <c r="AE20" s="40" t="s">
        <v>64</v>
      </c>
      <c r="AF20" s="40" t="s">
        <v>64</v>
      </c>
      <c r="AG20" s="40" t="s">
        <v>64</v>
      </c>
      <c r="AH20" s="40" t="s">
        <v>64</v>
      </c>
      <c r="AI20" s="40" t="s">
        <v>64</v>
      </c>
      <c r="AJ20" s="40" t="s">
        <v>64</v>
      </c>
      <c r="AK20" s="40" t="s">
        <v>64</v>
      </c>
      <c r="AL20" s="40" t="s">
        <v>64</v>
      </c>
      <c r="AM20" s="40" t="s">
        <v>64</v>
      </c>
      <c r="AN20" s="40" t="s">
        <v>64</v>
      </c>
      <c r="AO20" s="40" t="s">
        <v>64</v>
      </c>
      <c r="AP20" s="40" t="s">
        <v>64</v>
      </c>
      <c r="AQ20" s="40" t="s">
        <v>64</v>
      </c>
      <c r="AR20" s="40" t="s">
        <v>64</v>
      </c>
      <c r="AS20" s="40" t="s">
        <v>64</v>
      </c>
      <c r="AT20" s="40" t="s">
        <v>64</v>
      </c>
      <c r="AU20" s="40" t="s">
        <v>64</v>
      </c>
      <c r="AV20" s="40" t="s">
        <v>64</v>
      </c>
      <c r="AW20" s="40" t="s">
        <v>64</v>
      </c>
      <c r="AX20" s="40" t="s">
        <v>64</v>
      </c>
      <c r="AY20" s="40" t="s">
        <v>64</v>
      </c>
      <c r="AZ20" s="40" t="s">
        <v>64</v>
      </c>
      <c r="BA20" s="40" t="s">
        <v>64</v>
      </c>
      <c r="BB20" s="40" t="s">
        <v>64</v>
      </c>
    </row>
    <row r="21" spans="1:54" x14ac:dyDescent="0.2">
      <c r="A21" s="39" t="s">
        <v>460</v>
      </c>
      <c r="B21" s="39" t="s">
        <v>536</v>
      </c>
      <c r="C21" s="39" t="s">
        <v>460</v>
      </c>
      <c r="D21" s="40" t="s">
        <v>557</v>
      </c>
      <c r="E21" s="40" t="s">
        <v>212</v>
      </c>
      <c r="F21" s="40">
        <v>90</v>
      </c>
      <c r="G21" s="40">
        <v>5</v>
      </c>
      <c r="H21" s="40">
        <v>450</v>
      </c>
      <c r="I21" s="40">
        <v>20</v>
      </c>
      <c r="J21" s="40" t="s">
        <v>64</v>
      </c>
      <c r="K21" s="40" t="s">
        <v>64</v>
      </c>
      <c r="L21" s="40" t="s">
        <v>64</v>
      </c>
      <c r="M21" s="40" t="s">
        <v>64</v>
      </c>
      <c r="N21" s="40" t="s">
        <v>64</v>
      </c>
      <c r="O21" s="40" t="s">
        <v>64</v>
      </c>
      <c r="P21" s="40" t="s">
        <v>64</v>
      </c>
      <c r="Q21" s="40" t="s">
        <v>64</v>
      </c>
      <c r="R21" s="40" t="s">
        <v>64</v>
      </c>
      <c r="S21" s="40" t="s">
        <v>64</v>
      </c>
      <c r="T21" s="40" t="s">
        <v>64</v>
      </c>
      <c r="U21" s="40" t="s">
        <v>64</v>
      </c>
      <c r="V21" s="40" t="s">
        <v>64</v>
      </c>
      <c r="W21" s="40" t="s">
        <v>64</v>
      </c>
      <c r="X21" s="40" t="s">
        <v>64</v>
      </c>
      <c r="Y21" s="40" t="s">
        <v>64</v>
      </c>
      <c r="Z21" s="40" t="s">
        <v>64</v>
      </c>
      <c r="AA21" s="40" t="s">
        <v>64</v>
      </c>
      <c r="AB21" s="40" t="s">
        <v>64</v>
      </c>
      <c r="AC21" s="40" t="s">
        <v>64</v>
      </c>
      <c r="AD21" s="40" t="s">
        <v>64</v>
      </c>
      <c r="AE21" s="40" t="s">
        <v>64</v>
      </c>
      <c r="AF21" s="40" t="s">
        <v>64</v>
      </c>
      <c r="AG21" s="40" t="s">
        <v>64</v>
      </c>
      <c r="AH21" s="40" t="s">
        <v>64</v>
      </c>
      <c r="AI21" s="40" t="s">
        <v>64</v>
      </c>
      <c r="AJ21" s="40" t="s">
        <v>64</v>
      </c>
      <c r="AK21" s="40" t="s">
        <v>64</v>
      </c>
      <c r="AL21" s="40" t="s">
        <v>64</v>
      </c>
      <c r="AM21" s="40" t="s">
        <v>64</v>
      </c>
      <c r="AN21" s="40" t="s">
        <v>64</v>
      </c>
      <c r="AO21" s="40" t="s">
        <v>64</v>
      </c>
      <c r="AP21" s="40" t="s">
        <v>64</v>
      </c>
      <c r="AQ21" s="40" t="s">
        <v>64</v>
      </c>
      <c r="AR21" s="40" t="s">
        <v>64</v>
      </c>
      <c r="AS21" s="40" t="s">
        <v>64</v>
      </c>
      <c r="AT21" s="40" t="s">
        <v>64</v>
      </c>
      <c r="AU21" s="40" t="s">
        <v>64</v>
      </c>
      <c r="AV21" s="40" t="s">
        <v>64</v>
      </c>
      <c r="AW21" s="40" t="s">
        <v>64</v>
      </c>
      <c r="AX21" s="40" t="s">
        <v>64</v>
      </c>
      <c r="AY21" s="40" t="s">
        <v>64</v>
      </c>
      <c r="AZ21" s="40" t="s">
        <v>64</v>
      </c>
      <c r="BA21" s="40" t="s">
        <v>64</v>
      </c>
      <c r="BB21" s="40" t="s">
        <v>64</v>
      </c>
    </row>
    <row r="22" spans="1:54" x14ac:dyDescent="0.2">
      <c r="A22" s="39" t="s">
        <v>461</v>
      </c>
      <c r="B22" s="39" t="s">
        <v>536</v>
      </c>
      <c r="C22" s="39" t="s">
        <v>461</v>
      </c>
      <c r="D22" s="40" t="s">
        <v>558</v>
      </c>
      <c r="E22" s="40" t="s">
        <v>212</v>
      </c>
      <c r="F22" s="40">
        <v>90</v>
      </c>
      <c r="G22" s="40">
        <v>5</v>
      </c>
      <c r="H22" s="40">
        <v>450</v>
      </c>
      <c r="I22" s="40">
        <v>15</v>
      </c>
      <c r="J22" s="40" t="s">
        <v>64</v>
      </c>
      <c r="K22" s="40" t="s">
        <v>64</v>
      </c>
      <c r="L22" s="40" t="s">
        <v>64</v>
      </c>
      <c r="M22" s="40" t="s">
        <v>64</v>
      </c>
      <c r="N22" s="40" t="s">
        <v>64</v>
      </c>
      <c r="O22" s="40" t="s">
        <v>64</v>
      </c>
      <c r="P22" s="40" t="s">
        <v>64</v>
      </c>
      <c r="Q22" s="40" t="s">
        <v>64</v>
      </c>
      <c r="R22" s="40" t="s">
        <v>64</v>
      </c>
      <c r="S22" s="40" t="s">
        <v>64</v>
      </c>
      <c r="T22" s="40" t="s">
        <v>64</v>
      </c>
      <c r="U22" s="40" t="s">
        <v>64</v>
      </c>
      <c r="V22" s="40" t="s">
        <v>64</v>
      </c>
      <c r="W22" s="40" t="s">
        <v>64</v>
      </c>
      <c r="X22" s="40" t="s">
        <v>64</v>
      </c>
      <c r="Y22" s="40" t="s">
        <v>64</v>
      </c>
      <c r="Z22" s="40" t="s">
        <v>64</v>
      </c>
      <c r="AA22" s="40" t="s">
        <v>64</v>
      </c>
      <c r="AB22" s="40" t="s">
        <v>64</v>
      </c>
      <c r="AC22" s="40" t="s">
        <v>64</v>
      </c>
      <c r="AD22" s="40" t="s">
        <v>64</v>
      </c>
      <c r="AE22" s="40" t="s">
        <v>64</v>
      </c>
      <c r="AF22" s="40" t="s">
        <v>64</v>
      </c>
      <c r="AG22" s="40" t="s">
        <v>64</v>
      </c>
      <c r="AH22" s="40" t="s">
        <v>64</v>
      </c>
      <c r="AI22" s="40" t="s">
        <v>64</v>
      </c>
      <c r="AJ22" s="40" t="s">
        <v>64</v>
      </c>
      <c r="AK22" s="40" t="s">
        <v>64</v>
      </c>
      <c r="AL22" s="40" t="s">
        <v>64</v>
      </c>
      <c r="AM22" s="40" t="s">
        <v>64</v>
      </c>
      <c r="AN22" s="40" t="s">
        <v>64</v>
      </c>
      <c r="AO22" s="40" t="s">
        <v>64</v>
      </c>
      <c r="AP22" s="40" t="s">
        <v>64</v>
      </c>
      <c r="AQ22" s="40" t="s">
        <v>64</v>
      </c>
      <c r="AR22" s="40" t="s">
        <v>64</v>
      </c>
      <c r="AS22" s="40" t="s">
        <v>64</v>
      </c>
      <c r="AT22" s="40" t="s">
        <v>64</v>
      </c>
      <c r="AU22" s="40" t="s">
        <v>64</v>
      </c>
      <c r="AV22" s="40" t="s">
        <v>64</v>
      </c>
      <c r="AW22" s="40" t="s">
        <v>64</v>
      </c>
      <c r="AX22" s="40" t="s">
        <v>64</v>
      </c>
      <c r="AY22" s="40" t="s">
        <v>64</v>
      </c>
      <c r="AZ22" s="40" t="s">
        <v>64</v>
      </c>
      <c r="BA22" s="40" t="s">
        <v>64</v>
      </c>
      <c r="BB22" s="40" t="s">
        <v>64</v>
      </c>
    </row>
    <row r="23" spans="1:54" x14ac:dyDescent="0.2">
      <c r="A23" s="39" t="s">
        <v>462</v>
      </c>
      <c r="B23" s="39" t="s">
        <v>536</v>
      </c>
      <c r="C23" s="39" t="s">
        <v>462</v>
      </c>
      <c r="D23" s="40" t="s">
        <v>559</v>
      </c>
      <c r="E23" s="40" t="s">
        <v>212</v>
      </c>
      <c r="F23" s="40">
        <v>90</v>
      </c>
      <c r="G23" s="40">
        <v>5</v>
      </c>
      <c r="H23" s="40">
        <v>450</v>
      </c>
      <c r="I23" s="40">
        <v>15</v>
      </c>
      <c r="J23" s="40" t="s">
        <v>64</v>
      </c>
      <c r="K23" s="40" t="s">
        <v>64</v>
      </c>
      <c r="L23" s="40" t="s">
        <v>64</v>
      </c>
      <c r="M23" s="40" t="s">
        <v>64</v>
      </c>
      <c r="N23" s="40" t="s">
        <v>64</v>
      </c>
      <c r="O23" s="40" t="s">
        <v>64</v>
      </c>
      <c r="P23" s="40" t="s">
        <v>64</v>
      </c>
      <c r="Q23" s="40" t="s">
        <v>64</v>
      </c>
      <c r="R23" s="40" t="s">
        <v>64</v>
      </c>
      <c r="S23" s="40" t="s">
        <v>64</v>
      </c>
      <c r="T23" s="40" t="s">
        <v>64</v>
      </c>
      <c r="U23" s="40" t="s">
        <v>64</v>
      </c>
      <c r="V23" s="40" t="s">
        <v>64</v>
      </c>
      <c r="W23" s="40" t="s">
        <v>64</v>
      </c>
      <c r="X23" s="40" t="s">
        <v>64</v>
      </c>
      <c r="Y23" s="40" t="s">
        <v>64</v>
      </c>
      <c r="Z23" s="40" t="s">
        <v>64</v>
      </c>
      <c r="AA23" s="40" t="s">
        <v>64</v>
      </c>
      <c r="AB23" s="40" t="s">
        <v>64</v>
      </c>
      <c r="AC23" s="40" t="s">
        <v>64</v>
      </c>
      <c r="AD23" s="40" t="s">
        <v>64</v>
      </c>
      <c r="AE23" s="40" t="s">
        <v>64</v>
      </c>
      <c r="AF23" s="40" t="s">
        <v>64</v>
      </c>
      <c r="AG23" s="40" t="s">
        <v>64</v>
      </c>
      <c r="AH23" s="40" t="s">
        <v>64</v>
      </c>
      <c r="AI23" s="40" t="s">
        <v>64</v>
      </c>
      <c r="AJ23" s="40" t="s">
        <v>64</v>
      </c>
      <c r="AK23" s="40" t="s">
        <v>64</v>
      </c>
      <c r="AL23" s="40" t="s">
        <v>64</v>
      </c>
      <c r="AM23" s="40" t="s">
        <v>64</v>
      </c>
      <c r="AN23" s="40" t="s">
        <v>64</v>
      </c>
      <c r="AO23" s="40" t="s">
        <v>64</v>
      </c>
      <c r="AP23" s="40" t="s">
        <v>64</v>
      </c>
      <c r="AQ23" s="40" t="s">
        <v>64</v>
      </c>
      <c r="AR23" s="40" t="s">
        <v>64</v>
      </c>
      <c r="AS23" s="40" t="s">
        <v>64</v>
      </c>
      <c r="AT23" s="40" t="s">
        <v>64</v>
      </c>
      <c r="AU23" s="40" t="s">
        <v>64</v>
      </c>
      <c r="AV23" s="40" t="s">
        <v>64</v>
      </c>
      <c r="AW23" s="40" t="s">
        <v>64</v>
      </c>
      <c r="AX23" s="40" t="s">
        <v>64</v>
      </c>
      <c r="AY23" s="40" t="s">
        <v>64</v>
      </c>
      <c r="AZ23" s="40" t="s">
        <v>64</v>
      </c>
      <c r="BA23" s="40" t="s">
        <v>64</v>
      </c>
      <c r="BB23" s="40" t="s">
        <v>64</v>
      </c>
    </row>
    <row r="24" spans="1:54" x14ac:dyDescent="0.2">
      <c r="A24" s="39" t="s">
        <v>463</v>
      </c>
      <c r="B24" s="39" t="s">
        <v>536</v>
      </c>
      <c r="C24" s="39" t="s">
        <v>463</v>
      </c>
      <c r="D24" s="40" t="s">
        <v>560</v>
      </c>
      <c r="E24" s="40" t="s">
        <v>212</v>
      </c>
      <c r="F24" s="40">
        <v>90</v>
      </c>
      <c r="G24" s="40">
        <v>5</v>
      </c>
      <c r="H24" s="40">
        <v>450</v>
      </c>
      <c r="I24" s="40">
        <v>15</v>
      </c>
      <c r="J24" s="40" t="s">
        <v>64</v>
      </c>
      <c r="K24" s="40" t="s">
        <v>64</v>
      </c>
      <c r="L24" s="40" t="s">
        <v>64</v>
      </c>
      <c r="M24" s="40" t="s">
        <v>64</v>
      </c>
      <c r="N24" s="40" t="s">
        <v>64</v>
      </c>
      <c r="O24" s="40" t="s">
        <v>64</v>
      </c>
      <c r="P24" s="40" t="s">
        <v>64</v>
      </c>
      <c r="Q24" s="40" t="s">
        <v>64</v>
      </c>
      <c r="R24" s="40" t="s">
        <v>64</v>
      </c>
      <c r="S24" s="40" t="s">
        <v>64</v>
      </c>
      <c r="T24" s="40" t="s">
        <v>64</v>
      </c>
      <c r="U24" s="40" t="s">
        <v>64</v>
      </c>
      <c r="V24" s="40" t="s">
        <v>64</v>
      </c>
      <c r="W24" s="40" t="s">
        <v>64</v>
      </c>
      <c r="X24" s="40" t="s">
        <v>64</v>
      </c>
      <c r="Y24" s="40" t="s">
        <v>64</v>
      </c>
      <c r="Z24" s="40" t="s">
        <v>64</v>
      </c>
      <c r="AA24" s="40" t="s">
        <v>64</v>
      </c>
      <c r="AB24" s="40" t="s">
        <v>64</v>
      </c>
      <c r="AC24" s="40" t="s">
        <v>64</v>
      </c>
      <c r="AD24" s="40" t="s">
        <v>64</v>
      </c>
      <c r="AE24" s="40" t="s">
        <v>64</v>
      </c>
      <c r="AF24" s="40" t="s">
        <v>64</v>
      </c>
      <c r="AG24" s="40" t="s">
        <v>64</v>
      </c>
      <c r="AH24" s="40" t="s">
        <v>64</v>
      </c>
      <c r="AI24" s="40" t="s">
        <v>64</v>
      </c>
      <c r="AJ24" s="40" t="s">
        <v>64</v>
      </c>
      <c r="AK24" s="40" t="s">
        <v>64</v>
      </c>
      <c r="AL24" s="40" t="s">
        <v>64</v>
      </c>
      <c r="AM24" s="40" t="s">
        <v>64</v>
      </c>
      <c r="AN24" s="40" t="s">
        <v>64</v>
      </c>
      <c r="AO24" s="40" t="s">
        <v>64</v>
      </c>
      <c r="AP24" s="40" t="s">
        <v>64</v>
      </c>
      <c r="AQ24" s="40" t="s">
        <v>64</v>
      </c>
      <c r="AR24" s="40" t="s">
        <v>64</v>
      </c>
      <c r="AS24" s="40" t="s">
        <v>64</v>
      </c>
      <c r="AT24" s="40" t="s">
        <v>64</v>
      </c>
      <c r="AU24" s="40" t="s">
        <v>64</v>
      </c>
      <c r="AV24" s="40" t="s">
        <v>64</v>
      </c>
      <c r="AW24" s="40" t="s">
        <v>64</v>
      </c>
      <c r="AX24" s="40" t="s">
        <v>64</v>
      </c>
      <c r="AY24" s="40" t="s">
        <v>64</v>
      </c>
      <c r="AZ24" s="40" t="s">
        <v>64</v>
      </c>
      <c r="BA24" s="40" t="s">
        <v>64</v>
      </c>
      <c r="BB24" s="40" t="s">
        <v>64</v>
      </c>
    </row>
    <row r="25" spans="1:54" x14ac:dyDescent="0.2">
      <c r="A25" s="39" t="s">
        <v>464</v>
      </c>
      <c r="B25" s="39" t="s">
        <v>536</v>
      </c>
      <c r="C25" s="39" t="s">
        <v>464</v>
      </c>
      <c r="D25" s="40" t="s">
        <v>561</v>
      </c>
      <c r="E25" s="40" t="s">
        <v>212</v>
      </c>
      <c r="F25" s="40">
        <v>90</v>
      </c>
      <c r="G25" s="40">
        <v>5</v>
      </c>
      <c r="H25" s="40">
        <v>450</v>
      </c>
      <c r="I25" s="40">
        <v>15</v>
      </c>
      <c r="J25" s="40" t="s">
        <v>64</v>
      </c>
      <c r="K25" s="40" t="s">
        <v>64</v>
      </c>
      <c r="L25" s="40" t="s">
        <v>64</v>
      </c>
      <c r="M25" s="40" t="s">
        <v>64</v>
      </c>
      <c r="N25" s="40" t="s">
        <v>64</v>
      </c>
      <c r="O25" s="40" t="s">
        <v>64</v>
      </c>
      <c r="P25" s="40" t="s">
        <v>64</v>
      </c>
      <c r="Q25" s="40" t="s">
        <v>64</v>
      </c>
      <c r="R25" s="40" t="s">
        <v>64</v>
      </c>
      <c r="S25" s="40" t="s">
        <v>64</v>
      </c>
      <c r="T25" s="40" t="s">
        <v>64</v>
      </c>
      <c r="U25" s="40" t="s">
        <v>64</v>
      </c>
      <c r="V25" s="40" t="s">
        <v>64</v>
      </c>
      <c r="W25" s="40" t="s">
        <v>64</v>
      </c>
      <c r="X25" s="40" t="s">
        <v>64</v>
      </c>
      <c r="Y25" s="40" t="s">
        <v>64</v>
      </c>
      <c r="Z25" s="40" t="s">
        <v>64</v>
      </c>
      <c r="AA25" s="40" t="s">
        <v>64</v>
      </c>
      <c r="AB25" s="40" t="s">
        <v>64</v>
      </c>
      <c r="AC25" s="40" t="s">
        <v>64</v>
      </c>
      <c r="AD25" s="40" t="s">
        <v>64</v>
      </c>
      <c r="AE25" s="40" t="s">
        <v>64</v>
      </c>
      <c r="AF25" s="40" t="s">
        <v>64</v>
      </c>
      <c r="AG25" s="40" t="s">
        <v>64</v>
      </c>
      <c r="AH25" s="40" t="s">
        <v>64</v>
      </c>
      <c r="AI25" s="40" t="s">
        <v>64</v>
      </c>
      <c r="AJ25" s="40" t="s">
        <v>64</v>
      </c>
      <c r="AK25" s="40" t="s">
        <v>64</v>
      </c>
      <c r="AL25" s="40" t="s">
        <v>64</v>
      </c>
      <c r="AM25" s="40" t="s">
        <v>64</v>
      </c>
      <c r="AN25" s="40" t="s">
        <v>64</v>
      </c>
      <c r="AO25" s="40" t="s">
        <v>64</v>
      </c>
      <c r="AP25" s="40" t="s">
        <v>64</v>
      </c>
      <c r="AQ25" s="40" t="s">
        <v>64</v>
      </c>
      <c r="AR25" s="40" t="s">
        <v>64</v>
      </c>
      <c r="AS25" s="40" t="s">
        <v>64</v>
      </c>
      <c r="AT25" s="40" t="s">
        <v>64</v>
      </c>
      <c r="AU25" s="40" t="s">
        <v>64</v>
      </c>
      <c r="AV25" s="40" t="s">
        <v>64</v>
      </c>
      <c r="AW25" s="40" t="s">
        <v>64</v>
      </c>
      <c r="AX25" s="40" t="s">
        <v>64</v>
      </c>
      <c r="AY25" s="40" t="s">
        <v>64</v>
      </c>
      <c r="AZ25" s="40" t="s">
        <v>64</v>
      </c>
      <c r="BA25" s="40" t="s">
        <v>64</v>
      </c>
      <c r="BB25" s="40" t="s">
        <v>64</v>
      </c>
    </row>
    <row r="26" spans="1:54" x14ac:dyDescent="0.2">
      <c r="A26" s="39" t="s">
        <v>465</v>
      </c>
      <c r="B26" s="39" t="s">
        <v>536</v>
      </c>
      <c r="C26" s="39" t="s">
        <v>465</v>
      </c>
      <c r="D26" s="40" t="s">
        <v>562</v>
      </c>
      <c r="E26" s="40" t="s">
        <v>212</v>
      </c>
      <c r="F26" s="40">
        <v>90</v>
      </c>
      <c r="G26" s="40">
        <v>5</v>
      </c>
      <c r="H26" s="40">
        <v>450</v>
      </c>
      <c r="I26" s="40">
        <v>15</v>
      </c>
      <c r="J26" s="40" t="s">
        <v>64</v>
      </c>
      <c r="K26" s="40" t="s">
        <v>64</v>
      </c>
      <c r="L26" s="40" t="s">
        <v>64</v>
      </c>
      <c r="M26" s="40" t="s">
        <v>64</v>
      </c>
      <c r="N26" s="40" t="s">
        <v>64</v>
      </c>
      <c r="O26" s="40" t="s">
        <v>64</v>
      </c>
      <c r="P26" s="40" t="s">
        <v>64</v>
      </c>
      <c r="Q26" s="40" t="s">
        <v>64</v>
      </c>
      <c r="R26" s="40" t="s">
        <v>64</v>
      </c>
      <c r="S26" s="40" t="s">
        <v>64</v>
      </c>
      <c r="T26" s="40" t="s">
        <v>64</v>
      </c>
      <c r="U26" s="40" t="s">
        <v>64</v>
      </c>
      <c r="V26" s="40" t="s">
        <v>64</v>
      </c>
      <c r="W26" s="40" t="s">
        <v>64</v>
      </c>
      <c r="X26" s="40" t="s">
        <v>64</v>
      </c>
      <c r="Y26" s="40" t="s">
        <v>64</v>
      </c>
      <c r="Z26" s="40" t="s">
        <v>64</v>
      </c>
      <c r="AA26" s="40" t="s">
        <v>64</v>
      </c>
      <c r="AB26" s="40" t="s">
        <v>64</v>
      </c>
      <c r="AC26" s="40" t="s">
        <v>64</v>
      </c>
      <c r="AD26" s="40" t="s">
        <v>64</v>
      </c>
      <c r="AE26" s="40" t="s">
        <v>64</v>
      </c>
      <c r="AF26" s="40" t="s">
        <v>64</v>
      </c>
      <c r="AG26" s="40" t="s">
        <v>64</v>
      </c>
      <c r="AH26" s="40" t="s">
        <v>64</v>
      </c>
      <c r="AI26" s="40" t="s">
        <v>64</v>
      </c>
      <c r="AJ26" s="40" t="s">
        <v>64</v>
      </c>
      <c r="AK26" s="40" t="s">
        <v>64</v>
      </c>
      <c r="AL26" s="40" t="s">
        <v>64</v>
      </c>
      <c r="AM26" s="40" t="s">
        <v>64</v>
      </c>
      <c r="AN26" s="40" t="s">
        <v>64</v>
      </c>
      <c r="AO26" s="40" t="s">
        <v>64</v>
      </c>
      <c r="AP26" s="40" t="s">
        <v>64</v>
      </c>
      <c r="AQ26" s="40" t="s">
        <v>64</v>
      </c>
      <c r="AR26" s="40" t="s">
        <v>64</v>
      </c>
      <c r="AS26" s="40" t="s">
        <v>64</v>
      </c>
      <c r="AT26" s="40" t="s">
        <v>64</v>
      </c>
      <c r="AU26" s="40" t="s">
        <v>64</v>
      </c>
      <c r="AV26" s="40" t="s">
        <v>64</v>
      </c>
      <c r="AW26" s="40" t="s">
        <v>64</v>
      </c>
      <c r="AX26" s="40" t="s">
        <v>64</v>
      </c>
      <c r="AY26" s="40" t="s">
        <v>64</v>
      </c>
      <c r="AZ26" s="40" t="s">
        <v>64</v>
      </c>
      <c r="BA26" s="40" t="s">
        <v>64</v>
      </c>
      <c r="BB26" s="40" t="s">
        <v>64</v>
      </c>
    </row>
    <row r="27" spans="1:54" x14ac:dyDescent="0.2">
      <c r="A27" s="39" t="s">
        <v>466</v>
      </c>
      <c r="B27" s="39" t="s">
        <v>536</v>
      </c>
      <c r="C27" s="39" t="s">
        <v>466</v>
      </c>
      <c r="D27" s="40" t="s">
        <v>563</v>
      </c>
      <c r="E27" s="40" t="s">
        <v>212</v>
      </c>
      <c r="F27" s="40">
        <v>90</v>
      </c>
      <c r="G27" s="40">
        <v>5</v>
      </c>
      <c r="H27" s="40">
        <v>450</v>
      </c>
      <c r="I27" s="40">
        <v>25</v>
      </c>
      <c r="J27" s="40" t="s">
        <v>64</v>
      </c>
      <c r="K27" s="40" t="s">
        <v>64</v>
      </c>
      <c r="L27" s="40" t="s">
        <v>64</v>
      </c>
      <c r="M27" s="40" t="s">
        <v>64</v>
      </c>
      <c r="N27" s="40" t="s">
        <v>64</v>
      </c>
      <c r="O27" s="40" t="s">
        <v>64</v>
      </c>
      <c r="P27" s="40" t="s">
        <v>64</v>
      </c>
      <c r="Q27" s="40" t="s">
        <v>64</v>
      </c>
      <c r="R27" s="40" t="s">
        <v>64</v>
      </c>
      <c r="S27" s="40" t="s">
        <v>64</v>
      </c>
      <c r="T27" s="40" t="s">
        <v>64</v>
      </c>
      <c r="U27" s="40" t="s">
        <v>64</v>
      </c>
      <c r="V27" s="40" t="s">
        <v>64</v>
      </c>
      <c r="W27" s="40" t="s">
        <v>64</v>
      </c>
      <c r="X27" s="40" t="s">
        <v>64</v>
      </c>
      <c r="Y27" s="40" t="s">
        <v>64</v>
      </c>
      <c r="Z27" s="40" t="s">
        <v>64</v>
      </c>
      <c r="AA27" s="40" t="s">
        <v>64</v>
      </c>
      <c r="AB27" s="40" t="s">
        <v>64</v>
      </c>
      <c r="AC27" s="40" t="s">
        <v>64</v>
      </c>
      <c r="AD27" s="40" t="s">
        <v>64</v>
      </c>
      <c r="AE27" s="40" t="s">
        <v>64</v>
      </c>
      <c r="AF27" s="40" t="s">
        <v>64</v>
      </c>
      <c r="AG27" s="40" t="s">
        <v>64</v>
      </c>
      <c r="AH27" s="40" t="s">
        <v>64</v>
      </c>
      <c r="AI27" s="40" t="s">
        <v>64</v>
      </c>
      <c r="AJ27" s="40" t="s">
        <v>64</v>
      </c>
      <c r="AK27" s="40" t="s">
        <v>64</v>
      </c>
      <c r="AL27" s="40" t="s">
        <v>64</v>
      </c>
      <c r="AM27" s="40" t="s">
        <v>64</v>
      </c>
      <c r="AN27" s="40" t="s">
        <v>64</v>
      </c>
      <c r="AO27" s="40" t="s">
        <v>64</v>
      </c>
      <c r="AP27" s="40" t="s">
        <v>64</v>
      </c>
      <c r="AQ27" s="40" t="s">
        <v>64</v>
      </c>
      <c r="AR27" s="40" t="s">
        <v>64</v>
      </c>
      <c r="AS27" s="40" t="s">
        <v>64</v>
      </c>
      <c r="AT27" s="40" t="s">
        <v>64</v>
      </c>
      <c r="AU27" s="40" t="s">
        <v>64</v>
      </c>
      <c r="AV27" s="40" t="s">
        <v>64</v>
      </c>
      <c r="AW27" s="40" t="s">
        <v>64</v>
      </c>
      <c r="AX27" s="40" t="s">
        <v>64</v>
      </c>
      <c r="AY27" s="40" t="s">
        <v>64</v>
      </c>
      <c r="AZ27" s="40" t="s">
        <v>64</v>
      </c>
      <c r="BA27" s="40" t="s">
        <v>64</v>
      </c>
      <c r="BB27" s="40" t="s">
        <v>64</v>
      </c>
    </row>
    <row r="28" spans="1:54" x14ac:dyDescent="0.2">
      <c r="A28" s="39" t="s">
        <v>467</v>
      </c>
      <c r="B28" s="39" t="s">
        <v>536</v>
      </c>
      <c r="C28" s="39" t="s">
        <v>467</v>
      </c>
      <c r="D28" s="40" t="s">
        <v>564</v>
      </c>
      <c r="E28" s="40" t="s">
        <v>212</v>
      </c>
      <c r="F28" s="40">
        <v>90</v>
      </c>
      <c r="G28" s="40">
        <v>5</v>
      </c>
      <c r="H28" s="40">
        <v>450</v>
      </c>
      <c r="I28" s="40">
        <v>20</v>
      </c>
      <c r="J28" s="40" t="s">
        <v>64</v>
      </c>
      <c r="K28" s="40" t="s">
        <v>64</v>
      </c>
      <c r="L28" s="40" t="s">
        <v>64</v>
      </c>
      <c r="M28" s="40" t="s">
        <v>64</v>
      </c>
      <c r="N28" s="40" t="s">
        <v>64</v>
      </c>
      <c r="O28" s="40" t="s">
        <v>64</v>
      </c>
      <c r="P28" s="40" t="s">
        <v>64</v>
      </c>
      <c r="Q28" s="40" t="s">
        <v>64</v>
      </c>
      <c r="R28" s="40" t="s">
        <v>64</v>
      </c>
      <c r="S28" s="40" t="s">
        <v>64</v>
      </c>
      <c r="T28" s="40" t="s">
        <v>64</v>
      </c>
      <c r="U28" s="40" t="s">
        <v>64</v>
      </c>
      <c r="V28" s="40" t="s">
        <v>64</v>
      </c>
      <c r="W28" s="40" t="s">
        <v>64</v>
      </c>
      <c r="X28" s="40" t="s">
        <v>64</v>
      </c>
      <c r="Y28" s="40" t="s">
        <v>64</v>
      </c>
      <c r="Z28" s="40" t="s">
        <v>64</v>
      </c>
      <c r="AA28" s="40" t="s">
        <v>64</v>
      </c>
      <c r="AB28" s="40" t="s">
        <v>64</v>
      </c>
      <c r="AC28" s="40" t="s">
        <v>64</v>
      </c>
      <c r="AD28" s="40" t="s">
        <v>64</v>
      </c>
      <c r="AE28" s="40" t="s">
        <v>64</v>
      </c>
      <c r="AF28" s="40" t="s">
        <v>64</v>
      </c>
      <c r="AG28" s="40" t="s">
        <v>64</v>
      </c>
      <c r="AH28" s="40" t="s">
        <v>64</v>
      </c>
      <c r="AI28" s="40" t="s">
        <v>64</v>
      </c>
      <c r="AJ28" s="40" t="s">
        <v>64</v>
      </c>
      <c r="AK28" s="40" t="s">
        <v>64</v>
      </c>
      <c r="AL28" s="40" t="s">
        <v>64</v>
      </c>
      <c r="AM28" s="40" t="s">
        <v>64</v>
      </c>
      <c r="AN28" s="40" t="s">
        <v>64</v>
      </c>
      <c r="AO28" s="40" t="s">
        <v>64</v>
      </c>
      <c r="AP28" s="40" t="s">
        <v>64</v>
      </c>
      <c r="AQ28" s="40" t="s">
        <v>64</v>
      </c>
      <c r="AR28" s="40" t="s">
        <v>64</v>
      </c>
      <c r="AS28" s="40" t="s">
        <v>64</v>
      </c>
      <c r="AT28" s="40" t="s">
        <v>64</v>
      </c>
      <c r="AU28" s="40" t="s">
        <v>64</v>
      </c>
      <c r="AV28" s="40" t="s">
        <v>64</v>
      </c>
      <c r="AW28" s="40" t="s">
        <v>64</v>
      </c>
      <c r="AX28" s="40" t="s">
        <v>64</v>
      </c>
      <c r="AY28" s="40" t="s">
        <v>64</v>
      </c>
      <c r="AZ28" s="40" t="s">
        <v>64</v>
      </c>
      <c r="BA28" s="40" t="s">
        <v>64</v>
      </c>
      <c r="BB28" s="40" t="s">
        <v>64</v>
      </c>
    </row>
    <row r="29" spans="1:54" x14ac:dyDescent="0.2">
      <c r="A29" s="39" t="s">
        <v>468</v>
      </c>
      <c r="B29" s="39" t="s">
        <v>536</v>
      </c>
      <c r="C29" s="39" t="s">
        <v>468</v>
      </c>
      <c r="D29" s="40" t="s">
        <v>565</v>
      </c>
      <c r="E29" s="40" t="s">
        <v>212</v>
      </c>
      <c r="F29" s="40">
        <v>90</v>
      </c>
      <c r="G29" s="40">
        <v>5</v>
      </c>
      <c r="H29" s="40">
        <v>450</v>
      </c>
      <c r="I29" s="40">
        <v>20</v>
      </c>
      <c r="J29" s="40" t="s">
        <v>64</v>
      </c>
      <c r="K29" s="40" t="s">
        <v>64</v>
      </c>
      <c r="L29" s="40" t="s">
        <v>64</v>
      </c>
      <c r="M29" s="40" t="s">
        <v>64</v>
      </c>
      <c r="N29" s="40" t="s">
        <v>64</v>
      </c>
      <c r="O29" s="40" t="s">
        <v>64</v>
      </c>
      <c r="P29" s="40" t="s">
        <v>64</v>
      </c>
      <c r="Q29" s="40" t="s">
        <v>64</v>
      </c>
      <c r="R29" s="40" t="s">
        <v>64</v>
      </c>
      <c r="S29" s="40" t="s">
        <v>64</v>
      </c>
      <c r="T29" s="40" t="s">
        <v>64</v>
      </c>
      <c r="U29" s="40" t="s">
        <v>64</v>
      </c>
      <c r="V29" s="40" t="s">
        <v>64</v>
      </c>
      <c r="W29" s="40" t="s">
        <v>64</v>
      </c>
      <c r="X29" s="40" t="s">
        <v>64</v>
      </c>
      <c r="Y29" s="40" t="s">
        <v>64</v>
      </c>
      <c r="Z29" s="40" t="s">
        <v>64</v>
      </c>
      <c r="AA29" s="40" t="s">
        <v>64</v>
      </c>
      <c r="AB29" s="40" t="s">
        <v>64</v>
      </c>
      <c r="AC29" s="40" t="s">
        <v>64</v>
      </c>
      <c r="AD29" s="40" t="s">
        <v>64</v>
      </c>
      <c r="AE29" s="40" t="s">
        <v>64</v>
      </c>
      <c r="AF29" s="40" t="s">
        <v>64</v>
      </c>
      <c r="AG29" s="40" t="s">
        <v>64</v>
      </c>
      <c r="AH29" s="40" t="s">
        <v>64</v>
      </c>
      <c r="AI29" s="40" t="s">
        <v>64</v>
      </c>
      <c r="AJ29" s="40" t="s">
        <v>64</v>
      </c>
      <c r="AK29" s="40" t="s">
        <v>64</v>
      </c>
      <c r="AL29" s="40" t="s">
        <v>64</v>
      </c>
      <c r="AM29" s="40" t="s">
        <v>64</v>
      </c>
      <c r="AN29" s="40" t="s">
        <v>64</v>
      </c>
      <c r="AO29" s="40" t="s">
        <v>64</v>
      </c>
      <c r="AP29" s="40" t="s">
        <v>64</v>
      </c>
      <c r="AQ29" s="40" t="s">
        <v>64</v>
      </c>
      <c r="AR29" s="40" t="s">
        <v>64</v>
      </c>
      <c r="AS29" s="40" t="s">
        <v>64</v>
      </c>
      <c r="AT29" s="40" t="s">
        <v>64</v>
      </c>
      <c r="AU29" s="40" t="s">
        <v>64</v>
      </c>
      <c r="AV29" s="40" t="s">
        <v>64</v>
      </c>
      <c r="AW29" s="40" t="s">
        <v>64</v>
      </c>
      <c r="AX29" s="40" t="s">
        <v>64</v>
      </c>
      <c r="AY29" s="40" t="s">
        <v>64</v>
      </c>
      <c r="AZ29" s="40" t="s">
        <v>64</v>
      </c>
      <c r="BA29" s="40" t="s">
        <v>64</v>
      </c>
      <c r="BB29" s="40" t="s">
        <v>64</v>
      </c>
    </row>
    <row r="30" spans="1:54" x14ac:dyDescent="0.2">
      <c r="A30" s="39" t="s">
        <v>469</v>
      </c>
      <c r="B30" s="39" t="s">
        <v>536</v>
      </c>
      <c r="C30" s="39" t="s">
        <v>469</v>
      </c>
      <c r="D30" s="40" t="s">
        <v>566</v>
      </c>
      <c r="E30" s="40" t="s">
        <v>212</v>
      </c>
      <c r="F30" s="40">
        <v>90</v>
      </c>
      <c r="G30" s="40">
        <v>5</v>
      </c>
      <c r="H30" s="40">
        <v>450</v>
      </c>
      <c r="I30" s="40">
        <v>15</v>
      </c>
      <c r="J30" s="40" t="s">
        <v>64</v>
      </c>
      <c r="K30" s="40" t="s">
        <v>64</v>
      </c>
      <c r="L30" s="40" t="s">
        <v>64</v>
      </c>
      <c r="M30" s="40" t="s">
        <v>64</v>
      </c>
      <c r="N30" s="40" t="s">
        <v>64</v>
      </c>
      <c r="O30" s="40" t="s">
        <v>64</v>
      </c>
      <c r="P30" s="40" t="s">
        <v>64</v>
      </c>
      <c r="Q30" s="40" t="s">
        <v>64</v>
      </c>
      <c r="R30" s="40" t="s">
        <v>64</v>
      </c>
      <c r="S30" s="40" t="s">
        <v>64</v>
      </c>
      <c r="T30" s="40" t="s">
        <v>64</v>
      </c>
      <c r="U30" s="40" t="s">
        <v>64</v>
      </c>
      <c r="V30" s="40" t="s">
        <v>64</v>
      </c>
      <c r="W30" s="40" t="s">
        <v>64</v>
      </c>
      <c r="X30" s="40" t="s">
        <v>64</v>
      </c>
      <c r="Y30" s="40" t="s">
        <v>64</v>
      </c>
      <c r="Z30" s="40" t="s">
        <v>64</v>
      </c>
      <c r="AA30" s="40" t="s">
        <v>64</v>
      </c>
      <c r="AB30" s="40" t="s">
        <v>64</v>
      </c>
      <c r="AC30" s="40" t="s">
        <v>64</v>
      </c>
      <c r="AD30" s="40" t="s">
        <v>64</v>
      </c>
      <c r="AE30" s="40" t="s">
        <v>64</v>
      </c>
      <c r="AF30" s="40" t="s">
        <v>64</v>
      </c>
      <c r="AG30" s="40" t="s">
        <v>64</v>
      </c>
      <c r="AH30" s="40" t="s">
        <v>64</v>
      </c>
      <c r="AI30" s="40" t="s">
        <v>64</v>
      </c>
      <c r="AJ30" s="40" t="s">
        <v>64</v>
      </c>
      <c r="AK30" s="40" t="s">
        <v>64</v>
      </c>
      <c r="AL30" s="40" t="s">
        <v>64</v>
      </c>
      <c r="AM30" s="40" t="s">
        <v>64</v>
      </c>
      <c r="AN30" s="40" t="s">
        <v>64</v>
      </c>
      <c r="AO30" s="40" t="s">
        <v>64</v>
      </c>
      <c r="AP30" s="40" t="s">
        <v>64</v>
      </c>
      <c r="AQ30" s="40" t="s">
        <v>64</v>
      </c>
      <c r="AR30" s="40" t="s">
        <v>64</v>
      </c>
      <c r="AS30" s="40" t="s">
        <v>64</v>
      </c>
      <c r="AT30" s="40" t="s">
        <v>64</v>
      </c>
      <c r="AU30" s="40" t="s">
        <v>64</v>
      </c>
      <c r="AV30" s="40" t="s">
        <v>64</v>
      </c>
      <c r="AW30" s="40" t="s">
        <v>64</v>
      </c>
      <c r="AX30" s="40" t="s">
        <v>64</v>
      </c>
      <c r="AY30" s="40" t="s">
        <v>64</v>
      </c>
      <c r="AZ30" s="40" t="s">
        <v>64</v>
      </c>
      <c r="BA30" s="40" t="s">
        <v>64</v>
      </c>
      <c r="BB30" s="40" t="s">
        <v>64</v>
      </c>
    </row>
    <row r="31" spans="1:54" x14ac:dyDescent="0.2">
      <c r="A31" s="39" t="s">
        <v>470</v>
      </c>
      <c r="B31" s="39" t="s">
        <v>536</v>
      </c>
      <c r="C31" s="39" t="s">
        <v>470</v>
      </c>
      <c r="D31" s="40" t="s">
        <v>567</v>
      </c>
      <c r="E31" s="40" t="s">
        <v>212</v>
      </c>
      <c r="F31" s="40">
        <v>90</v>
      </c>
      <c r="G31" s="40">
        <v>5</v>
      </c>
      <c r="H31" s="40">
        <v>450</v>
      </c>
      <c r="I31" s="40">
        <v>15</v>
      </c>
      <c r="J31" s="40" t="s">
        <v>64</v>
      </c>
      <c r="K31" s="40" t="s">
        <v>64</v>
      </c>
      <c r="L31" s="40" t="s">
        <v>64</v>
      </c>
      <c r="M31" s="40" t="s">
        <v>64</v>
      </c>
      <c r="N31" s="40" t="s">
        <v>64</v>
      </c>
      <c r="O31" s="40" t="s">
        <v>64</v>
      </c>
      <c r="P31" s="40" t="s">
        <v>64</v>
      </c>
      <c r="Q31" s="40" t="s">
        <v>64</v>
      </c>
      <c r="R31" s="40" t="s">
        <v>64</v>
      </c>
      <c r="S31" s="40" t="s">
        <v>64</v>
      </c>
      <c r="T31" s="40" t="s">
        <v>64</v>
      </c>
      <c r="U31" s="40" t="s">
        <v>64</v>
      </c>
      <c r="V31" s="40" t="s">
        <v>64</v>
      </c>
      <c r="W31" s="40" t="s">
        <v>64</v>
      </c>
      <c r="X31" s="40" t="s">
        <v>64</v>
      </c>
      <c r="Y31" s="40" t="s">
        <v>64</v>
      </c>
      <c r="Z31" s="40" t="s">
        <v>64</v>
      </c>
      <c r="AA31" s="40" t="s">
        <v>64</v>
      </c>
      <c r="AB31" s="40" t="s">
        <v>64</v>
      </c>
      <c r="AC31" s="40" t="s">
        <v>64</v>
      </c>
      <c r="AD31" s="40" t="s">
        <v>64</v>
      </c>
      <c r="AE31" s="40" t="s">
        <v>64</v>
      </c>
      <c r="AF31" s="40" t="s">
        <v>64</v>
      </c>
      <c r="AG31" s="40" t="s">
        <v>64</v>
      </c>
      <c r="AH31" s="40" t="s">
        <v>64</v>
      </c>
      <c r="AI31" s="40" t="s">
        <v>64</v>
      </c>
      <c r="AJ31" s="40" t="s">
        <v>64</v>
      </c>
      <c r="AK31" s="40" t="s">
        <v>64</v>
      </c>
      <c r="AL31" s="40" t="s">
        <v>64</v>
      </c>
      <c r="AM31" s="40" t="s">
        <v>64</v>
      </c>
      <c r="AN31" s="40" t="s">
        <v>64</v>
      </c>
      <c r="AO31" s="40" t="s">
        <v>64</v>
      </c>
      <c r="AP31" s="40" t="s">
        <v>64</v>
      </c>
      <c r="AQ31" s="40" t="s">
        <v>64</v>
      </c>
      <c r="AR31" s="40" t="s">
        <v>64</v>
      </c>
      <c r="AS31" s="40" t="s">
        <v>64</v>
      </c>
      <c r="AT31" s="40" t="s">
        <v>64</v>
      </c>
      <c r="AU31" s="40" t="s">
        <v>64</v>
      </c>
      <c r="AV31" s="40" t="s">
        <v>64</v>
      </c>
      <c r="AW31" s="40" t="s">
        <v>64</v>
      </c>
      <c r="AX31" s="40" t="s">
        <v>64</v>
      </c>
      <c r="AY31" s="40" t="s">
        <v>64</v>
      </c>
      <c r="AZ31" s="40" t="s">
        <v>64</v>
      </c>
      <c r="BA31" s="40" t="s">
        <v>64</v>
      </c>
      <c r="BB31" s="40" t="s">
        <v>64</v>
      </c>
    </row>
    <row r="32" spans="1:54" x14ac:dyDescent="0.2">
      <c r="A32" s="39" t="s">
        <v>471</v>
      </c>
      <c r="B32" s="39" t="s">
        <v>536</v>
      </c>
      <c r="C32" s="39" t="s">
        <v>471</v>
      </c>
      <c r="D32" s="40" t="s">
        <v>568</v>
      </c>
      <c r="E32" s="40" t="s">
        <v>212</v>
      </c>
      <c r="F32" s="40">
        <v>90</v>
      </c>
      <c r="G32" s="40">
        <v>5</v>
      </c>
      <c r="H32" s="40">
        <v>450</v>
      </c>
      <c r="I32" s="40">
        <v>15</v>
      </c>
      <c r="J32" s="40" t="s">
        <v>64</v>
      </c>
      <c r="K32" s="40" t="s">
        <v>64</v>
      </c>
      <c r="L32" s="40" t="s">
        <v>64</v>
      </c>
      <c r="M32" s="40" t="s">
        <v>64</v>
      </c>
      <c r="N32" s="40" t="s">
        <v>64</v>
      </c>
      <c r="O32" s="40" t="s">
        <v>64</v>
      </c>
      <c r="P32" s="40" t="s">
        <v>64</v>
      </c>
      <c r="Q32" s="40" t="s">
        <v>64</v>
      </c>
      <c r="R32" s="40" t="s">
        <v>64</v>
      </c>
      <c r="S32" s="40" t="s">
        <v>64</v>
      </c>
      <c r="T32" s="40" t="s">
        <v>64</v>
      </c>
      <c r="U32" s="40" t="s">
        <v>64</v>
      </c>
      <c r="V32" s="40" t="s">
        <v>64</v>
      </c>
      <c r="W32" s="40" t="s">
        <v>64</v>
      </c>
      <c r="X32" s="40" t="s">
        <v>64</v>
      </c>
      <c r="Y32" s="40" t="s">
        <v>64</v>
      </c>
      <c r="Z32" s="40" t="s">
        <v>64</v>
      </c>
      <c r="AA32" s="40" t="s">
        <v>64</v>
      </c>
      <c r="AB32" s="40" t="s">
        <v>64</v>
      </c>
      <c r="AC32" s="40" t="s">
        <v>64</v>
      </c>
      <c r="AD32" s="40" t="s">
        <v>64</v>
      </c>
      <c r="AE32" s="40" t="s">
        <v>64</v>
      </c>
      <c r="AF32" s="40" t="s">
        <v>64</v>
      </c>
      <c r="AG32" s="40" t="s">
        <v>64</v>
      </c>
      <c r="AH32" s="40" t="s">
        <v>64</v>
      </c>
      <c r="AI32" s="40" t="s">
        <v>64</v>
      </c>
      <c r="AJ32" s="40" t="s">
        <v>64</v>
      </c>
      <c r="AK32" s="40" t="s">
        <v>64</v>
      </c>
      <c r="AL32" s="40" t="s">
        <v>64</v>
      </c>
      <c r="AM32" s="40" t="s">
        <v>64</v>
      </c>
      <c r="AN32" s="40" t="s">
        <v>64</v>
      </c>
      <c r="AO32" s="40" t="s">
        <v>64</v>
      </c>
      <c r="AP32" s="40" t="s">
        <v>64</v>
      </c>
      <c r="AQ32" s="40" t="s">
        <v>64</v>
      </c>
      <c r="AR32" s="40" t="s">
        <v>64</v>
      </c>
      <c r="AS32" s="40" t="s">
        <v>64</v>
      </c>
      <c r="AT32" s="40" t="s">
        <v>64</v>
      </c>
      <c r="AU32" s="40" t="s">
        <v>64</v>
      </c>
      <c r="AV32" s="40" t="s">
        <v>64</v>
      </c>
      <c r="AW32" s="40" t="s">
        <v>64</v>
      </c>
      <c r="AX32" s="40" t="s">
        <v>64</v>
      </c>
      <c r="AY32" s="40" t="s">
        <v>64</v>
      </c>
      <c r="AZ32" s="40" t="s">
        <v>64</v>
      </c>
      <c r="BA32" s="40" t="s">
        <v>64</v>
      </c>
      <c r="BB32" s="40" t="s">
        <v>64</v>
      </c>
    </row>
    <row r="33" spans="1:54" x14ac:dyDescent="0.2">
      <c r="A33" s="39" t="s">
        <v>472</v>
      </c>
      <c r="B33" s="39" t="s">
        <v>536</v>
      </c>
      <c r="C33" s="39" t="s">
        <v>472</v>
      </c>
      <c r="D33" s="40" t="s">
        <v>569</v>
      </c>
      <c r="E33" s="40" t="s">
        <v>212</v>
      </c>
      <c r="F33" s="40">
        <v>90</v>
      </c>
      <c r="G33" s="40">
        <v>5</v>
      </c>
      <c r="H33" s="40">
        <v>450</v>
      </c>
      <c r="I33" s="40">
        <v>20</v>
      </c>
      <c r="J33" s="40" t="s">
        <v>64</v>
      </c>
      <c r="K33" s="40" t="s">
        <v>64</v>
      </c>
      <c r="L33" s="40" t="s">
        <v>64</v>
      </c>
      <c r="M33" s="40" t="s">
        <v>64</v>
      </c>
      <c r="N33" s="40" t="s">
        <v>64</v>
      </c>
      <c r="O33" s="40" t="s">
        <v>64</v>
      </c>
      <c r="P33" s="40" t="s">
        <v>64</v>
      </c>
      <c r="Q33" s="40" t="s">
        <v>64</v>
      </c>
      <c r="R33" s="40" t="s">
        <v>64</v>
      </c>
      <c r="S33" s="40" t="s">
        <v>64</v>
      </c>
      <c r="T33" s="40" t="s">
        <v>64</v>
      </c>
      <c r="U33" s="40" t="s">
        <v>64</v>
      </c>
      <c r="V33" s="40" t="s">
        <v>64</v>
      </c>
      <c r="W33" s="40" t="s">
        <v>64</v>
      </c>
      <c r="X33" s="40" t="s">
        <v>64</v>
      </c>
      <c r="Y33" s="40" t="s">
        <v>64</v>
      </c>
      <c r="Z33" s="40" t="s">
        <v>64</v>
      </c>
      <c r="AA33" s="40" t="s">
        <v>64</v>
      </c>
      <c r="AB33" s="40" t="s">
        <v>64</v>
      </c>
      <c r="AC33" s="40" t="s">
        <v>64</v>
      </c>
      <c r="AD33" s="40" t="s">
        <v>64</v>
      </c>
      <c r="AE33" s="40" t="s">
        <v>64</v>
      </c>
      <c r="AF33" s="40" t="s">
        <v>64</v>
      </c>
      <c r="AG33" s="40" t="s">
        <v>64</v>
      </c>
      <c r="AH33" s="40" t="s">
        <v>64</v>
      </c>
      <c r="AI33" s="40" t="s">
        <v>64</v>
      </c>
      <c r="AJ33" s="40" t="s">
        <v>64</v>
      </c>
      <c r="AK33" s="40" t="s">
        <v>64</v>
      </c>
      <c r="AL33" s="40" t="s">
        <v>64</v>
      </c>
      <c r="AM33" s="40" t="s">
        <v>64</v>
      </c>
      <c r="AN33" s="40" t="s">
        <v>64</v>
      </c>
      <c r="AO33" s="40" t="s">
        <v>64</v>
      </c>
      <c r="AP33" s="40" t="s">
        <v>64</v>
      </c>
      <c r="AQ33" s="40" t="s">
        <v>64</v>
      </c>
      <c r="AR33" s="40" t="s">
        <v>64</v>
      </c>
      <c r="AS33" s="40" t="s">
        <v>64</v>
      </c>
      <c r="AT33" s="40" t="s">
        <v>64</v>
      </c>
      <c r="AU33" s="40" t="s">
        <v>64</v>
      </c>
      <c r="AV33" s="40" t="s">
        <v>64</v>
      </c>
      <c r="AW33" s="40" t="s">
        <v>64</v>
      </c>
      <c r="AX33" s="40" t="s">
        <v>64</v>
      </c>
      <c r="AY33" s="40" t="s">
        <v>64</v>
      </c>
      <c r="AZ33" s="40" t="s">
        <v>64</v>
      </c>
      <c r="BA33" s="40" t="s">
        <v>64</v>
      </c>
      <c r="BB33" s="40" t="s">
        <v>64</v>
      </c>
    </row>
    <row r="34" spans="1:54" x14ac:dyDescent="0.2">
      <c r="A34" s="39" t="s">
        <v>473</v>
      </c>
      <c r="B34" s="39" t="s">
        <v>536</v>
      </c>
      <c r="C34" s="39" t="s">
        <v>473</v>
      </c>
      <c r="D34" s="40" t="s">
        <v>570</v>
      </c>
      <c r="E34" s="40" t="s">
        <v>212</v>
      </c>
      <c r="F34" s="40">
        <v>90</v>
      </c>
      <c r="G34" s="40">
        <v>5</v>
      </c>
      <c r="H34" s="40">
        <v>450</v>
      </c>
      <c r="I34" s="40">
        <v>15</v>
      </c>
      <c r="J34" s="40" t="s">
        <v>64</v>
      </c>
      <c r="K34" s="40" t="s">
        <v>64</v>
      </c>
      <c r="L34" s="40" t="s">
        <v>64</v>
      </c>
      <c r="M34" s="40" t="s">
        <v>64</v>
      </c>
      <c r="N34" s="40" t="s">
        <v>64</v>
      </c>
      <c r="O34" s="40" t="s">
        <v>64</v>
      </c>
      <c r="P34" s="40" t="s">
        <v>64</v>
      </c>
      <c r="Q34" s="40" t="s">
        <v>64</v>
      </c>
      <c r="R34" s="40" t="s">
        <v>64</v>
      </c>
      <c r="S34" s="40" t="s">
        <v>64</v>
      </c>
      <c r="T34" s="40" t="s">
        <v>64</v>
      </c>
      <c r="U34" s="40" t="s">
        <v>64</v>
      </c>
      <c r="V34" s="40" t="s">
        <v>64</v>
      </c>
      <c r="W34" s="40" t="s">
        <v>64</v>
      </c>
      <c r="X34" s="40" t="s">
        <v>64</v>
      </c>
      <c r="Y34" s="40" t="s">
        <v>64</v>
      </c>
      <c r="Z34" s="40" t="s">
        <v>64</v>
      </c>
      <c r="AA34" s="40" t="s">
        <v>64</v>
      </c>
      <c r="AB34" s="40" t="s">
        <v>64</v>
      </c>
      <c r="AC34" s="40" t="s">
        <v>64</v>
      </c>
      <c r="AD34" s="40" t="s">
        <v>64</v>
      </c>
      <c r="AE34" s="40" t="s">
        <v>64</v>
      </c>
      <c r="AF34" s="40" t="s">
        <v>64</v>
      </c>
      <c r="AG34" s="40" t="s">
        <v>64</v>
      </c>
      <c r="AH34" s="40" t="s">
        <v>64</v>
      </c>
      <c r="AI34" s="40" t="s">
        <v>64</v>
      </c>
      <c r="AJ34" s="40" t="s">
        <v>64</v>
      </c>
      <c r="AK34" s="40" t="s">
        <v>64</v>
      </c>
      <c r="AL34" s="40" t="s">
        <v>64</v>
      </c>
      <c r="AM34" s="40" t="s">
        <v>64</v>
      </c>
      <c r="AN34" s="40" t="s">
        <v>64</v>
      </c>
      <c r="AO34" s="40" t="s">
        <v>64</v>
      </c>
      <c r="AP34" s="40" t="s">
        <v>64</v>
      </c>
      <c r="AQ34" s="40" t="s">
        <v>64</v>
      </c>
      <c r="AR34" s="40" t="s">
        <v>64</v>
      </c>
      <c r="AS34" s="40" t="s">
        <v>64</v>
      </c>
      <c r="AT34" s="40" t="s">
        <v>64</v>
      </c>
      <c r="AU34" s="40" t="s">
        <v>64</v>
      </c>
      <c r="AV34" s="40" t="s">
        <v>64</v>
      </c>
      <c r="AW34" s="40" t="s">
        <v>64</v>
      </c>
      <c r="AX34" s="40" t="s">
        <v>64</v>
      </c>
      <c r="AY34" s="40" t="s">
        <v>64</v>
      </c>
      <c r="AZ34" s="40" t="s">
        <v>64</v>
      </c>
      <c r="BA34" s="40" t="s">
        <v>64</v>
      </c>
      <c r="BB34" s="40" t="s">
        <v>64</v>
      </c>
    </row>
    <row r="35" spans="1:54" x14ac:dyDescent="0.2">
      <c r="A35" s="39" t="s">
        <v>474</v>
      </c>
      <c r="B35" s="39" t="s">
        <v>536</v>
      </c>
      <c r="C35" s="39" t="s">
        <v>474</v>
      </c>
      <c r="D35" s="40" t="s">
        <v>571</v>
      </c>
      <c r="E35" s="40" t="s">
        <v>212</v>
      </c>
      <c r="F35" s="40">
        <v>90</v>
      </c>
      <c r="G35" s="40">
        <v>5</v>
      </c>
      <c r="H35" s="40">
        <v>450</v>
      </c>
      <c r="I35" s="40">
        <v>15</v>
      </c>
      <c r="J35" s="40" t="s">
        <v>64</v>
      </c>
      <c r="K35" s="40" t="s">
        <v>64</v>
      </c>
      <c r="L35" s="40" t="s">
        <v>64</v>
      </c>
      <c r="M35" s="40" t="s">
        <v>64</v>
      </c>
      <c r="N35" s="40" t="s">
        <v>64</v>
      </c>
      <c r="O35" s="40" t="s">
        <v>64</v>
      </c>
      <c r="P35" s="40" t="s">
        <v>64</v>
      </c>
      <c r="Q35" s="40" t="s">
        <v>64</v>
      </c>
      <c r="R35" s="40" t="s">
        <v>64</v>
      </c>
      <c r="S35" s="40" t="s">
        <v>64</v>
      </c>
      <c r="T35" s="40" t="s">
        <v>64</v>
      </c>
      <c r="U35" s="40" t="s">
        <v>64</v>
      </c>
      <c r="V35" s="40" t="s">
        <v>64</v>
      </c>
      <c r="W35" s="40" t="s">
        <v>64</v>
      </c>
      <c r="X35" s="40" t="s">
        <v>64</v>
      </c>
      <c r="Y35" s="40" t="s">
        <v>64</v>
      </c>
      <c r="Z35" s="40" t="s">
        <v>64</v>
      </c>
      <c r="AA35" s="40" t="s">
        <v>64</v>
      </c>
      <c r="AB35" s="40" t="s">
        <v>64</v>
      </c>
      <c r="AC35" s="40" t="s">
        <v>64</v>
      </c>
      <c r="AD35" s="40" t="s">
        <v>64</v>
      </c>
      <c r="AE35" s="40" t="s">
        <v>64</v>
      </c>
      <c r="AF35" s="40" t="s">
        <v>64</v>
      </c>
      <c r="AG35" s="40" t="s">
        <v>64</v>
      </c>
      <c r="AH35" s="40" t="s">
        <v>64</v>
      </c>
      <c r="AI35" s="40" t="s">
        <v>64</v>
      </c>
      <c r="AJ35" s="40" t="s">
        <v>64</v>
      </c>
      <c r="AK35" s="40" t="s">
        <v>64</v>
      </c>
      <c r="AL35" s="40" t="s">
        <v>64</v>
      </c>
      <c r="AM35" s="40" t="s">
        <v>64</v>
      </c>
      <c r="AN35" s="40" t="s">
        <v>64</v>
      </c>
      <c r="AO35" s="40" t="s">
        <v>64</v>
      </c>
      <c r="AP35" s="40" t="s">
        <v>64</v>
      </c>
      <c r="AQ35" s="40" t="s">
        <v>64</v>
      </c>
      <c r="AR35" s="40" t="s">
        <v>64</v>
      </c>
      <c r="AS35" s="40" t="s">
        <v>64</v>
      </c>
      <c r="AT35" s="40" t="s">
        <v>64</v>
      </c>
      <c r="AU35" s="40" t="s">
        <v>64</v>
      </c>
      <c r="AV35" s="40" t="s">
        <v>64</v>
      </c>
      <c r="AW35" s="40" t="s">
        <v>64</v>
      </c>
      <c r="AX35" s="40" t="s">
        <v>64</v>
      </c>
      <c r="AY35" s="40" t="s">
        <v>64</v>
      </c>
      <c r="AZ35" s="40" t="s">
        <v>64</v>
      </c>
      <c r="BA35" s="40" t="s">
        <v>64</v>
      </c>
      <c r="BB35" s="40" t="s">
        <v>64</v>
      </c>
    </row>
    <row r="36" spans="1:54" x14ac:dyDescent="0.2">
      <c r="A36" s="39" t="s">
        <v>475</v>
      </c>
      <c r="B36" s="39" t="s">
        <v>536</v>
      </c>
      <c r="C36" s="39" t="s">
        <v>475</v>
      </c>
      <c r="D36" s="40" t="s">
        <v>572</v>
      </c>
      <c r="E36" s="40" t="s">
        <v>212</v>
      </c>
      <c r="F36" s="40">
        <v>90</v>
      </c>
      <c r="G36" s="40">
        <v>5</v>
      </c>
      <c r="H36" s="40">
        <v>450</v>
      </c>
      <c r="I36" s="40">
        <v>20</v>
      </c>
      <c r="J36" s="40" t="s">
        <v>64</v>
      </c>
      <c r="K36" s="40" t="s">
        <v>64</v>
      </c>
      <c r="L36" s="40" t="s">
        <v>64</v>
      </c>
      <c r="M36" s="40" t="s">
        <v>64</v>
      </c>
      <c r="N36" s="40" t="s">
        <v>64</v>
      </c>
      <c r="O36" s="40" t="s">
        <v>64</v>
      </c>
      <c r="P36" s="40" t="s">
        <v>64</v>
      </c>
      <c r="Q36" s="40" t="s">
        <v>64</v>
      </c>
      <c r="R36" s="40" t="s">
        <v>64</v>
      </c>
      <c r="S36" s="40" t="s">
        <v>64</v>
      </c>
      <c r="T36" s="40" t="s">
        <v>64</v>
      </c>
      <c r="U36" s="40" t="s">
        <v>64</v>
      </c>
      <c r="V36" s="40" t="s">
        <v>64</v>
      </c>
      <c r="W36" s="40" t="s">
        <v>64</v>
      </c>
      <c r="X36" s="40" t="s">
        <v>64</v>
      </c>
      <c r="Y36" s="40" t="s">
        <v>64</v>
      </c>
      <c r="Z36" s="40" t="s">
        <v>64</v>
      </c>
      <c r="AA36" s="40" t="s">
        <v>64</v>
      </c>
      <c r="AB36" s="40" t="s">
        <v>64</v>
      </c>
      <c r="AC36" s="40" t="s">
        <v>64</v>
      </c>
      <c r="AD36" s="40" t="s">
        <v>64</v>
      </c>
      <c r="AE36" s="40" t="s">
        <v>64</v>
      </c>
      <c r="AF36" s="40" t="s">
        <v>64</v>
      </c>
      <c r="AG36" s="40" t="s">
        <v>64</v>
      </c>
      <c r="AH36" s="40" t="s">
        <v>64</v>
      </c>
      <c r="AI36" s="40" t="s">
        <v>64</v>
      </c>
      <c r="AJ36" s="40" t="s">
        <v>64</v>
      </c>
      <c r="AK36" s="40" t="s">
        <v>64</v>
      </c>
      <c r="AL36" s="40" t="s">
        <v>64</v>
      </c>
      <c r="AM36" s="40" t="s">
        <v>64</v>
      </c>
      <c r="AN36" s="40" t="s">
        <v>64</v>
      </c>
      <c r="AO36" s="40" t="s">
        <v>64</v>
      </c>
      <c r="AP36" s="40" t="s">
        <v>64</v>
      </c>
      <c r="AQ36" s="40" t="s">
        <v>64</v>
      </c>
      <c r="AR36" s="40" t="s">
        <v>64</v>
      </c>
      <c r="AS36" s="40" t="s">
        <v>64</v>
      </c>
      <c r="AT36" s="40" t="s">
        <v>64</v>
      </c>
      <c r="AU36" s="40" t="s">
        <v>64</v>
      </c>
      <c r="AV36" s="40" t="s">
        <v>64</v>
      </c>
      <c r="AW36" s="40" t="s">
        <v>64</v>
      </c>
      <c r="AX36" s="40" t="s">
        <v>64</v>
      </c>
      <c r="AY36" s="40" t="s">
        <v>64</v>
      </c>
      <c r="AZ36" s="40" t="s">
        <v>64</v>
      </c>
      <c r="BA36" s="40" t="s">
        <v>64</v>
      </c>
      <c r="BB36" s="40" t="s">
        <v>64</v>
      </c>
    </row>
    <row r="37" spans="1:54" x14ac:dyDescent="0.2">
      <c r="A37" s="39" t="s">
        <v>476</v>
      </c>
      <c r="B37" s="39" t="s">
        <v>536</v>
      </c>
      <c r="C37" s="39" t="s">
        <v>476</v>
      </c>
      <c r="D37" s="40" t="s">
        <v>573</v>
      </c>
      <c r="E37" s="40" t="s">
        <v>212</v>
      </c>
      <c r="F37" s="40">
        <v>90</v>
      </c>
      <c r="G37" s="40">
        <v>5</v>
      </c>
      <c r="H37" s="40">
        <v>450</v>
      </c>
      <c r="I37" s="40">
        <v>15</v>
      </c>
      <c r="J37" s="40" t="s">
        <v>64</v>
      </c>
      <c r="K37" s="40" t="s">
        <v>64</v>
      </c>
      <c r="L37" s="40" t="s">
        <v>64</v>
      </c>
      <c r="M37" s="40" t="s">
        <v>64</v>
      </c>
      <c r="N37" s="40" t="s">
        <v>64</v>
      </c>
      <c r="O37" s="40" t="s">
        <v>64</v>
      </c>
      <c r="P37" s="40" t="s">
        <v>64</v>
      </c>
      <c r="Q37" s="40" t="s">
        <v>64</v>
      </c>
      <c r="R37" s="40" t="s">
        <v>64</v>
      </c>
      <c r="S37" s="40" t="s">
        <v>64</v>
      </c>
      <c r="T37" s="40" t="s">
        <v>64</v>
      </c>
      <c r="U37" s="40" t="s">
        <v>64</v>
      </c>
      <c r="V37" s="40" t="s">
        <v>64</v>
      </c>
      <c r="W37" s="40" t="s">
        <v>64</v>
      </c>
      <c r="X37" s="40" t="s">
        <v>64</v>
      </c>
      <c r="Y37" s="40" t="s">
        <v>64</v>
      </c>
      <c r="Z37" s="40" t="s">
        <v>64</v>
      </c>
      <c r="AA37" s="40" t="s">
        <v>64</v>
      </c>
      <c r="AB37" s="40" t="s">
        <v>64</v>
      </c>
      <c r="AC37" s="40" t="s">
        <v>64</v>
      </c>
      <c r="AD37" s="40" t="s">
        <v>64</v>
      </c>
      <c r="AE37" s="40" t="s">
        <v>64</v>
      </c>
      <c r="AF37" s="40" t="s">
        <v>64</v>
      </c>
      <c r="AG37" s="40" t="s">
        <v>64</v>
      </c>
      <c r="AH37" s="40" t="s">
        <v>64</v>
      </c>
      <c r="AI37" s="40" t="s">
        <v>64</v>
      </c>
      <c r="AJ37" s="40" t="s">
        <v>64</v>
      </c>
      <c r="AK37" s="40" t="s">
        <v>64</v>
      </c>
      <c r="AL37" s="40" t="s">
        <v>64</v>
      </c>
      <c r="AM37" s="40" t="s">
        <v>64</v>
      </c>
      <c r="AN37" s="40" t="s">
        <v>64</v>
      </c>
      <c r="AO37" s="40" t="s">
        <v>64</v>
      </c>
      <c r="AP37" s="40" t="s">
        <v>64</v>
      </c>
      <c r="AQ37" s="40" t="s">
        <v>64</v>
      </c>
      <c r="AR37" s="40" t="s">
        <v>64</v>
      </c>
      <c r="AS37" s="40" t="s">
        <v>64</v>
      </c>
      <c r="AT37" s="40" t="s">
        <v>64</v>
      </c>
      <c r="AU37" s="40" t="s">
        <v>64</v>
      </c>
      <c r="AV37" s="40" t="s">
        <v>64</v>
      </c>
      <c r="AW37" s="40" t="s">
        <v>64</v>
      </c>
      <c r="AX37" s="40" t="s">
        <v>64</v>
      </c>
      <c r="AY37" s="40" t="s">
        <v>64</v>
      </c>
      <c r="AZ37" s="40" t="s">
        <v>64</v>
      </c>
      <c r="BA37" s="40" t="s">
        <v>64</v>
      </c>
      <c r="BB37" s="40" t="s">
        <v>64</v>
      </c>
    </row>
    <row r="38" spans="1:54" x14ac:dyDescent="0.2">
      <c r="A38" s="39" t="s">
        <v>477</v>
      </c>
      <c r="B38" s="39" t="s">
        <v>536</v>
      </c>
      <c r="C38" s="39" t="s">
        <v>477</v>
      </c>
      <c r="D38" s="40" t="s">
        <v>574</v>
      </c>
      <c r="E38" s="40" t="s">
        <v>212</v>
      </c>
      <c r="F38" s="40">
        <v>90</v>
      </c>
      <c r="G38" s="40">
        <v>5</v>
      </c>
      <c r="H38" s="40">
        <v>450</v>
      </c>
      <c r="I38" s="40">
        <v>15</v>
      </c>
      <c r="J38" s="40" t="s">
        <v>64</v>
      </c>
      <c r="K38" s="40" t="s">
        <v>64</v>
      </c>
      <c r="L38" s="40" t="s">
        <v>64</v>
      </c>
      <c r="M38" s="40" t="s">
        <v>64</v>
      </c>
      <c r="N38" s="40" t="s">
        <v>64</v>
      </c>
      <c r="O38" s="40" t="s">
        <v>64</v>
      </c>
      <c r="P38" s="40" t="s">
        <v>64</v>
      </c>
      <c r="Q38" s="40" t="s">
        <v>64</v>
      </c>
      <c r="R38" s="40" t="s">
        <v>64</v>
      </c>
      <c r="S38" s="40" t="s">
        <v>64</v>
      </c>
      <c r="T38" s="40" t="s">
        <v>64</v>
      </c>
      <c r="U38" s="40" t="s">
        <v>64</v>
      </c>
      <c r="V38" s="40" t="s">
        <v>64</v>
      </c>
      <c r="W38" s="40" t="s">
        <v>64</v>
      </c>
      <c r="X38" s="40" t="s">
        <v>64</v>
      </c>
      <c r="Y38" s="40" t="s">
        <v>64</v>
      </c>
      <c r="Z38" s="40" t="s">
        <v>64</v>
      </c>
      <c r="AA38" s="40" t="s">
        <v>64</v>
      </c>
      <c r="AB38" s="40" t="s">
        <v>64</v>
      </c>
      <c r="AC38" s="40" t="s">
        <v>64</v>
      </c>
      <c r="AD38" s="40" t="s">
        <v>64</v>
      </c>
      <c r="AE38" s="40" t="s">
        <v>64</v>
      </c>
      <c r="AF38" s="40" t="s">
        <v>64</v>
      </c>
      <c r="AG38" s="40" t="s">
        <v>64</v>
      </c>
      <c r="AH38" s="40" t="s">
        <v>64</v>
      </c>
      <c r="AI38" s="40" t="s">
        <v>64</v>
      </c>
      <c r="AJ38" s="40" t="s">
        <v>64</v>
      </c>
      <c r="AK38" s="40" t="s">
        <v>64</v>
      </c>
      <c r="AL38" s="40" t="s">
        <v>64</v>
      </c>
      <c r="AM38" s="40" t="s">
        <v>64</v>
      </c>
      <c r="AN38" s="40" t="s">
        <v>64</v>
      </c>
      <c r="AO38" s="40" t="s">
        <v>64</v>
      </c>
      <c r="AP38" s="40" t="s">
        <v>64</v>
      </c>
      <c r="AQ38" s="40" t="s">
        <v>64</v>
      </c>
      <c r="AR38" s="40" t="s">
        <v>64</v>
      </c>
      <c r="AS38" s="40" t="s">
        <v>64</v>
      </c>
      <c r="AT38" s="40" t="s">
        <v>64</v>
      </c>
      <c r="AU38" s="40" t="s">
        <v>64</v>
      </c>
      <c r="AV38" s="40" t="s">
        <v>64</v>
      </c>
      <c r="AW38" s="40" t="s">
        <v>64</v>
      </c>
      <c r="AX38" s="40" t="s">
        <v>64</v>
      </c>
      <c r="AY38" s="40" t="s">
        <v>64</v>
      </c>
      <c r="AZ38" s="40" t="s">
        <v>64</v>
      </c>
      <c r="BA38" s="40" t="s">
        <v>64</v>
      </c>
      <c r="BB38" s="40" t="s">
        <v>64</v>
      </c>
    </row>
    <row r="39" spans="1:54" x14ac:dyDescent="0.2">
      <c r="A39" s="39" t="s">
        <v>478</v>
      </c>
      <c r="B39" s="39" t="s">
        <v>536</v>
      </c>
      <c r="C39" s="39" t="s">
        <v>478</v>
      </c>
      <c r="D39" s="40" t="s">
        <v>575</v>
      </c>
      <c r="E39" s="40" t="s">
        <v>212</v>
      </c>
      <c r="F39" s="40">
        <v>90</v>
      </c>
      <c r="G39" s="40">
        <v>5</v>
      </c>
      <c r="H39" s="40">
        <v>450</v>
      </c>
      <c r="I39" s="40">
        <v>15</v>
      </c>
      <c r="J39" s="40" t="s">
        <v>64</v>
      </c>
      <c r="K39" s="40" t="s">
        <v>64</v>
      </c>
      <c r="L39" s="40" t="s">
        <v>64</v>
      </c>
      <c r="M39" s="40" t="s">
        <v>64</v>
      </c>
      <c r="N39" s="40" t="s">
        <v>64</v>
      </c>
      <c r="O39" s="40" t="s">
        <v>64</v>
      </c>
      <c r="P39" s="40" t="s">
        <v>64</v>
      </c>
      <c r="Q39" s="40" t="s">
        <v>64</v>
      </c>
      <c r="R39" s="40" t="s">
        <v>64</v>
      </c>
      <c r="S39" s="40" t="s">
        <v>64</v>
      </c>
      <c r="T39" s="40" t="s">
        <v>64</v>
      </c>
      <c r="U39" s="40" t="s">
        <v>64</v>
      </c>
      <c r="V39" s="40" t="s">
        <v>64</v>
      </c>
      <c r="W39" s="40" t="s">
        <v>64</v>
      </c>
      <c r="X39" s="40" t="s">
        <v>64</v>
      </c>
      <c r="Y39" s="40" t="s">
        <v>64</v>
      </c>
      <c r="Z39" s="40" t="s">
        <v>64</v>
      </c>
      <c r="AA39" s="40" t="s">
        <v>64</v>
      </c>
      <c r="AB39" s="40" t="s">
        <v>64</v>
      </c>
      <c r="AC39" s="40" t="s">
        <v>64</v>
      </c>
      <c r="AD39" s="40" t="s">
        <v>64</v>
      </c>
      <c r="AE39" s="40" t="s">
        <v>64</v>
      </c>
      <c r="AF39" s="40" t="s">
        <v>64</v>
      </c>
      <c r="AG39" s="40" t="s">
        <v>64</v>
      </c>
      <c r="AH39" s="40" t="s">
        <v>64</v>
      </c>
      <c r="AI39" s="40" t="s">
        <v>64</v>
      </c>
      <c r="AJ39" s="40" t="s">
        <v>64</v>
      </c>
      <c r="AK39" s="40" t="s">
        <v>64</v>
      </c>
      <c r="AL39" s="40" t="s">
        <v>64</v>
      </c>
      <c r="AM39" s="40" t="s">
        <v>64</v>
      </c>
      <c r="AN39" s="40" t="s">
        <v>64</v>
      </c>
      <c r="AO39" s="40" t="s">
        <v>64</v>
      </c>
      <c r="AP39" s="40" t="s">
        <v>64</v>
      </c>
      <c r="AQ39" s="40" t="s">
        <v>64</v>
      </c>
      <c r="AR39" s="40" t="s">
        <v>64</v>
      </c>
      <c r="AS39" s="40" t="s">
        <v>64</v>
      </c>
      <c r="AT39" s="40" t="s">
        <v>64</v>
      </c>
      <c r="AU39" s="40" t="s">
        <v>64</v>
      </c>
      <c r="AV39" s="40" t="s">
        <v>64</v>
      </c>
      <c r="AW39" s="40" t="s">
        <v>64</v>
      </c>
      <c r="AX39" s="40" t="s">
        <v>64</v>
      </c>
      <c r="AY39" s="40" t="s">
        <v>64</v>
      </c>
      <c r="AZ39" s="40" t="s">
        <v>64</v>
      </c>
      <c r="BA39" s="40" t="s">
        <v>64</v>
      </c>
      <c r="BB39" s="40" t="s">
        <v>64</v>
      </c>
    </row>
    <row r="40" spans="1:54" x14ac:dyDescent="0.2">
      <c r="A40" s="39" t="s">
        <v>479</v>
      </c>
      <c r="B40" s="39" t="s">
        <v>536</v>
      </c>
      <c r="C40" s="39" t="s">
        <v>479</v>
      </c>
      <c r="D40" s="40" t="s">
        <v>576</v>
      </c>
      <c r="E40" s="40" t="s">
        <v>212</v>
      </c>
      <c r="F40" s="40">
        <v>90</v>
      </c>
      <c r="G40" s="40">
        <v>5</v>
      </c>
      <c r="H40" s="40">
        <v>450</v>
      </c>
      <c r="I40" s="40">
        <v>20</v>
      </c>
      <c r="J40" s="40" t="s">
        <v>64</v>
      </c>
      <c r="K40" s="40" t="s">
        <v>64</v>
      </c>
      <c r="L40" s="40" t="s">
        <v>64</v>
      </c>
      <c r="M40" s="40" t="s">
        <v>64</v>
      </c>
      <c r="N40" s="40" t="s">
        <v>64</v>
      </c>
      <c r="O40" s="40" t="s">
        <v>64</v>
      </c>
      <c r="P40" s="40" t="s">
        <v>64</v>
      </c>
      <c r="Q40" s="40" t="s">
        <v>64</v>
      </c>
      <c r="R40" s="40" t="s">
        <v>64</v>
      </c>
      <c r="S40" s="40" t="s">
        <v>64</v>
      </c>
      <c r="T40" s="40" t="s">
        <v>64</v>
      </c>
      <c r="U40" s="40" t="s">
        <v>64</v>
      </c>
      <c r="V40" s="40" t="s">
        <v>64</v>
      </c>
      <c r="W40" s="40" t="s">
        <v>64</v>
      </c>
      <c r="X40" s="40" t="s">
        <v>64</v>
      </c>
      <c r="Y40" s="40" t="s">
        <v>64</v>
      </c>
      <c r="Z40" s="40" t="s">
        <v>64</v>
      </c>
      <c r="AA40" s="40" t="s">
        <v>64</v>
      </c>
      <c r="AB40" s="40" t="s">
        <v>64</v>
      </c>
      <c r="AC40" s="40" t="s">
        <v>64</v>
      </c>
      <c r="AD40" s="40" t="s">
        <v>64</v>
      </c>
      <c r="AE40" s="40" t="s">
        <v>64</v>
      </c>
      <c r="AF40" s="40" t="s">
        <v>64</v>
      </c>
      <c r="AG40" s="40" t="s">
        <v>64</v>
      </c>
      <c r="AH40" s="40" t="s">
        <v>64</v>
      </c>
      <c r="AI40" s="40" t="s">
        <v>64</v>
      </c>
      <c r="AJ40" s="40" t="s">
        <v>64</v>
      </c>
      <c r="AK40" s="40" t="s">
        <v>64</v>
      </c>
      <c r="AL40" s="40" t="s">
        <v>64</v>
      </c>
      <c r="AM40" s="40" t="s">
        <v>64</v>
      </c>
      <c r="AN40" s="40" t="s">
        <v>64</v>
      </c>
      <c r="AO40" s="40" t="s">
        <v>64</v>
      </c>
      <c r="AP40" s="40" t="s">
        <v>64</v>
      </c>
      <c r="AQ40" s="40" t="s">
        <v>64</v>
      </c>
      <c r="AR40" s="40" t="s">
        <v>64</v>
      </c>
      <c r="AS40" s="40" t="s">
        <v>64</v>
      </c>
      <c r="AT40" s="40" t="s">
        <v>64</v>
      </c>
      <c r="AU40" s="40" t="s">
        <v>64</v>
      </c>
      <c r="AV40" s="40" t="s">
        <v>64</v>
      </c>
      <c r="AW40" s="40" t="s">
        <v>64</v>
      </c>
      <c r="AX40" s="40" t="s">
        <v>64</v>
      </c>
      <c r="AY40" s="40" t="s">
        <v>64</v>
      </c>
      <c r="AZ40" s="40" t="s">
        <v>64</v>
      </c>
      <c r="BA40" s="40" t="s">
        <v>64</v>
      </c>
      <c r="BB40" s="40" t="s">
        <v>64</v>
      </c>
    </row>
    <row r="41" spans="1:54" x14ac:dyDescent="0.2">
      <c r="A41" s="39" t="s">
        <v>480</v>
      </c>
      <c r="B41" s="39" t="s">
        <v>536</v>
      </c>
      <c r="C41" s="39" t="s">
        <v>480</v>
      </c>
      <c r="D41" s="40" t="s">
        <v>577</v>
      </c>
      <c r="E41" s="40" t="s">
        <v>212</v>
      </c>
      <c r="F41" s="40">
        <v>90</v>
      </c>
      <c r="G41" s="40">
        <v>5</v>
      </c>
      <c r="H41" s="40">
        <v>450</v>
      </c>
      <c r="I41" s="40">
        <v>15</v>
      </c>
      <c r="J41" s="40" t="s">
        <v>64</v>
      </c>
      <c r="K41" s="40" t="s">
        <v>64</v>
      </c>
      <c r="L41" s="40" t="s">
        <v>64</v>
      </c>
      <c r="M41" s="40" t="s">
        <v>64</v>
      </c>
      <c r="N41" s="40" t="s">
        <v>64</v>
      </c>
      <c r="O41" s="40" t="s">
        <v>64</v>
      </c>
      <c r="P41" s="40" t="s">
        <v>64</v>
      </c>
      <c r="Q41" s="40" t="s">
        <v>64</v>
      </c>
      <c r="R41" s="40" t="s">
        <v>64</v>
      </c>
      <c r="S41" s="40" t="s">
        <v>64</v>
      </c>
      <c r="T41" s="40" t="s">
        <v>64</v>
      </c>
      <c r="U41" s="40" t="s">
        <v>64</v>
      </c>
      <c r="V41" s="40" t="s">
        <v>64</v>
      </c>
      <c r="W41" s="40" t="s">
        <v>64</v>
      </c>
      <c r="X41" s="40" t="s">
        <v>64</v>
      </c>
      <c r="Y41" s="40" t="s">
        <v>64</v>
      </c>
      <c r="Z41" s="40" t="s">
        <v>64</v>
      </c>
      <c r="AA41" s="40" t="s">
        <v>64</v>
      </c>
      <c r="AB41" s="40" t="s">
        <v>64</v>
      </c>
      <c r="AC41" s="40" t="s">
        <v>64</v>
      </c>
      <c r="AD41" s="40" t="s">
        <v>64</v>
      </c>
      <c r="AE41" s="40" t="s">
        <v>64</v>
      </c>
      <c r="AF41" s="40" t="s">
        <v>64</v>
      </c>
      <c r="AG41" s="40" t="s">
        <v>64</v>
      </c>
      <c r="AH41" s="40" t="s">
        <v>64</v>
      </c>
      <c r="AI41" s="40" t="s">
        <v>64</v>
      </c>
      <c r="AJ41" s="40" t="s">
        <v>64</v>
      </c>
      <c r="AK41" s="40" t="s">
        <v>64</v>
      </c>
      <c r="AL41" s="40" t="s">
        <v>64</v>
      </c>
      <c r="AM41" s="40" t="s">
        <v>64</v>
      </c>
      <c r="AN41" s="40" t="s">
        <v>64</v>
      </c>
      <c r="AO41" s="40" t="s">
        <v>64</v>
      </c>
      <c r="AP41" s="40" t="s">
        <v>64</v>
      </c>
      <c r="AQ41" s="40" t="s">
        <v>64</v>
      </c>
      <c r="AR41" s="40" t="s">
        <v>64</v>
      </c>
      <c r="AS41" s="40" t="s">
        <v>64</v>
      </c>
      <c r="AT41" s="40" t="s">
        <v>64</v>
      </c>
      <c r="AU41" s="40" t="s">
        <v>64</v>
      </c>
      <c r="AV41" s="40" t="s">
        <v>64</v>
      </c>
      <c r="AW41" s="40" t="s">
        <v>64</v>
      </c>
      <c r="AX41" s="40" t="s">
        <v>64</v>
      </c>
      <c r="AY41" s="40" t="s">
        <v>64</v>
      </c>
      <c r="AZ41" s="40" t="s">
        <v>64</v>
      </c>
      <c r="BA41" s="40" t="s">
        <v>64</v>
      </c>
      <c r="BB41" s="40" t="s">
        <v>64</v>
      </c>
    </row>
    <row r="42" spans="1:54" x14ac:dyDescent="0.2">
      <c r="A42" s="39" t="s">
        <v>481</v>
      </c>
      <c r="B42" s="39" t="s">
        <v>536</v>
      </c>
      <c r="C42" s="39" t="s">
        <v>481</v>
      </c>
      <c r="D42" s="40" t="s">
        <v>578</v>
      </c>
      <c r="E42" s="40" t="s">
        <v>212</v>
      </c>
      <c r="F42" s="40">
        <v>90</v>
      </c>
      <c r="G42" s="40">
        <v>5</v>
      </c>
      <c r="H42" s="40">
        <v>450</v>
      </c>
      <c r="I42" s="40">
        <v>15</v>
      </c>
      <c r="J42" s="40" t="s">
        <v>64</v>
      </c>
      <c r="K42" s="40" t="s">
        <v>64</v>
      </c>
      <c r="L42" s="40" t="s">
        <v>64</v>
      </c>
      <c r="M42" s="40" t="s">
        <v>64</v>
      </c>
      <c r="N42" s="40" t="s">
        <v>64</v>
      </c>
      <c r="O42" s="40" t="s">
        <v>64</v>
      </c>
      <c r="P42" s="40" t="s">
        <v>64</v>
      </c>
      <c r="Q42" s="40" t="s">
        <v>64</v>
      </c>
      <c r="R42" s="40" t="s">
        <v>64</v>
      </c>
      <c r="S42" s="40" t="s">
        <v>64</v>
      </c>
      <c r="T42" s="40" t="s">
        <v>64</v>
      </c>
      <c r="U42" s="40" t="s">
        <v>64</v>
      </c>
      <c r="V42" s="40" t="s">
        <v>64</v>
      </c>
      <c r="W42" s="40" t="s">
        <v>64</v>
      </c>
      <c r="X42" s="40" t="s">
        <v>64</v>
      </c>
      <c r="Y42" s="40" t="s">
        <v>64</v>
      </c>
      <c r="Z42" s="40" t="s">
        <v>64</v>
      </c>
      <c r="AA42" s="40" t="s">
        <v>64</v>
      </c>
      <c r="AB42" s="40" t="s">
        <v>64</v>
      </c>
      <c r="AC42" s="40" t="s">
        <v>64</v>
      </c>
      <c r="AD42" s="40" t="s">
        <v>64</v>
      </c>
      <c r="AE42" s="40" t="s">
        <v>64</v>
      </c>
      <c r="AF42" s="40" t="s">
        <v>64</v>
      </c>
      <c r="AG42" s="40" t="s">
        <v>64</v>
      </c>
      <c r="AH42" s="40" t="s">
        <v>64</v>
      </c>
      <c r="AI42" s="40" t="s">
        <v>64</v>
      </c>
      <c r="AJ42" s="40" t="s">
        <v>64</v>
      </c>
      <c r="AK42" s="40" t="s">
        <v>64</v>
      </c>
      <c r="AL42" s="40" t="s">
        <v>64</v>
      </c>
      <c r="AM42" s="40" t="s">
        <v>64</v>
      </c>
      <c r="AN42" s="40" t="s">
        <v>64</v>
      </c>
      <c r="AO42" s="40" t="s">
        <v>64</v>
      </c>
      <c r="AP42" s="40" t="s">
        <v>64</v>
      </c>
      <c r="AQ42" s="40" t="s">
        <v>64</v>
      </c>
      <c r="AR42" s="40" t="s">
        <v>64</v>
      </c>
      <c r="AS42" s="40" t="s">
        <v>64</v>
      </c>
      <c r="AT42" s="40" t="s">
        <v>64</v>
      </c>
      <c r="AU42" s="40" t="s">
        <v>64</v>
      </c>
      <c r="AV42" s="40" t="s">
        <v>64</v>
      </c>
      <c r="AW42" s="40" t="s">
        <v>64</v>
      </c>
      <c r="AX42" s="40" t="s">
        <v>64</v>
      </c>
      <c r="AY42" s="40" t="s">
        <v>64</v>
      </c>
      <c r="AZ42" s="40" t="s">
        <v>64</v>
      </c>
      <c r="BA42" s="40" t="s">
        <v>64</v>
      </c>
      <c r="BB42" s="40" t="s">
        <v>64</v>
      </c>
    </row>
    <row r="43" spans="1:54" x14ac:dyDescent="0.2">
      <c r="A43" s="39" t="s">
        <v>482</v>
      </c>
      <c r="B43" s="39" t="s">
        <v>536</v>
      </c>
      <c r="C43" s="39" t="s">
        <v>482</v>
      </c>
      <c r="D43" s="40" t="s">
        <v>579</v>
      </c>
      <c r="E43" s="40" t="s">
        <v>212</v>
      </c>
      <c r="F43" s="40">
        <v>90</v>
      </c>
      <c r="G43" s="40">
        <v>5</v>
      </c>
      <c r="H43" s="40">
        <v>450</v>
      </c>
      <c r="I43" s="40">
        <v>20</v>
      </c>
      <c r="J43" s="40" t="s">
        <v>64</v>
      </c>
      <c r="K43" s="40" t="s">
        <v>64</v>
      </c>
      <c r="L43" s="40" t="s">
        <v>64</v>
      </c>
      <c r="M43" s="40" t="s">
        <v>64</v>
      </c>
      <c r="N43" s="40" t="s">
        <v>64</v>
      </c>
      <c r="O43" s="40" t="s">
        <v>64</v>
      </c>
      <c r="P43" s="40" t="s">
        <v>64</v>
      </c>
      <c r="Q43" s="40" t="s">
        <v>64</v>
      </c>
      <c r="R43" s="40" t="s">
        <v>64</v>
      </c>
      <c r="S43" s="40" t="s">
        <v>64</v>
      </c>
      <c r="T43" s="40" t="s">
        <v>64</v>
      </c>
      <c r="U43" s="40" t="s">
        <v>64</v>
      </c>
      <c r="V43" s="40" t="s">
        <v>64</v>
      </c>
      <c r="W43" s="40" t="s">
        <v>64</v>
      </c>
      <c r="X43" s="40" t="s">
        <v>64</v>
      </c>
      <c r="Y43" s="40" t="s">
        <v>64</v>
      </c>
      <c r="Z43" s="40" t="s">
        <v>64</v>
      </c>
      <c r="AA43" s="40" t="s">
        <v>64</v>
      </c>
      <c r="AB43" s="40" t="s">
        <v>64</v>
      </c>
      <c r="AC43" s="40" t="s">
        <v>64</v>
      </c>
      <c r="AD43" s="40" t="s">
        <v>64</v>
      </c>
      <c r="AE43" s="40" t="s">
        <v>64</v>
      </c>
      <c r="AF43" s="40" t="s">
        <v>64</v>
      </c>
      <c r="AG43" s="40" t="s">
        <v>64</v>
      </c>
      <c r="AH43" s="40" t="s">
        <v>64</v>
      </c>
      <c r="AI43" s="40" t="s">
        <v>64</v>
      </c>
      <c r="AJ43" s="40" t="s">
        <v>64</v>
      </c>
      <c r="AK43" s="40" t="s">
        <v>64</v>
      </c>
      <c r="AL43" s="40" t="s">
        <v>64</v>
      </c>
      <c r="AM43" s="40" t="s">
        <v>64</v>
      </c>
      <c r="AN43" s="40" t="s">
        <v>64</v>
      </c>
      <c r="AO43" s="40" t="s">
        <v>64</v>
      </c>
      <c r="AP43" s="40" t="s">
        <v>64</v>
      </c>
      <c r="AQ43" s="40" t="s">
        <v>64</v>
      </c>
      <c r="AR43" s="40" t="s">
        <v>64</v>
      </c>
      <c r="AS43" s="40" t="s">
        <v>64</v>
      </c>
      <c r="AT43" s="40" t="s">
        <v>64</v>
      </c>
      <c r="AU43" s="40" t="s">
        <v>64</v>
      </c>
      <c r="AV43" s="40" t="s">
        <v>64</v>
      </c>
      <c r="AW43" s="40" t="s">
        <v>64</v>
      </c>
      <c r="AX43" s="40" t="s">
        <v>64</v>
      </c>
      <c r="AY43" s="40" t="s">
        <v>64</v>
      </c>
      <c r="AZ43" s="40" t="s">
        <v>64</v>
      </c>
      <c r="BA43" s="40" t="s">
        <v>64</v>
      </c>
      <c r="BB43" s="40" t="s">
        <v>64</v>
      </c>
    </row>
    <row r="44" spans="1:54" x14ac:dyDescent="0.2">
      <c r="A44" s="39" t="s">
        <v>483</v>
      </c>
      <c r="B44" s="39" t="s">
        <v>536</v>
      </c>
      <c r="C44" s="39" t="s">
        <v>483</v>
      </c>
      <c r="D44" s="40" t="s">
        <v>580</v>
      </c>
      <c r="E44" s="40" t="s">
        <v>212</v>
      </c>
      <c r="F44" s="40">
        <v>90</v>
      </c>
      <c r="G44" s="40">
        <v>5</v>
      </c>
      <c r="H44" s="40">
        <v>450</v>
      </c>
      <c r="I44" s="40">
        <v>15</v>
      </c>
      <c r="J44" s="40" t="s">
        <v>64</v>
      </c>
      <c r="K44" s="40" t="s">
        <v>64</v>
      </c>
      <c r="L44" s="40" t="s">
        <v>64</v>
      </c>
      <c r="M44" s="40" t="s">
        <v>64</v>
      </c>
      <c r="N44" s="40" t="s">
        <v>64</v>
      </c>
      <c r="O44" s="40" t="s">
        <v>64</v>
      </c>
      <c r="P44" s="40" t="s">
        <v>64</v>
      </c>
      <c r="Q44" s="40" t="s">
        <v>64</v>
      </c>
      <c r="R44" s="40" t="s">
        <v>64</v>
      </c>
      <c r="S44" s="40" t="s">
        <v>64</v>
      </c>
      <c r="T44" s="40" t="s">
        <v>64</v>
      </c>
      <c r="U44" s="40" t="s">
        <v>64</v>
      </c>
      <c r="V44" s="40" t="s">
        <v>64</v>
      </c>
      <c r="W44" s="40" t="s">
        <v>64</v>
      </c>
      <c r="X44" s="40" t="s">
        <v>64</v>
      </c>
      <c r="Y44" s="40" t="s">
        <v>64</v>
      </c>
      <c r="Z44" s="40" t="s">
        <v>64</v>
      </c>
      <c r="AA44" s="40" t="s">
        <v>64</v>
      </c>
      <c r="AB44" s="40" t="s">
        <v>64</v>
      </c>
      <c r="AC44" s="40" t="s">
        <v>64</v>
      </c>
      <c r="AD44" s="40" t="s">
        <v>64</v>
      </c>
      <c r="AE44" s="40" t="s">
        <v>64</v>
      </c>
      <c r="AF44" s="40" t="s">
        <v>64</v>
      </c>
      <c r="AG44" s="40" t="s">
        <v>64</v>
      </c>
      <c r="AH44" s="40" t="s">
        <v>64</v>
      </c>
      <c r="AI44" s="40" t="s">
        <v>64</v>
      </c>
      <c r="AJ44" s="40" t="s">
        <v>64</v>
      </c>
      <c r="AK44" s="40" t="s">
        <v>64</v>
      </c>
      <c r="AL44" s="40" t="s">
        <v>64</v>
      </c>
      <c r="AM44" s="40" t="s">
        <v>64</v>
      </c>
      <c r="AN44" s="40" t="s">
        <v>64</v>
      </c>
      <c r="AO44" s="40" t="s">
        <v>64</v>
      </c>
      <c r="AP44" s="40" t="s">
        <v>64</v>
      </c>
      <c r="AQ44" s="40" t="s">
        <v>64</v>
      </c>
      <c r="AR44" s="40" t="s">
        <v>64</v>
      </c>
      <c r="AS44" s="40" t="s">
        <v>64</v>
      </c>
      <c r="AT44" s="40" t="s">
        <v>64</v>
      </c>
      <c r="AU44" s="40" t="s">
        <v>64</v>
      </c>
      <c r="AV44" s="40" t="s">
        <v>64</v>
      </c>
      <c r="AW44" s="40" t="s">
        <v>64</v>
      </c>
      <c r="AX44" s="40" t="s">
        <v>64</v>
      </c>
      <c r="AY44" s="40" t="s">
        <v>64</v>
      </c>
      <c r="AZ44" s="40" t="s">
        <v>64</v>
      </c>
      <c r="BA44" s="40" t="s">
        <v>64</v>
      </c>
      <c r="BB44" s="40" t="s">
        <v>64</v>
      </c>
    </row>
    <row r="45" spans="1:54" x14ac:dyDescent="0.2">
      <c r="A45" s="39" t="s">
        <v>484</v>
      </c>
      <c r="B45" s="39" t="s">
        <v>536</v>
      </c>
      <c r="C45" s="39" t="s">
        <v>484</v>
      </c>
      <c r="D45" s="40" t="s">
        <v>581</v>
      </c>
      <c r="E45" s="40" t="s">
        <v>212</v>
      </c>
      <c r="F45" s="40">
        <v>90</v>
      </c>
      <c r="G45" s="40">
        <v>5</v>
      </c>
      <c r="H45" s="40">
        <v>450</v>
      </c>
      <c r="I45" s="40">
        <v>20</v>
      </c>
      <c r="J45" s="40" t="s">
        <v>64</v>
      </c>
      <c r="K45" s="40" t="s">
        <v>64</v>
      </c>
      <c r="L45" s="40" t="s">
        <v>64</v>
      </c>
      <c r="M45" s="40" t="s">
        <v>64</v>
      </c>
      <c r="N45" s="40" t="s">
        <v>64</v>
      </c>
      <c r="O45" s="40" t="s">
        <v>64</v>
      </c>
      <c r="P45" s="40" t="s">
        <v>64</v>
      </c>
      <c r="Q45" s="40" t="s">
        <v>64</v>
      </c>
      <c r="R45" s="40" t="s">
        <v>64</v>
      </c>
      <c r="S45" s="40" t="s">
        <v>64</v>
      </c>
      <c r="T45" s="40" t="s">
        <v>64</v>
      </c>
      <c r="U45" s="40" t="s">
        <v>64</v>
      </c>
      <c r="V45" s="40" t="s">
        <v>64</v>
      </c>
      <c r="W45" s="40" t="s">
        <v>64</v>
      </c>
      <c r="X45" s="40" t="s">
        <v>64</v>
      </c>
      <c r="Y45" s="40" t="s">
        <v>64</v>
      </c>
      <c r="Z45" s="40" t="s">
        <v>64</v>
      </c>
      <c r="AA45" s="40" t="s">
        <v>64</v>
      </c>
      <c r="AB45" s="40" t="s">
        <v>64</v>
      </c>
      <c r="AC45" s="40" t="s">
        <v>64</v>
      </c>
      <c r="AD45" s="40" t="s">
        <v>64</v>
      </c>
      <c r="AE45" s="40" t="s">
        <v>64</v>
      </c>
      <c r="AF45" s="40" t="s">
        <v>64</v>
      </c>
      <c r="AG45" s="40" t="s">
        <v>64</v>
      </c>
      <c r="AH45" s="40" t="s">
        <v>64</v>
      </c>
      <c r="AI45" s="40" t="s">
        <v>64</v>
      </c>
      <c r="AJ45" s="40" t="s">
        <v>64</v>
      </c>
      <c r="AK45" s="40" t="s">
        <v>64</v>
      </c>
      <c r="AL45" s="40" t="s">
        <v>64</v>
      </c>
      <c r="AM45" s="40" t="s">
        <v>64</v>
      </c>
      <c r="AN45" s="40" t="s">
        <v>64</v>
      </c>
      <c r="AO45" s="40" t="s">
        <v>64</v>
      </c>
      <c r="AP45" s="40" t="s">
        <v>64</v>
      </c>
      <c r="AQ45" s="40" t="s">
        <v>64</v>
      </c>
      <c r="AR45" s="40" t="s">
        <v>64</v>
      </c>
      <c r="AS45" s="40" t="s">
        <v>64</v>
      </c>
      <c r="AT45" s="40" t="s">
        <v>64</v>
      </c>
      <c r="AU45" s="40" t="s">
        <v>64</v>
      </c>
      <c r="AV45" s="40" t="s">
        <v>64</v>
      </c>
      <c r="AW45" s="40" t="s">
        <v>64</v>
      </c>
      <c r="AX45" s="40" t="s">
        <v>64</v>
      </c>
      <c r="AY45" s="40" t="s">
        <v>64</v>
      </c>
      <c r="AZ45" s="40" t="s">
        <v>64</v>
      </c>
      <c r="BA45" s="40" t="s">
        <v>64</v>
      </c>
      <c r="BB45" s="40" t="s">
        <v>64</v>
      </c>
    </row>
    <row r="46" spans="1:54" x14ac:dyDescent="0.2">
      <c r="A46" s="39" t="s">
        <v>485</v>
      </c>
      <c r="B46" s="39" t="s">
        <v>536</v>
      </c>
      <c r="C46" s="39" t="s">
        <v>485</v>
      </c>
      <c r="D46" s="40" t="s">
        <v>582</v>
      </c>
      <c r="E46" s="40" t="s">
        <v>212</v>
      </c>
      <c r="F46" s="40">
        <v>90</v>
      </c>
      <c r="G46" s="40">
        <v>5</v>
      </c>
      <c r="H46" s="40">
        <v>450</v>
      </c>
      <c r="I46" s="40">
        <v>15</v>
      </c>
      <c r="J46" s="40" t="s">
        <v>64</v>
      </c>
      <c r="K46" s="40" t="s">
        <v>64</v>
      </c>
      <c r="L46" s="40" t="s">
        <v>64</v>
      </c>
      <c r="M46" s="40" t="s">
        <v>64</v>
      </c>
      <c r="N46" s="40" t="s">
        <v>64</v>
      </c>
      <c r="O46" s="40" t="s">
        <v>64</v>
      </c>
      <c r="P46" s="40" t="s">
        <v>64</v>
      </c>
      <c r="Q46" s="40" t="s">
        <v>64</v>
      </c>
      <c r="R46" s="40" t="s">
        <v>64</v>
      </c>
      <c r="S46" s="40" t="s">
        <v>64</v>
      </c>
      <c r="T46" s="40" t="s">
        <v>64</v>
      </c>
      <c r="U46" s="40" t="s">
        <v>64</v>
      </c>
      <c r="V46" s="40" t="s">
        <v>64</v>
      </c>
      <c r="W46" s="40" t="s">
        <v>64</v>
      </c>
      <c r="X46" s="40" t="s">
        <v>64</v>
      </c>
      <c r="Y46" s="40" t="s">
        <v>64</v>
      </c>
      <c r="Z46" s="40" t="s">
        <v>64</v>
      </c>
      <c r="AA46" s="40" t="s">
        <v>64</v>
      </c>
      <c r="AB46" s="40" t="s">
        <v>64</v>
      </c>
      <c r="AC46" s="40" t="s">
        <v>64</v>
      </c>
      <c r="AD46" s="40" t="s">
        <v>64</v>
      </c>
      <c r="AE46" s="40" t="s">
        <v>64</v>
      </c>
      <c r="AF46" s="40" t="s">
        <v>64</v>
      </c>
      <c r="AG46" s="40" t="s">
        <v>64</v>
      </c>
      <c r="AH46" s="40" t="s">
        <v>64</v>
      </c>
      <c r="AI46" s="40" t="s">
        <v>64</v>
      </c>
      <c r="AJ46" s="40" t="s">
        <v>64</v>
      </c>
      <c r="AK46" s="40" t="s">
        <v>64</v>
      </c>
      <c r="AL46" s="40" t="s">
        <v>64</v>
      </c>
      <c r="AM46" s="40" t="s">
        <v>64</v>
      </c>
      <c r="AN46" s="40" t="s">
        <v>64</v>
      </c>
      <c r="AO46" s="40" t="s">
        <v>64</v>
      </c>
      <c r="AP46" s="40" t="s">
        <v>64</v>
      </c>
      <c r="AQ46" s="40" t="s">
        <v>64</v>
      </c>
      <c r="AR46" s="40" t="s">
        <v>64</v>
      </c>
      <c r="AS46" s="40" t="s">
        <v>64</v>
      </c>
      <c r="AT46" s="40" t="s">
        <v>64</v>
      </c>
      <c r="AU46" s="40" t="s">
        <v>64</v>
      </c>
      <c r="AV46" s="40" t="s">
        <v>64</v>
      </c>
      <c r="AW46" s="40" t="s">
        <v>64</v>
      </c>
      <c r="AX46" s="40" t="s">
        <v>64</v>
      </c>
      <c r="AY46" s="40" t="s">
        <v>64</v>
      </c>
      <c r="AZ46" s="40" t="s">
        <v>64</v>
      </c>
      <c r="BA46" s="40" t="s">
        <v>64</v>
      </c>
      <c r="BB46" s="40" t="s">
        <v>64</v>
      </c>
    </row>
    <row r="47" spans="1:54" x14ac:dyDescent="0.2">
      <c r="A47" s="39" t="s">
        <v>486</v>
      </c>
      <c r="B47" s="39" t="s">
        <v>536</v>
      </c>
      <c r="C47" s="39" t="s">
        <v>486</v>
      </c>
      <c r="D47" s="40" t="s">
        <v>583</v>
      </c>
      <c r="E47" s="40" t="s">
        <v>212</v>
      </c>
      <c r="F47" s="40">
        <v>90</v>
      </c>
      <c r="G47" s="40">
        <v>5</v>
      </c>
      <c r="H47" s="40">
        <v>450</v>
      </c>
      <c r="I47" s="40">
        <v>15</v>
      </c>
      <c r="J47" s="40" t="s">
        <v>64</v>
      </c>
      <c r="K47" s="40" t="s">
        <v>64</v>
      </c>
      <c r="L47" s="40" t="s">
        <v>64</v>
      </c>
      <c r="M47" s="40" t="s">
        <v>64</v>
      </c>
      <c r="N47" s="40" t="s">
        <v>64</v>
      </c>
      <c r="O47" s="40" t="s">
        <v>64</v>
      </c>
      <c r="P47" s="40" t="s">
        <v>64</v>
      </c>
      <c r="Q47" s="40" t="s">
        <v>64</v>
      </c>
      <c r="R47" s="40" t="s">
        <v>64</v>
      </c>
      <c r="S47" s="40" t="s">
        <v>64</v>
      </c>
      <c r="T47" s="40" t="s">
        <v>64</v>
      </c>
      <c r="U47" s="40" t="s">
        <v>64</v>
      </c>
      <c r="V47" s="40" t="s">
        <v>64</v>
      </c>
      <c r="W47" s="40" t="s">
        <v>64</v>
      </c>
      <c r="X47" s="40" t="s">
        <v>64</v>
      </c>
      <c r="Y47" s="40" t="s">
        <v>64</v>
      </c>
      <c r="Z47" s="40" t="s">
        <v>64</v>
      </c>
      <c r="AA47" s="40" t="s">
        <v>64</v>
      </c>
      <c r="AB47" s="40" t="s">
        <v>64</v>
      </c>
      <c r="AC47" s="40" t="s">
        <v>64</v>
      </c>
      <c r="AD47" s="40" t="s">
        <v>64</v>
      </c>
      <c r="AE47" s="40" t="s">
        <v>64</v>
      </c>
      <c r="AF47" s="40" t="s">
        <v>64</v>
      </c>
      <c r="AG47" s="40" t="s">
        <v>64</v>
      </c>
      <c r="AH47" s="40" t="s">
        <v>64</v>
      </c>
      <c r="AI47" s="40" t="s">
        <v>64</v>
      </c>
      <c r="AJ47" s="40" t="s">
        <v>64</v>
      </c>
      <c r="AK47" s="40" t="s">
        <v>64</v>
      </c>
      <c r="AL47" s="40" t="s">
        <v>64</v>
      </c>
      <c r="AM47" s="40" t="s">
        <v>64</v>
      </c>
      <c r="AN47" s="40" t="s">
        <v>64</v>
      </c>
      <c r="AO47" s="40" t="s">
        <v>64</v>
      </c>
      <c r="AP47" s="40" t="s">
        <v>64</v>
      </c>
      <c r="AQ47" s="40" t="s">
        <v>64</v>
      </c>
      <c r="AR47" s="40" t="s">
        <v>64</v>
      </c>
      <c r="AS47" s="40" t="s">
        <v>64</v>
      </c>
      <c r="AT47" s="40" t="s">
        <v>64</v>
      </c>
      <c r="AU47" s="40" t="s">
        <v>64</v>
      </c>
      <c r="AV47" s="40" t="s">
        <v>64</v>
      </c>
      <c r="AW47" s="40" t="s">
        <v>64</v>
      </c>
      <c r="AX47" s="40" t="s">
        <v>64</v>
      </c>
      <c r="AY47" s="40" t="s">
        <v>64</v>
      </c>
      <c r="AZ47" s="40" t="s">
        <v>64</v>
      </c>
      <c r="BA47" s="40" t="s">
        <v>64</v>
      </c>
      <c r="BB47" s="40" t="s">
        <v>64</v>
      </c>
    </row>
    <row r="48" spans="1:54" x14ac:dyDescent="0.2">
      <c r="A48" s="39" t="s">
        <v>487</v>
      </c>
      <c r="B48" s="39" t="s">
        <v>536</v>
      </c>
      <c r="C48" s="39" t="s">
        <v>487</v>
      </c>
      <c r="D48" s="40" t="s">
        <v>584</v>
      </c>
      <c r="E48" s="40" t="s">
        <v>212</v>
      </c>
      <c r="F48" s="40">
        <v>90</v>
      </c>
      <c r="G48" s="40">
        <v>5</v>
      </c>
      <c r="H48" s="40">
        <v>450</v>
      </c>
      <c r="I48" s="40">
        <v>20</v>
      </c>
      <c r="J48" s="40" t="s">
        <v>64</v>
      </c>
      <c r="K48" s="40" t="s">
        <v>64</v>
      </c>
      <c r="L48" s="40" t="s">
        <v>64</v>
      </c>
      <c r="M48" s="40" t="s">
        <v>64</v>
      </c>
      <c r="N48" s="40" t="s">
        <v>64</v>
      </c>
      <c r="O48" s="40" t="s">
        <v>64</v>
      </c>
      <c r="P48" s="40" t="s">
        <v>64</v>
      </c>
      <c r="Q48" s="40" t="s">
        <v>64</v>
      </c>
      <c r="R48" s="40" t="s">
        <v>64</v>
      </c>
      <c r="S48" s="40" t="s">
        <v>64</v>
      </c>
      <c r="T48" s="40" t="s">
        <v>64</v>
      </c>
      <c r="U48" s="40" t="s">
        <v>64</v>
      </c>
      <c r="V48" s="40" t="s">
        <v>64</v>
      </c>
      <c r="W48" s="40" t="s">
        <v>64</v>
      </c>
      <c r="X48" s="40" t="s">
        <v>64</v>
      </c>
      <c r="Y48" s="40" t="s">
        <v>64</v>
      </c>
      <c r="Z48" s="40" t="s">
        <v>64</v>
      </c>
      <c r="AA48" s="40" t="s">
        <v>64</v>
      </c>
      <c r="AB48" s="40" t="s">
        <v>64</v>
      </c>
      <c r="AC48" s="40" t="s">
        <v>64</v>
      </c>
      <c r="AD48" s="40" t="s">
        <v>64</v>
      </c>
      <c r="AE48" s="40" t="s">
        <v>64</v>
      </c>
      <c r="AF48" s="40" t="s">
        <v>64</v>
      </c>
      <c r="AG48" s="40" t="s">
        <v>64</v>
      </c>
      <c r="AH48" s="40" t="s">
        <v>64</v>
      </c>
      <c r="AI48" s="40" t="s">
        <v>64</v>
      </c>
      <c r="AJ48" s="40" t="s">
        <v>64</v>
      </c>
      <c r="AK48" s="40" t="s">
        <v>64</v>
      </c>
      <c r="AL48" s="40" t="s">
        <v>64</v>
      </c>
      <c r="AM48" s="40" t="s">
        <v>64</v>
      </c>
      <c r="AN48" s="40" t="s">
        <v>64</v>
      </c>
      <c r="AO48" s="40" t="s">
        <v>64</v>
      </c>
      <c r="AP48" s="40" t="s">
        <v>64</v>
      </c>
      <c r="AQ48" s="40" t="s">
        <v>64</v>
      </c>
      <c r="AR48" s="40" t="s">
        <v>64</v>
      </c>
      <c r="AS48" s="40" t="s">
        <v>64</v>
      </c>
      <c r="AT48" s="40" t="s">
        <v>64</v>
      </c>
      <c r="AU48" s="40" t="s">
        <v>64</v>
      </c>
      <c r="AV48" s="40" t="s">
        <v>64</v>
      </c>
      <c r="AW48" s="40" t="s">
        <v>64</v>
      </c>
      <c r="AX48" s="40" t="s">
        <v>64</v>
      </c>
      <c r="AY48" s="40" t="s">
        <v>64</v>
      </c>
      <c r="AZ48" s="40" t="s">
        <v>64</v>
      </c>
      <c r="BA48" s="40" t="s">
        <v>64</v>
      </c>
      <c r="BB48" s="40" t="s">
        <v>64</v>
      </c>
    </row>
    <row r="49" spans="1:54" x14ac:dyDescent="0.2">
      <c r="A49" s="39" t="s">
        <v>488</v>
      </c>
      <c r="B49" s="39" t="s">
        <v>536</v>
      </c>
      <c r="C49" s="39" t="s">
        <v>488</v>
      </c>
      <c r="D49" s="40" t="s">
        <v>585</v>
      </c>
      <c r="E49" s="40" t="s">
        <v>212</v>
      </c>
      <c r="F49" s="40">
        <v>90</v>
      </c>
      <c r="G49" s="40">
        <v>5</v>
      </c>
      <c r="H49" s="40">
        <v>450</v>
      </c>
      <c r="I49" s="40">
        <v>15</v>
      </c>
      <c r="J49" s="40" t="s">
        <v>64</v>
      </c>
      <c r="K49" s="40" t="s">
        <v>64</v>
      </c>
      <c r="L49" s="40" t="s">
        <v>64</v>
      </c>
      <c r="M49" s="40" t="s">
        <v>64</v>
      </c>
      <c r="N49" s="40" t="s">
        <v>64</v>
      </c>
      <c r="O49" s="40" t="s">
        <v>64</v>
      </c>
      <c r="P49" s="40" t="s">
        <v>64</v>
      </c>
      <c r="Q49" s="40" t="s">
        <v>64</v>
      </c>
      <c r="R49" s="40" t="s">
        <v>64</v>
      </c>
      <c r="S49" s="40" t="s">
        <v>64</v>
      </c>
      <c r="T49" s="40" t="s">
        <v>64</v>
      </c>
      <c r="U49" s="40" t="s">
        <v>64</v>
      </c>
      <c r="V49" s="40" t="s">
        <v>64</v>
      </c>
      <c r="W49" s="40" t="s">
        <v>64</v>
      </c>
      <c r="X49" s="40" t="s">
        <v>64</v>
      </c>
      <c r="Y49" s="40" t="s">
        <v>64</v>
      </c>
      <c r="Z49" s="40" t="s">
        <v>64</v>
      </c>
      <c r="AA49" s="40" t="s">
        <v>64</v>
      </c>
      <c r="AB49" s="40" t="s">
        <v>64</v>
      </c>
      <c r="AC49" s="40" t="s">
        <v>64</v>
      </c>
      <c r="AD49" s="40" t="s">
        <v>64</v>
      </c>
      <c r="AE49" s="40" t="s">
        <v>64</v>
      </c>
      <c r="AF49" s="40" t="s">
        <v>64</v>
      </c>
      <c r="AG49" s="40" t="s">
        <v>64</v>
      </c>
      <c r="AH49" s="40" t="s">
        <v>64</v>
      </c>
      <c r="AI49" s="40" t="s">
        <v>64</v>
      </c>
      <c r="AJ49" s="40" t="s">
        <v>64</v>
      </c>
      <c r="AK49" s="40" t="s">
        <v>64</v>
      </c>
      <c r="AL49" s="40" t="s">
        <v>64</v>
      </c>
      <c r="AM49" s="40" t="s">
        <v>64</v>
      </c>
      <c r="AN49" s="40" t="s">
        <v>64</v>
      </c>
      <c r="AO49" s="40" t="s">
        <v>64</v>
      </c>
      <c r="AP49" s="40" t="s">
        <v>64</v>
      </c>
      <c r="AQ49" s="40" t="s">
        <v>64</v>
      </c>
      <c r="AR49" s="40" t="s">
        <v>64</v>
      </c>
      <c r="AS49" s="40" t="s">
        <v>64</v>
      </c>
      <c r="AT49" s="40" t="s">
        <v>64</v>
      </c>
      <c r="AU49" s="40" t="s">
        <v>64</v>
      </c>
      <c r="AV49" s="40" t="s">
        <v>64</v>
      </c>
      <c r="AW49" s="40" t="s">
        <v>64</v>
      </c>
      <c r="AX49" s="40" t="s">
        <v>64</v>
      </c>
      <c r="AY49" s="40" t="s">
        <v>64</v>
      </c>
      <c r="AZ49" s="40" t="s">
        <v>64</v>
      </c>
      <c r="BA49" s="40" t="s">
        <v>64</v>
      </c>
      <c r="BB49" s="40" t="s">
        <v>64</v>
      </c>
    </row>
    <row r="50" spans="1:54" x14ac:dyDescent="0.2">
      <c r="A50" s="39" t="s">
        <v>489</v>
      </c>
      <c r="B50" s="39" t="s">
        <v>536</v>
      </c>
      <c r="C50" s="39" t="s">
        <v>489</v>
      </c>
      <c r="D50" s="40" t="s">
        <v>586</v>
      </c>
      <c r="E50" s="40" t="s">
        <v>212</v>
      </c>
      <c r="F50" s="40">
        <v>90</v>
      </c>
      <c r="G50" s="40">
        <v>5</v>
      </c>
      <c r="H50" s="40">
        <v>450</v>
      </c>
      <c r="I50" s="40">
        <v>15</v>
      </c>
      <c r="J50" s="40" t="s">
        <v>64</v>
      </c>
      <c r="K50" s="40" t="s">
        <v>64</v>
      </c>
      <c r="L50" s="40" t="s">
        <v>64</v>
      </c>
      <c r="M50" s="40" t="s">
        <v>64</v>
      </c>
      <c r="N50" s="40" t="s">
        <v>64</v>
      </c>
      <c r="O50" s="40" t="s">
        <v>64</v>
      </c>
      <c r="P50" s="40" t="s">
        <v>64</v>
      </c>
      <c r="Q50" s="40" t="s">
        <v>64</v>
      </c>
      <c r="R50" s="40" t="s">
        <v>64</v>
      </c>
      <c r="S50" s="40" t="s">
        <v>64</v>
      </c>
      <c r="T50" s="40" t="s">
        <v>64</v>
      </c>
      <c r="U50" s="40" t="s">
        <v>64</v>
      </c>
      <c r="V50" s="40" t="s">
        <v>64</v>
      </c>
      <c r="W50" s="40" t="s">
        <v>64</v>
      </c>
      <c r="X50" s="40" t="s">
        <v>64</v>
      </c>
      <c r="Y50" s="40" t="s">
        <v>64</v>
      </c>
      <c r="Z50" s="40" t="s">
        <v>64</v>
      </c>
      <c r="AA50" s="40" t="s">
        <v>64</v>
      </c>
      <c r="AB50" s="40" t="s">
        <v>64</v>
      </c>
      <c r="AC50" s="40" t="s">
        <v>64</v>
      </c>
      <c r="AD50" s="40" t="s">
        <v>64</v>
      </c>
      <c r="AE50" s="40" t="s">
        <v>64</v>
      </c>
      <c r="AF50" s="40" t="s">
        <v>64</v>
      </c>
      <c r="AG50" s="40" t="s">
        <v>64</v>
      </c>
      <c r="AH50" s="40" t="s">
        <v>64</v>
      </c>
      <c r="AI50" s="40" t="s">
        <v>64</v>
      </c>
      <c r="AJ50" s="40" t="s">
        <v>64</v>
      </c>
      <c r="AK50" s="40" t="s">
        <v>64</v>
      </c>
      <c r="AL50" s="40" t="s">
        <v>64</v>
      </c>
      <c r="AM50" s="40" t="s">
        <v>64</v>
      </c>
      <c r="AN50" s="40" t="s">
        <v>64</v>
      </c>
      <c r="AO50" s="40" t="s">
        <v>64</v>
      </c>
      <c r="AP50" s="40" t="s">
        <v>64</v>
      </c>
      <c r="AQ50" s="40" t="s">
        <v>64</v>
      </c>
      <c r="AR50" s="40" t="s">
        <v>64</v>
      </c>
      <c r="AS50" s="40" t="s">
        <v>64</v>
      </c>
      <c r="AT50" s="40" t="s">
        <v>64</v>
      </c>
      <c r="AU50" s="40" t="s">
        <v>64</v>
      </c>
      <c r="AV50" s="40" t="s">
        <v>64</v>
      </c>
      <c r="AW50" s="40" t="s">
        <v>64</v>
      </c>
      <c r="AX50" s="40" t="s">
        <v>64</v>
      </c>
      <c r="AY50" s="40" t="s">
        <v>64</v>
      </c>
      <c r="AZ50" s="40" t="s">
        <v>64</v>
      </c>
      <c r="BA50" s="40" t="s">
        <v>64</v>
      </c>
      <c r="BB50" s="40" t="s">
        <v>64</v>
      </c>
    </row>
    <row r="51" spans="1:54" x14ac:dyDescent="0.2">
      <c r="A51" s="39" t="s">
        <v>490</v>
      </c>
      <c r="B51" s="39" t="s">
        <v>536</v>
      </c>
      <c r="C51" s="39" t="s">
        <v>490</v>
      </c>
      <c r="D51" s="40" t="s">
        <v>587</v>
      </c>
      <c r="E51" s="40" t="s">
        <v>212</v>
      </c>
      <c r="F51" s="40">
        <v>90</v>
      </c>
      <c r="G51" s="40">
        <v>5</v>
      </c>
      <c r="H51" s="40">
        <v>450</v>
      </c>
      <c r="I51" s="40">
        <v>15</v>
      </c>
      <c r="J51" s="40" t="s">
        <v>64</v>
      </c>
      <c r="K51" s="40" t="s">
        <v>64</v>
      </c>
      <c r="L51" s="40" t="s">
        <v>64</v>
      </c>
      <c r="M51" s="40" t="s">
        <v>64</v>
      </c>
      <c r="N51" s="40" t="s">
        <v>64</v>
      </c>
      <c r="O51" s="40" t="s">
        <v>64</v>
      </c>
      <c r="P51" s="40" t="s">
        <v>64</v>
      </c>
      <c r="Q51" s="40" t="s">
        <v>64</v>
      </c>
      <c r="R51" s="40" t="s">
        <v>64</v>
      </c>
      <c r="S51" s="40" t="s">
        <v>64</v>
      </c>
      <c r="T51" s="40" t="s">
        <v>64</v>
      </c>
      <c r="U51" s="40" t="s">
        <v>64</v>
      </c>
      <c r="V51" s="40" t="s">
        <v>64</v>
      </c>
      <c r="W51" s="40" t="s">
        <v>64</v>
      </c>
      <c r="X51" s="40" t="s">
        <v>64</v>
      </c>
      <c r="Y51" s="40" t="s">
        <v>64</v>
      </c>
      <c r="Z51" s="40" t="s">
        <v>64</v>
      </c>
      <c r="AA51" s="40" t="s">
        <v>64</v>
      </c>
      <c r="AB51" s="40" t="s">
        <v>64</v>
      </c>
      <c r="AC51" s="40" t="s">
        <v>64</v>
      </c>
      <c r="AD51" s="40" t="s">
        <v>64</v>
      </c>
      <c r="AE51" s="40" t="s">
        <v>64</v>
      </c>
      <c r="AF51" s="40" t="s">
        <v>64</v>
      </c>
      <c r="AG51" s="40" t="s">
        <v>64</v>
      </c>
      <c r="AH51" s="40" t="s">
        <v>64</v>
      </c>
      <c r="AI51" s="40" t="s">
        <v>64</v>
      </c>
      <c r="AJ51" s="40" t="s">
        <v>64</v>
      </c>
      <c r="AK51" s="40" t="s">
        <v>64</v>
      </c>
      <c r="AL51" s="40" t="s">
        <v>64</v>
      </c>
      <c r="AM51" s="40" t="s">
        <v>64</v>
      </c>
      <c r="AN51" s="40" t="s">
        <v>64</v>
      </c>
      <c r="AO51" s="40" t="s">
        <v>64</v>
      </c>
      <c r="AP51" s="40" t="s">
        <v>64</v>
      </c>
      <c r="AQ51" s="40" t="s">
        <v>64</v>
      </c>
      <c r="AR51" s="40" t="s">
        <v>64</v>
      </c>
      <c r="AS51" s="40" t="s">
        <v>64</v>
      </c>
      <c r="AT51" s="40" t="s">
        <v>64</v>
      </c>
      <c r="AU51" s="40" t="s">
        <v>64</v>
      </c>
      <c r="AV51" s="40" t="s">
        <v>64</v>
      </c>
      <c r="AW51" s="40" t="s">
        <v>64</v>
      </c>
      <c r="AX51" s="40" t="s">
        <v>64</v>
      </c>
      <c r="AY51" s="40" t="s">
        <v>64</v>
      </c>
      <c r="AZ51" s="40" t="s">
        <v>64</v>
      </c>
      <c r="BA51" s="40" t="s">
        <v>64</v>
      </c>
      <c r="BB51" s="40" t="s">
        <v>64</v>
      </c>
    </row>
    <row r="52" spans="1:54" x14ac:dyDescent="0.2">
      <c r="A52" s="39" t="s">
        <v>491</v>
      </c>
      <c r="B52" s="39" t="s">
        <v>536</v>
      </c>
      <c r="C52" s="39" t="s">
        <v>491</v>
      </c>
      <c r="D52" s="40" t="s">
        <v>588</v>
      </c>
      <c r="E52" s="40" t="s">
        <v>212</v>
      </c>
      <c r="F52" s="40">
        <v>90</v>
      </c>
      <c r="G52" s="40">
        <v>5</v>
      </c>
      <c r="H52" s="40">
        <v>450</v>
      </c>
      <c r="I52" s="40">
        <v>20</v>
      </c>
      <c r="J52" s="40" t="s">
        <v>64</v>
      </c>
      <c r="K52" s="40" t="s">
        <v>64</v>
      </c>
      <c r="L52" s="40" t="s">
        <v>64</v>
      </c>
      <c r="M52" s="40" t="s">
        <v>64</v>
      </c>
      <c r="N52" s="40" t="s">
        <v>64</v>
      </c>
      <c r="O52" s="40" t="s">
        <v>64</v>
      </c>
      <c r="P52" s="40" t="s">
        <v>64</v>
      </c>
      <c r="Q52" s="40" t="s">
        <v>64</v>
      </c>
      <c r="R52" s="40" t="s">
        <v>64</v>
      </c>
      <c r="S52" s="40" t="s">
        <v>64</v>
      </c>
      <c r="T52" s="40" t="s">
        <v>64</v>
      </c>
      <c r="U52" s="40" t="s">
        <v>64</v>
      </c>
      <c r="V52" s="40" t="s">
        <v>64</v>
      </c>
      <c r="W52" s="40" t="s">
        <v>64</v>
      </c>
      <c r="X52" s="40" t="s">
        <v>64</v>
      </c>
      <c r="Y52" s="40" t="s">
        <v>64</v>
      </c>
      <c r="Z52" s="40" t="s">
        <v>64</v>
      </c>
      <c r="AA52" s="40" t="s">
        <v>64</v>
      </c>
      <c r="AB52" s="40" t="s">
        <v>64</v>
      </c>
      <c r="AC52" s="40" t="s">
        <v>64</v>
      </c>
      <c r="AD52" s="40" t="s">
        <v>64</v>
      </c>
      <c r="AE52" s="40" t="s">
        <v>64</v>
      </c>
      <c r="AF52" s="40" t="s">
        <v>64</v>
      </c>
      <c r="AG52" s="40" t="s">
        <v>64</v>
      </c>
      <c r="AH52" s="40" t="s">
        <v>64</v>
      </c>
      <c r="AI52" s="40" t="s">
        <v>64</v>
      </c>
      <c r="AJ52" s="40" t="s">
        <v>64</v>
      </c>
      <c r="AK52" s="40" t="s">
        <v>64</v>
      </c>
      <c r="AL52" s="40" t="s">
        <v>64</v>
      </c>
      <c r="AM52" s="40" t="s">
        <v>64</v>
      </c>
      <c r="AN52" s="40" t="s">
        <v>64</v>
      </c>
      <c r="AO52" s="40" t="s">
        <v>64</v>
      </c>
      <c r="AP52" s="40" t="s">
        <v>64</v>
      </c>
      <c r="AQ52" s="40" t="s">
        <v>64</v>
      </c>
      <c r="AR52" s="40" t="s">
        <v>64</v>
      </c>
      <c r="AS52" s="40" t="s">
        <v>64</v>
      </c>
      <c r="AT52" s="40" t="s">
        <v>64</v>
      </c>
      <c r="AU52" s="40" t="s">
        <v>64</v>
      </c>
      <c r="AV52" s="40" t="s">
        <v>64</v>
      </c>
      <c r="AW52" s="40" t="s">
        <v>64</v>
      </c>
      <c r="AX52" s="40" t="s">
        <v>64</v>
      </c>
      <c r="AY52" s="40" t="s">
        <v>64</v>
      </c>
      <c r="AZ52" s="40" t="s">
        <v>64</v>
      </c>
      <c r="BA52" s="40" t="s">
        <v>64</v>
      </c>
      <c r="BB52" s="40" t="s">
        <v>64</v>
      </c>
    </row>
    <row r="53" spans="1:54" x14ac:dyDescent="0.2">
      <c r="A53" s="39" t="s">
        <v>492</v>
      </c>
      <c r="B53" s="39" t="s">
        <v>536</v>
      </c>
      <c r="C53" s="39" t="s">
        <v>492</v>
      </c>
      <c r="D53" s="40" t="s">
        <v>589</v>
      </c>
      <c r="E53" s="40" t="s">
        <v>212</v>
      </c>
      <c r="F53" s="40">
        <v>90</v>
      </c>
      <c r="G53" s="40">
        <v>5</v>
      </c>
      <c r="H53" s="40">
        <v>450</v>
      </c>
      <c r="I53" s="40">
        <v>15</v>
      </c>
      <c r="J53" s="40" t="s">
        <v>64</v>
      </c>
      <c r="K53" s="40" t="s">
        <v>64</v>
      </c>
      <c r="L53" s="40" t="s">
        <v>64</v>
      </c>
      <c r="M53" s="40" t="s">
        <v>64</v>
      </c>
      <c r="N53" s="40" t="s">
        <v>64</v>
      </c>
      <c r="O53" s="40" t="s">
        <v>64</v>
      </c>
      <c r="P53" s="40" t="s">
        <v>64</v>
      </c>
      <c r="Q53" s="40" t="s">
        <v>64</v>
      </c>
      <c r="R53" s="40" t="s">
        <v>64</v>
      </c>
      <c r="S53" s="40" t="s">
        <v>64</v>
      </c>
      <c r="T53" s="40" t="s">
        <v>64</v>
      </c>
      <c r="U53" s="40" t="s">
        <v>64</v>
      </c>
      <c r="V53" s="40" t="s">
        <v>64</v>
      </c>
      <c r="W53" s="40" t="s">
        <v>64</v>
      </c>
      <c r="X53" s="40" t="s">
        <v>64</v>
      </c>
      <c r="Y53" s="40" t="s">
        <v>64</v>
      </c>
      <c r="Z53" s="40" t="s">
        <v>64</v>
      </c>
      <c r="AA53" s="40" t="s">
        <v>64</v>
      </c>
      <c r="AB53" s="40" t="s">
        <v>64</v>
      </c>
      <c r="AC53" s="40" t="s">
        <v>64</v>
      </c>
      <c r="AD53" s="40" t="s">
        <v>64</v>
      </c>
      <c r="AE53" s="40" t="s">
        <v>64</v>
      </c>
      <c r="AF53" s="40" t="s">
        <v>64</v>
      </c>
      <c r="AG53" s="40" t="s">
        <v>64</v>
      </c>
      <c r="AH53" s="40" t="s">
        <v>64</v>
      </c>
      <c r="AI53" s="40" t="s">
        <v>64</v>
      </c>
      <c r="AJ53" s="40" t="s">
        <v>64</v>
      </c>
      <c r="AK53" s="40" t="s">
        <v>64</v>
      </c>
      <c r="AL53" s="40" t="s">
        <v>64</v>
      </c>
      <c r="AM53" s="40" t="s">
        <v>64</v>
      </c>
      <c r="AN53" s="40" t="s">
        <v>64</v>
      </c>
      <c r="AO53" s="40" t="s">
        <v>64</v>
      </c>
      <c r="AP53" s="40" t="s">
        <v>64</v>
      </c>
      <c r="AQ53" s="40" t="s">
        <v>64</v>
      </c>
      <c r="AR53" s="40" t="s">
        <v>64</v>
      </c>
      <c r="AS53" s="40" t="s">
        <v>64</v>
      </c>
      <c r="AT53" s="40" t="s">
        <v>64</v>
      </c>
      <c r="AU53" s="40" t="s">
        <v>64</v>
      </c>
      <c r="AV53" s="40" t="s">
        <v>64</v>
      </c>
      <c r="AW53" s="40" t="s">
        <v>64</v>
      </c>
      <c r="AX53" s="40" t="s">
        <v>64</v>
      </c>
      <c r="AY53" s="40" t="s">
        <v>64</v>
      </c>
      <c r="AZ53" s="40" t="s">
        <v>64</v>
      </c>
      <c r="BA53" s="40" t="s">
        <v>64</v>
      </c>
      <c r="BB53" s="40" t="s">
        <v>64</v>
      </c>
    </row>
    <row r="54" spans="1:54" x14ac:dyDescent="0.2">
      <c r="A54" s="39" t="s">
        <v>493</v>
      </c>
      <c r="B54" s="39" t="s">
        <v>536</v>
      </c>
      <c r="C54" s="39" t="s">
        <v>493</v>
      </c>
      <c r="D54" s="40" t="s">
        <v>590</v>
      </c>
      <c r="E54" s="40" t="s">
        <v>212</v>
      </c>
      <c r="F54" s="40">
        <v>90</v>
      </c>
      <c r="G54" s="40">
        <v>5</v>
      </c>
      <c r="H54" s="40">
        <v>450</v>
      </c>
      <c r="I54" s="40">
        <v>15</v>
      </c>
      <c r="J54" s="40" t="s">
        <v>64</v>
      </c>
      <c r="K54" s="40" t="s">
        <v>64</v>
      </c>
      <c r="L54" s="40" t="s">
        <v>64</v>
      </c>
      <c r="M54" s="40" t="s">
        <v>64</v>
      </c>
      <c r="N54" s="40" t="s">
        <v>64</v>
      </c>
      <c r="O54" s="40" t="s">
        <v>64</v>
      </c>
      <c r="P54" s="40" t="s">
        <v>64</v>
      </c>
      <c r="Q54" s="40" t="s">
        <v>64</v>
      </c>
      <c r="R54" s="40" t="s">
        <v>64</v>
      </c>
      <c r="S54" s="40" t="s">
        <v>64</v>
      </c>
      <c r="T54" s="40" t="s">
        <v>64</v>
      </c>
      <c r="U54" s="40" t="s">
        <v>64</v>
      </c>
      <c r="V54" s="40" t="s">
        <v>64</v>
      </c>
      <c r="W54" s="40" t="s">
        <v>64</v>
      </c>
      <c r="X54" s="40" t="s">
        <v>64</v>
      </c>
      <c r="Y54" s="40" t="s">
        <v>64</v>
      </c>
      <c r="Z54" s="40" t="s">
        <v>64</v>
      </c>
      <c r="AA54" s="40" t="s">
        <v>64</v>
      </c>
      <c r="AB54" s="40" t="s">
        <v>64</v>
      </c>
      <c r="AC54" s="40" t="s">
        <v>64</v>
      </c>
      <c r="AD54" s="40" t="s">
        <v>64</v>
      </c>
      <c r="AE54" s="40" t="s">
        <v>64</v>
      </c>
      <c r="AF54" s="40" t="s">
        <v>64</v>
      </c>
      <c r="AG54" s="40" t="s">
        <v>64</v>
      </c>
      <c r="AH54" s="40" t="s">
        <v>64</v>
      </c>
      <c r="AI54" s="40" t="s">
        <v>64</v>
      </c>
      <c r="AJ54" s="40" t="s">
        <v>64</v>
      </c>
      <c r="AK54" s="40" t="s">
        <v>64</v>
      </c>
      <c r="AL54" s="40" t="s">
        <v>64</v>
      </c>
      <c r="AM54" s="40" t="s">
        <v>64</v>
      </c>
      <c r="AN54" s="40" t="s">
        <v>64</v>
      </c>
      <c r="AO54" s="40" t="s">
        <v>64</v>
      </c>
      <c r="AP54" s="40" t="s">
        <v>64</v>
      </c>
      <c r="AQ54" s="40" t="s">
        <v>64</v>
      </c>
      <c r="AR54" s="40" t="s">
        <v>64</v>
      </c>
      <c r="AS54" s="40" t="s">
        <v>64</v>
      </c>
      <c r="AT54" s="40" t="s">
        <v>64</v>
      </c>
      <c r="AU54" s="40" t="s">
        <v>64</v>
      </c>
      <c r="AV54" s="40" t="s">
        <v>64</v>
      </c>
      <c r="AW54" s="40" t="s">
        <v>64</v>
      </c>
      <c r="AX54" s="40" t="s">
        <v>64</v>
      </c>
      <c r="AY54" s="40" t="s">
        <v>64</v>
      </c>
      <c r="AZ54" s="40" t="s">
        <v>64</v>
      </c>
      <c r="BA54" s="40" t="s">
        <v>64</v>
      </c>
      <c r="BB54" s="40" t="s">
        <v>64</v>
      </c>
    </row>
    <row r="55" spans="1:54" x14ac:dyDescent="0.2">
      <c r="A55" s="39" t="s">
        <v>494</v>
      </c>
      <c r="B55" s="39" t="s">
        <v>536</v>
      </c>
      <c r="C55" s="39" t="s">
        <v>494</v>
      </c>
      <c r="D55" s="40" t="s">
        <v>591</v>
      </c>
      <c r="E55" s="40" t="s">
        <v>212</v>
      </c>
      <c r="F55" s="40">
        <v>90</v>
      </c>
      <c r="G55" s="40">
        <v>5</v>
      </c>
      <c r="H55" s="40">
        <v>450</v>
      </c>
      <c r="I55" s="40">
        <v>20</v>
      </c>
      <c r="J55" s="40" t="s">
        <v>64</v>
      </c>
      <c r="K55" s="40" t="s">
        <v>64</v>
      </c>
      <c r="L55" s="40" t="s">
        <v>64</v>
      </c>
      <c r="M55" s="40" t="s">
        <v>64</v>
      </c>
      <c r="N55" s="40" t="s">
        <v>64</v>
      </c>
      <c r="O55" s="40" t="s">
        <v>64</v>
      </c>
      <c r="P55" s="40" t="s">
        <v>64</v>
      </c>
      <c r="Q55" s="40" t="s">
        <v>64</v>
      </c>
      <c r="R55" s="40" t="s">
        <v>64</v>
      </c>
      <c r="S55" s="40" t="s">
        <v>64</v>
      </c>
      <c r="T55" s="40" t="s">
        <v>64</v>
      </c>
      <c r="U55" s="40" t="s">
        <v>64</v>
      </c>
      <c r="V55" s="40" t="s">
        <v>64</v>
      </c>
      <c r="W55" s="40" t="s">
        <v>64</v>
      </c>
      <c r="X55" s="40" t="s">
        <v>64</v>
      </c>
      <c r="Y55" s="40" t="s">
        <v>64</v>
      </c>
      <c r="Z55" s="40" t="s">
        <v>64</v>
      </c>
      <c r="AA55" s="40" t="s">
        <v>64</v>
      </c>
      <c r="AB55" s="40" t="s">
        <v>64</v>
      </c>
      <c r="AC55" s="40" t="s">
        <v>64</v>
      </c>
      <c r="AD55" s="40" t="s">
        <v>64</v>
      </c>
      <c r="AE55" s="40" t="s">
        <v>64</v>
      </c>
      <c r="AF55" s="40" t="s">
        <v>64</v>
      </c>
      <c r="AG55" s="40" t="s">
        <v>64</v>
      </c>
      <c r="AH55" s="40" t="s">
        <v>64</v>
      </c>
      <c r="AI55" s="40" t="s">
        <v>64</v>
      </c>
      <c r="AJ55" s="40" t="s">
        <v>64</v>
      </c>
      <c r="AK55" s="40" t="s">
        <v>64</v>
      </c>
      <c r="AL55" s="40" t="s">
        <v>64</v>
      </c>
      <c r="AM55" s="40" t="s">
        <v>64</v>
      </c>
      <c r="AN55" s="40" t="s">
        <v>64</v>
      </c>
      <c r="AO55" s="40" t="s">
        <v>64</v>
      </c>
      <c r="AP55" s="40" t="s">
        <v>64</v>
      </c>
      <c r="AQ55" s="40" t="s">
        <v>64</v>
      </c>
      <c r="AR55" s="40" t="s">
        <v>64</v>
      </c>
      <c r="AS55" s="40" t="s">
        <v>64</v>
      </c>
      <c r="AT55" s="40" t="s">
        <v>64</v>
      </c>
      <c r="AU55" s="40" t="s">
        <v>64</v>
      </c>
      <c r="AV55" s="40" t="s">
        <v>64</v>
      </c>
      <c r="AW55" s="40" t="s">
        <v>64</v>
      </c>
      <c r="AX55" s="40" t="s">
        <v>64</v>
      </c>
      <c r="AY55" s="40" t="s">
        <v>64</v>
      </c>
      <c r="AZ55" s="40" t="s">
        <v>64</v>
      </c>
      <c r="BA55" s="40" t="s">
        <v>64</v>
      </c>
      <c r="BB55" s="40" t="s">
        <v>64</v>
      </c>
    </row>
    <row r="56" spans="1:54" x14ac:dyDescent="0.2">
      <c r="A56" s="39" t="s">
        <v>495</v>
      </c>
      <c r="B56" s="39" t="s">
        <v>536</v>
      </c>
      <c r="C56" s="39" t="s">
        <v>495</v>
      </c>
      <c r="D56" s="40" t="s">
        <v>592</v>
      </c>
      <c r="E56" s="40" t="s">
        <v>212</v>
      </c>
      <c r="F56" s="40">
        <v>90</v>
      </c>
      <c r="G56" s="40">
        <v>5</v>
      </c>
      <c r="H56" s="40">
        <v>450</v>
      </c>
      <c r="I56" s="40">
        <v>15</v>
      </c>
      <c r="J56" s="40" t="s">
        <v>64</v>
      </c>
      <c r="K56" s="40" t="s">
        <v>64</v>
      </c>
      <c r="L56" s="40" t="s">
        <v>64</v>
      </c>
      <c r="M56" s="40" t="s">
        <v>64</v>
      </c>
      <c r="N56" s="40" t="s">
        <v>64</v>
      </c>
      <c r="O56" s="40" t="s">
        <v>64</v>
      </c>
      <c r="P56" s="40" t="s">
        <v>64</v>
      </c>
      <c r="Q56" s="40" t="s">
        <v>64</v>
      </c>
      <c r="R56" s="40" t="s">
        <v>64</v>
      </c>
      <c r="S56" s="40" t="s">
        <v>64</v>
      </c>
      <c r="T56" s="40" t="s">
        <v>64</v>
      </c>
      <c r="U56" s="40" t="s">
        <v>64</v>
      </c>
      <c r="V56" s="40" t="s">
        <v>64</v>
      </c>
      <c r="W56" s="40" t="s">
        <v>64</v>
      </c>
      <c r="X56" s="40" t="s">
        <v>64</v>
      </c>
      <c r="Y56" s="40" t="s">
        <v>64</v>
      </c>
      <c r="Z56" s="40" t="s">
        <v>64</v>
      </c>
      <c r="AA56" s="40" t="s">
        <v>64</v>
      </c>
      <c r="AB56" s="40" t="s">
        <v>64</v>
      </c>
      <c r="AC56" s="40" t="s">
        <v>64</v>
      </c>
      <c r="AD56" s="40" t="s">
        <v>64</v>
      </c>
      <c r="AE56" s="40" t="s">
        <v>64</v>
      </c>
      <c r="AF56" s="40" t="s">
        <v>64</v>
      </c>
      <c r="AG56" s="40" t="s">
        <v>64</v>
      </c>
      <c r="AH56" s="40" t="s">
        <v>64</v>
      </c>
      <c r="AI56" s="40" t="s">
        <v>64</v>
      </c>
      <c r="AJ56" s="40" t="s">
        <v>64</v>
      </c>
      <c r="AK56" s="40" t="s">
        <v>64</v>
      </c>
      <c r="AL56" s="40" t="s">
        <v>64</v>
      </c>
      <c r="AM56" s="40" t="s">
        <v>64</v>
      </c>
      <c r="AN56" s="40" t="s">
        <v>64</v>
      </c>
      <c r="AO56" s="40" t="s">
        <v>64</v>
      </c>
      <c r="AP56" s="40" t="s">
        <v>64</v>
      </c>
      <c r="AQ56" s="40" t="s">
        <v>64</v>
      </c>
      <c r="AR56" s="40" t="s">
        <v>64</v>
      </c>
      <c r="AS56" s="40" t="s">
        <v>64</v>
      </c>
      <c r="AT56" s="40" t="s">
        <v>64</v>
      </c>
      <c r="AU56" s="40" t="s">
        <v>64</v>
      </c>
      <c r="AV56" s="40" t="s">
        <v>64</v>
      </c>
      <c r="AW56" s="40" t="s">
        <v>64</v>
      </c>
      <c r="AX56" s="40" t="s">
        <v>64</v>
      </c>
      <c r="AY56" s="40" t="s">
        <v>64</v>
      </c>
      <c r="AZ56" s="40" t="s">
        <v>64</v>
      </c>
      <c r="BA56" s="40" t="s">
        <v>64</v>
      </c>
      <c r="BB56" s="40" t="s">
        <v>64</v>
      </c>
    </row>
    <row r="57" spans="1:54" x14ac:dyDescent="0.2">
      <c r="A57" s="39" t="s">
        <v>496</v>
      </c>
      <c r="B57" s="39" t="s">
        <v>536</v>
      </c>
      <c r="C57" s="39" t="s">
        <v>496</v>
      </c>
      <c r="D57" s="40" t="s">
        <v>593</v>
      </c>
      <c r="E57" s="40" t="s">
        <v>212</v>
      </c>
      <c r="F57" s="40">
        <v>90</v>
      </c>
      <c r="G57" s="40">
        <v>5</v>
      </c>
      <c r="H57" s="40">
        <v>450</v>
      </c>
      <c r="I57" s="40">
        <v>20</v>
      </c>
      <c r="J57" s="40" t="s">
        <v>64</v>
      </c>
      <c r="K57" s="40" t="s">
        <v>64</v>
      </c>
      <c r="L57" s="40" t="s">
        <v>64</v>
      </c>
      <c r="M57" s="40" t="s">
        <v>64</v>
      </c>
      <c r="N57" s="40" t="s">
        <v>64</v>
      </c>
      <c r="O57" s="40" t="s">
        <v>64</v>
      </c>
      <c r="P57" s="40" t="s">
        <v>64</v>
      </c>
      <c r="Q57" s="40" t="s">
        <v>64</v>
      </c>
      <c r="R57" s="40" t="s">
        <v>64</v>
      </c>
      <c r="S57" s="40" t="s">
        <v>64</v>
      </c>
      <c r="T57" s="40" t="s">
        <v>64</v>
      </c>
      <c r="U57" s="40" t="s">
        <v>64</v>
      </c>
      <c r="V57" s="40" t="s">
        <v>64</v>
      </c>
      <c r="W57" s="40" t="s">
        <v>64</v>
      </c>
      <c r="X57" s="40" t="s">
        <v>64</v>
      </c>
      <c r="Y57" s="40" t="s">
        <v>64</v>
      </c>
      <c r="Z57" s="40" t="s">
        <v>64</v>
      </c>
      <c r="AA57" s="40" t="s">
        <v>64</v>
      </c>
      <c r="AB57" s="40" t="s">
        <v>64</v>
      </c>
      <c r="AC57" s="40" t="s">
        <v>64</v>
      </c>
      <c r="AD57" s="40" t="s">
        <v>64</v>
      </c>
      <c r="AE57" s="40" t="s">
        <v>64</v>
      </c>
      <c r="AF57" s="40" t="s">
        <v>64</v>
      </c>
      <c r="AG57" s="40" t="s">
        <v>64</v>
      </c>
      <c r="AH57" s="40" t="s">
        <v>64</v>
      </c>
      <c r="AI57" s="40" t="s">
        <v>64</v>
      </c>
      <c r="AJ57" s="40" t="s">
        <v>64</v>
      </c>
      <c r="AK57" s="40" t="s">
        <v>64</v>
      </c>
      <c r="AL57" s="40" t="s">
        <v>64</v>
      </c>
      <c r="AM57" s="40" t="s">
        <v>64</v>
      </c>
      <c r="AN57" s="40" t="s">
        <v>64</v>
      </c>
      <c r="AO57" s="40" t="s">
        <v>64</v>
      </c>
      <c r="AP57" s="40" t="s">
        <v>64</v>
      </c>
      <c r="AQ57" s="40" t="s">
        <v>64</v>
      </c>
      <c r="AR57" s="40" t="s">
        <v>64</v>
      </c>
      <c r="AS57" s="40" t="s">
        <v>64</v>
      </c>
      <c r="AT57" s="40" t="s">
        <v>64</v>
      </c>
      <c r="AU57" s="40" t="s">
        <v>64</v>
      </c>
      <c r="AV57" s="40" t="s">
        <v>64</v>
      </c>
      <c r="AW57" s="40" t="s">
        <v>64</v>
      </c>
      <c r="AX57" s="40" t="s">
        <v>64</v>
      </c>
      <c r="AY57" s="40" t="s">
        <v>64</v>
      </c>
      <c r="AZ57" s="40" t="s">
        <v>64</v>
      </c>
      <c r="BA57" s="40" t="s">
        <v>64</v>
      </c>
      <c r="BB57" s="40" t="s">
        <v>64</v>
      </c>
    </row>
    <row r="58" spans="1:54" x14ac:dyDescent="0.2">
      <c r="A58" s="39" t="s">
        <v>497</v>
      </c>
      <c r="B58" s="39" t="s">
        <v>536</v>
      </c>
      <c r="C58" s="39" t="s">
        <v>497</v>
      </c>
      <c r="D58" s="40" t="s">
        <v>594</v>
      </c>
      <c r="E58" s="40" t="s">
        <v>212</v>
      </c>
      <c r="F58" s="40">
        <v>90</v>
      </c>
      <c r="G58" s="40">
        <v>5</v>
      </c>
      <c r="H58" s="40">
        <v>450</v>
      </c>
      <c r="I58" s="40">
        <v>15</v>
      </c>
      <c r="J58" s="40" t="s">
        <v>64</v>
      </c>
      <c r="K58" s="40" t="s">
        <v>64</v>
      </c>
      <c r="L58" s="40" t="s">
        <v>64</v>
      </c>
      <c r="M58" s="40" t="s">
        <v>64</v>
      </c>
      <c r="N58" s="40" t="s">
        <v>64</v>
      </c>
      <c r="O58" s="40" t="s">
        <v>64</v>
      </c>
      <c r="P58" s="40" t="s">
        <v>64</v>
      </c>
      <c r="Q58" s="40" t="s">
        <v>64</v>
      </c>
      <c r="R58" s="40" t="s">
        <v>64</v>
      </c>
      <c r="S58" s="40" t="s">
        <v>64</v>
      </c>
      <c r="T58" s="40" t="s">
        <v>64</v>
      </c>
      <c r="U58" s="40" t="s">
        <v>64</v>
      </c>
      <c r="V58" s="40" t="s">
        <v>64</v>
      </c>
      <c r="W58" s="40" t="s">
        <v>64</v>
      </c>
      <c r="X58" s="40" t="s">
        <v>64</v>
      </c>
      <c r="Y58" s="40" t="s">
        <v>64</v>
      </c>
      <c r="Z58" s="40" t="s">
        <v>64</v>
      </c>
      <c r="AA58" s="40" t="s">
        <v>64</v>
      </c>
      <c r="AB58" s="40" t="s">
        <v>64</v>
      </c>
      <c r="AC58" s="40" t="s">
        <v>64</v>
      </c>
      <c r="AD58" s="40" t="s">
        <v>64</v>
      </c>
      <c r="AE58" s="40" t="s">
        <v>64</v>
      </c>
      <c r="AF58" s="40" t="s">
        <v>64</v>
      </c>
      <c r="AG58" s="40" t="s">
        <v>64</v>
      </c>
      <c r="AH58" s="40" t="s">
        <v>64</v>
      </c>
      <c r="AI58" s="40" t="s">
        <v>64</v>
      </c>
      <c r="AJ58" s="40" t="s">
        <v>64</v>
      </c>
      <c r="AK58" s="40" t="s">
        <v>64</v>
      </c>
      <c r="AL58" s="40" t="s">
        <v>64</v>
      </c>
      <c r="AM58" s="40" t="s">
        <v>64</v>
      </c>
      <c r="AN58" s="40" t="s">
        <v>64</v>
      </c>
      <c r="AO58" s="40" t="s">
        <v>64</v>
      </c>
      <c r="AP58" s="40" t="s">
        <v>64</v>
      </c>
      <c r="AQ58" s="40" t="s">
        <v>64</v>
      </c>
      <c r="AR58" s="40" t="s">
        <v>64</v>
      </c>
      <c r="AS58" s="40" t="s">
        <v>64</v>
      </c>
      <c r="AT58" s="40" t="s">
        <v>64</v>
      </c>
      <c r="AU58" s="40" t="s">
        <v>64</v>
      </c>
      <c r="AV58" s="40" t="s">
        <v>64</v>
      </c>
      <c r="AW58" s="40" t="s">
        <v>64</v>
      </c>
      <c r="AX58" s="40" t="s">
        <v>64</v>
      </c>
      <c r="AY58" s="40" t="s">
        <v>64</v>
      </c>
      <c r="AZ58" s="40" t="s">
        <v>64</v>
      </c>
      <c r="BA58" s="40" t="s">
        <v>64</v>
      </c>
      <c r="BB58" s="40" t="s">
        <v>64</v>
      </c>
    </row>
    <row r="59" spans="1:54" x14ac:dyDescent="0.2">
      <c r="A59" s="39" t="s">
        <v>498</v>
      </c>
      <c r="B59" s="39" t="s">
        <v>536</v>
      </c>
      <c r="C59" s="39" t="s">
        <v>498</v>
      </c>
      <c r="D59" s="40" t="s">
        <v>595</v>
      </c>
      <c r="E59" s="40" t="s">
        <v>212</v>
      </c>
      <c r="F59" s="40">
        <v>90</v>
      </c>
      <c r="G59" s="40">
        <v>5</v>
      </c>
      <c r="H59" s="40">
        <v>450</v>
      </c>
      <c r="I59" s="40">
        <v>15</v>
      </c>
      <c r="J59" s="40" t="s">
        <v>64</v>
      </c>
      <c r="K59" s="40" t="s">
        <v>64</v>
      </c>
      <c r="L59" s="40" t="s">
        <v>64</v>
      </c>
      <c r="M59" s="40" t="s">
        <v>64</v>
      </c>
      <c r="N59" s="40" t="s">
        <v>64</v>
      </c>
      <c r="O59" s="40" t="s">
        <v>64</v>
      </c>
      <c r="P59" s="40" t="s">
        <v>64</v>
      </c>
      <c r="Q59" s="40" t="s">
        <v>64</v>
      </c>
      <c r="R59" s="40" t="s">
        <v>64</v>
      </c>
      <c r="S59" s="40" t="s">
        <v>64</v>
      </c>
      <c r="T59" s="40" t="s">
        <v>64</v>
      </c>
      <c r="U59" s="40" t="s">
        <v>64</v>
      </c>
      <c r="V59" s="40" t="s">
        <v>64</v>
      </c>
      <c r="W59" s="40" t="s">
        <v>64</v>
      </c>
      <c r="X59" s="40" t="s">
        <v>64</v>
      </c>
      <c r="Y59" s="40" t="s">
        <v>64</v>
      </c>
      <c r="Z59" s="40" t="s">
        <v>64</v>
      </c>
      <c r="AA59" s="40" t="s">
        <v>64</v>
      </c>
      <c r="AB59" s="40" t="s">
        <v>64</v>
      </c>
      <c r="AC59" s="40" t="s">
        <v>64</v>
      </c>
      <c r="AD59" s="40" t="s">
        <v>64</v>
      </c>
      <c r="AE59" s="40" t="s">
        <v>64</v>
      </c>
      <c r="AF59" s="40" t="s">
        <v>64</v>
      </c>
      <c r="AG59" s="40" t="s">
        <v>64</v>
      </c>
      <c r="AH59" s="40" t="s">
        <v>64</v>
      </c>
      <c r="AI59" s="40" t="s">
        <v>64</v>
      </c>
      <c r="AJ59" s="40" t="s">
        <v>64</v>
      </c>
      <c r="AK59" s="40" t="s">
        <v>64</v>
      </c>
      <c r="AL59" s="40" t="s">
        <v>64</v>
      </c>
      <c r="AM59" s="40" t="s">
        <v>64</v>
      </c>
      <c r="AN59" s="40" t="s">
        <v>64</v>
      </c>
      <c r="AO59" s="40" t="s">
        <v>64</v>
      </c>
      <c r="AP59" s="40" t="s">
        <v>64</v>
      </c>
      <c r="AQ59" s="40" t="s">
        <v>64</v>
      </c>
      <c r="AR59" s="40" t="s">
        <v>64</v>
      </c>
      <c r="AS59" s="40" t="s">
        <v>64</v>
      </c>
      <c r="AT59" s="40" t="s">
        <v>64</v>
      </c>
      <c r="AU59" s="40" t="s">
        <v>64</v>
      </c>
      <c r="AV59" s="40" t="s">
        <v>64</v>
      </c>
      <c r="AW59" s="40" t="s">
        <v>64</v>
      </c>
      <c r="AX59" s="40" t="s">
        <v>64</v>
      </c>
      <c r="AY59" s="40" t="s">
        <v>64</v>
      </c>
      <c r="AZ59" s="40" t="s">
        <v>64</v>
      </c>
      <c r="BA59" s="40" t="s">
        <v>64</v>
      </c>
      <c r="BB59" s="40" t="s">
        <v>64</v>
      </c>
    </row>
    <row r="60" spans="1:54" x14ac:dyDescent="0.2">
      <c r="A60" s="39" t="s">
        <v>499</v>
      </c>
      <c r="B60" s="39" t="s">
        <v>536</v>
      </c>
      <c r="C60" s="39" t="s">
        <v>499</v>
      </c>
      <c r="D60" s="40" t="s">
        <v>596</v>
      </c>
      <c r="E60" s="40" t="s">
        <v>212</v>
      </c>
      <c r="F60" s="40">
        <v>90</v>
      </c>
      <c r="G60" s="40">
        <v>5</v>
      </c>
      <c r="H60" s="40">
        <v>450</v>
      </c>
      <c r="I60" s="40">
        <v>20</v>
      </c>
      <c r="J60" s="40" t="s">
        <v>64</v>
      </c>
      <c r="K60" s="40" t="s">
        <v>64</v>
      </c>
      <c r="L60" s="40" t="s">
        <v>64</v>
      </c>
      <c r="M60" s="40" t="s">
        <v>64</v>
      </c>
      <c r="N60" s="40" t="s">
        <v>64</v>
      </c>
      <c r="O60" s="40" t="s">
        <v>64</v>
      </c>
      <c r="P60" s="40" t="s">
        <v>64</v>
      </c>
      <c r="Q60" s="40" t="s">
        <v>64</v>
      </c>
      <c r="R60" s="40" t="s">
        <v>64</v>
      </c>
      <c r="S60" s="40" t="s">
        <v>64</v>
      </c>
      <c r="T60" s="40" t="s">
        <v>64</v>
      </c>
      <c r="U60" s="40" t="s">
        <v>64</v>
      </c>
      <c r="V60" s="40" t="s">
        <v>64</v>
      </c>
      <c r="W60" s="40" t="s">
        <v>64</v>
      </c>
      <c r="X60" s="40" t="s">
        <v>64</v>
      </c>
      <c r="Y60" s="40" t="s">
        <v>64</v>
      </c>
      <c r="Z60" s="40" t="s">
        <v>64</v>
      </c>
      <c r="AA60" s="40" t="s">
        <v>64</v>
      </c>
      <c r="AB60" s="40" t="s">
        <v>64</v>
      </c>
      <c r="AC60" s="40" t="s">
        <v>64</v>
      </c>
      <c r="AD60" s="40" t="s">
        <v>64</v>
      </c>
      <c r="AE60" s="40" t="s">
        <v>64</v>
      </c>
      <c r="AF60" s="40" t="s">
        <v>64</v>
      </c>
      <c r="AG60" s="40" t="s">
        <v>64</v>
      </c>
      <c r="AH60" s="40" t="s">
        <v>64</v>
      </c>
      <c r="AI60" s="40" t="s">
        <v>64</v>
      </c>
      <c r="AJ60" s="40" t="s">
        <v>64</v>
      </c>
      <c r="AK60" s="40" t="s">
        <v>64</v>
      </c>
      <c r="AL60" s="40" t="s">
        <v>64</v>
      </c>
      <c r="AM60" s="40" t="s">
        <v>64</v>
      </c>
      <c r="AN60" s="40" t="s">
        <v>64</v>
      </c>
      <c r="AO60" s="40" t="s">
        <v>64</v>
      </c>
      <c r="AP60" s="40" t="s">
        <v>64</v>
      </c>
      <c r="AQ60" s="40" t="s">
        <v>64</v>
      </c>
      <c r="AR60" s="40" t="s">
        <v>64</v>
      </c>
      <c r="AS60" s="40" t="s">
        <v>64</v>
      </c>
      <c r="AT60" s="40" t="s">
        <v>64</v>
      </c>
      <c r="AU60" s="40" t="s">
        <v>64</v>
      </c>
      <c r="AV60" s="40" t="s">
        <v>64</v>
      </c>
      <c r="AW60" s="40" t="s">
        <v>64</v>
      </c>
      <c r="AX60" s="40" t="s">
        <v>64</v>
      </c>
      <c r="AY60" s="40" t="s">
        <v>64</v>
      </c>
      <c r="AZ60" s="40" t="s">
        <v>64</v>
      </c>
      <c r="BA60" s="40" t="s">
        <v>64</v>
      </c>
      <c r="BB60" s="40" t="s">
        <v>64</v>
      </c>
    </row>
    <row r="61" spans="1:54" x14ac:dyDescent="0.2">
      <c r="A61" s="39" t="s">
        <v>500</v>
      </c>
      <c r="B61" s="39" t="s">
        <v>536</v>
      </c>
      <c r="C61" s="39" t="s">
        <v>500</v>
      </c>
      <c r="D61" s="40" t="s">
        <v>597</v>
      </c>
      <c r="E61" s="40" t="s">
        <v>212</v>
      </c>
      <c r="F61" s="40">
        <v>90</v>
      </c>
      <c r="G61" s="40">
        <v>5</v>
      </c>
      <c r="H61" s="40">
        <v>450</v>
      </c>
      <c r="I61" s="40">
        <v>15</v>
      </c>
      <c r="J61" s="40" t="s">
        <v>64</v>
      </c>
      <c r="K61" s="40" t="s">
        <v>64</v>
      </c>
      <c r="L61" s="40" t="s">
        <v>64</v>
      </c>
      <c r="M61" s="40" t="s">
        <v>64</v>
      </c>
      <c r="N61" s="40" t="s">
        <v>64</v>
      </c>
      <c r="O61" s="40" t="s">
        <v>64</v>
      </c>
      <c r="P61" s="40" t="s">
        <v>64</v>
      </c>
      <c r="Q61" s="40" t="s">
        <v>64</v>
      </c>
      <c r="R61" s="40" t="s">
        <v>64</v>
      </c>
      <c r="S61" s="40" t="s">
        <v>64</v>
      </c>
      <c r="T61" s="40" t="s">
        <v>64</v>
      </c>
      <c r="U61" s="40" t="s">
        <v>64</v>
      </c>
      <c r="V61" s="40" t="s">
        <v>64</v>
      </c>
      <c r="W61" s="40" t="s">
        <v>64</v>
      </c>
      <c r="X61" s="40" t="s">
        <v>64</v>
      </c>
      <c r="Y61" s="40" t="s">
        <v>64</v>
      </c>
      <c r="Z61" s="40" t="s">
        <v>64</v>
      </c>
      <c r="AA61" s="40" t="s">
        <v>64</v>
      </c>
      <c r="AB61" s="40" t="s">
        <v>64</v>
      </c>
      <c r="AC61" s="40" t="s">
        <v>64</v>
      </c>
      <c r="AD61" s="40" t="s">
        <v>64</v>
      </c>
      <c r="AE61" s="40" t="s">
        <v>64</v>
      </c>
      <c r="AF61" s="40" t="s">
        <v>64</v>
      </c>
      <c r="AG61" s="40" t="s">
        <v>64</v>
      </c>
      <c r="AH61" s="40" t="s">
        <v>64</v>
      </c>
      <c r="AI61" s="40" t="s">
        <v>64</v>
      </c>
      <c r="AJ61" s="40" t="s">
        <v>64</v>
      </c>
      <c r="AK61" s="40" t="s">
        <v>64</v>
      </c>
      <c r="AL61" s="40" t="s">
        <v>64</v>
      </c>
      <c r="AM61" s="40" t="s">
        <v>64</v>
      </c>
      <c r="AN61" s="40" t="s">
        <v>64</v>
      </c>
      <c r="AO61" s="40" t="s">
        <v>64</v>
      </c>
      <c r="AP61" s="40" t="s">
        <v>64</v>
      </c>
      <c r="AQ61" s="40" t="s">
        <v>64</v>
      </c>
      <c r="AR61" s="40" t="s">
        <v>64</v>
      </c>
      <c r="AS61" s="40" t="s">
        <v>64</v>
      </c>
      <c r="AT61" s="40" t="s">
        <v>64</v>
      </c>
      <c r="AU61" s="40" t="s">
        <v>64</v>
      </c>
      <c r="AV61" s="40" t="s">
        <v>64</v>
      </c>
      <c r="AW61" s="40" t="s">
        <v>64</v>
      </c>
      <c r="AX61" s="40" t="s">
        <v>64</v>
      </c>
      <c r="AY61" s="40" t="s">
        <v>64</v>
      </c>
      <c r="AZ61" s="40" t="s">
        <v>64</v>
      </c>
      <c r="BA61" s="40" t="s">
        <v>64</v>
      </c>
      <c r="BB61" s="40" t="s">
        <v>64</v>
      </c>
    </row>
    <row r="62" spans="1:54" x14ac:dyDescent="0.2">
      <c r="A62" s="39" t="s">
        <v>501</v>
      </c>
      <c r="B62" s="39" t="s">
        <v>536</v>
      </c>
      <c r="C62" s="39" t="s">
        <v>501</v>
      </c>
      <c r="D62" s="40" t="s">
        <v>598</v>
      </c>
      <c r="E62" s="40" t="s">
        <v>212</v>
      </c>
      <c r="F62" s="40">
        <v>90</v>
      </c>
      <c r="G62" s="40">
        <v>5</v>
      </c>
      <c r="H62" s="40">
        <v>450</v>
      </c>
      <c r="I62" s="40">
        <v>15</v>
      </c>
      <c r="J62" s="40" t="s">
        <v>64</v>
      </c>
      <c r="K62" s="40" t="s">
        <v>64</v>
      </c>
      <c r="L62" s="40" t="s">
        <v>64</v>
      </c>
      <c r="M62" s="40" t="s">
        <v>64</v>
      </c>
      <c r="N62" s="40" t="s">
        <v>64</v>
      </c>
      <c r="O62" s="40" t="s">
        <v>64</v>
      </c>
      <c r="P62" s="40" t="s">
        <v>64</v>
      </c>
      <c r="Q62" s="40" t="s">
        <v>64</v>
      </c>
      <c r="R62" s="40" t="s">
        <v>64</v>
      </c>
      <c r="S62" s="40" t="s">
        <v>64</v>
      </c>
      <c r="T62" s="40" t="s">
        <v>64</v>
      </c>
      <c r="U62" s="40" t="s">
        <v>64</v>
      </c>
      <c r="V62" s="40" t="s">
        <v>64</v>
      </c>
      <c r="W62" s="40" t="s">
        <v>64</v>
      </c>
      <c r="X62" s="40" t="s">
        <v>64</v>
      </c>
      <c r="Y62" s="40" t="s">
        <v>64</v>
      </c>
      <c r="Z62" s="40" t="s">
        <v>64</v>
      </c>
      <c r="AA62" s="40" t="s">
        <v>64</v>
      </c>
      <c r="AB62" s="40" t="s">
        <v>64</v>
      </c>
      <c r="AC62" s="40" t="s">
        <v>64</v>
      </c>
      <c r="AD62" s="40" t="s">
        <v>64</v>
      </c>
      <c r="AE62" s="40" t="s">
        <v>64</v>
      </c>
      <c r="AF62" s="40" t="s">
        <v>64</v>
      </c>
      <c r="AG62" s="40" t="s">
        <v>64</v>
      </c>
      <c r="AH62" s="40" t="s">
        <v>64</v>
      </c>
      <c r="AI62" s="40" t="s">
        <v>64</v>
      </c>
      <c r="AJ62" s="40" t="s">
        <v>64</v>
      </c>
      <c r="AK62" s="40" t="s">
        <v>64</v>
      </c>
      <c r="AL62" s="40" t="s">
        <v>64</v>
      </c>
      <c r="AM62" s="40" t="s">
        <v>64</v>
      </c>
      <c r="AN62" s="40" t="s">
        <v>64</v>
      </c>
      <c r="AO62" s="40" t="s">
        <v>64</v>
      </c>
      <c r="AP62" s="40" t="s">
        <v>64</v>
      </c>
      <c r="AQ62" s="40" t="s">
        <v>64</v>
      </c>
      <c r="AR62" s="40" t="s">
        <v>64</v>
      </c>
      <c r="AS62" s="40" t="s">
        <v>64</v>
      </c>
      <c r="AT62" s="40" t="s">
        <v>64</v>
      </c>
      <c r="AU62" s="40" t="s">
        <v>64</v>
      </c>
      <c r="AV62" s="40" t="s">
        <v>64</v>
      </c>
      <c r="AW62" s="40" t="s">
        <v>64</v>
      </c>
      <c r="AX62" s="40" t="s">
        <v>64</v>
      </c>
      <c r="AY62" s="40" t="s">
        <v>64</v>
      </c>
      <c r="AZ62" s="40" t="s">
        <v>64</v>
      </c>
      <c r="BA62" s="40" t="s">
        <v>64</v>
      </c>
      <c r="BB62" s="40" t="s">
        <v>64</v>
      </c>
    </row>
    <row r="63" spans="1:54" x14ac:dyDescent="0.2">
      <c r="A63" s="39" t="s">
        <v>502</v>
      </c>
      <c r="B63" s="39" t="s">
        <v>536</v>
      </c>
      <c r="C63" s="39" t="s">
        <v>502</v>
      </c>
      <c r="D63" s="40" t="s">
        <v>599</v>
      </c>
      <c r="E63" s="40" t="s">
        <v>212</v>
      </c>
      <c r="F63" s="40">
        <v>90</v>
      </c>
      <c r="G63" s="40">
        <v>5</v>
      </c>
      <c r="H63" s="40">
        <v>450</v>
      </c>
      <c r="I63" s="40">
        <v>15</v>
      </c>
      <c r="J63" s="40" t="s">
        <v>64</v>
      </c>
      <c r="K63" s="40" t="s">
        <v>64</v>
      </c>
      <c r="L63" s="40" t="s">
        <v>64</v>
      </c>
      <c r="M63" s="40" t="s">
        <v>64</v>
      </c>
      <c r="N63" s="40" t="s">
        <v>64</v>
      </c>
      <c r="O63" s="40" t="s">
        <v>64</v>
      </c>
      <c r="P63" s="40" t="s">
        <v>64</v>
      </c>
      <c r="Q63" s="40" t="s">
        <v>64</v>
      </c>
      <c r="R63" s="40" t="s">
        <v>64</v>
      </c>
      <c r="S63" s="40" t="s">
        <v>64</v>
      </c>
      <c r="T63" s="40" t="s">
        <v>64</v>
      </c>
      <c r="U63" s="40" t="s">
        <v>64</v>
      </c>
      <c r="V63" s="40" t="s">
        <v>64</v>
      </c>
      <c r="W63" s="40" t="s">
        <v>64</v>
      </c>
      <c r="X63" s="40" t="s">
        <v>64</v>
      </c>
      <c r="Y63" s="40" t="s">
        <v>64</v>
      </c>
      <c r="Z63" s="40" t="s">
        <v>64</v>
      </c>
      <c r="AA63" s="40" t="s">
        <v>64</v>
      </c>
      <c r="AB63" s="40" t="s">
        <v>64</v>
      </c>
      <c r="AC63" s="40" t="s">
        <v>64</v>
      </c>
      <c r="AD63" s="40" t="s">
        <v>64</v>
      </c>
      <c r="AE63" s="40" t="s">
        <v>64</v>
      </c>
      <c r="AF63" s="40" t="s">
        <v>64</v>
      </c>
      <c r="AG63" s="40" t="s">
        <v>64</v>
      </c>
      <c r="AH63" s="40" t="s">
        <v>64</v>
      </c>
      <c r="AI63" s="40" t="s">
        <v>64</v>
      </c>
      <c r="AJ63" s="40" t="s">
        <v>64</v>
      </c>
      <c r="AK63" s="40" t="s">
        <v>64</v>
      </c>
      <c r="AL63" s="40" t="s">
        <v>64</v>
      </c>
      <c r="AM63" s="40" t="s">
        <v>64</v>
      </c>
      <c r="AN63" s="40" t="s">
        <v>64</v>
      </c>
      <c r="AO63" s="40" t="s">
        <v>64</v>
      </c>
      <c r="AP63" s="40" t="s">
        <v>64</v>
      </c>
      <c r="AQ63" s="40" t="s">
        <v>64</v>
      </c>
      <c r="AR63" s="40" t="s">
        <v>64</v>
      </c>
      <c r="AS63" s="40" t="s">
        <v>64</v>
      </c>
      <c r="AT63" s="40" t="s">
        <v>64</v>
      </c>
      <c r="AU63" s="40" t="s">
        <v>64</v>
      </c>
      <c r="AV63" s="40" t="s">
        <v>64</v>
      </c>
      <c r="AW63" s="40" t="s">
        <v>64</v>
      </c>
      <c r="AX63" s="40" t="s">
        <v>64</v>
      </c>
      <c r="AY63" s="40" t="s">
        <v>64</v>
      </c>
      <c r="AZ63" s="40" t="s">
        <v>64</v>
      </c>
      <c r="BA63" s="40" t="s">
        <v>64</v>
      </c>
      <c r="BB63" s="40" t="s">
        <v>64</v>
      </c>
    </row>
    <row r="64" spans="1:54" x14ac:dyDescent="0.2">
      <c r="A64" s="39" t="s">
        <v>503</v>
      </c>
      <c r="B64" s="39" t="s">
        <v>536</v>
      </c>
      <c r="C64" s="39" t="s">
        <v>503</v>
      </c>
      <c r="D64" s="40" t="s">
        <v>600</v>
      </c>
      <c r="E64" s="40" t="s">
        <v>212</v>
      </c>
      <c r="F64" s="40">
        <v>90</v>
      </c>
      <c r="G64" s="40">
        <v>5</v>
      </c>
      <c r="H64" s="40">
        <v>450</v>
      </c>
      <c r="I64" s="40">
        <v>20</v>
      </c>
      <c r="J64" s="40" t="s">
        <v>64</v>
      </c>
      <c r="K64" s="40" t="s">
        <v>64</v>
      </c>
      <c r="L64" s="40" t="s">
        <v>64</v>
      </c>
      <c r="M64" s="40" t="s">
        <v>64</v>
      </c>
      <c r="N64" s="40" t="s">
        <v>64</v>
      </c>
      <c r="O64" s="40" t="s">
        <v>64</v>
      </c>
      <c r="P64" s="40" t="s">
        <v>64</v>
      </c>
      <c r="Q64" s="40" t="s">
        <v>64</v>
      </c>
      <c r="R64" s="40" t="s">
        <v>64</v>
      </c>
      <c r="S64" s="40" t="s">
        <v>64</v>
      </c>
      <c r="T64" s="40" t="s">
        <v>64</v>
      </c>
      <c r="U64" s="40" t="s">
        <v>64</v>
      </c>
      <c r="V64" s="40" t="s">
        <v>64</v>
      </c>
      <c r="W64" s="40" t="s">
        <v>64</v>
      </c>
      <c r="X64" s="40" t="s">
        <v>64</v>
      </c>
      <c r="Y64" s="40" t="s">
        <v>64</v>
      </c>
      <c r="Z64" s="40" t="s">
        <v>64</v>
      </c>
      <c r="AA64" s="40" t="s">
        <v>64</v>
      </c>
      <c r="AB64" s="40" t="s">
        <v>64</v>
      </c>
      <c r="AC64" s="40" t="s">
        <v>64</v>
      </c>
      <c r="AD64" s="40" t="s">
        <v>64</v>
      </c>
      <c r="AE64" s="40" t="s">
        <v>64</v>
      </c>
      <c r="AF64" s="40" t="s">
        <v>64</v>
      </c>
      <c r="AG64" s="40" t="s">
        <v>64</v>
      </c>
      <c r="AH64" s="40" t="s">
        <v>64</v>
      </c>
      <c r="AI64" s="40" t="s">
        <v>64</v>
      </c>
      <c r="AJ64" s="40" t="s">
        <v>64</v>
      </c>
      <c r="AK64" s="40" t="s">
        <v>64</v>
      </c>
      <c r="AL64" s="40" t="s">
        <v>64</v>
      </c>
      <c r="AM64" s="40" t="s">
        <v>64</v>
      </c>
      <c r="AN64" s="40" t="s">
        <v>64</v>
      </c>
      <c r="AO64" s="40" t="s">
        <v>64</v>
      </c>
      <c r="AP64" s="40" t="s">
        <v>64</v>
      </c>
      <c r="AQ64" s="40" t="s">
        <v>64</v>
      </c>
      <c r="AR64" s="40" t="s">
        <v>64</v>
      </c>
      <c r="AS64" s="40" t="s">
        <v>64</v>
      </c>
      <c r="AT64" s="40" t="s">
        <v>64</v>
      </c>
      <c r="AU64" s="40" t="s">
        <v>64</v>
      </c>
      <c r="AV64" s="40" t="s">
        <v>64</v>
      </c>
      <c r="AW64" s="40" t="s">
        <v>64</v>
      </c>
      <c r="AX64" s="40" t="s">
        <v>64</v>
      </c>
      <c r="AY64" s="40" t="s">
        <v>64</v>
      </c>
      <c r="AZ64" s="40" t="s">
        <v>64</v>
      </c>
      <c r="BA64" s="40" t="s">
        <v>64</v>
      </c>
      <c r="BB64" s="40" t="s">
        <v>64</v>
      </c>
    </row>
    <row r="65" spans="1:54" x14ac:dyDescent="0.2">
      <c r="A65" s="39" t="s">
        <v>504</v>
      </c>
      <c r="B65" s="39" t="s">
        <v>536</v>
      </c>
      <c r="C65" s="39" t="s">
        <v>504</v>
      </c>
      <c r="D65" s="40" t="s">
        <v>601</v>
      </c>
      <c r="E65" s="40" t="s">
        <v>212</v>
      </c>
      <c r="F65" s="40">
        <v>90</v>
      </c>
      <c r="G65" s="40">
        <v>5</v>
      </c>
      <c r="H65" s="40">
        <v>450</v>
      </c>
      <c r="I65" s="40">
        <v>15</v>
      </c>
      <c r="J65" s="40" t="s">
        <v>64</v>
      </c>
      <c r="K65" s="40" t="s">
        <v>64</v>
      </c>
      <c r="L65" s="40" t="s">
        <v>64</v>
      </c>
      <c r="M65" s="40" t="s">
        <v>64</v>
      </c>
      <c r="N65" s="40" t="s">
        <v>64</v>
      </c>
      <c r="O65" s="40" t="s">
        <v>64</v>
      </c>
      <c r="P65" s="40" t="s">
        <v>64</v>
      </c>
      <c r="Q65" s="40" t="s">
        <v>64</v>
      </c>
      <c r="R65" s="40" t="s">
        <v>64</v>
      </c>
      <c r="S65" s="40" t="s">
        <v>64</v>
      </c>
      <c r="T65" s="40" t="s">
        <v>64</v>
      </c>
      <c r="U65" s="40" t="s">
        <v>64</v>
      </c>
      <c r="V65" s="40" t="s">
        <v>64</v>
      </c>
      <c r="W65" s="40" t="s">
        <v>64</v>
      </c>
      <c r="X65" s="40" t="s">
        <v>64</v>
      </c>
      <c r="Y65" s="40" t="s">
        <v>64</v>
      </c>
      <c r="Z65" s="40" t="s">
        <v>64</v>
      </c>
      <c r="AA65" s="40" t="s">
        <v>64</v>
      </c>
      <c r="AB65" s="40" t="s">
        <v>64</v>
      </c>
      <c r="AC65" s="40" t="s">
        <v>64</v>
      </c>
      <c r="AD65" s="40" t="s">
        <v>64</v>
      </c>
      <c r="AE65" s="40" t="s">
        <v>64</v>
      </c>
      <c r="AF65" s="40" t="s">
        <v>64</v>
      </c>
      <c r="AG65" s="40" t="s">
        <v>64</v>
      </c>
      <c r="AH65" s="40" t="s">
        <v>64</v>
      </c>
      <c r="AI65" s="40" t="s">
        <v>64</v>
      </c>
      <c r="AJ65" s="40" t="s">
        <v>64</v>
      </c>
      <c r="AK65" s="40" t="s">
        <v>64</v>
      </c>
      <c r="AL65" s="40" t="s">
        <v>64</v>
      </c>
      <c r="AM65" s="40" t="s">
        <v>64</v>
      </c>
      <c r="AN65" s="40" t="s">
        <v>64</v>
      </c>
      <c r="AO65" s="40" t="s">
        <v>64</v>
      </c>
      <c r="AP65" s="40" t="s">
        <v>64</v>
      </c>
      <c r="AQ65" s="40" t="s">
        <v>64</v>
      </c>
      <c r="AR65" s="40" t="s">
        <v>64</v>
      </c>
      <c r="AS65" s="40" t="s">
        <v>64</v>
      </c>
      <c r="AT65" s="40" t="s">
        <v>64</v>
      </c>
      <c r="AU65" s="40" t="s">
        <v>64</v>
      </c>
      <c r="AV65" s="40" t="s">
        <v>64</v>
      </c>
      <c r="AW65" s="40" t="s">
        <v>64</v>
      </c>
      <c r="AX65" s="40" t="s">
        <v>64</v>
      </c>
      <c r="AY65" s="40" t="s">
        <v>64</v>
      </c>
      <c r="AZ65" s="40" t="s">
        <v>64</v>
      </c>
      <c r="BA65" s="40" t="s">
        <v>64</v>
      </c>
      <c r="BB65" s="40" t="s">
        <v>64</v>
      </c>
    </row>
    <row r="66" spans="1:54" x14ac:dyDescent="0.2">
      <c r="A66" s="39" t="s">
        <v>505</v>
      </c>
      <c r="B66" s="39" t="s">
        <v>536</v>
      </c>
      <c r="C66" s="39" t="s">
        <v>505</v>
      </c>
      <c r="D66" s="40" t="s">
        <v>602</v>
      </c>
      <c r="E66" s="40" t="s">
        <v>212</v>
      </c>
      <c r="F66" s="40">
        <v>90</v>
      </c>
      <c r="G66" s="40">
        <v>5</v>
      </c>
      <c r="H66" s="40">
        <v>450</v>
      </c>
      <c r="I66" s="40">
        <v>15</v>
      </c>
      <c r="J66" s="40" t="s">
        <v>64</v>
      </c>
      <c r="K66" s="40" t="s">
        <v>64</v>
      </c>
      <c r="L66" s="40" t="s">
        <v>64</v>
      </c>
      <c r="M66" s="40" t="s">
        <v>64</v>
      </c>
      <c r="N66" s="40" t="s">
        <v>64</v>
      </c>
      <c r="O66" s="40" t="s">
        <v>64</v>
      </c>
      <c r="P66" s="40" t="s">
        <v>64</v>
      </c>
      <c r="Q66" s="40" t="s">
        <v>64</v>
      </c>
      <c r="R66" s="40" t="s">
        <v>64</v>
      </c>
      <c r="S66" s="40" t="s">
        <v>64</v>
      </c>
      <c r="T66" s="40" t="s">
        <v>64</v>
      </c>
      <c r="U66" s="40" t="s">
        <v>64</v>
      </c>
      <c r="V66" s="40" t="s">
        <v>64</v>
      </c>
      <c r="W66" s="40" t="s">
        <v>64</v>
      </c>
      <c r="X66" s="40" t="s">
        <v>64</v>
      </c>
      <c r="Y66" s="40" t="s">
        <v>64</v>
      </c>
      <c r="Z66" s="40" t="s">
        <v>64</v>
      </c>
      <c r="AA66" s="40" t="s">
        <v>64</v>
      </c>
      <c r="AB66" s="40" t="s">
        <v>64</v>
      </c>
      <c r="AC66" s="40" t="s">
        <v>64</v>
      </c>
      <c r="AD66" s="40" t="s">
        <v>64</v>
      </c>
      <c r="AE66" s="40" t="s">
        <v>64</v>
      </c>
      <c r="AF66" s="40" t="s">
        <v>64</v>
      </c>
      <c r="AG66" s="40" t="s">
        <v>64</v>
      </c>
      <c r="AH66" s="40" t="s">
        <v>64</v>
      </c>
      <c r="AI66" s="40" t="s">
        <v>64</v>
      </c>
      <c r="AJ66" s="40" t="s">
        <v>64</v>
      </c>
      <c r="AK66" s="40" t="s">
        <v>64</v>
      </c>
      <c r="AL66" s="40" t="s">
        <v>64</v>
      </c>
      <c r="AM66" s="40" t="s">
        <v>64</v>
      </c>
      <c r="AN66" s="40" t="s">
        <v>64</v>
      </c>
      <c r="AO66" s="40" t="s">
        <v>64</v>
      </c>
      <c r="AP66" s="40" t="s">
        <v>64</v>
      </c>
      <c r="AQ66" s="40" t="s">
        <v>64</v>
      </c>
      <c r="AR66" s="40" t="s">
        <v>64</v>
      </c>
      <c r="AS66" s="40" t="s">
        <v>64</v>
      </c>
      <c r="AT66" s="40" t="s">
        <v>64</v>
      </c>
      <c r="AU66" s="40" t="s">
        <v>64</v>
      </c>
      <c r="AV66" s="40" t="s">
        <v>64</v>
      </c>
      <c r="AW66" s="40" t="s">
        <v>64</v>
      </c>
      <c r="AX66" s="40" t="s">
        <v>64</v>
      </c>
      <c r="AY66" s="40" t="s">
        <v>64</v>
      </c>
      <c r="AZ66" s="40" t="s">
        <v>64</v>
      </c>
      <c r="BA66" s="40" t="s">
        <v>64</v>
      </c>
      <c r="BB66" s="40" t="s">
        <v>64</v>
      </c>
    </row>
    <row r="67" spans="1:54" x14ac:dyDescent="0.2">
      <c r="A67" s="39" t="s">
        <v>506</v>
      </c>
      <c r="B67" s="39" t="s">
        <v>536</v>
      </c>
      <c r="C67" s="39" t="s">
        <v>506</v>
      </c>
      <c r="D67" s="40" t="s">
        <v>603</v>
      </c>
      <c r="E67" s="40" t="s">
        <v>212</v>
      </c>
      <c r="F67" s="40">
        <v>90</v>
      </c>
      <c r="G67" s="40">
        <v>5</v>
      </c>
      <c r="H67" s="40">
        <v>450</v>
      </c>
      <c r="I67" s="40">
        <v>20</v>
      </c>
      <c r="J67" s="40" t="s">
        <v>64</v>
      </c>
      <c r="K67" s="40" t="s">
        <v>64</v>
      </c>
      <c r="L67" s="40" t="s">
        <v>64</v>
      </c>
      <c r="M67" s="40" t="s">
        <v>64</v>
      </c>
      <c r="N67" s="40" t="s">
        <v>64</v>
      </c>
      <c r="O67" s="40" t="s">
        <v>64</v>
      </c>
      <c r="P67" s="40" t="s">
        <v>64</v>
      </c>
      <c r="Q67" s="40" t="s">
        <v>64</v>
      </c>
      <c r="R67" s="40" t="s">
        <v>64</v>
      </c>
      <c r="S67" s="40" t="s">
        <v>64</v>
      </c>
      <c r="T67" s="40" t="s">
        <v>64</v>
      </c>
      <c r="U67" s="40" t="s">
        <v>64</v>
      </c>
      <c r="V67" s="40" t="s">
        <v>64</v>
      </c>
      <c r="W67" s="40" t="s">
        <v>64</v>
      </c>
      <c r="X67" s="40" t="s">
        <v>64</v>
      </c>
      <c r="Y67" s="40" t="s">
        <v>64</v>
      </c>
      <c r="Z67" s="40" t="s">
        <v>64</v>
      </c>
      <c r="AA67" s="40" t="s">
        <v>64</v>
      </c>
      <c r="AB67" s="40" t="s">
        <v>64</v>
      </c>
      <c r="AC67" s="40" t="s">
        <v>64</v>
      </c>
      <c r="AD67" s="40" t="s">
        <v>64</v>
      </c>
      <c r="AE67" s="40" t="s">
        <v>64</v>
      </c>
      <c r="AF67" s="40" t="s">
        <v>64</v>
      </c>
      <c r="AG67" s="40" t="s">
        <v>64</v>
      </c>
      <c r="AH67" s="40" t="s">
        <v>64</v>
      </c>
      <c r="AI67" s="40" t="s">
        <v>64</v>
      </c>
      <c r="AJ67" s="40" t="s">
        <v>64</v>
      </c>
      <c r="AK67" s="40" t="s">
        <v>64</v>
      </c>
      <c r="AL67" s="40" t="s">
        <v>64</v>
      </c>
      <c r="AM67" s="40" t="s">
        <v>64</v>
      </c>
      <c r="AN67" s="40" t="s">
        <v>64</v>
      </c>
      <c r="AO67" s="40" t="s">
        <v>64</v>
      </c>
      <c r="AP67" s="40" t="s">
        <v>64</v>
      </c>
      <c r="AQ67" s="40" t="s">
        <v>64</v>
      </c>
      <c r="AR67" s="40" t="s">
        <v>64</v>
      </c>
      <c r="AS67" s="40" t="s">
        <v>64</v>
      </c>
      <c r="AT67" s="40" t="s">
        <v>64</v>
      </c>
      <c r="AU67" s="40" t="s">
        <v>64</v>
      </c>
      <c r="AV67" s="40" t="s">
        <v>64</v>
      </c>
      <c r="AW67" s="40" t="s">
        <v>64</v>
      </c>
      <c r="AX67" s="40" t="s">
        <v>64</v>
      </c>
      <c r="AY67" s="40" t="s">
        <v>64</v>
      </c>
      <c r="AZ67" s="40" t="s">
        <v>64</v>
      </c>
      <c r="BA67" s="40" t="s">
        <v>64</v>
      </c>
      <c r="BB67" s="40" t="s">
        <v>64</v>
      </c>
    </row>
    <row r="68" spans="1:54" x14ac:dyDescent="0.2">
      <c r="A68" s="39" t="s">
        <v>507</v>
      </c>
      <c r="B68" s="39" t="s">
        <v>536</v>
      </c>
      <c r="C68" s="39" t="s">
        <v>507</v>
      </c>
      <c r="D68" s="40" t="s">
        <v>604</v>
      </c>
      <c r="E68" s="40" t="s">
        <v>212</v>
      </c>
      <c r="F68" s="40">
        <v>90</v>
      </c>
      <c r="G68" s="40">
        <v>5</v>
      </c>
      <c r="H68" s="40">
        <v>450</v>
      </c>
      <c r="I68" s="40">
        <v>15</v>
      </c>
      <c r="J68" s="40" t="s">
        <v>64</v>
      </c>
      <c r="K68" s="40" t="s">
        <v>64</v>
      </c>
      <c r="L68" s="40" t="s">
        <v>64</v>
      </c>
      <c r="M68" s="40" t="s">
        <v>64</v>
      </c>
      <c r="N68" s="40" t="s">
        <v>64</v>
      </c>
      <c r="O68" s="40" t="s">
        <v>64</v>
      </c>
      <c r="P68" s="40" t="s">
        <v>64</v>
      </c>
      <c r="Q68" s="40" t="s">
        <v>64</v>
      </c>
      <c r="R68" s="40" t="s">
        <v>64</v>
      </c>
      <c r="S68" s="40" t="s">
        <v>64</v>
      </c>
      <c r="T68" s="40" t="s">
        <v>64</v>
      </c>
      <c r="U68" s="40" t="s">
        <v>64</v>
      </c>
      <c r="V68" s="40" t="s">
        <v>64</v>
      </c>
      <c r="W68" s="40" t="s">
        <v>64</v>
      </c>
      <c r="X68" s="40" t="s">
        <v>64</v>
      </c>
      <c r="Y68" s="40" t="s">
        <v>64</v>
      </c>
      <c r="Z68" s="40" t="s">
        <v>64</v>
      </c>
      <c r="AA68" s="40" t="s">
        <v>64</v>
      </c>
      <c r="AB68" s="40" t="s">
        <v>64</v>
      </c>
      <c r="AC68" s="40" t="s">
        <v>64</v>
      </c>
      <c r="AD68" s="40" t="s">
        <v>64</v>
      </c>
      <c r="AE68" s="40" t="s">
        <v>64</v>
      </c>
      <c r="AF68" s="40" t="s">
        <v>64</v>
      </c>
      <c r="AG68" s="40" t="s">
        <v>64</v>
      </c>
      <c r="AH68" s="40" t="s">
        <v>64</v>
      </c>
      <c r="AI68" s="40" t="s">
        <v>64</v>
      </c>
      <c r="AJ68" s="40" t="s">
        <v>64</v>
      </c>
      <c r="AK68" s="40" t="s">
        <v>64</v>
      </c>
      <c r="AL68" s="40" t="s">
        <v>64</v>
      </c>
      <c r="AM68" s="40" t="s">
        <v>64</v>
      </c>
      <c r="AN68" s="40" t="s">
        <v>64</v>
      </c>
      <c r="AO68" s="40" t="s">
        <v>64</v>
      </c>
      <c r="AP68" s="40" t="s">
        <v>64</v>
      </c>
      <c r="AQ68" s="40" t="s">
        <v>64</v>
      </c>
      <c r="AR68" s="40" t="s">
        <v>64</v>
      </c>
      <c r="AS68" s="40" t="s">
        <v>64</v>
      </c>
      <c r="AT68" s="40" t="s">
        <v>64</v>
      </c>
      <c r="AU68" s="40" t="s">
        <v>64</v>
      </c>
      <c r="AV68" s="40" t="s">
        <v>64</v>
      </c>
      <c r="AW68" s="40" t="s">
        <v>64</v>
      </c>
      <c r="AX68" s="40" t="s">
        <v>64</v>
      </c>
      <c r="AY68" s="40" t="s">
        <v>64</v>
      </c>
      <c r="AZ68" s="40" t="s">
        <v>64</v>
      </c>
      <c r="BA68" s="40" t="s">
        <v>64</v>
      </c>
      <c r="BB68" s="40" t="s">
        <v>64</v>
      </c>
    </row>
    <row r="69" spans="1:54" x14ac:dyDescent="0.2">
      <c r="A69" s="39" t="s">
        <v>508</v>
      </c>
      <c r="B69" s="39" t="s">
        <v>536</v>
      </c>
      <c r="C69" s="39" t="s">
        <v>508</v>
      </c>
      <c r="D69" s="40" t="s">
        <v>605</v>
      </c>
      <c r="E69" s="40" t="s">
        <v>212</v>
      </c>
      <c r="F69" s="40">
        <v>90</v>
      </c>
      <c r="G69" s="40">
        <v>5</v>
      </c>
      <c r="H69" s="40">
        <v>450</v>
      </c>
      <c r="I69" s="40">
        <v>20</v>
      </c>
      <c r="J69" s="40" t="s">
        <v>64</v>
      </c>
      <c r="K69" s="40" t="s">
        <v>64</v>
      </c>
      <c r="L69" s="40" t="s">
        <v>64</v>
      </c>
      <c r="M69" s="40" t="s">
        <v>64</v>
      </c>
      <c r="N69" s="40" t="s">
        <v>64</v>
      </c>
      <c r="O69" s="40" t="s">
        <v>64</v>
      </c>
      <c r="P69" s="40" t="s">
        <v>64</v>
      </c>
      <c r="Q69" s="40" t="s">
        <v>64</v>
      </c>
      <c r="R69" s="40" t="s">
        <v>64</v>
      </c>
      <c r="S69" s="40" t="s">
        <v>64</v>
      </c>
      <c r="T69" s="40" t="s">
        <v>64</v>
      </c>
      <c r="U69" s="40" t="s">
        <v>64</v>
      </c>
      <c r="V69" s="40" t="s">
        <v>64</v>
      </c>
      <c r="W69" s="40" t="s">
        <v>64</v>
      </c>
      <c r="X69" s="40" t="s">
        <v>64</v>
      </c>
      <c r="Y69" s="40" t="s">
        <v>64</v>
      </c>
      <c r="Z69" s="40" t="s">
        <v>64</v>
      </c>
      <c r="AA69" s="40" t="s">
        <v>64</v>
      </c>
      <c r="AB69" s="40" t="s">
        <v>64</v>
      </c>
      <c r="AC69" s="40" t="s">
        <v>64</v>
      </c>
      <c r="AD69" s="40" t="s">
        <v>64</v>
      </c>
      <c r="AE69" s="40" t="s">
        <v>64</v>
      </c>
      <c r="AF69" s="40" t="s">
        <v>64</v>
      </c>
      <c r="AG69" s="40" t="s">
        <v>64</v>
      </c>
      <c r="AH69" s="40" t="s">
        <v>64</v>
      </c>
      <c r="AI69" s="40" t="s">
        <v>64</v>
      </c>
      <c r="AJ69" s="40" t="s">
        <v>64</v>
      </c>
      <c r="AK69" s="40" t="s">
        <v>64</v>
      </c>
      <c r="AL69" s="40" t="s">
        <v>64</v>
      </c>
      <c r="AM69" s="40" t="s">
        <v>64</v>
      </c>
      <c r="AN69" s="40" t="s">
        <v>64</v>
      </c>
      <c r="AO69" s="40" t="s">
        <v>64</v>
      </c>
      <c r="AP69" s="40" t="s">
        <v>64</v>
      </c>
      <c r="AQ69" s="40" t="s">
        <v>64</v>
      </c>
      <c r="AR69" s="40" t="s">
        <v>64</v>
      </c>
      <c r="AS69" s="40" t="s">
        <v>64</v>
      </c>
      <c r="AT69" s="40" t="s">
        <v>64</v>
      </c>
      <c r="AU69" s="40" t="s">
        <v>64</v>
      </c>
      <c r="AV69" s="40" t="s">
        <v>64</v>
      </c>
      <c r="AW69" s="40" t="s">
        <v>64</v>
      </c>
      <c r="AX69" s="40" t="s">
        <v>64</v>
      </c>
      <c r="AY69" s="40" t="s">
        <v>64</v>
      </c>
      <c r="AZ69" s="40" t="s">
        <v>64</v>
      </c>
      <c r="BA69" s="40" t="s">
        <v>64</v>
      </c>
      <c r="BB69" s="40" t="s">
        <v>64</v>
      </c>
    </row>
    <row r="70" spans="1:54" x14ac:dyDescent="0.2">
      <c r="A70" s="39" t="s">
        <v>509</v>
      </c>
      <c r="B70" s="39" t="s">
        <v>536</v>
      </c>
      <c r="C70" s="39" t="s">
        <v>509</v>
      </c>
      <c r="D70" s="40" t="s">
        <v>606</v>
      </c>
      <c r="E70" s="40" t="s">
        <v>212</v>
      </c>
      <c r="F70" s="40">
        <v>90</v>
      </c>
      <c r="G70" s="40">
        <v>5</v>
      </c>
      <c r="H70" s="40">
        <v>450</v>
      </c>
      <c r="I70" s="40">
        <v>15</v>
      </c>
      <c r="J70" s="40" t="s">
        <v>64</v>
      </c>
      <c r="K70" s="40" t="s">
        <v>64</v>
      </c>
      <c r="L70" s="40" t="s">
        <v>64</v>
      </c>
      <c r="M70" s="40" t="s">
        <v>64</v>
      </c>
      <c r="N70" s="40" t="s">
        <v>64</v>
      </c>
      <c r="O70" s="40" t="s">
        <v>64</v>
      </c>
      <c r="P70" s="40" t="s">
        <v>64</v>
      </c>
      <c r="Q70" s="40" t="s">
        <v>64</v>
      </c>
      <c r="R70" s="40" t="s">
        <v>64</v>
      </c>
      <c r="S70" s="40" t="s">
        <v>64</v>
      </c>
      <c r="T70" s="40" t="s">
        <v>64</v>
      </c>
      <c r="U70" s="40" t="s">
        <v>64</v>
      </c>
      <c r="V70" s="40" t="s">
        <v>64</v>
      </c>
      <c r="W70" s="40" t="s">
        <v>64</v>
      </c>
      <c r="X70" s="40" t="s">
        <v>64</v>
      </c>
      <c r="Y70" s="40" t="s">
        <v>64</v>
      </c>
      <c r="Z70" s="40" t="s">
        <v>64</v>
      </c>
      <c r="AA70" s="40" t="s">
        <v>64</v>
      </c>
      <c r="AB70" s="40" t="s">
        <v>64</v>
      </c>
      <c r="AC70" s="40" t="s">
        <v>64</v>
      </c>
      <c r="AD70" s="40" t="s">
        <v>64</v>
      </c>
      <c r="AE70" s="40" t="s">
        <v>64</v>
      </c>
      <c r="AF70" s="40" t="s">
        <v>64</v>
      </c>
      <c r="AG70" s="40" t="s">
        <v>64</v>
      </c>
      <c r="AH70" s="40" t="s">
        <v>64</v>
      </c>
      <c r="AI70" s="40" t="s">
        <v>64</v>
      </c>
      <c r="AJ70" s="40" t="s">
        <v>64</v>
      </c>
      <c r="AK70" s="40" t="s">
        <v>64</v>
      </c>
      <c r="AL70" s="40" t="s">
        <v>64</v>
      </c>
      <c r="AM70" s="40" t="s">
        <v>64</v>
      </c>
      <c r="AN70" s="40" t="s">
        <v>64</v>
      </c>
      <c r="AO70" s="40" t="s">
        <v>64</v>
      </c>
      <c r="AP70" s="40" t="s">
        <v>64</v>
      </c>
      <c r="AQ70" s="40" t="s">
        <v>64</v>
      </c>
      <c r="AR70" s="40" t="s">
        <v>64</v>
      </c>
      <c r="AS70" s="40" t="s">
        <v>64</v>
      </c>
      <c r="AT70" s="40" t="s">
        <v>64</v>
      </c>
      <c r="AU70" s="40" t="s">
        <v>64</v>
      </c>
      <c r="AV70" s="40" t="s">
        <v>64</v>
      </c>
      <c r="AW70" s="40" t="s">
        <v>64</v>
      </c>
      <c r="AX70" s="40" t="s">
        <v>64</v>
      </c>
      <c r="AY70" s="40" t="s">
        <v>64</v>
      </c>
      <c r="AZ70" s="40" t="s">
        <v>64</v>
      </c>
      <c r="BA70" s="40" t="s">
        <v>64</v>
      </c>
      <c r="BB70" s="40" t="s">
        <v>64</v>
      </c>
    </row>
    <row r="71" spans="1:54" x14ac:dyDescent="0.2">
      <c r="A71" s="39" t="s">
        <v>510</v>
      </c>
      <c r="B71" s="39" t="s">
        <v>536</v>
      </c>
      <c r="C71" s="39" t="s">
        <v>510</v>
      </c>
      <c r="D71" s="40" t="s">
        <v>607</v>
      </c>
      <c r="E71" s="40" t="s">
        <v>212</v>
      </c>
      <c r="F71" s="40">
        <v>90</v>
      </c>
      <c r="G71" s="40">
        <v>5</v>
      </c>
      <c r="H71" s="40">
        <v>450</v>
      </c>
      <c r="I71" s="40">
        <v>15</v>
      </c>
      <c r="J71" s="40" t="s">
        <v>64</v>
      </c>
      <c r="K71" s="40" t="s">
        <v>64</v>
      </c>
      <c r="L71" s="40" t="s">
        <v>64</v>
      </c>
      <c r="M71" s="40" t="s">
        <v>64</v>
      </c>
      <c r="N71" s="40" t="s">
        <v>64</v>
      </c>
      <c r="O71" s="40" t="s">
        <v>64</v>
      </c>
      <c r="P71" s="40" t="s">
        <v>64</v>
      </c>
      <c r="Q71" s="40" t="s">
        <v>64</v>
      </c>
      <c r="R71" s="40" t="s">
        <v>64</v>
      </c>
      <c r="S71" s="40" t="s">
        <v>64</v>
      </c>
      <c r="T71" s="40" t="s">
        <v>64</v>
      </c>
      <c r="U71" s="40" t="s">
        <v>64</v>
      </c>
      <c r="V71" s="40" t="s">
        <v>64</v>
      </c>
      <c r="W71" s="40" t="s">
        <v>64</v>
      </c>
      <c r="X71" s="40" t="s">
        <v>64</v>
      </c>
      <c r="Y71" s="40" t="s">
        <v>64</v>
      </c>
      <c r="Z71" s="40" t="s">
        <v>64</v>
      </c>
      <c r="AA71" s="40" t="s">
        <v>64</v>
      </c>
      <c r="AB71" s="40" t="s">
        <v>64</v>
      </c>
      <c r="AC71" s="40" t="s">
        <v>64</v>
      </c>
      <c r="AD71" s="40" t="s">
        <v>64</v>
      </c>
      <c r="AE71" s="40" t="s">
        <v>64</v>
      </c>
      <c r="AF71" s="40" t="s">
        <v>64</v>
      </c>
      <c r="AG71" s="40" t="s">
        <v>64</v>
      </c>
      <c r="AH71" s="40" t="s">
        <v>64</v>
      </c>
      <c r="AI71" s="40" t="s">
        <v>64</v>
      </c>
      <c r="AJ71" s="40" t="s">
        <v>64</v>
      </c>
      <c r="AK71" s="40" t="s">
        <v>64</v>
      </c>
      <c r="AL71" s="40" t="s">
        <v>64</v>
      </c>
      <c r="AM71" s="40" t="s">
        <v>64</v>
      </c>
      <c r="AN71" s="40" t="s">
        <v>64</v>
      </c>
      <c r="AO71" s="40" t="s">
        <v>64</v>
      </c>
      <c r="AP71" s="40" t="s">
        <v>64</v>
      </c>
      <c r="AQ71" s="40" t="s">
        <v>64</v>
      </c>
      <c r="AR71" s="40" t="s">
        <v>64</v>
      </c>
      <c r="AS71" s="40" t="s">
        <v>64</v>
      </c>
      <c r="AT71" s="40" t="s">
        <v>64</v>
      </c>
      <c r="AU71" s="40" t="s">
        <v>64</v>
      </c>
      <c r="AV71" s="40" t="s">
        <v>64</v>
      </c>
      <c r="AW71" s="40" t="s">
        <v>64</v>
      </c>
      <c r="AX71" s="40" t="s">
        <v>64</v>
      </c>
      <c r="AY71" s="40" t="s">
        <v>64</v>
      </c>
      <c r="AZ71" s="40" t="s">
        <v>64</v>
      </c>
      <c r="BA71" s="40" t="s">
        <v>64</v>
      </c>
      <c r="BB71" s="40" t="s">
        <v>64</v>
      </c>
    </row>
    <row r="72" spans="1:54" x14ac:dyDescent="0.2">
      <c r="A72" s="39" t="s">
        <v>511</v>
      </c>
      <c r="B72" s="39" t="s">
        <v>536</v>
      </c>
      <c r="C72" s="39" t="s">
        <v>511</v>
      </c>
      <c r="D72" s="40" t="s">
        <v>608</v>
      </c>
      <c r="E72" s="40" t="s">
        <v>212</v>
      </c>
      <c r="F72" s="40">
        <v>90</v>
      </c>
      <c r="G72" s="40">
        <v>5</v>
      </c>
      <c r="H72" s="40">
        <v>450</v>
      </c>
      <c r="I72" s="40">
        <v>20</v>
      </c>
      <c r="J72" s="40" t="s">
        <v>64</v>
      </c>
      <c r="K72" s="40" t="s">
        <v>64</v>
      </c>
      <c r="L72" s="40" t="s">
        <v>64</v>
      </c>
      <c r="M72" s="40" t="s">
        <v>64</v>
      </c>
      <c r="N72" s="40" t="s">
        <v>64</v>
      </c>
      <c r="O72" s="40" t="s">
        <v>64</v>
      </c>
      <c r="P72" s="40" t="s">
        <v>64</v>
      </c>
      <c r="Q72" s="40" t="s">
        <v>64</v>
      </c>
      <c r="R72" s="40" t="s">
        <v>64</v>
      </c>
      <c r="S72" s="40" t="s">
        <v>64</v>
      </c>
      <c r="T72" s="40" t="s">
        <v>64</v>
      </c>
      <c r="U72" s="40" t="s">
        <v>64</v>
      </c>
      <c r="V72" s="40" t="s">
        <v>64</v>
      </c>
      <c r="W72" s="40" t="s">
        <v>64</v>
      </c>
      <c r="X72" s="40" t="s">
        <v>64</v>
      </c>
      <c r="Y72" s="40" t="s">
        <v>64</v>
      </c>
      <c r="Z72" s="40" t="s">
        <v>64</v>
      </c>
      <c r="AA72" s="40" t="s">
        <v>64</v>
      </c>
      <c r="AB72" s="40" t="s">
        <v>64</v>
      </c>
      <c r="AC72" s="40" t="s">
        <v>64</v>
      </c>
      <c r="AD72" s="40" t="s">
        <v>64</v>
      </c>
      <c r="AE72" s="40" t="s">
        <v>64</v>
      </c>
      <c r="AF72" s="40" t="s">
        <v>64</v>
      </c>
      <c r="AG72" s="40" t="s">
        <v>64</v>
      </c>
      <c r="AH72" s="40" t="s">
        <v>64</v>
      </c>
      <c r="AI72" s="40" t="s">
        <v>64</v>
      </c>
      <c r="AJ72" s="40" t="s">
        <v>64</v>
      </c>
      <c r="AK72" s="40" t="s">
        <v>64</v>
      </c>
      <c r="AL72" s="40" t="s">
        <v>64</v>
      </c>
      <c r="AM72" s="40" t="s">
        <v>64</v>
      </c>
      <c r="AN72" s="40" t="s">
        <v>64</v>
      </c>
      <c r="AO72" s="40" t="s">
        <v>64</v>
      </c>
      <c r="AP72" s="40" t="s">
        <v>64</v>
      </c>
      <c r="AQ72" s="40" t="s">
        <v>64</v>
      </c>
      <c r="AR72" s="40" t="s">
        <v>64</v>
      </c>
      <c r="AS72" s="40" t="s">
        <v>64</v>
      </c>
      <c r="AT72" s="40" t="s">
        <v>64</v>
      </c>
      <c r="AU72" s="40" t="s">
        <v>64</v>
      </c>
      <c r="AV72" s="40" t="s">
        <v>64</v>
      </c>
      <c r="AW72" s="40" t="s">
        <v>64</v>
      </c>
      <c r="AX72" s="40" t="s">
        <v>64</v>
      </c>
      <c r="AY72" s="40" t="s">
        <v>64</v>
      </c>
      <c r="AZ72" s="40" t="s">
        <v>64</v>
      </c>
      <c r="BA72" s="40" t="s">
        <v>64</v>
      </c>
      <c r="BB72" s="40" t="s">
        <v>64</v>
      </c>
    </row>
    <row r="73" spans="1:54" x14ac:dyDescent="0.2">
      <c r="A73" s="39" t="s">
        <v>512</v>
      </c>
      <c r="B73" s="39" t="s">
        <v>536</v>
      </c>
      <c r="C73" s="39" t="s">
        <v>512</v>
      </c>
      <c r="D73" s="40" t="s">
        <v>609</v>
      </c>
      <c r="E73" s="40" t="s">
        <v>212</v>
      </c>
      <c r="F73" s="40">
        <v>90</v>
      </c>
      <c r="G73" s="40">
        <v>5</v>
      </c>
      <c r="H73" s="40">
        <v>450</v>
      </c>
      <c r="I73" s="40">
        <v>15</v>
      </c>
      <c r="J73" s="40" t="s">
        <v>64</v>
      </c>
      <c r="K73" s="40" t="s">
        <v>64</v>
      </c>
      <c r="L73" s="40" t="s">
        <v>64</v>
      </c>
      <c r="M73" s="40" t="s">
        <v>64</v>
      </c>
      <c r="N73" s="40" t="s">
        <v>64</v>
      </c>
      <c r="O73" s="40" t="s">
        <v>64</v>
      </c>
      <c r="P73" s="40" t="s">
        <v>64</v>
      </c>
      <c r="Q73" s="40" t="s">
        <v>64</v>
      </c>
      <c r="R73" s="40" t="s">
        <v>64</v>
      </c>
      <c r="S73" s="40" t="s">
        <v>64</v>
      </c>
      <c r="T73" s="40" t="s">
        <v>64</v>
      </c>
      <c r="U73" s="40" t="s">
        <v>64</v>
      </c>
      <c r="V73" s="40" t="s">
        <v>64</v>
      </c>
      <c r="W73" s="40" t="s">
        <v>64</v>
      </c>
      <c r="X73" s="40" t="s">
        <v>64</v>
      </c>
      <c r="Y73" s="40" t="s">
        <v>64</v>
      </c>
      <c r="Z73" s="40" t="s">
        <v>64</v>
      </c>
      <c r="AA73" s="40" t="s">
        <v>64</v>
      </c>
      <c r="AB73" s="40" t="s">
        <v>64</v>
      </c>
      <c r="AC73" s="40" t="s">
        <v>64</v>
      </c>
      <c r="AD73" s="40" t="s">
        <v>64</v>
      </c>
      <c r="AE73" s="40" t="s">
        <v>64</v>
      </c>
      <c r="AF73" s="40" t="s">
        <v>64</v>
      </c>
      <c r="AG73" s="40" t="s">
        <v>64</v>
      </c>
      <c r="AH73" s="40" t="s">
        <v>64</v>
      </c>
      <c r="AI73" s="40" t="s">
        <v>64</v>
      </c>
      <c r="AJ73" s="40" t="s">
        <v>64</v>
      </c>
      <c r="AK73" s="40" t="s">
        <v>64</v>
      </c>
      <c r="AL73" s="40" t="s">
        <v>64</v>
      </c>
      <c r="AM73" s="40" t="s">
        <v>64</v>
      </c>
      <c r="AN73" s="40" t="s">
        <v>64</v>
      </c>
      <c r="AO73" s="40" t="s">
        <v>64</v>
      </c>
      <c r="AP73" s="40" t="s">
        <v>64</v>
      </c>
      <c r="AQ73" s="40" t="s">
        <v>64</v>
      </c>
      <c r="AR73" s="40" t="s">
        <v>64</v>
      </c>
      <c r="AS73" s="40" t="s">
        <v>64</v>
      </c>
      <c r="AT73" s="40" t="s">
        <v>64</v>
      </c>
      <c r="AU73" s="40" t="s">
        <v>64</v>
      </c>
      <c r="AV73" s="40" t="s">
        <v>64</v>
      </c>
      <c r="AW73" s="40" t="s">
        <v>64</v>
      </c>
      <c r="AX73" s="40" t="s">
        <v>64</v>
      </c>
      <c r="AY73" s="40" t="s">
        <v>64</v>
      </c>
      <c r="AZ73" s="40" t="s">
        <v>64</v>
      </c>
      <c r="BA73" s="40" t="s">
        <v>64</v>
      </c>
      <c r="BB73" s="40" t="s">
        <v>64</v>
      </c>
    </row>
    <row r="74" spans="1:54" x14ac:dyDescent="0.2">
      <c r="A74" s="39" t="s">
        <v>513</v>
      </c>
      <c r="B74" s="39" t="s">
        <v>536</v>
      </c>
      <c r="C74" s="39" t="s">
        <v>513</v>
      </c>
      <c r="D74" s="40" t="s">
        <v>610</v>
      </c>
      <c r="E74" s="40" t="s">
        <v>212</v>
      </c>
      <c r="F74" s="40">
        <v>90</v>
      </c>
      <c r="G74" s="40">
        <v>5</v>
      </c>
      <c r="H74" s="40">
        <v>450</v>
      </c>
      <c r="I74" s="40">
        <v>15</v>
      </c>
      <c r="J74" s="40" t="s">
        <v>64</v>
      </c>
      <c r="K74" s="40" t="s">
        <v>64</v>
      </c>
      <c r="L74" s="40" t="s">
        <v>64</v>
      </c>
      <c r="M74" s="40" t="s">
        <v>64</v>
      </c>
      <c r="N74" s="40" t="s">
        <v>64</v>
      </c>
      <c r="O74" s="40" t="s">
        <v>64</v>
      </c>
      <c r="P74" s="40" t="s">
        <v>64</v>
      </c>
      <c r="Q74" s="40" t="s">
        <v>64</v>
      </c>
      <c r="R74" s="40" t="s">
        <v>64</v>
      </c>
      <c r="S74" s="40" t="s">
        <v>64</v>
      </c>
      <c r="T74" s="40" t="s">
        <v>64</v>
      </c>
      <c r="U74" s="40" t="s">
        <v>64</v>
      </c>
      <c r="V74" s="40" t="s">
        <v>64</v>
      </c>
      <c r="W74" s="40" t="s">
        <v>64</v>
      </c>
      <c r="X74" s="40" t="s">
        <v>64</v>
      </c>
      <c r="Y74" s="40" t="s">
        <v>64</v>
      </c>
      <c r="Z74" s="40" t="s">
        <v>64</v>
      </c>
      <c r="AA74" s="40" t="s">
        <v>64</v>
      </c>
      <c r="AB74" s="40" t="s">
        <v>64</v>
      </c>
      <c r="AC74" s="40" t="s">
        <v>64</v>
      </c>
      <c r="AD74" s="40" t="s">
        <v>64</v>
      </c>
      <c r="AE74" s="40" t="s">
        <v>64</v>
      </c>
      <c r="AF74" s="40" t="s">
        <v>64</v>
      </c>
      <c r="AG74" s="40" t="s">
        <v>64</v>
      </c>
      <c r="AH74" s="40" t="s">
        <v>64</v>
      </c>
      <c r="AI74" s="40" t="s">
        <v>64</v>
      </c>
      <c r="AJ74" s="40" t="s">
        <v>64</v>
      </c>
      <c r="AK74" s="40" t="s">
        <v>64</v>
      </c>
      <c r="AL74" s="40" t="s">
        <v>64</v>
      </c>
      <c r="AM74" s="40" t="s">
        <v>64</v>
      </c>
      <c r="AN74" s="40" t="s">
        <v>64</v>
      </c>
      <c r="AO74" s="40" t="s">
        <v>64</v>
      </c>
      <c r="AP74" s="40" t="s">
        <v>64</v>
      </c>
      <c r="AQ74" s="40" t="s">
        <v>64</v>
      </c>
      <c r="AR74" s="40" t="s">
        <v>64</v>
      </c>
      <c r="AS74" s="40" t="s">
        <v>64</v>
      </c>
      <c r="AT74" s="40" t="s">
        <v>64</v>
      </c>
      <c r="AU74" s="40" t="s">
        <v>64</v>
      </c>
      <c r="AV74" s="40" t="s">
        <v>64</v>
      </c>
      <c r="AW74" s="40" t="s">
        <v>64</v>
      </c>
      <c r="AX74" s="40" t="s">
        <v>64</v>
      </c>
      <c r="AY74" s="40" t="s">
        <v>64</v>
      </c>
      <c r="AZ74" s="40" t="s">
        <v>64</v>
      </c>
      <c r="BA74" s="40" t="s">
        <v>64</v>
      </c>
      <c r="BB74" s="40" t="s">
        <v>64</v>
      </c>
    </row>
    <row r="75" spans="1:54" x14ac:dyDescent="0.2">
      <c r="A75" s="39" t="s">
        <v>514</v>
      </c>
      <c r="B75" s="39" t="s">
        <v>536</v>
      </c>
      <c r="C75" s="39" t="s">
        <v>514</v>
      </c>
      <c r="D75" s="40" t="s">
        <v>611</v>
      </c>
      <c r="E75" s="40" t="s">
        <v>212</v>
      </c>
      <c r="F75" s="40">
        <v>90</v>
      </c>
      <c r="G75" s="40">
        <v>5</v>
      </c>
      <c r="H75" s="40">
        <v>450</v>
      </c>
      <c r="I75" s="40">
        <v>15</v>
      </c>
      <c r="J75" s="40" t="s">
        <v>64</v>
      </c>
      <c r="K75" s="40" t="s">
        <v>64</v>
      </c>
      <c r="L75" s="40" t="s">
        <v>64</v>
      </c>
      <c r="M75" s="40" t="s">
        <v>64</v>
      </c>
      <c r="N75" s="40" t="s">
        <v>64</v>
      </c>
      <c r="O75" s="40" t="s">
        <v>64</v>
      </c>
      <c r="P75" s="40" t="s">
        <v>64</v>
      </c>
      <c r="Q75" s="40" t="s">
        <v>64</v>
      </c>
      <c r="R75" s="40" t="s">
        <v>64</v>
      </c>
      <c r="S75" s="40" t="s">
        <v>64</v>
      </c>
      <c r="T75" s="40" t="s">
        <v>64</v>
      </c>
      <c r="U75" s="40" t="s">
        <v>64</v>
      </c>
      <c r="V75" s="40" t="s">
        <v>64</v>
      </c>
      <c r="W75" s="40" t="s">
        <v>64</v>
      </c>
      <c r="X75" s="40" t="s">
        <v>64</v>
      </c>
      <c r="Y75" s="40" t="s">
        <v>64</v>
      </c>
      <c r="Z75" s="40" t="s">
        <v>64</v>
      </c>
      <c r="AA75" s="40" t="s">
        <v>64</v>
      </c>
      <c r="AB75" s="40" t="s">
        <v>64</v>
      </c>
      <c r="AC75" s="40" t="s">
        <v>64</v>
      </c>
      <c r="AD75" s="40" t="s">
        <v>64</v>
      </c>
      <c r="AE75" s="40" t="s">
        <v>64</v>
      </c>
      <c r="AF75" s="40" t="s">
        <v>64</v>
      </c>
      <c r="AG75" s="40" t="s">
        <v>64</v>
      </c>
      <c r="AH75" s="40" t="s">
        <v>64</v>
      </c>
      <c r="AI75" s="40" t="s">
        <v>64</v>
      </c>
      <c r="AJ75" s="40" t="s">
        <v>64</v>
      </c>
      <c r="AK75" s="40" t="s">
        <v>64</v>
      </c>
      <c r="AL75" s="40" t="s">
        <v>64</v>
      </c>
      <c r="AM75" s="40" t="s">
        <v>64</v>
      </c>
      <c r="AN75" s="40" t="s">
        <v>64</v>
      </c>
      <c r="AO75" s="40" t="s">
        <v>64</v>
      </c>
      <c r="AP75" s="40" t="s">
        <v>64</v>
      </c>
      <c r="AQ75" s="40" t="s">
        <v>64</v>
      </c>
      <c r="AR75" s="40" t="s">
        <v>64</v>
      </c>
      <c r="AS75" s="40" t="s">
        <v>64</v>
      </c>
      <c r="AT75" s="40" t="s">
        <v>64</v>
      </c>
      <c r="AU75" s="40" t="s">
        <v>64</v>
      </c>
      <c r="AV75" s="40" t="s">
        <v>64</v>
      </c>
      <c r="AW75" s="40" t="s">
        <v>64</v>
      </c>
      <c r="AX75" s="40" t="s">
        <v>64</v>
      </c>
      <c r="AY75" s="40" t="s">
        <v>64</v>
      </c>
      <c r="AZ75" s="40" t="s">
        <v>64</v>
      </c>
      <c r="BA75" s="40" t="s">
        <v>64</v>
      </c>
      <c r="BB75" s="40" t="s">
        <v>64</v>
      </c>
    </row>
    <row r="76" spans="1:54" x14ac:dyDescent="0.2">
      <c r="A76" s="39" t="s">
        <v>515</v>
      </c>
      <c r="B76" s="39" t="s">
        <v>536</v>
      </c>
      <c r="C76" s="39" t="s">
        <v>515</v>
      </c>
      <c r="D76" s="40" t="s">
        <v>612</v>
      </c>
      <c r="E76" s="40" t="s">
        <v>212</v>
      </c>
      <c r="F76" s="40">
        <v>90</v>
      </c>
      <c r="G76" s="40">
        <v>5</v>
      </c>
      <c r="H76" s="40">
        <v>450</v>
      </c>
      <c r="I76" s="40">
        <v>20</v>
      </c>
      <c r="J76" s="40" t="s">
        <v>64</v>
      </c>
      <c r="K76" s="40" t="s">
        <v>64</v>
      </c>
      <c r="L76" s="40" t="s">
        <v>64</v>
      </c>
      <c r="M76" s="40" t="s">
        <v>64</v>
      </c>
      <c r="N76" s="40" t="s">
        <v>64</v>
      </c>
      <c r="O76" s="40" t="s">
        <v>64</v>
      </c>
      <c r="P76" s="40" t="s">
        <v>64</v>
      </c>
      <c r="Q76" s="40" t="s">
        <v>64</v>
      </c>
      <c r="R76" s="40" t="s">
        <v>64</v>
      </c>
      <c r="S76" s="40" t="s">
        <v>64</v>
      </c>
      <c r="T76" s="40" t="s">
        <v>64</v>
      </c>
      <c r="U76" s="40" t="s">
        <v>64</v>
      </c>
      <c r="V76" s="40" t="s">
        <v>64</v>
      </c>
      <c r="W76" s="40" t="s">
        <v>64</v>
      </c>
      <c r="X76" s="40" t="s">
        <v>64</v>
      </c>
      <c r="Y76" s="40" t="s">
        <v>64</v>
      </c>
      <c r="Z76" s="40" t="s">
        <v>64</v>
      </c>
      <c r="AA76" s="40" t="s">
        <v>64</v>
      </c>
      <c r="AB76" s="40" t="s">
        <v>64</v>
      </c>
      <c r="AC76" s="40" t="s">
        <v>64</v>
      </c>
      <c r="AD76" s="40" t="s">
        <v>64</v>
      </c>
      <c r="AE76" s="40" t="s">
        <v>64</v>
      </c>
      <c r="AF76" s="40" t="s">
        <v>64</v>
      </c>
      <c r="AG76" s="40" t="s">
        <v>64</v>
      </c>
      <c r="AH76" s="40" t="s">
        <v>64</v>
      </c>
      <c r="AI76" s="40" t="s">
        <v>64</v>
      </c>
      <c r="AJ76" s="40" t="s">
        <v>64</v>
      </c>
      <c r="AK76" s="40" t="s">
        <v>64</v>
      </c>
      <c r="AL76" s="40" t="s">
        <v>64</v>
      </c>
      <c r="AM76" s="40" t="s">
        <v>64</v>
      </c>
      <c r="AN76" s="40" t="s">
        <v>64</v>
      </c>
      <c r="AO76" s="40" t="s">
        <v>64</v>
      </c>
      <c r="AP76" s="40" t="s">
        <v>64</v>
      </c>
      <c r="AQ76" s="40" t="s">
        <v>64</v>
      </c>
      <c r="AR76" s="40" t="s">
        <v>64</v>
      </c>
      <c r="AS76" s="40" t="s">
        <v>64</v>
      </c>
      <c r="AT76" s="40" t="s">
        <v>64</v>
      </c>
      <c r="AU76" s="40" t="s">
        <v>64</v>
      </c>
      <c r="AV76" s="40" t="s">
        <v>64</v>
      </c>
      <c r="AW76" s="40" t="s">
        <v>64</v>
      </c>
      <c r="AX76" s="40" t="s">
        <v>64</v>
      </c>
      <c r="AY76" s="40" t="s">
        <v>64</v>
      </c>
      <c r="AZ76" s="40" t="s">
        <v>64</v>
      </c>
      <c r="BA76" s="40" t="s">
        <v>64</v>
      </c>
      <c r="BB76" s="40" t="s">
        <v>64</v>
      </c>
    </row>
    <row r="77" spans="1:54" x14ac:dyDescent="0.2">
      <c r="A77" s="39" t="s">
        <v>516</v>
      </c>
      <c r="B77" s="39" t="s">
        <v>536</v>
      </c>
      <c r="C77" s="39" t="s">
        <v>516</v>
      </c>
      <c r="D77" s="40" t="s">
        <v>613</v>
      </c>
      <c r="E77" s="40" t="s">
        <v>212</v>
      </c>
      <c r="F77" s="40">
        <v>90</v>
      </c>
      <c r="G77" s="40">
        <v>5</v>
      </c>
      <c r="H77" s="40">
        <v>450</v>
      </c>
      <c r="I77" s="40">
        <v>15</v>
      </c>
      <c r="J77" s="40" t="s">
        <v>64</v>
      </c>
      <c r="K77" s="40" t="s">
        <v>64</v>
      </c>
      <c r="L77" s="40" t="s">
        <v>64</v>
      </c>
      <c r="M77" s="40" t="s">
        <v>64</v>
      </c>
      <c r="N77" s="40" t="s">
        <v>64</v>
      </c>
      <c r="O77" s="40" t="s">
        <v>64</v>
      </c>
      <c r="P77" s="40" t="s">
        <v>64</v>
      </c>
      <c r="Q77" s="40" t="s">
        <v>64</v>
      </c>
      <c r="R77" s="40" t="s">
        <v>64</v>
      </c>
      <c r="S77" s="40" t="s">
        <v>64</v>
      </c>
      <c r="T77" s="40" t="s">
        <v>64</v>
      </c>
      <c r="U77" s="40" t="s">
        <v>64</v>
      </c>
      <c r="V77" s="40" t="s">
        <v>64</v>
      </c>
      <c r="W77" s="40" t="s">
        <v>64</v>
      </c>
      <c r="X77" s="40" t="s">
        <v>64</v>
      </c>
      <c r="Y77" s="40" t="s">
        <v>64</v>
      </c>
      <c r="Z77" s="40" t="s">
        <v>64</v>
      </c>
      <c r="AA77" s="40" t="s">
        <v>64</v>
      </c>
      <c r="AB77" s="40" t="s">
        <v>64</v>
      </c>
      <c r="AC77" s="40" t="s">
        <v>64</v>
      </c>
      <c r="AD77" s="40" t="s">
        <v>64</v>
      </c>
      <c r="AE77" s="40" t="s">
        <v>64</v>
      </c>
      <c r="AF77" s="40" t="s">
        <v>64</v>
      </c>
      <c r="AG77" s="40" t="s">
        <v>64</v>
      </c>
      <c r="AH77" s="40" t="s">
        <v>64</v>
      </c>
      <c r="AI77" s="40" t="s">
        <v>64</v>
      </c>
      <c r="AJ77" s="40" t="s">
        <v>64</v>
      </c>
      <c r="AK77" s="40" t="s">
        <v>64</v>
      </c>
      <c r="AL77" s="40" t="s">
        <v>64</v>
      </c>
      <c r="AM77" s="40" t="s">
        <v>64</v>
      </c>
      <c r="AN77" s="40" t="s">
        <v>64</v>
      </c>
      <c r="AO77" s="40" t="s">
        <v>64</v>
      </c>
      <c r="AP77" s="40" t="s">
        <v>64</v>
      </c>
      <c r="AQ77" s="40" t="s">
        <v>64</v>
      </c>
      <c r="AR77" s="40" t="s">
        <v>64</v>
      </c>
      <c r="AS77" s="40" t="s">
        <v>64</v>
      </c>
      <c r="AT77" s="40" t="s">
        <v>64</v>
      </c>
      <c r="AU77" s="40" t="s">
        <v>64</v>
      </c>
      <c r="AV77" s="40" t="s">
        <v>64</v>
      </c>
      <c r="AW77" s="40" t="s">
        <v>64</v>
      </c>
      <c r="AX77" s="40" t="s">
        <v>64</v>
      </c>
      <c r="AY77" s="40" t="s">
        <v>64</v>
      </c>
      <c r="AZ77" s="40" t="s">
        <v>64</v>
      </c>
      <c r="BA77" s="40" t="s">
        <v>64</v>
      </c>
      <c r="BB77" s="40" t="s">
        <v>64</v>
      </c>
    </row>
    <row r="78" spans="1:54" x14ac:dyDescent="0.2">
      <c r="A78" s="39" t="s">
        <v>517</v>
      </c>
      <c r="B78" s="39" t="s">
        <v>536</v>
      </c>
      <c r="C78" s="39" t="s">
        <v>517</v>
      </c>
      <c r="D78" s="40" t="s">
        <v>614</v>
      </c>
      <c r="E78" s="40" t="s">
        <v>212</v>
      </c>
      <c r="F78" s="40">
        <v>90</v>
      </c>
      <c r="G78" s="40">
        <v>5</v>
      </c>
      <c r="H78" s="40">
        <v>450</v>
      </c>
      <c r="I78" s="40">
        <v>15</v>
      </c>
      <c r="J78" s="40" t="s">
        <v>64</v>
      </c>
      <c r="K78" s="40" t="s">
        <v>64</v>
      </c>
      <c r="L78" s="40" t="s">
        <v>64</v>
      </c>
      <c r="M78" s="40" t="s">
        <v>64</v>
      </c>
      <c r="N78" s="40" t="s">
        <v>64</v>
      </c>
      <c r="O78" s="40" t="s">
        <v>64</v>
      </c>
      <c r="P78" s="40" t="s">
        <v>64</v>
      </c>
      <c r="Q78" s="40" t="s">
        <v>64</v>
      </c>
      <c r="R78" s="40" t="s">
        <v>64</v>
      </c>
      <c r="S78" s="40" t="s">
        <v>64</v>
      </c>
      <c r="T78" s="40" t="s">
        <v>64</v>
      </c>
      <c r="U78" s="40" t="s">
        <v>64</v>
      </c>
      <c r="V78" s="40" t="s">
        <v>64</v>
      </c>
      <c r="W78" s="40" t="s">
        <v>64</v>
      </c>
      <c r="X78" s="40" t="s">
        <v>64</v>
      </c>
      <c r="Y78" s="40" t="s">
        <v>64</v>
      </c>
      <c r="Z78" s="40" t="s">
        <v>64</v>
      </c>
      <c r="AA78" s="40" t="s">
        <v>64</v>
      </c>
      <c r="AB78" s="40" t="s">
        <v>64</v>
      </c>
      <c r="AC78" s="40" t="s">
        <v>64</v>
      </c>
      <c r="AD78" s="40" t="s">
        <v>64</v>
      </c>
      <c r="AE78" s="40" t="s">
        <v>64</v>
      </c>
      <c r="AF78" s="40" t="s">
        <v>64</v>
      </c>
      <c r="AG78" s="40" t="s">
        <v>64</v>
      </c>
      <c r="AH78" s="40" t="s">
        <v>64</v>
      </c>
      <c r="AI78" s="40" t="s">
        <v>64</v>
      </c>
      <c r="AJ78" s="40" t="s">
        <v>64</v>
      </c>
      <c r="AK78" s="40" t="s">
        <v>64</v>
      </c>
      <c r="AL78" s="40" t="s">
        <v>64</v>
      </c>
      <c r="AM78" s="40" t="s">
        <v>64</v>
      </c>
      <c r="AN78" s="40" t="s">
        <v>64</v>
      </c>
      <c r="AO78" s="40" t="s">
        <v>64</v>
      </c>
      <c r="AP78" s="40" t="s">
        <v>64</v>
      </c>
      <c r="AQ78" s="40" t="s">
        <v>64</v>
      </c>
      <c r="AR78" s="40" t="s">
        <v>64</v>
      </c>
      <c r="AS78" s="40" t="s">
        <v>64</v>
      </c>
      <c r="AT78" s="40" t="s">
        <v>64</v>
      </c>
      <c r="AU78" s="40" t="s">
        <v>64</v>
      </c>
      <c r="AV78" s="40" t="s">
        <v>64</v>
      </c>
      <c r="AW78" s="40" t="s">
        <v>64</v>
      </c>
      <c r="AX78" s="40" t="s">
        <v>64</v>
      </c>
      <c r="AY78" s="40" t="s">
        <v>64</v>
      </c>
      <c r="AZ78" s="40" t="s">
        <v>64</v>
      </c>
      <c r="BA78" s="40" t="s">
        <v>64</v>
      </c>
      <c r="BB78" s="40" t="s">
        <v>64</v>
      </c>
    </row>
    <row r="79" spans="1:54" x14ac:dyDescent="0.2">
      <c r="A79" s="39" t="s">
        <v>518</v>
      </c>
      <c r="B79" s="39" t="s">
        <v>536</v>
      </c>
      <c r="C79" s="39" t="s">
        <v>518</v>
      </c>
      <c r="D79" s="40" t="s">
        <v>615</v>
      </c>
      <c r="E79" s="40" t="s">
        <v>212</v>
      </c>
      <c r="F79" s="40">
        <v>90</v>
      </c>
      <c r="G79" s="40">
        <v>5</v>
      </c>
      <c r="H79" s="40">
        <v>450</v>
      </c>
      <c r="I79" s="40">
        <v>20</v>
      </c>
      <c r="J79" s="40" t="s">
        <v>64</v>
      </c>
      <c r="K79" s="40" t="s">
        <v>64</v>
      </c>
      <c r="L79" s="40" t="s">
        <v>64</v>
      </c>
      <c r="M79" s="40" t="s">
        <v>64</v>
      </c>
      <c r="N79" s="40" t="s">
        <v>64</v>
      </c>
      <c r="O79" s="40" t="s">
        <v>64</v>
      </c>
      <c r="P79" s="40" t="s">
        <v>64</v>
      </c>
      <c r="Q79" s="40" t="s">
        <v>64</v>
      </c>
      <c r="R79" s="40" t="s">
        <v>64</v>
      </c>
      <c r="S79" s="40" t="s">
        <v>64</v>
      </c>
      <c r="T79" s="40" t="s">
        <v>64</v>
      </c>
      <c r="U79" s="40" t="s">
        <v>64</v>
      </c>
      <c r="V79" s="40" t="s">
        <v>64</v>
      </c>
      <c r="W79" s="40" t="s">
        <v>64</v>
      </c>
      <c r="X79" s="40" t="s">
        <v>64</v>
      </c>
      <c r="Y79" s="40" t="s">
        <v>64</v>
      </c>
      <c r="Z79" s="40" t="s">
        <v>64</v>
      </c>
      <c r="AA79" s="40" t="s">
        <v>64</v>
      </c>
      <c r="AB79" s="40" t="s">
        <v>64</v>
      </c>
      <c r="AC79" s="40" t="s">
        <v>64</v>
      </c>
      <c r="AD79" s="40" t="s">
        <v>64</v>
      </c>
      <c r="AE79" s="40" t="s">
        <v>64</v>
      </c>
      <c r="AF79" s="40" t="s">
        <v>64</v>
      </c>
      <c r="AG79" s="40" t="s">
        <v>64</v>
      </c>
      <c r="AH79" s="40" t="s">
        <v>64</v>
      </c>
      <c r="AI79" s="40" t="s">
        <v>64</v>
      </c>
      <c r="AJ79" s="40" t="s">
        <v>64</v>
      </c>
      <c r="AK79" s="40" t="s">
        <v>64</v>
      </c>
      <c r="AL79" s="40" t="s">
        <v>64</v>
      </c>
      <c r="AM79" s="40" t="s">
        <v>64</v>
      </c>
      <c r="AN79" s="40" t="s">
        <v>64</v>
      </c>
      <c r="AO79" s="40" t="s">
        <v>64</v>
      </c>
      <c r="AP79" s="40" t="s">
        <v>64</v>
      </c>
      <c r="AQ79" s="40" t="s">
        <v>64</v>
      </c>
      <c r="AR79" s="40" t="s">
        <v>64</v>
      </c>
      <c r="AS79" s="40" t="s">
        <v>64</v>
      </c>
      <c r="AT79" s="40" t="s">
        <v>64</v>
      </c>
      <c r="AU79" s="40" t="s">
        <v>64</v>
      </c>
      <c r="AV79" s="40" t="s">
        <v>64</v>
      </c>
      <c r="AW79" s="40" t="s">
        <v>64</v>
      </c>
      <c r="AX79" s="40" t="s">
        <v>64</v>
      </c>
      <c r="AY79" s="40" t="s">
        <v>64</v>
      </c>
      <c r="AZ79" s="40" t="s">
        <v>64</v>
      </c>
      <c r="BA79" s="40" t="s">
        <v>64</v>
      </c>
      <c r="BB79" s="40" t="s">
        <v>64</v>
      </c>
    </row>
    <row r="80" spans="1:54" x14ac:dyDescent="0.2">
      <c r="A80" s="39" t="s">
        <v>519</v>
      </c>
      <c r="B80" s="39" t="s">
        <v>536</v>
      </c>
      <c r="C80" s="39" t="s">
        <v>519</v>
      </c>
      <c r="D80" s="40" t="s">
        <v>616</v>
      </c>
      <c r="E80" s="40" t="s">
        <v>212</v>
      </c>
      <c r="F80" s="40">
        <v>90</v>
      </c>
      <c r="G80" s="40">
        <v>5</v>
      </c>
      <c r="H80" s="40">
        <v>450</v>
      </c>
      <c r="I80" s="40">
        <v>15</v>
      </c>
      <c r="J80" s="40" t="s">
        <v>64</v>
      </c>
      <c r="K80" s="40" t="s">
        <v>64</v>
      </c>
      <c r="L80" s="40" t="s">
        <v>64</v>
      </c>
      <c r="M80" s="40" t="s">
        <v>64</v>
      </c>
      <c r="N80" s="40" t="s">
        <v>64</v>
      </c>
      <c r="O80" s="40" t="s">
        <v>64</v>
      </c>
      <c r="P80" s="40" t="s">
        <v>64</v>
      </c>
      <c r="Q80" s="40" t="s">
        <v>64</v>
      </c>
      <c r="R80" s="40" t="s">
        <v>64</v>
      </c>
      <c r="S80" s="40" t="s">
        <v>64</v>
      </c>
      <c r="T80" s="40" t="s">
        <v>64</v>
      </c>
      <c r="U80" s="40" t="s">
        <v>64</v>
      </c>
      <c r="V80" s="40" t="s">
        <v>64</v>
      </c>
      <c r="W80" s="40" t="s">
        <v>64</v>
      </c>
      <c r="X80" s="40" t="s">
        <v>64</v>
      </c>
      <c r="Y80" s="40" t="s">
        <v>64</v>
      </c>
      <c r="Z80" s="40" t="s">
        <v>64</v>
      </c>
      <c r="AA80" s="40" t="s">
        <v>64</v>
      </c>
      <c r="AB80" s="40" t="s">
        <v>64</v>
      </c>
      <c r="AC80" s="40" t="s">
        <v>64</v>
      </c>
      <c r="AD80" s="40" t="s">
        <v>64</v>
      </c>
      <c r="AE80" s="40" t="s">
        <v>64</v>
      </c>
      <c r="AF80" s="40" t="s">
        <v>64</v>
      </c>
      <c r="AG80" s="40" t="s">
        <v>64</v>
      </c>
      <c r="AH80" s="40" t="s">
        <v>64</v>
      </c>
      <c r="AI80" s="40" t="s">
        <v>64</v>
      </c>
      <c r="AJ80" s="40" t="s">
        <v>64</v>
      </c>
      <c r="AK80" s="40" t="s">
        <v>64</v>
      </c>
      <c r="AL80" s="40" t="s">
        <v>64</v>
      </c>
      <c r="AM80" s="40" t="s">
        <v>64</v>
      </c>
      <c r="AN80" s="40" t="s">
        <v>64</v>
      </c>
      <c r="AO80" s="40" t="s">
        <v>64</v>
      </c>
      <c r="AP80" s="40" t="s">
        <v>64</v>
      </c>
      <c r="AQ80" s="40" t="s">
        <v>64</v>
      </c>
      <c r="AR80" s="40" t="s">
        <v>64</v>
      </c>
      <c r="AS80" s="40" t="s">
        <v>64</v>
      </c>
      <c r="AT80" s="40" t="s">
        <v>64</v>
      </c>
      <c r="AU80" s="40" t="s">
        <v>64</v>
      </c>
      <c r="AV80" s="40" t="s">
        <v>64</v>
      </c>
      <c r="AW80" s="40" t="s">
        <v>64</v>
      </c>
      <c r="AX80" s="40" t="s">
        <v>64</v>
      </c>
      <c r="AY80" s="40" t="s">
        <v>64</v>
      </c>
      <c r="AZ80" s="40" t="s">
        <v>64</v>
      </c>
      <c r="BA80" s="40" t="s">
        <v>64</v>
      </c>
      <c r="BB80" s="40" t="s">
        <v>64</v>
      </c>
    </row>
    <row r="81" spans="1:54" x14ac:dyDescent="0.2">
      <c r="A81" s="39" t="s">
        <v>520</v>
      </c>
      <c r="B81" s="39" t="s">
        <v>536</v>
      </c>
      <c r="C81" s="39" t="s">
        <v>520</v>
      </c>
      <c r="D81" s="40" t="s">
        <v>617</v>
      </c>
      <c r="E81" s="40" t="s">
        <v>212</v>
      </c>
      <c r="F81" s="40">
        <v>90</v>
      </c>
      <c r="G81" s="40">
        <v>5</v>
      </c>
      <c r="H81" s="40">
        <v>450</v>
      </c>
      <c r="I81" s="40">
        <v>20</v>
      </c>
      <c r="J81" s="40" t="s">
        <v>64</v>
      </c>
      <c r="K81" s="40" t="s">
        <v>64</v>
      </c>
      <c r="L81" s="40" t="s">
        <v>64</v>
      </c>
      <c r="M81" s="40" t="s">
        <v>64</v>
      </c>
      <c r="N81" s="40" t="s">
        <v>64</v>
      </c>
      <c r="O81" s="40" t="s">
        <v>64</v>
      </c>
      <c r="P81" s="40" t="s">
        <v>64</v>
      </c>
      <c r="Q81" s="40" t="s">
        <v>64</v>
      </c>
      <c r="R81" s="40" t="s">
        <v>64</v>
      </c>
      <c r="S81" s="40" t="s">
        <v>64</v>
      </c>
      <c r="T81" s="40" t="s">
        <v>64</v>
      </c>
      <c r="U81" s="40" t="s">
        <v>64</v>
      </c>
      <c r="V81" s="40" t="s">
        <v>64</v>
      </c>
      <c r="W81" s="40" t="s">
        <v>64</v>
      </c>
      <c r="X81" s="40" t="s">
        <v>64</v>
      </c>
      <c r="Y81" s="40" t="s">
        <v>64</v>
      </c>
      <c r="Z81" s="40" t="s">
        <v>64</v>
      </c>
      <c r="AA81" s="40" t="s">
        <v>64</v>
      </c>
      <c r="AB81" s="40" t="s">
        <v>64</v>
      </c>
      <c r="AC81" s="40" t="s">
        <v>64</v>
      </c>
      <c r="AD81" s="40" t="s">
        <v>64</v>
      </c>
      <c r="AE81" s="40" t="s">
        <v>64</v>
      </c>
      <c r="AF81" s="40" t="s">
        <v>64</v>
      </c>
      <c r="AG81" s="40" t="s">
        <v>64</v>
      </c>
      <c r="AH81" s="40" t="s">
        <v>64</v>
      </c>
      <c r="AI81" s="40" t="s">
        <v>64</v>
      </c>
      <c r="AJ81" s="40" t="s">
        <v>64</v>
      </c>
      <c r="AK81" s="40" t="s">
        <v>64</v>
      </c>
      <c r="AL81" s="40" t="s">
        <v>64</v>
      </c>
      <c r="AM81" s="40" t="s">
        <v>64</v>
      </c>
      <c r="AN81" s="40" t="s">
        <v>64</v>
      </c>
      <c r="AO81" s="40" t="s">
        <v>64</v>
      </c>
      <c r="AP81" s="40" t="s">
        <v>64</v>
      </c>
      <c r="AQ81" s="40" t="s">
        <v>64</v>
      </c>
      <c r="AR81" s="40" t="s">
        <v>64</v>
      </c>
      <c r="AS81" s="40" t="s">
        <v>64</v>
      </c>
      <c r="AT81" s="40" t="s">
        <v>64</v>
      </c>
      <c r="AU81" s="40" t="s">
        <v>64</v>
      </c>
      <c r="AV81" s="40" t="s">
        <v>64</v>
      </c>
      <c r="AW81" s="40" t="s">
        <v>64</v>
      </c>
      <c r="AX81" s="40" t="s">
        <v>64</v>
      </c>
      <c r="AY81" s="40" t="s">
        <v>64</v>
      </c>
      <c r="AZ81" s="40" t="s">
        <v>64</v>
      </c>
      <c r="BA81" s="40" t="s">
        <v>64</v>
      </c>
      <c r="BB81" s="40" t="s">
        <v>64</v>
      </c>
    </row>
    <row r="82" spans="1:54" x14ac:dyDescent="0.2">
      <c r="A82" s="39" t="s">
        <v>521</v>
      </c>
      <c r="B82" s="39" t="s">
        <v>536</v>
      </c>
      <c r="C82" s="39" t="s">
        <v>521</v>
      </c>
      <c r="D82" s="40" t="s">
        <v>618</v>
      </c>
      <c r="E82" s="40" t="s">
        <v>212</v>
      </c>
      <c r="F82" s="40">
        <v>90</v>
      </c>
      <c r="G82" s="40">
        <v>5</v>
      </c>
      <c r="H82" s="40">
        <v>450</v>
      </c>
      <c r="I82" s="40">
        <v>15</v>
      </c>
      <c r="J82" s="40" t="s">
        <v>64</v>
      </c>
      <c r="K82" s="40" t="s">
        <v>64</v>
      </c>
      <c r="L82" s="40" t="s">
        <v>64</v>
      </c>
      <c r="M82" s="40" t="s">
        <v>64</v>
      </c>
      <c r="N82" s="40" t="s">
        <v>64</v>
      </c>
      <c r="O82" s="40" t="s">
        <v>64</v>
      </c>
      <c r="P82" s="40" t="s">
        <v>64</v>
      </c>
      <c r="Q82" s="40" t="s">
        <v>64</v>
      </c>
      <c r="R82" s="40" t="s">
        <v>64</v>
      </c>
      <c r="S82" s="40" t="s">
        <v>64</v>
      </c>
      <c r="T82" s="40" t="s">
        <v>64</v>
      </c>
      <c r="U82" s="40" t="s">
        <v>64</v>
      </c>
      <c r="V82" s="40" t="s">
        <v>64</v>
      </c>
      <c r="W82" s="40" t="s">
        <v>64</v>
      </c>
      <c r="X82" s="40" t="s">
        <v>64</v>
      </c>
      <c r="Y82" s="40" t="s">
        <v>64</v>
      </c>
      <c r="Z82" s="40" t="s">
        <v>64</v>
      </c>
      <c r="AA82" s="40" t="s">
        <v>64</v>
      </c>
      <c r="AB82" s="40" t="s">
        <v>64</v>
      </c>
      <c r="AC82" s="40" t="s">
        <v>64</v>
      </c>
      <c r="AD82" s="40" t="s">
        <v>64</v>
      </c>
      <c r="AE82" s="40" t="s">
        <v>64</v>
      </c>
      <c r="AF82" s="40" t="s">
        <v>64</v>
      </c>
      <c r="AG82" s="40" t="s">
        <v>64</v>
      </c>
      <c r="AH82" s="40" t="s">
        <v>64</v>
      </c>
      <c r="AI82" s="40" t="s">
        <v>64</v>
      </c>
      <c r="AJ82" s="40" t="s">
        <v>64</v>
      </c>
      <c r="AK82" s="40" t="s">
        <v>64</v>
      </c>
      <c r="AL82" s="40" t="s">
        <v>64</v>
      </c>
      <c r="AM82" s="40" t="s">
        <v>64</v>
      </c>
      <c r="AN82" s="40" t="s">
        <v>64</v>
      </c>
      <c r="AO82" s="40" t="s">
        <v>64</v>
      </c>
      <c r="AP82" s="40" t="s">
        <v>64</v>
      </c>
      <c r="AQ82" s="40" t="s">
        <v>64</v>
      </c>
      <c r="AR82" s="40" t="s">
        <v>64</v>
      </c>
      <c r="AS82" s="40" t="s">
        <v>64</v>
      </c>
      <c r="AT82" s="40" t="s">
        <v>64</v>
      </c>
      <c r="AU82" s="40" t="s">
        <v>64</v>
      </c>
      <c r="AV82" s="40" t="s">
        <v>64</v>
      </c>
      <c r="AW82" s="40" t="s">
        <v>64</v>
      </c>
      <c r="AX82" s="40" t="s">
        <v>64</v>
      </c>
      <c r="AY82" s="40" t="s">
        <v>64</v>
      </c>
      <c r="AZ82" s="40" t="s">
        <v>64</v>
      </c>
      <c r="BA82" s="40" t="s">
        <v>64</v>
      </c>
      <c r="BB82" s="40" t="s">
        <v>64</v>
      </c>
    </row>
    <row r="83" spans="1:54" x14ac:dyDescent="0.2">
      <c r="A83" s="39" t="s">
        <v>522</v>
      </c>
      <c r="B83" s="39" t="s">
        <v>536</v>
      </c>
      <c r="C83" s="39" t="s">
        <v>522</v>
      </c>
      <c r="D83" s="40" t="s">
        <v>619</v>
      </c>
      <c r="E83" s="40" t="s">
        <v>212</v>
      </c>
      <c r="F83" s="40">
        <v>90</v>
      </c>
      <c r="G83" s="40">
        <v>5</v>
      </c>
      <c r="H83" s="40">
        <v>450</v>
      </c>
      <c r="I83" s="40">
        <v>15</v>
      </c>
      <c r="J83" s="40" t="s">
        <v>64</v>
      </c>
      <c r="K83" s="40" t="s">
        <v>64</v>
      </c>
      <c r="L83" s="40" t="s">
        <v>64</v>
      </c>
      <c r="M83" s="40" t="s">
        <v>64</v>
      </c>
      <c r="N83" s="40" t="s">
        <v>64</v>
      </c>
      <c r="O83" s="40" t="s">
        <v>64</v>
      </c>
      <c r="P83" s="40" t="s">
        <v>64</v>
      </c>
      <c r="Q83" s="40" t="s">
        <v>64</v>
      </c>
      <c r="R83" s="40" t="s">
        <v>64</v>
      </c>
      <c r="S83" s="40" t="s">
        <v>64</v>
      </c>
      <c r="T83" s="40" t="s">
        <v>64</v>
      </c>
      <c r="U83" s="40" t="s">
        <v>64</v>
      </c>
      <c r="V83" s="40" t="s">
        <v>64</v>
      </c>
      <c r="W83" s="40" t="s">
        <v>64</v>
      </c>
      <c r="X83" s="40" t="s">
        <v>64</v>
      </c>
      <c r="Y83" s="40" t="s">
        <v>64</v>
      </c>
      <c r="Z83" s="40" t="s">
        <v>64</v>
      </c>
      <c r="AA83" s="40" t="s">
        <v>64</v>
      </c>
      <c r="AB83" s="40" t="s">
        <v>64</v>
      </c>
      <c r="AC83" s="40" t="s">
        <v>64</v>
      </c>
      <c r="AD83" s="40" t="s">
        <v>64</v>
      </c>
      <c r="AE83" s="40" t="s">
        <v>64</v>
      </c>
      <c r="AF83" s="40" t="s">
        <v>64</v>
      </c>
      <c r="AG83" s="40" t="s">
        <v>64</v>
      </c>
      <c r="AH83" s="40" t="s">
        <v>64</v>
      </c>
      <c r="AI83" s="40" t="s">
        <v>64</v>
      </c>
      <c r="AJ83" s="40" t="s">
        <v>64</v>
      </c>
      <c r="AK83" s="40" t="s">
        <v>64</v>
      </c>
      <c r="AL83" s="40" t="s">
        <v>64</v>
      </c>
      <c r="AM83" s="40" t="s">
        <v>64</v>
      </c>
      <c r="AN83" s="40" t="s">
        <v>64</v>
      </c>
      <c r="AO83" s="40" t="s">
        <v>64</v>
      </c>
      <c r="AP83" s="40" t="s">
        <v>64</v>
      </c>
      <c r="AQ83" s="40" t="s">
        <v>64</v>
      </c>
      <c r="AR83" s="40" t="s">
        <v>64</v>
      </c>
      <c r="AS83" s="40" t="s">
        <v>64</v>
      </c>
      <c r="AT83" s="40" t="s">
        <v>64</v>
      </c>
      <c r="AU83" s="40" t="s">
        <v>64</v>
      </c>
      <c r="AV83" s="40" t="s">
        <v>64</v>
      </c>
      <c r="AW83" s="40" t="s">
        <v>64</v>
      </c>
      <c r="AX83" s="40" t="s">
        <v>64</v>
      </c>
      <c r="AY83" s="40" t="s">
        <v>64</v>
      </c>
      <c r="AZ83" s="40" t="s">
        <v>64</v>
      </c>
      <c r="BA83" s="40" t="s">
        <v>64</v>
      </c>
      <c r="BB83" s="40" t="s">
        <v>64</v>
      </c>
    </row>
    <row r="84" spans="1:54" x14ac:dyDescent="0.2">
      <c r="A84" s="39" t="s">
        <v>523</v>
      </c>
      <c r="B84" s="39" t="s">
        <v>536</v>
      </c>
      <c r="C84" s="39" t="s">
        <v>523</v>
      </c>
      <c r="D84" s="40" t="s">
        <v>620</v>
      </c>
      <c r="E84" s="40" t="s">
        <v>212</v>
      </c>
      <c r="F84" s="40">
        <v>90</v>
      </c>
      <c r="G84" s="40">
        <v>5</v>
      </c>
      <c r="H84" s="40">
        <v>450</v>
      </c>
      <c r="I84" s="40">
        <v>20</v>
      </c>
      <c r="J84" s="40" t="s">
        <v>64</v>
      </c>
      <c r="K84" s="40" t="s">
        <v>64</v>
      </c>
      <c r="L84" s="40" t="s">
        <v>64</v>
      </c>
      <c r="M84" s="40" t="s">
        <v>64</v>
      </c>
      <c r="N84" s="40" t="s">
        <v>64</v>
      </c>
      <c r="O84" s="40" t="s">
        <v>64</v>
      </c>
      <c r="P84" s="40" t="s">
        <v>64</v>
      </c>
      <c r="Q84" s="40" t="s">
        <v>64</v>
      </c>
      <c r="R84" s="40" t="s">
        <v>64</v>
      </c>
      <c r="S84" s="40" t="s">
        <v>64</v>
      </c>
      <c r="T84" s="40" t="s">
        <v>64</v>
      </c>
      <c r="U84" s="40" t="s">
        <v>64</v>
      </c>
      <c r="V84" s="40" t="s">
        <v>64</v>
      </c>
      <c r="W84" s="40" t="s">
        <v>64</v>
      </c>
      <c r="X84" s="40" t="s">
        <v>64</v>
      </c>
      <c r="Y84" s="40" t="s">
        <v>64</v>
      </c>
      <c r="Z84" s="40" t="s">
        <v>64</v>
      </c>
      <c r="AA84" s="40" t="s">
        <v>64</v>
      </c>
      <c r="AB84" s="40" t="s">
        <v>64</v>
      </c>
      <c r="AC84" s="40" t="s">
        <v>64</v>
      </c>
      <c r="AD84" s="40" t="s">
        <v>64</v>
      </c>
      <c r="AE84" s="40" t="s">
        <v>64</v>
      </c>
      <c r="AF84" s="40" t="s">
        <v>64</v>
      </c>
      <c r="AG84" s="40" t="s">
        <v>64</v>
      </c>
      <c r="AH84" s="40" t="s">
        <v>64</v>
      </c>
      <c r="AI84" s="40" t="s">
        <v>64</v>
      </c>
      <c r="AJ84" s="40" t="s">
        <v>64</v>
      </c>
      <c r="AK84" s="40" t="s">
        <v>64</v>
      </c>
      <c r="AL84" s="40" t="s">
        <v>64</v>
      </c>
      <c r="AM84" s="40" t="s">
        <v>64</v>
      </c>
      <c r="AN84" s="40" t="s">
        <v>64</v>
      </c>
      <c r="AO84" s="40" t="s">
        <v>64</v>
      </c>
      <c r="AP84" s="40" t="s">
        <v>64</v>
      </c>
      <c r="AQ84" s="40" t="s">
        <v>64</v>
      </c>
      <c r="AR84" s="40" t="s">
        <v>64</v>
      </c>
      <c r="AS84" s="40" t="s">
        <v>64</v>
      </c>
      <c r="AT84" s="40" t="s">
        <v>64</v>
      </c>
      <c r="AU84" s="40" t="s">
        <v>64</v>
      </c>
      <c r="AV84" s="40" t="s">
        <v>64</v>
      </c>
      <c r="AW84" s="40" t="s">
        <v>64</v>
      </c>
      <c r="AX84" s="40" t="s">
        <v>64</v>
      </c>
      <c r="AY84" s="40" t="s">
        <v>64</v>
      </c>
      <c r="AZ84" s="40" t="s">
        <v>64</v>
      </c>
      <c r="BA84" s="40" t="s">
        <v>64</v>
      </c>
      <c r="BB84" s="40" t="s">
        <v>64</v>
      </c>
    </row>
    <row r="85" spans="1:54" x14ac:dyDescent="0.2">
      <c r="A85" s="39" t="s">
        <v>524</v>
      </c>
      <c r="B85" s="39" t="s">
        <v>536</v>
      </c>
      <c r="C85" s="39" t="s">
        <v>524</v>
      </c>
      <c r="D85" s="40" t="s">
        <v>621</v>
      </c>
      <c r="E85" s="40" t="s">
        <v>212</v>
      </c>
      <c r="F85" s="40">
        <v>90</v>
      </c>
      <c r="G85" s="40">
        <v>5</v>
      </c>
      <c r="H85" s="40">
        <v>450</v>
      </c>
      <c r="I85" s="40">
        <v>15</v>
      </c>
      <c r="J85" s="40" t="s">
        <v>64</v>
      </c>
      <c r="K85" s="40" t="s">
        <v>64</v>
      </c>
      <c r="L85" s="40" t="s">
        <v>64</v>
      </c>
      <c r="M85" s="40" t="s">
        <v>64</v>
      </c>
      <c r="N85" s="40" t="s">
        <v>64</v>
      </c>
      <c r="O85" s="40" t="s">
        <v>64</v>
      </c>
      <c r="P85" s="40" t="s">
        <v>64</v>
      </c>
      <c r="Q85" s="40" t="s">
        <v>64</v>
      </c>
      <c r="R85" s="40" t="s">
        <v>64</v>
      </c>
      <c r="S85" s="40" t="s">
        <v>64</v>
      </c>
      <c r="T85" s="40" t="s">
        <v>64</v>
      </c>
      <c r="U85" s="40" t="s">
        <v>64</v>
      </c>
      <c r="V85" s="40" t="s">
        <v>64</v>
      </c>
      <c r="W85" s="40" t="s">
        <v>64</v>
      </c>
      <c r="X85" s="40" t="s">
        <v>64</v>
      </c>
      <c r="Y85" s="40" t="s">
        <v>64</v>
      </c>
      <c r="Z85" s="40" t="s">
        <v>64</v>
      </c>
      <c r="AA85" s="40" t="s">
        <v>64</v>
      </c>
      <c r="AB85" s="40" t="s">
        <v>64</v>
      </c>
      <c r="AC85" s="40" t="s">
        <v>64</v>
      </c>
      <c r="AD85" s="40" t="s">
        <v>64</v>
      </c>
      <c r="AE85" s="40" t="s">
        <v>64</v>
      </c>
      <c r="AF85" s="40" t="s">
        <v>64</v>
      </c>
      <c r="AG85" s="40" t="s">
        <v>64</v>
      </c>
      <c r="AH85" s="40" t="s">
        <v>64</v>
      </c>
      <c r="AI85" s="40" t="s">
        <v>64</v>
      </c>
      <c r="AJ85" s="40" t="s">
        <v>64</v>
      </c>
      <c r="AK85" s="40" t="s">
        <v>64</v>
      </c>
      <c r="AL85" s="40" t="s">
        <v>64</v>
      </c>
      <c r="AM85" s="40" t="s">
        <v>64</v>
      </c>
      <c r="AN85" s="40" t="s">
        <v>64</v>
      </c>
      <c r="AO85" s="40" t="s">
        <v>64</v>
      </c>
      <c r="AP85" s="40" t="s">
        <v>64</v>
      </c>
      <c r="AQ85" s="40" t="s">
        <v>64</v>
      </c>
      <c r="AR85" s="40" t="s">
        <v>64</v>
      </c>
      <c r="AS85" s="40" t="s">
        <v>64</v>
      </c>
      <c r="AT85" s="40" t="s">
        <v>64</v>
      </c>
      <c r="AU85" s="40" t="s">
        <v>64</v>
      </c>
      <c r="AV85" s="40" t="s">
        <v>64</v>
      </c>
      <c r="AW85" s="40" t="s">
        <v>64</v>
      </c>
      <c r="AX85" s="40" t="s">
        <v>64</v>
      </c>
      <c r="AY85" s="40" t="s">
        <v>64</v>
      </c>
      <c r="AZ85" s="40" t="s">
        <v>64</v>
      </c>
      <c r="BA85" s="40" t="s">
        <v>64</v>
      </c>
      <c r="BB85" s="40" t="s">
        <v>64</v>
      </c>
    </row>
    <row r="86" spans="1:54" x14ac:dyDescent="0.2">
      <c r="A86" s="39" t="s">
        <v>525</v>
      </c>
      <c r="B86" s="39" t="s">
        <v>536</v>
      </c>
      <c r="C86" s="39" t="s">
        <v>525</v>
      </c>
      <c r="D86" s="40" t="s">
        <v>622</v>
      </c>
      <c r="E86" s="40" t="s">
        <v>212</v>
      </c>
      <c r="F86" s="40">
        <v>90</v>
      </c>
      <c r="G86" s="40">
        <v>5</v>
      </c>
      <c r="H86" s="40">
        <v>450</v>
      </c>
      <c r="I86" s="40">
        <v>15</v>
      </c>
      <c r="J86" s="40" t="s">
        <v>64</v>
      </c>
      <c r="K86" s="40" t="s">
        <v>64</v>
      </c>
      <c r="L86" s="40" t="s">
        <v>64</v>
      </c>
      <c r="M86" s="40" t="s">
        <v>64</v>
      </c>
      <c r="N86" s="40" t="s">
        <v>64</v>
      </c>
      <c r="O86" s="40" t="s">
        <v>64</v>
      </c>
      <c r="P86" s="40" t="s">
        <v>64</v>
      </c>
      <c r="Q86" s="40" t="s">
        <v>64</v>
      </c>
      <c r="R86" s="40" t="s">
        <v>64</v>
      </c>
      <c r="S86" s="40" t="s">
        <v>64</v>
      </c>
      <c r="T86" s="40" t="s">
        <v>64</v>
      </c>
      <c r="U86" s="40" t="s">
        <v>64</v>
      </c>
      <c r="V86" s="40" t="s">
        <v>64</v>
      </c>
      <c r="W86" s="40" t="s">
        <v>64</v>
      </c>
      <c r="X86" s="40" t="s">
        <v>64</v>
      </c>
      <c r="Y86" s="40" t="s">
        <v>64</v>
      </c>
      <c r="Z86" s="40" t="s">
        <v>64</v>
      </c>
      <c r="AA86" s="40" t="s">
        <v>64</v>
      </c>
      <c r="AB86" s="40" t="s">
        <v>64</v>
      </c>
      <c r="AC86" s="40" t="s">
        <v>64</v>
      </c>
      <c r="AD86" s="40" t="s">
        <v>64</v>
      </c>
      <c r="AE86" s="40" t="s">
        <v>64</v>
      </c>
      <c r="AF86" s="40" t="s">
        <v>64</v>
      </c>
      <c r="AG86" s="40" t="s">
        <v>64</v>
      </c>
      <c r="AH86" s="40" t="s">
        <v>64</v>
      </c>
      <c r="AI86" s="40" t="s">
        <v>64</v>
      </c>
      <c r="AJ86" s="40" t="s">
        <v>64</v>
      </c>
      <c r="AK86" s="40" t="s">
        <v>64</v>
      </c>
      <c r="AL86" s="40" t="s">
        <v>64</v>
      </c>
      <c r="AM86" s="40" t="s">
        <v>64</v>
      </c>
      <c r="AN86" s="40" t="s">
        <v>64</v>
      </c>
      <c r="AO86" s="40" t="s">
        <v>64</v>
      </c>
      <c r="AP86" s="40" t="s">
        <v>64</v>
      </c>
      <c r="AQ86" s="40" t="s">
        <v>64</v>
      </c>
      <c r="AR86" s="40" t="s">
        <v>64</v>
      </c>
      <c r="AS86" s="40" t="s">
        <v>64</v>
      </c>
      <c r="AT86" s="40" t="s">
        <v>64</v>
      </c>
      <c r="AU86" s="40" t="s">
        <v>64</v>
      </c>
      <c r="AV86" s="40" t="s">
        <v>64</v>
      </c>
      <c r="AW86" s="40" t="s">
        <v>64</v>
      </c>
      <c r="AX86" s="40" t="s">
        <v>64</v>
      </c>
      <c r="AY86" s="40" t="s">
        <v>64</v>
      </c>
      <c r="AZ86" s="40" t="s">
        <v>64</v>
      </c>
      <c r="BA86" s="40" t="s">
        <v>64</v>
      </c>
      <c r="BB86" s="40" t="s">
        <v>64</v>
      </c>
    </row>
    <row r="87" spans="1:54" x14ac:dyDescent="0.2">
      <c r="A87" s="39" t="s">
        <v>526</v>
      </c>
      <c r="B87" s="39" t="s">
        <v>536</v>
      </c>
      <c r="C87" s="39" t="s">
        <v>526</v>
      </c>
      <c r="D87" s="40" t="s">
        <v>623</v>
      </c>
      <c r="E87" s="40" t="s">
        <v>212</v>
      </c>
      <c r="F87" s="40">
        <v>90</v>
      </c>
      <c r="G87" s="40">
        <v>5</v>
      </c>
      <c r="H87" s="40">
        <v>450</v>
      </c>
      <c r="I87" s="40">
        <v>15</v>
      </c>
      <c r="J87" s="40" t="s">
        <v>64</v>
      </c>
      <c r="K87" s="40" t="s">
        <v>64</v>
      </c>
      <c r="L87" s="40" t="s">
        <v>64</v>
      </c>
      <c r="M87" s="40" t="s">
        <v>64</v>
      </c>
      <c r="N87" s="40" t="s">
        <v>64</v>
      </c>
      <c r="O87" s="40" t="s">
        <v>64</v>
      </c>
      <c r="P87" s="40" t="s">
        <v>64</v>
      </c>
      <c r="Q87" s="40" t="s">
        <v>64</v>
      </c>
      <c r="R87" s="40" t="s">
        <v>64</v>
      </c>
      <c r="S87" s="40" t="s">
        <v>64</v>
      </c>
      <c r="T87" s="40" t="s">
        <v>64</v>
      </c>
      <c r="U87" s="40" t="s">
        <v>64</v>
      </c>
      <c r="V87" s="40" t="s">
        <v>64</v>
      </c>
      <c r="W87" s="40" t="s">
        <v>64</v>
      </c>
      <c r="X87" s="40" t="s">
        <v>64</v>
      </c>
      <c r="Y87" s="40" t="s">
        <v>64</v>
      </c>
      <c r="Z87" s="40" t="s">
        <v>64</v>
      </c>
      <c r="AA87" s="40" t="s">
        <v>64</v>
      </c>
      <c r="AB87" s="40" t="s">
        <v>64</v>
      </c>
      <c r="AC87" s="40" t="s">
        <v>64</v>
      </c>
      <c r="AD87" s="40" t="s">
        <v>64</v>
      </c>
      <c r="AE87" s="40" t="s">
        <v>64</v>
      </c>
      <c r="AF87" s="40" t="s">
        <v>64</v>
      </c>
      <c r="AG87" s="40" t="s">
        <v>64</v>
      </c>
      <c r="AH87" s="40" t="s">
        <v>64</v>
      </c>
      <c r="AI87" s="40" t="s">
        <v>64</v>
      </c>
      <c r="AJ87" s="40" t="s">
        <v>64</v>
      </c>
      <c r="AK87" s="40" t="s">
        <v>64</v>
      </c>
      <c r="AL87" s="40" t="s">
        <v>64</v>
      </c>
      <c r="AM87" s="40" t="s">
        <v>64</v>
      </c>
      <c r="AN87" s="40" t="s">
        <v>64</v>
      </c>
      <c r="AO87" s="40" t="s">
        <v>64</v>
      </c>
      <c r="AP87" s="40" t="s">
        <v>64</v>
      </c>
      <c r="AQ87" s="40" t="s">
        <v>64</v>
      </c>
      <c r="AR87" s="40" t="s">
        <v>64</v>
      </c>
      <c r="AS87" s="40" t="s">
        <v>64</v>
      </c>
      <c r="AT87" s="40" t="s">
        <v>64</v>
      </c>
      <c r="AU87" s="40" t="s">
        <v>64</v>
      </c>
      <c r="AV87" s="40" t="s">
        <v>64</v>
      </c>
      <c r="AW87" s="40" t="s">
        <v>64</v>
      </c>
      <c r="AX87" s="40" t="s">
        <v>64</v>
      </c>
      <c r="AY87" s="40" t="s">
        <v>64</v>
      </c>
      <c r="AZ87" s="40" t="s">
        <v>64</v>
      </c>
      <c r="BA87" s="40" t="s">
        <v>64</v>
      </c>
      <c r="BB87" s="40" t="s">
        <v>64</v>
      </c>
    </row>
    <row r="88" spans="1:54" x14ac:dyDescent="0.2">
      <c r="A88" s="39" t="s">
        <v>527</v>
      </c>
      <c r="B88" s="39" t="s">
        <v>536</v>
      </c>
      <c r="C88" s="39" t="s">
        <v>527</v>
      </c>
      <c r="D88" s="40" t="s">
        <v>624</v>
      </c>
      <c r="E88" s="40" t="s">
        <v>212</v>
      </c>
      <c r="F88" s="40">
        <v>90</v>
      </c>
      <c r="G88" s="40">
        <v>5</v>
      </c>
      <c r="H88" s="40">
        <v>450</v>
      </c>
      <c r="I88" s="40">
        <v>20</v>
      </c>
      <c r="J88" s="40" t="s">
        <v>64</v>
      </c>
      <c r="K88" s="40" t="s">
        <v>64</v>
      </c>
      <c r="L88" s="40" t="s">
        <v>64</v>
      </c>
      <c r="M88" s="40" t="s">
        <v>64</v>
      </c>
      <c r="N88" s="40" t="s">
        <v>64</v>
      </c>
      <c r="O88" s="40" t="s">
        <v>64</v>
      </c>
      <c r="P88" s="40" t="s">
        <v>64</v>
      </c>
      <c r="Q88" s="40" t="s">
        <v>64</v>
      </c>
      <c r="R88" s="40" t="s">
        <v>64</v>
      </c>
      <c r="S88" s="40" t="s">
        <v>64</v>
      </c>
      <c r="T88" s="40" t="s">
        <v>64</v>
      </c>
      <c r="U88" s="40" t="s">
        <v>64</v>
      </c>
      <c r="V88" s="40" t="s">
        <v>64</v>
      </c>
      <c r="W88" s="40" t="s">
        <v>64</v>
      </c>
      <c r="X88" s="40" t="s">
        <v>64</v>
      </c>
      <c r="Y88" s="40" t="s">
        <v>64</v>
      </c>
      <c r="Z88" s="40" t="s">
        <v>64</v>
      </c>
      <c r="AA88" s="40" t="s">
        <v>64</v>
      </c>
      <c r="AB88" s="40" t="s">
        <v>64</v>
      </c>
      <c r="AC88" s="40" t="s">
        <v>64</v>
      </c>
      <c r="AD88" s="40" t="s">
        <v>64</v>
      </c>
      <c r="AE88" s="40" t="s">
        <v>64</v>
      </c>
      <c r="AF88" s="40" t="s">
        <v>64</v>
      </c>
      <c r="AG88" s="40" t="s">
        <v>64</v>
      </c>
      <c r="AH88" s="40" t="s">
        <v>64</v>
      </c>
      <c r="AI88" s="40" t="s">
        <v>64</v>
      </c>
      <c r="AJ88" s="40" t="s">
        <v>64</v>
      </c>
      <c r="AK88" s="40" t="s">
        <v>64</v>
      </c>
      <c r="AL88" s="40" t="s">
        <v>64</v>
      </c>
      <c r="AM88" s="40" t="s">
        <v>64</v>
      </c>
      <c r="AN88" s="40" t="s">
        <v>64</v>
      </c>
      <c r="AO88" s="40" t="s">
        <v>64</v>
      </c>
      <c r="AP88" s="40" t="s">
        <v>64</v>
      </c>
      <c r="AQ88" s="40" t="s">
        <v>64</v>
      </c>
      <c r="AR88" s="40" t="s">
        <v>64</v>
      </c>
      <c r="AS88" s="40" t="s">
        <v>64</v>
      </c>
      <c r="AT88" s="40" t="s">
        <v>64</v>
      </c>
      <c r="AU88" s="40" t="s">
        <v>64</v>
      </c>
      <c r="AV88" s="40" t="s">
        <v>64</v>
      </c>
      <c r="AW88" s="40" t="s">
        <v>64</v>
      </c>
      <c r="AX88" s="40" t="s">
        <v>64</v>
      </c>
      <c r="AY88" s="40" t="s">
        <v>64</v>
      </c>
      <c r="AZ88" s="40" t="s">
        <v>64</v>
      </c>
      <c r="BA88" s="40" t="s">
        <v>64</v>
      </c>
      <c r="BB88" s="40" t="s">
        <v>64</v>
      </c>
    </row>
    <row r="89" spans="1:54" x14ac:dyDescent="0.2">
      <c r="A89" s="39" t="s">
        <v>528</v>
      </c>
      <c r="B89" s="39" t="s">
        <v>536</v>
      </c>
      <c r="C89" s="39" t="s">
        <v>528</v>
      </c>
      <c r="D89" s="40" t="s">
        <v>625</v>
      </c>
      <c r="E89" s="40" t="s">
        <v>212</v>
      </c>
      <c r="F89" s="40">
        <v>90</v>
      </c>
      <c r="G89" s="40">
        <v>5</v>
      </c>
      <c r="H89" s="40">
        <v>450</v>
      </c>
      <c r="I89" s="40">
        <v>15</v>
      </c>
      <c r="J89" s="40" t="s">
        <v>64</v>
      </c>
      <c r="K89" s="40" t="s">
        <v>64</v>
      </c>
      <c r="L89" s="40" t="s">
        <v>64</v>
      </c>
      <c r="M89" s="40" t="s">
        <v>64</v>
      </c>
      <c r="N89" s="40" t="s">
        <v>64</v>
      </c>
      <c r="O89" s="40" t="s">
        <v>64</v>
      </c>
      <c r="P89" s="40" t="s">
        <v>64</v>
      </c>
      <c r="Q89" s="40" t="s">
        <v>64</v>
      </c>
      <c r="R89" s="40" t="s">
        <v>64</v>
      </c>
      <c r="S89" s="40" t="s">
        <v>64</v>
      </c>
      <c r="T89" s="40" t="s">
        <v>64</v>
      </c>
      <c r="U89" s="40" t="s">
        <v>64</v>
      </c>
      <c r="V89" s="40" t="s">
        <v>64</v>
      </c>
      <c r="W89" s="40" t="s">
        <v>64</v>
      </c>
      <c r="X89" s="40" t="s">
        <v>64</v>
      </c>
      <c r="Y89" s="40" t="s">
        <v>64</v>
      </c>
      <c r="Z89" s="40" t="s">
        <v>64</v>
      </c>
      <c r="AA89" s="40" t="s">
        <v>64</v>
      </c>
      <c r="AB89" s="40" t="s">
        <v>64</v>
      </c>
      <c r="AC89" s="40" t="s">
        <v>64</v>
      </c>
      <c r="AD89" s="40" t="s">
        <v>64</v>
      </c>
      <c r="AE89" s="40" t="s">
        <v>64</v>
      </c>
      <c r="AF89" s="40" t="s">
        <v>64</v>
      </c>
      <c r="AG89" s="40" t="s">
        <v>64</v>
      </c>
      <c r="AH89" s="40" t="s">
        <v>64</v>
      </c>
      <c r="AI89" s="40" t="s">
        <v>64</v>
      </c>
      <c r="AJ89" s="40" t="s">
        <v>64</v>
      </c>
      <c r="AK89" s="40" t="s">
        <v>64</v>
      </c>
      <c r="AL89" s="40" t="s">
        <v>64</v>
      </c>
      <c r="AM89" s="40" t="s">
        <v>64</v>
      </c>
      <c r="AN89" s="40" t="s">
        <v>64</v>
      </c>
      <c r="AO89" s="40" t="s">
        <v>64</v>
      </c>
      <c r="AP89" s="40" t="s">
        <v>64</v>
      </c>
      <c r="AQ89" s="40" t="s">
        <v>64</v>
      </c>
      <c r="AR89" s="40" t="s">
        <v>64</v>
      </c>
      <c r="AS89" s="40" t="s">
        <v>64</v>
      </c>
      <c r="AT89" s="40" t="s">
        <v>64</v>
      </c>
      <c r="AU89" s="40" t="s">
        <v>64</v>
      </c>
      <c r="AV89" s="40" t="s">
        <v>64</v>
      </c>
      <c r="AW89" s="40" t="s">
        <v>64</v>
      </c>
      <c r="AX89" s="40" t="s">
        <v>64</v>
      </c>
      <c r="AY89" s="40" t="s">
        <v>64</v>
      </c>
      <c r="AZ89" s="40" t="s">
        <v>64</v>
      </c>
      <c r="BA89" s="40" t="s">
        <v>64</v>
      </c>
      <c r="BB89" s="40" t="s">
        <v>64</v>
      </c>
    </row>
    <row r="90" spans="1:54" x14ac:dyDescent="0.2">
      <c r="A90" s="39" t="s">
        <v>529</v>
      </c>
      <c r="B90" s="39" t="s">
        <v>536</v>
      </c>
      <c r="C90" s="39" t="s">
        <v>529</v>
      </c>
      <c r="D90" s="40" t="s">
        <v>626</v>
      </c>
      <c r="E90" s="40" t="s">
        <v>212</v>
      </c>
      <c r="F90" s="40">
        <v>90</v>
      </c>
      <c r="G90" s="40">
        <v>5</v>
      </c>
      <c r="H90" s="40">
        <v>450</v>
      </c>
      <c r="I90" s="40">
        <v>15</v>
      </c>
      <c r="J90" s="40" t="s">
        <v>64</v>
      </c>
      <c r="K90" s="40" t="s">
        <v>64</v>
      </c>
      <c r="L90" s="40" t="s">
        <v>64</v>
      </c>
      <c r="M90" s="40" t="s">
        <v>64</v>
      </c>
      <c r="N90" s="40" t="s">
        <v>64</v>
      </c>
      <c r="O90" s="40" t="s">
        <v>64</v>
      </c>
      <c r="P90" s="40" t="s">
        <v>64</v>
      </c>
      <c r="Q90" s="40" t="s">
        <v>64</v>
      </c>
      <c r="R90" s="40" t="s">
        <v>64</v>
      </c>
      <c r="S90" s="40" t="s">
        <v>64</v>
      </c>
      <c r="T90" s="40" t="s">
        <v>64</v>
      </c>
      <c r="U90" s="40" t="s">
        <v>64</v>
      </c>
      <c r="V90" s="40" t="s">
        <v>64</v>
      </c>
      <c r="W90" s="40" t="s">
        <v>64</v>
      </c>
      <c r="X90" s="40" t="s">
        <v>64</v>
      </c>
      <c r="Y90" s="40" t="s">
        <v>64</v>
      </c>
      <c r="Z90" s="40" t="s">
        <v>64</v>
      </c>
      <c r="AA90" s="40" t="s">
        <v>64</v>
      </c>
      <c r="AB90" s="40" t="s">
        <v>64</v>
      </c>
      <c r="AC90" s="40" t="s">
        <v>64</v>
      </c>
      <c r="AD90" s="40" t="s">
        <v>64</v>
      </c>
      <c r="AE90" s="40" t="s">
        <v>64</v>
      </c>
      <c r="AF90" s="40" t="s">
        <v>64</v>
      </c>
      <c r="AG90" s="40" t="s">
        <v>64</v>
      </c>
      <c r="AH90" s="40" t="s">
        <v>64</v>
      </c>
      <c r="AI90" s="40" t="s">
        <v>64</v>
      </c>
      <c r="AJ90" s="40" t="s">
        <v>64</v>
      </c>
      <c r="AK90" s="40" t="s">
        <v>64</v>
      </c>
      <c r="AL90" s="40" t="s">
        <v>64</v>
      </c>
      <c r="AM90" s="40" t="s">
        <v>64</v>
      </c>
      <c r="AN90" s="40" t="s">
        <v>64</v>
      </c>
      <c r="AO90" s="40" t="s">
        <v>64</v>
      </c>
      <c r="AP90" s="40" t="s">
        <v>64</v>
      </c>
      <c r="AQ90" s="40" t="s">
        <v>64</v>
      </c>
      <c r="AR90" s="40" t="s">
        <v>64</v>
      </c>
      <c r="AS90" s="40" t="s">
        <v>64</v>
      </c>
      <c r="AT90" s="40" t="s">
        <v>64</v>
      </c>
      <c r="AU90" s="40" t="s">
        <v>64</v>
      </c>
      <c r="AV90" s="40" t="s">
        <v>64</v>
      </c>
      <c r="AW90" s="40" t="s">
        <v>64</v>
      </c>
      <c r="AX90" s="40" t="s">
        <v>64</v>
      </c>
      <c r="AY90" s="40" t="s">
        <v>64</v>
      </c>
      <c r="AZ90" s="40" t="s">
        <v>64</v>
      </c>
      <c r="BA90" s="40" t="s">
        <v>64</v>
      </c>
      <c r="BB90" s="40" t="s">
        <v>64</v>
      </c>
    </row>
    <row r="91" spans="1:54" x14ac:dyDescent="0.2">
      <c r="A91" s="39" t="s">
        <v>530</v>
      </c>
      <c r="B91" s="39" t="s">
        <v>536</v>
      </c>
      <c r="C91" s="39" t="s">
        <v>530</v>
      </c>
      <c r="D91" s="40" t="s">
        <v>627</v>
      </c>
      <c r="E91" s="40" t="s">
        <v>212</v>
      </c>
      <c r="F91" s="40">
        <v>90</v>
      </c>
      <c r="G91" s="40">
        <v>5</v>
      </c>
      <c r="H91" s="40">
        <v>450</v>
      </c>
      <c r="I91" s="40">
        <v>20</v>
      </c>
      <c r="J91" s="40" t="s">
        <v>64</v>
      </c>
      <c r="K91" s="40" t="s">
        <v>64</v>
      </c>
      <c r="L91" s="40" t="s">
        <v>64</v>
      </c>
      <c r="M91" s="40" t="s">
        <v>64</v>
      </c>
      <c r="N91" s="40" t="s">
        <v>64</v>
      </c>
      <c r="O91" s="40" t="s">
        <v>64</v>
      </c>
      <c r="P91" s="40" t="s">
        <v>64</v>
      </c>
      <c r="Q91" s="40" t="s">
        <v>64</v>
      </c>
      <c r="R91" s="40" t="s">
        <v>64</v>
      </c>
      <c r="S91" s="40" t="s">
        <v>64</v>
      </c>
      <c r="T91" s="40" t="s">
        <v>64</v>
      </c>
      <c r="U91" s="40" t="s">
        <v>64</v>
      </c>
      <c r="V91" s="40" t="s">
        <v>64</v>
      </c>
      <c r="W91" s="40" t="s">
        <v>64</v>
      </c>
      <c r="X91" s="40" t="s">
        <v>64</v>
      </c>
      <c r="Y91" s="40" t="s">
        <v>64</v>
      </c>
      <c r="Z91" s="40" t="s">
        <v>64</v>
      </c>
      <c r="AA91" s="40" t="s">
        <v>64</v>
      </c>
      <c r="AB91" s="40" t="s">
        <v>64</v>
      </c>
      <c r="AC91" s="40" t="s">
        <v>64</v>
      </c>
      <c r="AD91" s="40" t="s">
        <v>64</v>
      </c>
      <c r="AE91" s="40" t="s">
        <v>64</v>
      </c>
      <c r="AF91" s="40" t="s">
        <v>64</v>
      </c>
      <c r="AG91" s="40" t="s">
        <v>64</v>
      </c>
      <c r="AH91" s="40" t="s">
        <v>64</v>
      </c>
      <c r="AI91" s="40" t="s">
        <v>64</v>
      </c>
      <c r="AJ91" s="40" t="s">
        <v>64</v>
      </c>
      <c r="AK91" s="40" t="s">
        <v>64</v>
      </c>
      <c r="AL91" s="40" t="s">
        <v>64</v>
      </c>
      <c r="AM91" s="40" t="s">
        <v>64</v>
      </c>
      <c r="AN91" s="40" t="s">
        <v>64</v>
      </c>
      <c r="AO91" s="40" t="s">
        <v>64</v>
      </c>
      <c r="AP91" s="40" t="s">
        <v>64</v>
      </c>
      <c r="AQ91" s="40" t="s">
        <v>64</v>
      </c>
      <c r="AR91" s="40" t="s">
        <v>64</v>
      </c>
      <c r="AS91" s="40" t="s">
        <v>64</v>
      </c>
      <c r="AT91" s="40" t="s">
        <v>64</v>
      </c>
      <c r="AU91" s="40" t="s">
        <v>64</v>
      </c>
      <c r="AV91" s="40" t="s">
        <v>64</v>
      </c>
      <c r="AW91" s="40" t="s">
        <v>64</v>
      </c>
      <c r="AX91" s="40" t="s">
        <v>64</v>
      </c>
      <c r="AY91" s="40" t="s">
        <v>64</v>
      </c>
      <c r="AZ91" s="40" t="s">
        <v>64</v>
      </c>
      <c r="BA91" s="40" t="s">
        <v>64</v>
      </c>
      <c r="BB91" s="40" t="s">
        <v>64</v>
      </c>
    </row>
    <row r="92" spans="1:54" x14ac:dyDescent="0.2">
      <c r="A92" s="39" t="s">
        <v>531</v>
      </c>
      <c r="B92" s="39" t="s">
        <v>536</v>
      </c>
      <c r="C92" s="39" t="s">
        <v>531</v>
      </c>
      <c r="D92" s="40" t="s">
        <v>628</v>
      </c>
      <c r="E92" s="40" t="s">
        <v>212</v>
      </c>
      <c r="F92" s="40">
        <v>90</v>
      </c>
      <c r="G92" s="40">
        <v>5</v>
      </c>
      <c r="H92" s="40">
        <v>450</v>
      </c>
      <c r="I92" s="40">
        <v>15</v>
      </c>
      <c r="J92" s="40" t="s">
        <v>64</v>
      </c>
      <c r="K92" s="40" t="s">
        <v>64</v>
      </c>
      <c r="L92" s="40" t="s">
        <v>64</v>
      </c>
      <c r="M92" s="40" t="s">
        <v>64</v>
      </c>
      <c r="N92" s="40" t="s">
        <v>64</v>
      </c>
      <c r="O92" s="40" t="s">
        <v>64</v>
      </c>
      <c r="P92" s="40" t="s">
        <v>64</v>
      </c>
      <c r="Q92" s="40" t="s">
        <v>64</v>
      </c>
      <c r="R92" s="40" t="s">
        <v>64</v>
      </c>
      <c r="S92" s="40" t="s">
        <v>64</v>
      </c>
      <c r="T92" s="40" t="s">
        <v>64</v>
      </c>
      <c r="U92" s="40" t="s">
        <v>64</v>
      </c>
      <c r="V92" s="40" t="s">
        <v>64</v>
      </c>
      <c r="W92" s="40" t="s">
        <v>64</v>
      </c>
      <c r="X92" s="40" t="s">
        <v>64</v>
      </c>
      <c r="Y92" s="40" t="s">
        <v>64</v>
      </c>
      <c r="Z92" s="40" t="s">
        <v>64</v>
      </c>
      <c r="AA92" s="40" t="s">
        <v>64</v>
      </c>
      <c r="AB92" s="40" t="s">
        <v>64</v>
      </c>
      <c r="AC92" s="40" t="s">
        <v>64</v>
      </c>
      <c r="AD92" s="40" t="s">
        <v>64</v>
      </c>
      <c r="AE92" s="40" t="s">
        <v>64</v>
      </c>
      <c r="AF92" s="40" t="s">
        <v>64</v>
      </c>
      <c r="AG92" s="40" t="s">
        <v>64</v>
      </c>
      <c r="AH92" s="40" t="s">
        <v>64</v>
      </c>
      <c r="AI92" s="40" t="s">
        <v>64</v>
      </c>
      <c r="AJ92" s="40" t="s">
        <v>64</v>
      </c>
      <c r="AK92" s="40" t="s">
        <v>64</v>
      </c>
      <c r="AL92" s="40" t="s">
        <v>64</v>
      </c>
      <c r="AM92" s="40" t="s">
        <v>64</v>
      </c>
      <c r="AN92" s="40" t="s">
        <v>64</v>
      </c>
      <c r="AO92" s="40" t="s">
        <v>64</v>
      </c>
      <c r="AP92" s="40" t="s">
        <v>64</v>
      </c>
      <c r="AQ92" s="40" t="s">
        <v>64</v>
      </c>
      <c r="AR92" s="40" t="s">
        <v>64</v>
      </c>
      <c r="AS92" s="40" t="s">
        <v>64</v>
      </c>
      <c r="AT92" s="40" t="s">
        <v>64</v>
      </c>
      <c r="AU92" s="40" t="s">
        <v>64</v>
      </c>
      <c r="AV92" s="40" t="s">
        <v>64</v>
      </c>
      <c r="AW92" s="40" t="s">
        <v>64</v>
      </c>
      <c r="AX92" s="40" t="s">
        <v>64</v>
      </c>
      <c r="AY92" s="40" t="s">
        <v>64</v>
      </c>
      <c r="AZ92" s="40" t="s">
        <v>64</v>
      </c>
      <c r="BA92" s="40" t="s">
        <v>64</v>
      </c>
      <c r="BB92" s="40" t="s">
        <v>64</v>
      </c>
    </row>
    <row r="93" spans="1:54" x14ac:dyDescent="0.2">
      <c r="A93" s="39" t="s">
        <v>532</v>
      </c>
      <c r="B93" s="39" t="s">
        <v>536</v>
      </c>
      <c r="C93" s="39" t="s">
        <v>532</v>
      </c>
      <c r="D93" s="40" t="s">
        <v>629</v>
      </c>
      <c r="E93" s="40" t="s">
        <v>212</v>
      </c>
      <c r="F93" s="40">
        <v>90</v>
      </c>
      <c r="G93" s="40">
        <v>5</v>
      </c>
      <c r="H93" s="40">
        <v>450</v>
      </c>
      <c r="I93" s="40">
        <v>20</v>
      </c>
      <c r="J93" s="40" t="s">
        <v>64</v>
      </c>
      <c r="K93" s="40" t="s">
        <v>64</v>
      </c>
      <c r="L93" s="40" t="s">
        <v>64</v>
      </c>
      <c r="M93" s="40" t="s">
        <v>64</v>
      </c>
      <c r="N93" s="40" t="s">
        <v>64</v>
      </c>
      <c r="O93" s="40" t="s">
        <v>64</v>
      </c>
      <c r="P93" s="40" t="s">
        <v>64</v>
      </c>
      <c r="Q93" s="40" t="s">
        <v>64</v>
      </c>
      <c r="R93" s="40" t="s">
        <v>64</v>
      </c>
      <c r="S93" s="40" t="s">
        <v>64</v>
      </c>
      <c r="T93" s="40" t="s">
        <v>64</v>
      </c>
      <c r="U93" s="40" t="s">
        <v>64</v>
      </c>
      <c r="V93" s="40" t="s">
        <v>64</v>
      </c>
      <c r="W93" s="40" t="s">
        <v>64</v>
      </c>
      <c r="X93" s="40" t="s">
        <v>64</v>
      </c>
      <c r="Y93" s="40" t="s">
        <v>64</v>
      </c>
      <c r="Z93" s="40" t="s">
        <v>64</v>
      </c>
      <c r="AA93" s="40" t="s">
        <v>64</v>
      </c>
      <c r="AB93" s="40" t="s">
        <v>64</v>
      </c>
      <c r="AC93" s="40" t="s">
        <v>64</v>
      </c>
      <c r="AD93" s="40" t="s">
        <v>64</v>
      </c>
      <c r="AE93" s="40" t="s">
        <v>64</v>
      </c>
      <c r="AF93" s="40" t="s">
        <v>64</v>
      </c>
      <c r="AG93" s="40" t="s">
        <v>64</v>
      </c>
      <c r="AH93" s="40" t="s">
        <v>64</v>
      </c>
      <c r="AI93" s="40" t="s">
        <v>64</v>
      </c>
      <c r="AJ93" s="40" t="s">
        <v>64</v>
      </c>
      <c r="AK93" s="40" t="s">
        <v>64</v>
      </c>
      <c r="AL93" s="40" t="s">
        <v>64</v>
      </c>
      <c r="AM93" s="40" t="s">
        <v>64</v>
      </c>
      <c r="AN93" s="40" t="s">
        <v>64</v>
      </c>
      <c r="AO93" s="40" t="s">
        <v>64</v>
      </c>
      <c r="AP93" s="40" t="s">
        <v>64</v>
      </c>
      <c r="AQ93" s="40" t="s">
        <v>64</v>
      </c>
      <c r="AR93" s="40" t="s">
        <v>64</v>
      </c>
      <c r="AS93" s="40" t="s">
        <v>64</v>
      </c>
      <c r="AT93" s="40" t="s">
        <v>64</v>
      </c>
      <c r="AU93" s="40" t="s">
        <v>64</v>
      </c>
      <c r="AV93" s="40" t="s">
        <v>64</v>
      </c>
      <c r="AW93" s="40" t="s">
        <v>64</v>
      </c>
      <c r="AX93" s="40" t="s">
        <v>64</v>
      </c>
      <c r="AY93" s="40" t="s">
        <v>64</v>
      </c>
      <c r="AZ93" s="40" t="s">
        <v>64</v>
      </c>
      <c r="BA93" s="40" t="s">
        <v>64</v>
      </c>
      <c r="BB93" s="40" t="s">
        <v>64</v>
      </c>
    </row>
    <row r="94" spans="1:54" x14ac:dyDescent="0.2">
      <c r="A94" s="39" t="s">
        <v>533</v>
      </c>
      <c r="B94" s="39" t="s">
        <v>536</v>
      </c>
      <c r="C94" s="39" t="s">
        <v>533</v>
      </c>
      <c r="D94" s="40" t="s">
        <v>630</v>
      </c>
      <c r="E94" s="40" t="s">
        <v>212</v>
      </c>
      <c r="F94" s="40">
        <v>90</v>
      </c>
      <c r="G94" s="40">
        <v>5</v>
      </c>
      <c r="H94" s="40">
        <v>450</v>
      </c>
      <c r="I94" s="40">
        <v>15</v>
      </c>
      <c r="J94" s="40" t="s">
        <v>64</v>
      </c>
      <c r="K94" s="40" t="s">
        <v>64</v>
      </c>
      <c r="L94" s="40" t="s">
        <v>64</v>
      </c>
      <c r="M94" s="40" t="s">
        <v>64</v>
      </c>
      <c r="N94" s="40" t="s">
        <v>64</v>
      </c>
      <c r="O94" s="40" t="s">
        <v>64</v>
      </c>
      <c r="P94" s="40" t="s">
        <v>64</v>
      </c>
      <c r="Q94" s="40" t="s">
        <v>64</v>
      </c>
      <c r="R94" s="40" t="s">
        <v>64</v>
      </c>
      <c r="S94" s="40" t="s">
        <v>64</v>
      </c>
      <c r="T94" s="40" t="s">
        <v>64</v>
      </c>
      <c r="U94" s="40" t="s">
        <v>64</v>
      </c>
      <c r="V94" s="40" t="s">
        <v>64</v>
      </c>
      <c r="W94" s="40" t="s">
        <v>64</v>
      </c>
      <c r="X94" s="40" t="s">
        <v>64</v>
      </c>
      <c r="Y94" s="40" t="s">
        <v>64</v>
      </c>
      <c r="Z94" s="40" t="s">
        <v>64</v>
      </c>
      <c r="AA94" s="40" t="s">
        <v>64</v>
      </c>
      <c r="AB94" s="40" t="s">
        <v>64</v>
      </c>
      <c r="AC94" s="40" t="s">
        <v>64</v>
      </c>
      <c r="AD94" s="40" t="s">
        <v>64</v>
      </c>
      <c r="AE94" s="40" t="s">
        <v>64</v>
      </c>
      <c r="AF94" s="40" t="s">
        <v>64</v>
      </c>
      <c r="AG94" s="40" t="s">
        <v>64</v>
      </c>
      <c r="AH94" s="40" t="s">
        <v>64</v>
      </c>
      <c r="AI94" s="40" t="s">
        <v>64</v>
      </c>
      <c r="AJ94" s="40" t="s">
        <v>64</v>
      </c>
      <c r="AK94" s="40" t="s">
        <v>64</v>
      </c>
      <c r="AL94" s="40" t="s">
        <v>64</v>
      </c>
      <c r="AM94" s="40" t="s">
        <v>64</v>
      </c>
      <c r="AN94" s="40" t="s">
        <v>64</v>
      </c>
      <c r="AO94" s="40" t="s">
        <v>64</v>
      </c>
      <c r="AP94" s="40" t="s">
        <v>64</v>
      </c>
      <c r="AQ94" s="40" t="s">
        <v>64</v>
      </c>
      <c r="AR94" s="40" t="s">
        <v>64</v>
      </c>
      <c r="AS94" s="40" t="s">
        <v>64</v>
      </c>
      <c r="AT94" s="40" t="s">
        <v>64</v>
      </c>
      <c r="AU94" s="40" t="s">
        <v>64</v>
      </c>
      <c r="AV94" s="40" t="s">
        <v>64</v>
      </c>
      <c r="AW94" s="40" t="s">
        <v>64</v>
      </c>
      <c r="AX94" s="40" t="s">
        <v>64</v>
      </c>
      <c r="AY94" s="40" t="s">
        <v>64</v>
      </c>
      <c r="AZ94" s="40" t="s">
        <v>64</v>
      </c>
      <c r="BA94" s="40" t="s">
        <v>64</v>
      </c>
      <c r="BB94" s="40" t="s">
        <v>64</v>
      </c>
    </row>
    <row r="95" spans="1:54" x14ac:dyDescent="0.2">
      <c r="A95" s="39" t="s">
        <v>534</v>
      </c>
      <c r="B95" s="39" t="s">
        <v>536</v>
      </c>
      <c r="C95" s="39" t="s">
        <v>534</v>
      </c>
      <c r="D95" s="40" t="s">
        <v>631</v>
      </c>
      <c r="E95" s="40" t="s">
        <v>212</v>
      </c>
      <c r="F95" s="40">
        <v>90</v>
      </c>
      <c r="G95" s="40">
        <v>5</v>
      </c>
      <c r="H95" s="40">
        <v>450</v>
      </c>
      <c r="I95" s="40">
        <v>15</v>
      </c>
      <c r="J95" s="40" t="s">
        <v>64</v>
      </c>
      <c r="K95" s="40" t="s">
        <v>64</v>
      </c>
      <c r="L95" s="40" t="s">
        <v>64</v>
      </c>
      <c r="M95" s="40" t="s">
        <v>64</v>
      </c>
      <c r="N95" s="40" t="s">
        <v>64</v>
      </c>
      <c r="O95" s="40" t="s">
        <v>64</v>
      </c>
      <c r="P95" s="40" t="s">
        <v>64</v>
      </c>
      <c r="Q95" s="40" t="s">
        <v>64</v>
      </c>
      <c r="R95" s="40" t="s">
        <v>64</v>
      </c>
      <c r="S95" s="40" t="s">
        <v>64</v>
      </c>
      <c r="T95" s="40" t="s">
        <v>64</v>
      </c>
      <c r="U95" s="40" t="s">
        <v>64</v>
      </c>
      <c r="V95" s="40" t="s">
        <v>64</v>
      </c>
      <c r="W95" s="40" t="s">
        <v>64</v>
      </c>
      <c r="X95" s="40" t="s">
        <v>64</v>
      </c>
      <c r="Y95" s="40" t="s">
        <v>64</v>
      </c>
      <c r="Z95" s="40" t="s">
        <v>64</v>
      </c>
      <c r="AA95" s="40" t="s">
        <v>64</v>
      </c>
      <c r="AB95" s="40" t="s">
        <v>64</v>
      </c>
      <c r="AC95" s="40" t="s">
        <v>64</v>
      </c>
      <c r="AD95" s="40" t="s">
        <v>64</v>
      </c>
      <c r="AE95" s="40" t="s">
        <v>64</v>
      </c>
      <c r="AF95" s="40" t="s">
        <v>64</v>
      </c>
      <c r="AG95" s="40" t="s">
        <v>64</v>
      </c>
      <c r="AH95" s="40" t="s">
        <v>64</v>
      </c>
      <c r="AI95" s="40" t="s">
        <v>64</v>
      </c>
      <c r="AJ95" s="40" t="s">
        <v>64</v>
      </c>
      <c r="AK95" s="40" t="s">
        <v>64</v>
      </c>
      <c r="AL95" s="40" t="s">
        <v>64</v>
      </c>
      <c r="AM95" s="40" t="s">
        <v>64</v>
      </c>
      <c r="AN95" s="40" t="s">
        <v>64</v>
      </c>
      <c r="AO95" s="40" t="s">
        <v>64</v>
      </c>
      <c r="AP95" s="40" t="s">
        <v>64</v>
      </c>
      <c r="AQ95" s="40" t="s">
        <v>64</v>
      </c>
      <c r="AR95" s="40" t="s">
        <v>64</v>
      </c>
      <c r="AS95" s="40" t="s">
        <v>64</v>
      </c>
      <c r="AT95" s="40" t="s">
        <v>64</v>
      </c>
      <c r="AU95" s="40" t="s">
        <v>64</v>
      </c>
      <c r="AV95" s="40" t="s">
        <v>64</v>
      </c>
      <c r="AW95" s="40" t="s">
        <v>64</v>
      </c>
      <c r="AX95" s="40" t="s">
        <v>64</v>
      </c>
      <c r="AY95" s="40" t="s">
        <v>64</v>
      </c>
      <c r="AZ95" s="40" t="s">
        <v>64</v>
      </c>
      <c r="BA95" s="40" t="s">
        <v>64</v>
      </c>
      <c r="BB95" s="40" t="s">
        <v>64</v>
      </c>
    </row>
    <row r="96" spans="1:54" x14ac:dyDescent="0.2">
      <c r="A96" s="39" t="s">
        <v>535</v>
      </c>
      <c r="B96" s="39" t="s">
        <v>536</v>
      </c>
      <c r="C96" s="39" t="s">
        <v>535</v>
      </c>
      <c r="D96" s="40" t="s">
        <v>632</v>
      </c>
      <c r="E96" s="40" t="s">
        <v>212</v>
      </c>
      <c r="F96" s="40">
        <v>90</v>
      </c>
      <c r="G96" s="40">
        <v>5</v>
      </c>
      <c r="H96" s="40">
        <v>450</v>
      </c>
      <c r="I96" s="40">
        <v>20</v>
      </c>
      <c r="J96" s="40" t="s">
        <v>64</v>
      </c>
      <c r="K96" s="40" t="s">
        <v>64</v>
      </c>
      <c r="L96" s="40" t="s">
        <v>64</v>
      </c>
      <c r="M96" s="40" t="s">
        <v>64</v>
      </c>
      <c r="N96" s="40" t="s">
        <v>64</v>
      </c>
      <c r="O96" s="40" t="s">
        <v>64</v>
      </c>
      <c r="P96" s="40" t="s">
        <v>64</v>
      </c>
      <c r="Q96" s="40" t="s">
        <v>64</v>
      </c>
      <c r="R96" s="40" t="s">
        <v>64</v>
      </c>
      <c r="S96" s="40" t="s">
        <v>64</v>
      </c>
      <c r="T96" s="40" t="s">
        <v>64</v>
      </c>
      <c r="U96" s="40" t="s">
        <v>64</v>
      </c>
      <c r="V96" s="40" t="s">
        <v>64</v>
      </c>
      <c r="W96" s="40" t="s">
        <v>64</v>
      </c>
      <c r="X96" s="40" t="s">
        <v>64</v>
      </c>
      <c r="Y96" s="40" t="s">
        <v>64</v>
      </c>
      <c r="Z96" s="40" t="s">
        <v>64</v>
      </c>
      <c r="AA96" s="40" t="s">
        <v>64</v>
      </c>
      <c r="AB96" s="40" t="s">
        <v>64</v>
      </c>
      <c r="AC96" s="40" t="s">
        <v>64</v>
      </c>
      <c r="AD96" s="40" t="s">
        <v>64</v>
      </c>
      <c r="AE96" s="40" t="s">
        <v>64</v>
      </c>
      <c r="AF96" s="40" t="s">
        <v>64</v>
      </c>
      <c r="AG96" s="40" t="s">
        <v>64</v>
      </c>
      <c r="AH96" s="40" t="s">
        <v>64</v>
      </c>
      <c r="AI96" s="40" t="s">
        <v>64</v>
      </c>
      <c r="AJ96" s="40" t="s">
        <v>64</v>
      </c>
      <c r="AK96" s="40" t="s">
        <v>64</v>
      </c>
      <c r="AL96" s="40" t="s">
        <v>64</v>
      </c>
      <c r="AM96" s="40" t="s">
        <v>64</v>
      </c>
      <c r="AN96" s="40" t="s">
        <v>64</v>
      </c>
      <c r="AO96" s="40" t="s">
        <v>64</v>
      </c>
      <c r="AP96" s="40" t="s">
        <v>64</v>
      </c>
      <c r="AQ96" s="40" t="s">
        <v>64</v>
      </c>
      <c r="AR96" s="40" t="s">
        <v>64</v>
      </c>
      <c r="AS96" s="40" t="s">
        <v>64</v>
      </c>
      <c r="AT96" s="40" t="s">
        <v>64</v>
      </c>
      <c r="AU96" s="40" t="s">
        <v>64</v>
      </c>
      <c r="AV96" s="40" t="s">
        <v>64</v>
      </c>
      <c r="AW96" s="40" t="s">
        <v>64</v>
      </c>
      <c r="AX96" s="40" t="s">
        <v>64</v>
      </c>
      <c r="AY96" s="40" t="s">
        <v>64</v>
      </c>
      <c r="AZ96" s="40" t="s">
        <v>64</v>
      </c>
      <c r="BA96" s="40" t="s">
        <v>64</v>
      </c>
      <c r="BB96" s="40" t="s">
        <v>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392F7-B384-4B4E-8627-FDE89C236EDC}">
  <sheetPr codeName="Sheet4"/>
  <dimension ref="B2:J25"/>
  <sheetViews>
    <sheetView showGridLines="0" workbookViewId="0">
      <selection activeCell="D2" sqref="D2"/>
    </sheetView>
  </sheetViews>
  <sheetFormatPr defaultRowHeight="13.8" x14ac:dyDescent="0.25"/>
  <cols>
    <col min="2" max="2" width="22.796875" customWidth="1"/>
    <col min="4" max="4" width="90.796875" customWidth="1"/>
    <col min="5" max="5" width="4.796875" customWidth="1"/>
    <col min="6" max="6" width="8.796875" customWidth="1"/>
    <col min="7" max="7" width="5.69921875" customWidth="1"/>
    <col min="8" max="8" width="5.09765625" customWidth="1"/>
    <col min="9" max="9" width="6" customWidth="1"/>
  </cols>
  <sheetData>
    <row r="2" spans="2:10" x14ac:dyDescent="0.25">
      <c r="B2" s="28" t="s">
        <v>258</v>
      </c>
    </row>
    <row r="4" spans="2:10" ht="53.4" x14ac:dyDescent="0.25">
      <c r="B4" s="27" t="s">
        <v>252</v>
      </c>
      <c r="C4" s="26" t="s">
        <v>262</v>
      </c>
      <c r="D4" s="27" t="s">
        <v>254</v>
      </c>
      <c r="F4" s="2" t="s">
        <v>150</v>
      </c>
      <c r="H4" s="21" t="s">
        <v>227</v>
      </c>
    </row>
    <row r="5" spans="2:10" x14ac:dyDescent="0.25">
      <c r="B5" s="30" t="s">
        <v>228</v>
      </c>
      <c r="C5" s="4" t="s">
        <v>255</v>
      </c>
      <c r="D5" s="15" t="s">
        <v>266</v>
      </c>
      <c r="F5" s="9" t="s">
        <v>322</v>
      </c>
      <c r="H5" s="22">
        <v>1</v>
      </c>
      <c r="J5" t="s">
        <v>265</v>
      </c>
    </row>
    <row r="6" spans="2:10" x14ac:dyDescent="0.25">
      <c r="B6" s="30" t="s">
        <v>152</v>
      </c>
      <c r="C6" s="4" t="s">
        <v>255</v>
      </c>
      <c r="D6" s="15" t="s">
        <v>266</v>
      </c>
      <c r="F6" s="9" t="s">
        <v>323</v>
      </c>
      <c r="H6" s="22">
        <v>1</v>
      </c>
    </row>
    <row r="7" spans="2:10" x14ac:dyDescent="0.25">
      <c r="B7" s="30" t="s">
        <v>229</v>
      </c>
      <c r="C7" s="4" t="s">
        <v>255</v>
      </c>
      <c r="D7" s="15" t="s">
        <v>266</v>
      </c>
      <c r="F7" s="9" t="s">
        <v>325</v>
      </c>
      <c r="H7" s="22">
        <v>1</v>
      </c>
    </row>
    <row r="8" spans="2:10" x14ac:dyDescent="0.25">
      <c r="B8" s="30" t="s">
        <v>230</v>
      </c>
      <c r="C8" s="4" t="s">
        <v>256</v>
      </c>
      <c r="D8" s="15" t="s">
        <v>352</v>
      </c>
      <c r="F8" s="9" t="s">
        <v>326</v>
      </c>
      <c r="H8" s="22">
        <v>2</v>
      </c>
    </row>
    <row r="9" spans="2:10" x14ac:dyDescent="0.25">
      <c r="B9" s="30" t="s">
        <v>231</v>
      </c>
      <c r="C9" s="4" t="s">
        <v>255</v>
      </c>
      <c r="D9" s="15" t="s">
        <v>267</v>
      </c>
      <c r="F9" s="9" t="s">
        <v>327</v>
      </c>
      <c r="H9" s="22">
        <v>2</v>
      </c>
    </row>
    <row r="10" spans="2:10" x14ac:dyDescent="0.25">
      <c r="B10" s="30" t="s">
        <v>232</v>
      </c>
      <c r="C10" s="4" t="s">
        <v>255</v>
      </c>
      <c r="D10" s="15"/>
      <c r="F10" s="9" t="s">
        <v>328</v>
      </c>
      <c r="H10" s="22">
        <v>1</v>
      </c>
    </row>
    <row r="11" spans="2:10" x14ac:dyDescent="0.25">
      <c r="B11" s="30" t="s">
        <v>233</v>
      </c>
      <c r="C11" s="4" t="s">
        <v>256</v>
      </c>
      <c r="D11" s="15" t="s">
        <v>351</v>
      </c>
      <c r="F11" s="9" t="s">
        <v>329</v>
      </c>
      <c r="H11" s="22">
        <v>2</v>
      </c>
    </row>
    <row r="12" spans="2:10" x14ac:dyDescent="0.25">
      <c r="B12" s="30" t="s">
        <v>234</v>
      </c>
      <c r="C12" s="4" t="s">
        <v>255</v>
      </c>
      <c r="D12" s="15"/>
      <c r="F12" s="9" t="s">
        <v>330</v>
      </c>
      <c r="H12" s="22">
        <v>1</v>
      </c>
    </row>
    <row r="13" spans="2:10" x14ac:dyDescent="0.25">
      <c r="B13" s="30" t="s">
        <v>235</v>
      </c>
      <c r="C13" s="4" t="s">
        <v>255</v>
      </c>
      <c r="D13" s="15" t="s">
        <v>267</v>
      </c>
      <c r="F13" s="9" t="s">
        <v>331</v>
      </c>
      <c r="H13" s="22">
        <v>1</v>
      </c>
    </row>
    <row r="14" spans="2:10" x14ac:dyDescent="0.25">
      <c r="B14" s="75" t="s">
        <v>236</v>
      </c>
      <c r="C14" s="4" t="s">
        <v>255</v>
      </c>
      <c r="D14" s="74" t="s">
        <v>348</v>
      </c>
      <c r="F14" s="9" t="s">
        <v>332</v>
      </c>
      <c r="H14" s="22">
        <v>1</v>
      </c>
    </row>
    <row r="15" spans="2:10" x14ac:dyDescent="0.25">
      <c r="B15" s="30" t="s">
        <v>237</v>
      </c>
      <c r="C15" s="4" t="s">
        <v>255</v>
      </c>
      <c r="D15" s="74" t="s">
        <v>348</v>
      </c>
      <c r="F15" s="9" t="s">
        <v>333</v>
      </c>
      <c r="H15" s="22">
        <v>2</v>
      </c>
    </row>
    <row r="16" spans="2:10" x14ac:dyDescent="0.25">
      <c r="B16" s="30" t="s">
        <v>238</v>
      </c>
      <c r="C16" s="4" t="s">
        <v>255</v>
      </c>
      <c r="D16" s="15"/>
      <c r="F16" s="9" t="s">
        <v>334</v>
      </c>
      <c r="H16" s="22">
        <v>2</v>
      </c>
    </row>
    <row r="17" spans="2:8" x14ac:dyDescent="0.25">
      <c r="B17" s="30" t="s">
        <v>239</v>
      </c>
      <c r="C17" s="4" t="s">
        <v>255</v>
      </c>
      <c r="D17" s="15"/>
      <c r="F17" s="9" t="s">
        <v>335</v>
      </c>
      <c r="H17" s="22">
        <v>1</v>
      </c>
    </row>
    <row r="18" spans="2:8" x14ac:dyDescent="0.25">
      <c r="F18" s="9" t="s">
        <v>336</v>
      </c>
      <c r="H18" s="22">
        <v>2</v>
      </c>
    </row>
    <row r="19" spans="2:8" x14ac:dyDescent="0.25">
      <c r="F19" s="9" t="s">
        <v>337</v>
      </c>
      <c r="H19" s="22">
        <v>1</v>
      </c>
    </row>
    <row r="20" spans="2:8" x14ac:dyDescent="0.25">
      <c r="F20" s="9" t="s">
        <v>339</v>
      </c>
      <c r="H20" s="22">
        <v>1</v>
      </c>
    </row>
    <row r="21" spans="2:8" x14ac:dyDescent="0.25">
      <c r="F21" s="9" t="s">
        <v>340</v>
      </c>
      <c r="H21" s="22">
        <v>1</v>
      </c>
    </row>
    <row r="22" spans="2:8" x14ac:dyDescent="0.25">
      <c r="F22" s="9" t="s">
        <v>341</v>
      </c>
      <c r="H22" s="22">
        <v>2</v>
      </c>
    </row>
    <row r="23" spans="2:8" x14ac:dyDescent="0.25">
      <c r="F23" s="9" t="s">
        <v>342</v>
      </c>
      <c r="H23" s="22">
        <v>2</v>
      </c>
    </row>
    <row r="24" spans="2:8" x14ac:dyDescent="0.25">
      <c r="F24" s="9" t="s">
        <v>343</v>
      </c>
      <c r="H24" s="22">
        <v>1</v>
      </c>
    </row>
    <row r="25" spans="2:8" x14ac:dyDescent="0.25">
      <c r="F25" s="9" t="s">
        <v>344</v>
      </c>
      <c r="H25" s="22">
        <v>2</v>
      </c>
    </row>
  </sheetData>
  <conditionalFormatting sqref="H5:H25">
    <cfRule type="cellIs" dxfId="147" priority="7" operator="equal">
      <formula>0</formula>
    </cfRule>
    <cfRule type="cellIs" dxfId="146" priority="8" operator="equal">
      <formula>1</formula>
    </cfRule>
    <cfRule type="cellIs" dxfId="145" priority="9" operator="equal">
      <formula>2</formula>
    </cfRule>
    <cfRule type="cellIs" dxfId="144" priority="10" operator="equal">
      <formula>3</formula>
    </cfRule>
    <cfRule type="cellIs" dxfId="143" priority="11" operator="equal">
      <formula>4</formula>
    </cfRule>
    <cfRule type="cellIs" dxfId="142" priority="12" operator="equal">
      <formula>5</formula>
    </cfRule>
    <cfRule type="cellIs" dxfId="141" priority="13" operator="equal">
      <formula>6</formula>
    </cfRule>
    <cfRule type="cellIs" dxfId="140" priority="14" operator="equal">
      <formula>7</formula>
    </cfRule>
    <cfRule type="cellIs" dxfId="139" priority="15" operator="equal">
      <formula>8</formula>
    </cfRule>
    <cfRule type="cellIs" dxfId="138" priority="16" operator="equal">
      <formula>9</formula>
    </cfRule>
    <cfRule type="cellIs" dxfId="137" priority="17" operator="equal">
      <formula>10</formula>
    </cfRule>
    <cfRule type="cellIs" dxfId="136" priority="18" operator="equal">
      <formula>11</formula>
    </cfRule>
    <cfRule type="cellIs" dxfId="135" priority="19" operator="equal">
      <formula>12</formula>
    </cfRule>
    <cfRule type="cellIs" dxfId="134" priority="20" operator="equal">
      <formula>13</formula>
    </cfRule>
    <cfRule type="cellIs" dxfId="133" priority="21" operator="equal">
      <formula>14</formula>
    </cfRule>
    <cfRule type="cellIs" dxfId="132" priority="22" operator="equal">
      <formula>15</formula>
    </cfRule>
    <cfRule type="cellIs" dxfId="131" priority="23" operator="equal">
      <formula>16</formula>
    </cfRule>
    <cfRule type="cellIs" dxfId="130" priority="24" operator="equal">
      <formula>17</formula>
    </cfRule>
    <cfRule type="cellIs" dxfId="129" priority="25" operator="equal">
      <formula>18</formula>
    </cfRule>
    <cfRule type="cellIs" dxfId="128" priority="26" operator="equal">
      <formula>19</formula>
    </cfRule>
    <cfRule type="cellIs" dxfId="127" priority="27" operator="equal">
      <formula>20</formula>
    </cfRule>
    <cfRule type="cellIs" dxfId="126" priority="28" operator="equal">
      <formula>21</formula>
    </cfRule>
    <cfRule type="cellIs" dxfId="125" priority="29" operator="equal">
      <formula>22</formula>
    </cfRule>
    <cfRule type="cellIs" dxfId="124" priority="30" operator="equal">
      <formula>23</formula>
    </cfRule>
    <cfRule type="cellIs" dxfId="123" priority="31" operator="equal">
      <formula>24</formula>
    </cfRule>
    <cfRule type="cellIs" dxfId="122" priority="32" operator="equal">
      <formula>25</formula>
    </cfRule>
    <cfRule type="cellIs" dxfId="121" priority="33" operator="equal">
      <formula>26</formula>
    </cfRule>
    <cfRule type="cellIs" dxfId="120" priority="34" operator="equal">
      <formula>27</formula>
    </cfRule>
    <cfRule type="cellIs" dxfId="119" priority="35" operator="equal">
      <formula>28</formula>
    </cfRule>
    <cfRule type="cellIs" dxfId="118" priority="36" operator="equal">
      <formula>29</formula>
    </cfRule>
    <cfRule type="cellIs" dxfId="117" priority="37" operator="equal">
      <formula>30</formula>
    </cfRule>
    <cfRule type="cellIs" dxfId="116" priority="38" operator="equal">
      <formula>31</formula>
    </cfRule>
    <cfRule type="cellIs" dxfId="115" priority="39" operator="equal">
      <formula>32</formula>
    </cfRule>
    <cfRule type="cellIs" dxfId="114" priority="40" operator="equal">
      <formula>33</formula>
    </cfRule>
    <cfRule type="cellIs" dxfId="113" priority="41" operator="equal">
      <formula>34</formula>
    </cfRule>
  </conditionalFormatting>
  <conditionalFormatting sqref="C7:C17">
    <cfRule type="cellIs" dxfId="112" priority="5" operator="equal">
      <formula>"Yes"</formula>
    </cfRule>
    <cfRule type="cellIs" dxfId="111" priority="6" operator="equal">
      <formula>"No"</formula>
    </cfRule>
  </conditionalFormatting>
  <conditionalFormatting sqref="C5">
    <cfRule type="cellIs" dxfId="110" priority="3" operator="equal">
      <formula>"Yes"</formula>
    </cfRule>
    <cfRule type="cellIs" dxfId="109" priority="4" operator="equal">
      <formula>"No"</formula>
    </cfRule>
  </conditionalFormatting>
  <conditionalFormatting sqref="C6">
    <cfRule type="cellIs" dxfId="108" priority="1" operator="equal">
      <formula>"Yes"</formula>
    </cfRule>
    <cfRule type="cellIs" dxfId="107" priority="2" operator="equal">
      <formula>"No"</formula>
    </cfRule>
  </conditionalFormatting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E707-582D-4A62-A709-A83C48965B79}">
  <sheetPr codeName="Sheet5">
    <tabColor theme="7" tint="0.79998168889431442"/>
  </sheetPr>
  <dimension ref="A1:Q96"/>
  <sheetViews>
    <sheetView showGridLines="0" workbookViewId="0">
      <selection activeCell="T6" sqref="T6"/>
    </sheetView>
  </sheetViews>
  <sheetFormatPr defaultRowHeight="11.4" x14ac:dyDescent="0.2"/>
  <cols>
    <col min="1" max="3" width="8.796875" style="38"/>
    <col min="4" max="4" width="12.8984375" style="38" customWidth="1"/>
    <col min="5" max="5" width="9" style="38" customWidth="1"/>
    <col min="6" max="6" width="24.796875" style="38" customWidth="1"/>
    <col min="7" max="7" width="8.796875" style="72"/>
    <col min="8" max="8" width="3.5" style="38" customWidth="1"/>
    <col min="9" max="9" width="6.09765625" style="38" customWidth="1"/>
    <col min="10" max="10" width="5.09765625" style="38" customWidth="1"/>
    <col min="11" max="11" width="3.5" style="38" customWidth="1"/>
    <col min="12" max="13" width="6.09765625" style="38" customWidth="1"/>
    <col min="14" max="14" width="8" style="72" customWidth="1"/>
    <col min="15" max="15" width="8.69921875" style="72" customWidth="1"/>
    <col min="16" max="17" width="6.09765625" style="38" customWidth="1"/>
    <col min="18" max="16384" width="8.796875" style="38"/>
  </cols>
  <sheetData>
    <row r="1" spans="1:17" ht="67.8" customHeight="1" x14ac:dyDescent="0.2">
      <c r="A1" s="35" t="s">
        <v>93</v>
      </c>
      <c r="B1" s="35" t="s">
        <v>92</v>
      </c>
      <c r="C1" s="35" t="s">
        <v>0</v>
      </c>
      <c r="D1" s="35" t="s">
        <v>8</v>
      </c>
      <c r="E1" s="45" t="s">
        <v>228</v>
      </c>
      <c r="F1" s="45" t="s">
        <v>152</v>
      </c>
      <c r="G1" s="70" t="s">
        <v>229</v>
      </c>
      <c r="H1" s="45" t="s">
        <v>230</v>
      </c>
      <c r="I1" s="45" t="s">
        <v>231</v>
      </c>
      <c r="J1" s="45" t="s">
        <v>232</v>
      </c>
      <c r="K1" s="45" t="s">
        <v>233</v>
      </c>
      <c r="L1" s="45" t="s">
        <v>234</v>
      </c>
      <c r="M1" s="45" t="s">
        <v>235</v>
      </c>
      <c r="N1" s="70" t="s">
        <v>236</v>
      </c>
      <c r="O1" s="70" t="s">
        <v>237</v>
      </c>
      <c r="P1" s="45" t="s">
        <v>238</v>
      </c>
      <c r="Q1" s="45" t="s">
        <v>239</v>
      </c>
    </row>
    <row r="2" spans="1:17" ht="12" x14ac:dyDescent="0.2">
      <c r="A2" s="39" t="s">
        <v>441</v>
      </c>
      <c r="B2" s="39" t="s">
        <v>536</v>
      </c>
      <c r="C2" s="39" t="s">
        <v>441</v>
      </c>
      <c r="D2" s="40" t="s">
        <v>537</v>
      </c>
      <c r="E2" s="40" t="s">
        <v>353</v>
      </c>
      <c r="F2" s="40" t="s">
        <v>433</v>
      </c>
      <c r="G2" s="71" t="s">
        <v>434</v>
      </c>
      <c r="H2" s="22">
        <v>1</v>
      </c>
      <c r="I2" s="46">
        <v>0.73</v>
      </c>
      <c r="J2" s="46" t="s">
        <v>240</v>
      </c>
      <c r="K2" s="13">
        <v>1</v>
      </c>
      <c r="L2" s="46"/>
      <c r="M2" s="46">
        <v>85</v>
      </c>
      <c r="N2" s="73" t="s">
        <v>347</v>
      </c>
      <c r="O2" s="73" t="s">
        <v>347</v>
      </c>
      <c r="P2" s="46" t="s">
        <v>435</v>
      </c>
      <c r="Q2" s="46" t="s">
        <v>436</v>
      </c>
    </row>
    <row r="3" spans="1:17" ht="12" x14ac:dyDescent="0.2">
      <c r="A3" s="39" t="s">
        <v>442</v>
      </c>
      <c r="B3" s="39" t="s">
        <v>536</v>
      </c>
      <c r="C3" s="39" t="s">
        <v>442</v>
      </c>
      <c r="D3" s="40" t="s">
        <v>539</v>
      </c>
      <c r="E3" s="40" t="s">
        <v>353</v>
      </c>
      <c r="F3" s="40" t="s">
        <v>433</v>
      </c>
      <c r="G3" s="71" t="s">
        <v>434</v>
      </c>
      <c r="H3" s="22">
        <v>1</v>
      </c>
      <c r="I3" s="46">
        <v>0.73</v>
      </c>
      <c r="J3" s="46" t="s">
        <v>240</v>
      </c>
      <c r="K3" s="13">
        <v>1</v>
      </c>
      <c r="L3" s="46"/>
      <c r="M3" s="46">
        <v>85</v>
      </c>
      <c r="N3" s="73" t="s">
        <v>347</v>
      </c>
      <c r="O3" s="73" t="s">
        <v>347</v>
      </c>
      <c r="P3" s="46" t="s">
        <v>435</v>
      </c>
      <c r="Q3" s="46" t="s">
        <v>436</v>
      </c>
    </row>
    <row r="4" spans="1:17" ht="12" x14ac:dyDescent="0.2">
      <c r="A4" s="39" t="s">
        <v>443</v>
      </c>
      <c r="B4" s="39" t="s">
        <v>536</v>
      </c>
      <c r="C4" s="39" t="s">
        <v>443</v>
      </c>
      <c r="D4" s="40" t="s">
        <v>540</v>
      </c>
      <c r="E4" s="40" t="s">
        <v>353</v>
      </c>
      <c r="F4" s="40" t="s">
        <v>433</v>
      </c>
      <c r="G4" s="71" t="s">
        <v>434</v>
      </c>
      <c r="H4" s="22">
        <v>1</v>
      </c>
      <c r="I4" s="46">
        <v>0.73</v>
      </c>
      <c r="J4" s="46" t="s">
        <v>240</v>
      </c>
      <c r="K4" s="13">
        <v>1</v>
      </c>
      <c r="L4" s="46"/>
      <c r="M4" s="46">
        <v>85</v>
      </c>
      <c r="N4" s="73" t="s">
        <v>347</v>
      </c>
      <c r="O4" s="73" t="s">
        <v>347</v>
      </c>
      <c r="P4" s="46" t="s">
        <v>435</v>
      </c>
      <c r="Q4" s="46" t="s">
        <v>436</v>
      </c>
    </row>
    <row r="5" spans="1:17" ht="12" x14ac:dyDescent="0.2">
      <c r="A5" s="39" t="s">
        <v>444</v>
      </c>
      <c r="B5" s="39" t="s">
        <v>536</v>
      </c>
      <c r="C5" s="39" t="s">
        <v>444</v>
      </c>
      <c r="D5" s="40" t="s">
        <v>541</v>
      </c>
      <c r="E5" s="40" t="s">
        <v>353</v>
      </c>
      <c r="F5" s="40" t="s">
        <v>433</v>
      </c>
      <c r="G5" s="71" t="s">
        <v>434</v>
      </c>
      <c r="H5" s="22">
        <v>1</v>
      </c>
      <c r="I5" s="46">
        <v>0.73</v>
      </c>
      <c r="J5" s="46" t="s">
        <v>240</v>
      </c>
      <c r="K5" s="13">
        <v>1</v>
      </c>
      <c r="L5" s="46"/>
      <c r="M5" s="46">
        <v>85</v>
      </c>
      <c r="N5" s="73" t="s">
        <v>347</v>
      </c>
      <c r="O5" s="73" t="s">
        <v>347</v>
      </c>
      <c r="P5" s="46" t="s">
        <v>435</v>
      </c>
      <c r="Q5" s="46" t="s">
        <v>436</v>
      </c>
    </row>
    <row r="6" spans="1:17" ht="12" x14ac:dyDescent="0.2">
      <c r="A6" s="39" t="s">
        <v>445</v>
      </c>
      <c r="B6" s="39" t="s">
        <v>536</v>
      </c>
      <c r="C6" s="39" t="s">
        <v>445</v>
      </c>
      <c r="D6" s="40" t="s">
        <v>542</v>
      </c>
      <c r="E6" s="40" t="s">
        <v>353</v>
      </c>
      <c r="F6" s="40" t="s">
        <v>433</v>
      </c>
      <c r="G6" s="71" t="s">
        <v>434</v>
      </c>
      <c r="H6" s="22">
        <v>1</v>
      </c>
      <c r="I6" s="46">
        <v>0.73</v>
      </c>
      <c r="J6" s="46" t="s">
        <v>240</v>
      </c>
      <c r="K6" s="13">
        <v>1</v>
      </c>
      <c r="L6" s="46"/>
      <c r="M6" s="46">
        <v>85</v>
      </c>
      <c r="N6" s="73" t="s">
        <v>347</v>
      </c>
      <c r="O6" s="73" t="s">
        <v>347</v>
      </c>
      <c r="P6" s="46" t="s">
        <v>435</v>
      </c>
      <c r="Q6" s="46" t="s">
        <v>436</v>
      </c>
    </row>
    <row r="7" spans="1:17" ht="12" x14ac:dyDescent="0.2">
      <c r="A7" s="39" t="s">
        <v>446</v>
      </c>
      <c r="B7" s="39" t="s">
        <v>536</v>
      </c>
      <c r="C7" s="39" t="s">
        <v>446</v>
      </c>
      <c r="D7" s="40" t="s">
        <v>543</v>
      </c>
      <c r="E7" s="40" t="s">
        <v>353</v>
      </c>
      <c r="F7" s="40" t="s">
        <v>433</v>
      </c>
      <c r="G7" s="71" t="s">
        <v>434</v>
      </c>
      <c r="H7" s="22">
        <v>1</v>
      </c>
      <c r="I7" s="46">
        <v>0.73</v>
      </c>
      <c r="J7" s="46" t="s">
        <v>240</v>
      </c>
      <c r="K7" s="13">
        <v>1</v>
      </c>
      <c r="L7" s="46"/>
      <c r="M7" s="46">
        <v>85</v>
      </c>
      <c r="N7" s="73" t="s">
        <v>347</v>
      </c>
      <c r="O7" s="73" t="s">
        <v>347</v>
      </c>
      <c r="P7" s="46" t="s">
        <v>435</v>
      </c>
      <c r="Q7" s="46" t="s">
        <v>436</v>
      </c>
    </row>
    <row r="8" spans="1:17" ht="12" x14ac:dyDescent="0.2">
      <c r="A8" s="39" t="s">
        <v>447</v>
      </c>
      <c r="B8" s="39" t="s">
        <v>536</v>
      </c>
      <c r="C8" s="39" t="s">
        <v>447</v>
      </c>
      <c r="D8" s="40" t="s">
        <v>544</v>
      </c>
      <c r="E8" s="40" t="s">
        <v>353</v>
      </c>
      <c r="F8" s="40" t="s">
        <v>433</v>
      </c>
      <c r="G8" s="71" t="s">
        <v>434</v>
      </c>
      <c r="H8" s="22">
        <v>1</v>
      </c>
      <c r="I8" s="46">
        <v>0.73</v>
      </c>
      <c r="J8" s="46" t="s">
        <v>240</v>
      </c>
      <c r="K8" s="13">
        <v>1</v>
      </c>
      <c r="L8" s="46"/>
      <c r="M8" s="46">
        <v>85</v>
      </c>
      <c r="N8" s="73" t="s">
        <v>347</v>
      </c>
      <c r="O8" s="73" t="s">
        <v>347</v>
      </c>
      <c r="P8" s="46" t="s">
        <v>435</v>
      </c>
      <c r="Q8" s="46" t="s">
        <v>436</v>
      </c>
    </row>
    <row r="9" spans="1:17" ht="12" x14ac:dyDescent="0.2">
      <c r="A9" s="39" t="s">
        <v>448</v>
      </c>
      <c r="B9" s="39" t="s">
        <v>536</v>
      </c>
      <c r="C9" s="39" t="s">
        <v>448</v>
      </c>
      <c r="D9" s="40" t="s">
        <v>545</v>
      </c>
      <c r="E9" s="40" t="s">
        <v>353</v>
      </c>
      <c r="F9" s="40" t="s">
        <v>433</v>
      </c>
      <c r="G9" s="71" t="s">
        <v>434</v>
      </c>
      <c r="H9" s="22">
        <v>1</v>
      </c>
      <c r="I9" s="46">
        <v>0.73</v>
      </c>
      <c r="J9" s="46" t="s">
        <v>240</v>
      </c>
      <c r="K9" s="13">
        <v>1</v>
      </c>
      <c r="L9" s="46"/>
      <c r="M9" s="46">
        <v>85</v>
      </c>
      <c r="N9" s="73" t="s">
        <v>347</v>
      </c>
      <c r="O9" s="73" t="s">
        <v>347</v>
      </c>
      <c r="P9" s="46" t="s">
        <v>435</v>
      </c>
      <c r="Q9" s="46" t="s">
        <v>436</v>
      </c>
    </row>
    <row r="10" spans="1:17" ht="12" x14ac:dyDescent="0.2">
      <c r="A10" s="39" t="s">
        <v>449</v>
      </c>
      <c r="B10" s="39" t="s">
        <v>536</v>
      </c>
      <c r="C10" s="39" t="s">
        <v>449</v>
      </c>
      <c r="D10" s="40" t="s">
        <v>546</v>
      </c>
      <c r="E10" s="40" t="s">
        <v>353</v>
      </c>
      <c r="F10" s="40" t="s">
        <v>433</v>
      </c>
      <c r="G10" s="71" t="s">
        <v>434</v>
      </c>
      <c r="H10" s="22">
        <v>1</v>
      </c>
      <c r="I10" s="46">
        <v>0.73</v>
      </c>
      <c r="J10" s="46" t="s">
        <v>240</v>
      </c>
      <c r="K10" s="13">
        <v>1</v>
      </c>
      <c r="L10" s="46"/>
      <c r="M10" s="46">
        <v>85</v>
      </c>
      <c r="N10" s="73" t="s">
        <v>347</v>
      </c>
      <c r="O10" s="73" t="s">
        <v>347</v>
      </c>
      <c r="P10" s="46" t="s">
        <v>435</v>
      </c>
      <c r="Q10" s="46" t="s">
        <v>436</v>
      </c>
    </row>
    <row r="11" spans="1:17" ht="12" x14ac:dyDescent="0.2">
      <c r="A11" s="39" t="s">
        <v>450</v>
      </c>
      <c r="B11" s="39" t="s">
        <v>536</v>
      </c>
      <c r="C11" s="39" t="s">
        <v>450</v>
      </c>
      <c r="D11" s="40" t="s">
        <v>547</v>
      </c>
      <c r="E11" s="40" t="s">
        <v>353</v>
      </c>
      <c r="F11" s="40" t="s">
        <v>433</v>
      </c>
      <c r="G11" s="71" t="s">
        <v>434</v>
      </c>
      <c r="H11" s="22">
        <v>1</v>
      </c>
      <c r="I11" s="46">
        <v>0.73</v>
      </c>
      <c r="J11" s="46" t="s">
        <v>240</v>
      </c>
      <c r="K11" s="13">
        <v>1</v>
      </c>
      <c r="L11" s="46"/>
      <c r="M11" s="46">
        <v>85</v>
      </c>
      <c r="N11" s="73" t="s">
        <v>347</v>
      </c>
      <c r="O11" s="73" t="s">
        <v>347</v>
      </c>
      <c r="P11" s="46" t="s">
        <v>435</v>
      </c>
      <c r="Q11" s="46" t="s">
        <v>436</v>
      </c>
    </row>
    <row r="12" spans="1:17" ht="12" x14ac:dyDescent="0.2">
      <c r="A12" s="39" t="s">
        <v>451</v>
      </c>
      <c r="B12" s="39" t="s">
        <v>536</v>
      </c>
      <c r="C12" s="39" t="s">
        <v>451</v>
      </c>
      <c r="D12" s="40" t="s">
        <v>548</v>
      </c>
      <c r="E12" s="40" t="s">
        <v>353</v>
      </c>
      <c r="F12" s="40" t="s">
        <v>433</v>
      </c>
      <c r="G12" s="71" t="s">
        <v>434</v>
      </c>
      <c r="H12" s="22">
        <v>1</v>
      </c>
      <c r="I12" s="46">
        <v>0.73</v>
      </c>
      <c r="J12" s="46" t="s">
        <v>240</v>
      </c>
      <c r="K12" s="13">
        <v>1</v>
      </c>
      <c r="L12" s="46"/>
      <c r="M12" s="46">
        <v>85</v>
      </c>
      <c r="N12" s="73" t="s">
        <v>347</v>
      </c>
      <c r="O12" s="73" t="s">
        <v>347</v>
      </c>
      <c r="P12" s="46" t="s">
        <v>435</v>
      </c>
      <c r="Q12" s="46" t="s">
        <v>436</v>
      </c>
    </row>
    <row r="13" spans="1:17" ht="12" x14ac:dyDescent="0.2">
      <c r="A13" s="39" t="s">
        <v>452</v>
      </c>
      <c r="B13" s="39" t="s">
        <v>536</v>
      </c>
      <c r="C13" s="39" t="s">
        <v>452</v>
      </c>
      <c r="D13" s="40" t="s">
        <v>549</v>
      </c>
      <c r="E13" s="40" t="s">
        <v>353</v>
      </c>
      <c r="F13" s="40" t="s">
        <v>433</v>
      </c>
      <c r="G13" s="71" t="s">
        <v>434</v>
      </c>
      <c r="H13" s="22">
        <v>1</v>
      </c>
      <c r="I13" s="46">
        <v>0.73</v>
      </c>
      <c r="J13" s="46" t="s">
        <v>240</v>
      </c>
      <c r="K13" s="13">
        <v>1</v>
      </c>
      <c r="L13" s="46"/>
      <c r="M13" s="46">
        <v>85</v>
      </c>
      <c r="N13" s="73" t="s">
        <v>347</v>
      </c>
      <c r="O13" s="73" t="s">
        <v>347</v>
      </c>
      <c r="P13" s="46" t="s">
        <v>435</v>
      </c>
      <c r="Q13" s="46" t="s">
        <v>436</v>
      </c>
    </row>
    <row r="14" spans="1:17" ht="12" x14ac:dyDescent="0.2">
      <c r="A14" s="39" t="s">
        <v>453</v>
      </c>
      <c r="B14" s="39" t="s">
        <v>536</v>
      </c>
      <c r="C14" s="39" t="s">
        <v>453</v>
      </c>
      <c r="D14" s="40" t="s">
        <v>550</v>
      </c>
      <c r="E14" s="40" t="s">
        <v>353</v>
      </c>
      <c r="F14" s="40" t="s">
        <v>433</v>
      </c>
      <c r="G14" s="71" t="s">
        <v>434</v>
      </c>
      <c r="H14" s="22">
        <v>1</v>
      </c>
      <c r="I14" s="46">
        <v>0.73</v>
      </c>
      <c r="J14" s="46" t="s">
        <v>240</v>
      </c>
      <c r="K14" s="13">
        <v>1</v>
      </c>
      <c r="L14" s="46"/>
      <c r="M14" s="46">
        <v>85</v>
      </c>
      <c r="N14" s="73" t="s">
        <v>347</v>
      </c>
      <c r="O14" s="73" t="s">
        <v>347</v>
      </c>
      <c r="P14" s="46" t="s">
        <v>435</v>
      </c>
      <c r="Q14" s="46" t="s">
        <v>436</v>
      </c>
    </row>
    <row r="15" spans="1:17" ht="12" x14ac:dyDescent="0.2">
      <c r="A15" s="39" t="s">
        <v>454</v>
      </c>
      <c r="B15" s="39" t="s">
        <v>536</v>
      </c>
      <c r="C15" s="39" t="s">
        <v>454</v>
      </c>
      <c r="D15" s="40" t="s">
        <v>551</v>
      </c>
      <c r="E15" s="40" t="s">
        <v>353</v>
      </c>
      <c r="F15" s="40" t="s">
        <v>433</v>
      </c>
      <c r="G15" s="71" t="s">
        <v>434</v>
      </c>
      <c r="H15" s="22">
        <v>1</v>
      </c>
      <c r="I15" s="46">
        <v>0.73</v>
      </c>
      <c r="J15" s="46" t="s">
        <v>240</v>
      </c>
      <c r="K15" s="13">
        <v>1</v>
      </c>
      <c r="L15" s="46"/>
      <c r="M15" s="46">
        <v>85</v>
      </c>
      <c r="N15" s="73" t="s">
        <v>347</v>
      </c>
      <c r="O15" s="73" t="s">
        <v>347</v>
      </c>
      <c r="P15" s="46" t="s">
        <v>435</v>
      </c>
      <c r="Q15" s="46" t="s">
        <v>436</v>
      </c>
    </row>
    <row r="16" spans="1:17" ht="12" x14ac:dyDescent="0.2">
      <c r="A16" s="39" t="s">
        <v>455</v>
      </c>
      <c r="B16" s="39" t="s">
        <v>536</v>
      </c>
      <c r="C16" s="39" t="s">
        <v>455</v>
      </c>
      <c r="D16" s="40" t="s">
        <v>552</v>
      </c>
      <c r="E16" s="40" t="s">
        <v>353</v>
      </c>
      <c r="F16" s="40" t="s">
        <v>433</v>
      </c>
      <c r="G16" s="71" t="s">
        <v>434</v>
      </c>
      <c r="H16" s="22">
        <v>1</v>
      </c>
      <c r="I16" s="46">
        <v>0.73</v>
      </c>
      <c r="J16" s="46" t="s">
        <v>240</v>
      </c>
      <c r="K16" s="13">
        <v>1</v>
      </c>
      <c r="L16" s="46"/>
      <c r="M16" s="46">
        <v>85</v>
      </c>
      <c r="N16" s="73" t="s">
        <v>347</v>
      </c>
      <c r="O16" s="73" t="s">
        <v>347</v>
      </c>
      <c r="P16" s="46" t="s">
        <v>435</v>
      </c>
      <c r="Q16" s="46" t="s">
        <v>436</v>
      </c>
    </row>
    <row r="17" spans="1:17" ht="12" x14ac:dyDescent="0.2">
      <c r="A17" s="39" t="s">
        <v>456</v>
      </c>
      <c r="B17" s="39" t="s">
        <v>536</v>
      </c>
      <c r="C17" s="39" t="s">
        <v>456</v>
      </c>
      <c r="D17" s="40" t="s">
        <v>553</v>
      </c>
      <c r="E17" s="40" t="s">
        <v>353</v>
      </c>
      <c r="F17" s="40" t="s">
        <v>433</v>
      </c>
      <c r="G17" s="71" t="s">
        <v>434</v>
      </c>
      <c r="H17" s="22">
        <v>1</v>
      </c>
      <c r="I17" s="46">
        <v>0.73</v>
      </c>
      <c r="J17" s="46" t="s">
        <v>240</v>
      </c>
      <c r="K17" s="13">
        <v>1</v>
      </c>
      <c r="L17" s="46"/>
      <c r="M17" s="46">
        <v>85</v>
      </c>
      <c r="N17" s="73" t="s">
        <v>347</v>
      </c>
      <c r="O17" s="73" t="s">
        <v>347</v>
      </c>
      <c r="P17" s="46" t="s">
        <v>435</v>
      </c>
      <c r="Q17" s="46" t="s">
        <v>436</v>
      </c>
    </row>
    <row r="18" spans="1:17" ht="12" x14ac:dyDescent="0.2">
      <c r="A18" s="39" t="s">
        <v>457</v>
      </c>
      <c r="B18" s="39" t="s">
        <v>536</v>
      </c>
      <c r="C18" s="39" t="s">
        <v>457</v>
      </c>
      <c r="D18" s="40" t="s">
        <v>554</v>
      </c>
      <c r="E18" s="40" t="s">
        <v>353</v>
      </c>
      <c r="F18" s="40" t="s">
        <v>433</v>
      </c>
      <c r="G18" s="71" t="s">
        <v>434</v>
      </c>
      <c r="H18" s="22">
        <v>1</v>
      </c>
      <c r="I18" s="46">
        <v>0.73</v>
      </c>
      <c r="J18" s="46" t="s">
        <v>240</v>
      </c>
      <c r="K18" s="13">
        <v>1</v>
      </c>
      <c r="L18" s="46"/>
      <c r="M18" s="46">
        <v>85</v>
      </c>
      <c r="N18" s="73" t="s">
        <v>347</v>
      </c>
      <c r="O18" s="73" t="s">
        <v>347</v>
      </c>
      <c r="P18" s="46" t="s">
        <v>435</v>
      </c>
      <c r="Q18" s="46" t="s">
        <v>436</v>
      </c>
    </row>
    <row r="19" spans="1:17" ht="12" x14ac:dyDescent="0.2">
      <c r="A19" s="39" t="s">
        <v>458</v>
      </c>
      <c r="B19" s="39" t="s">
        <v>536</v>
      </c>
      <c r="C19" s="39" t="s">
        <v>458</v>
      </c>
      <c r="D19" s="40" t="s">
        <v>555</v>
      </c>
      <c r="E19" s="40" t="s">
        <v>353</v>
      </c>
      <c r="F19" s="40" t="s">
        <v>433</v>
      </c>
      <c r="G19" s="71" t="s">
        <v>434</v>
      </c>
      <c r="H19" s="22">
        <v>1</v>
      </c>
      <c r="I19" s="46">
        <v>0.73</v>
      </c>
      <c r="J19" s="46" t="s">
        <v>240</v>
      </c>
      <c r="K19" s="13">
        <v>1</v>
      </c>
      <c r="L19" s="46"/>
      <c r="M19" s="46">
        <v>85</v>
      </c>
      <c r="N19" s="73" t="s">
        <v>347</v>
      </c>
      <c r="O19" s="73" t="s">
        <v>347</v>
      </c>
      <c r="P19" s="46" t="s">
        <v>435</v>
      </c>
      <c r="Q19" s="46" t="s">
        <v>436</v>
      </c>
    </row>
    <row r="20" spans="1:17" ht="12" x14ac:dyDescent="0.2">
      <c r="A20" s="39" t="s">
        <v>459</v>
      </c>
      <c r="B20" s="39" t="s">
        <v>536</v>
      </c>
      <c r="C20" s="39" t="s">
        <v>459</v>
      </c>
      <c r="D20" s="40" t="s">
        <v>556</v>
      </c>
      <c r="E20" s="40" t="s">
        <v>353</v>
      </c>
      <c r="F20" s="40" t="s">
        <v>433</v>
      </c>
      <c r="G20" s="71" t="s">
        <v>434</v>
      </c>
      <c r="H20" s="22">
        <v>1</v>
      </c>
      <c r="I20" s="46">
        <v>0.73</v>
      </c>
      <c r="J20" s="46" t="s">
        <v>240</v>
      </c>
      <c r="K20" s="13">
        <v>1</v>
      </c>
      <c r="L20" s="46"/>
      <c r="M20" s="46">
        <v>85</v>
      </c>
      <c r="N20" s="73" t="s">
        <v>347</v>
      </c>
      <c r="O20" s="73" t="s">
        <v>347</v>
      </c>
      <c r="P20" s="46" t="s">
        <v>435</v>
      </c>
      <c r="Q20" s="46" t="s">
        <v>436</v>
      </c>
    </row>
    <row r="21" spans="1:17" ht="12" x14ac:dyDescent="0.2">
      <c r="A21" s="39" t="s">
        <v>460</v>
      </c>
      <c r="B21" s="39" t="s">
        <v>536</v>
      </c>
      <c r="C21" s="39" t="s">
        <v>460</v>
      </c>
      <c r="D21" s="40" t="s">
        <v>557</v>
      </c>
      <c r="E21" s="40" t="s">
        <v>353</v>
      </c>
      <c r="F21" s="40" t="s">
        <v>433</v>
      </c>
      <c r="G21" s="71" t="s">
        <v>434</v>
      </c>
      <c r="H21" s="22">
        <v>1</v>
      </c>
      <c r="I21" s="46">
        <v>0.73</v>
      </c>
      <c r="J21" s="46" t="s">
        <v>240</v>
      </c>
      <c r="K21" s="13">
        <v>1</v>
      </c>
      <c r="L21" s="46"/>
      <c r="M21" s="46">
        <v>85</v>
      </c>
      <c r="N21" s="73" t="s">
        <v>347</v>
      </c>
      <c r="O21" s="73" t="s">
        <v>347</v>
      </c>
      <c r="P21" s="46" t="s">
        <v>435</v>
      </c>
      <c r="Q21" s="46" t="s">
        <v>436</v>
      </c>
    </row>
    <row r="22" spans="1:17" ht="12" x14ac:dyDescent="0.2">
      <c r="A22" s="39" t="s">
        <v>461</v>
      </c>
      <c r="B22" s="39" t="s">
        <v>536</v>
      </c>
      <c r="C22" s="39" t="s">
        <v>461</v>
      </c>
      <c r="D22" s="40" t="s">
        <v>558</v>
      </c>
      <c r="E22" s="40" t="s">
        <v>353</v>
      </c>
      <c r="F22" s="40" t="s">
        <v>433</v>
      </c>
      <c r="G22" s="71" t="s">
        <v>434</v>
      </c>
      <c r="H22" s="22">
        <v>1</v>
      </c>
      <c r="I22" s="46">
        <v>0.73</v>
      </c>
      <c r="J22" s="46" t="s">
        <v>240</v>
      </c>
      <c r="K22" s="13">
        <v>1</v>
      </c>
      <c r="L22" s="46"/>
      <c r="M22" s="46">
        <v>85</v>
      </c>
      <c r="N22" s="73" t="s">
        <v>347</v>
      </c>
      <c r="O22" s="73" t="s">
        <v>347</v>
      </c>
      <c r="P22" s="46" t="s">
        <v>435</v>
      </c>
      <c r="Q22" s="46" t="s">
        <v>436</v>
      </c>
    </row>
    <row r="23" spans="1:17" x14ac:dyDescent="0.2">
      <c r="A23" s="39" t="s">
        <v>462</v>
      </c>
      <c r="B23" s="39" t="s">
        <v>536</v>
      </c>
      <c r="C23" s="39" t="s">
        <v>462</v>
      </c>
      <c r="D23" s="40" t="s">
        <v>559</v>
      </c>
      <c r="E23" s="40" t="s">
        <v>353</v>
      </c>
      <c r="F23" s="40" t="s">
        <v>433</v>
      </c>
      <c r="G23" s="71" t="s">
        <v>434</v>
      </c>
      <c r="H23" s="13">
        <v>1</v>
      </c>
      <c r="I23" s="46">
        <v>0.73</v>
      </c>
      <c r="J23" s="46" t="s">
        <v>240</v>
      </c>
      <c r="K23" s="13">
        <v>1</v>
      </c>
      <c r="L23" s="46"/>
      <c r="M23" s="46">
        <v>85</v>
      </c>
      <c r="N23" s="73" t="s">
        <v>347</v>
      </c>
      <c r="O23" s="73" t="s">
        <v>347</v>
      </c>
      <c r="P23" s="46" t="s">
        <v>435</v>
      </c>
      <c r="Q23" s="46" t="s">
        <v>436</v>
      </c>
    </row>
    <row r="24" spans="1:17" x14ac:dyDescent="0.2">
      <c r="A24" s="39" t="s">
        <v>463</v>
      </c>
      <c r="B24" s="39" t="s">
        <v>536</v>
      </c>
      <c r="C24" s="39" t="s">
        <v>463</v>
      </c>
      <c r="D24" s="40" t="s">
        <v>560</v>
      </c>
      <c r="E24" s="40" t="s">
        <v>353</v>
      </c>
      <c r="F24" s="40" t="s">
        <v>433</v>
      </c>
      <c r="G24" s="71" t="s">
        <v>434</v>
      </c>
      <c r="H24" s="13">
        <v>1</v>
      </c>
      <c r="I24" s="46">
        <v>0.73</v>
      </c>
      <c r="J24" s="46" t="s">
        <v>240</v>
      </c>
      <c r="K24" s="13">
        <v>1</v>
      </c>
      <c r="L24" s="46"/>
      <c r="M24" s="46">
        <v>85</v>
      </c>
      <c r="N24" s="73" t="s">
        <v>347</v>
      </c>
      <c r="O24" s="73" t="s">
        <v>347</v>
      </c>
      <c r="P24" s="46" t="s">
        <v>435</v>
      </c>
      <c r="Q24" s="46" t="s">
        <v>436</v>
      </c>
    </row>
    <row r="25" spans="1:17" x14ac:dyDescent="0.2">
      <c r="A25" s="39" t="s">
        <v>464</v>
      </c>
      <c r="B25" s="39" t="s">
        <v>536</v>
      </c>
      <c r="C25" s="39" t="s">
        <v>464</v>
      </c>
      <c r="D25" s="40" t="s">
        <v>561</v>
      </c>
      <c r="E25" s="40" t="s">
        <v>353</v>
      </c>
      <c r="F25" s="40" t="s">
        <v>433</v>
      </c>
      <c r="G25" s="71" t="s">
        <v>434</v>
      </c>
      <c r="H25" s="13">
        <v>1</v>
      </c>
      <c r="I25" s="46">
        <v>0.73</v>
      </c>
      <c r="J25" s="46" t="s">
        <v>240</v>
      </c>
      <c r="K25" s="13">
        <v>1</v>
      </c>
      <c r="L25" s="46"/>
      <c r="M25" s="46">
        <v>85</v>
      </c>
      <c r="N25" s="73" t="s">
        <v>347</v>
      </c>
      <c r="O25" s="73" t="s">
        <v>347</v>
      </c>
      <c r="P25" s="46" t="s">
        <v>435</v>
      </c>
      <c r="Q25" s="46" t="s">
        <v>436</v>
      </c>
    </row>
    <row r="26" spans="1:17" x14ac:dyDescent="0.2">
      <c r="A26" s="39" t="s">
        <v>465</v>
      </c>
      <c r="B26" s="39" t="s">
        <v>536</v>
      </c>
      <c r="C26" s="39" t="s">
        <v>465</v>
      </c>
      <c r="D26" s="40" t="s">
        <v>562</v>
      </c>
      <c r="E26" s="40" t="s">
        <v>353</v>
      </c>
      <c r="F26" s="40" t="s">
        <v>433</v>
      </c>
      <c r="G26" s="71" t="s">
        <v>434</v>
      </c>
      <c r="H26" s="13">
        <v>1</v>
      </c>
      <c r="I26" s="46">
        <v>0.73</v>
      </c>
      <c r="J26" s="46" t="s">
        <v>240</v>
      </c>
      <c r="K26" s="13">
        <v>1</v>
      </c>
      <c r="L26" s="46"/>
      <c r="M26" s="46">
        <v>85</v>
      </c>
      <c r="N26" s="73" t="s">
        <v>347</v>
      </c>
      <c r="O26" s="73" t="s">
        <v>347</v>
      </c>
      <c r="P26" s="46" t="s">
        <v>435</v>
      </c>
      <c r="Q26" s="46" t="s">
        <v>436</v>
      </c>
    </row>
    <row r="27" spans="1:17" x14ac:dyDescent="0.2">
      <c r="A27" s="39" t="s">
        <v>466</v>
      </c>
      <c r="B27" s="39" t="s">
        <v>536</v>
      </c>
      <c r="C27" s="39" t="s">
        <v>466</v>
      </c>
      <c r="D27" s="40" t="s">
        <v>563</v>
      </c>
      <c r="E27" s="40" t="s">
        <v>353</v>
      </c>
      <c r="F27" s="40" t="s">
        <v>433</v>
      </c>
      <c r="G27" s="71" t="s">
        <v>434</v>
      </c>
      <c r="H27" s="13">
        <v>1</v>
      </c>
      <c r="I27" s="46">
        <v>0.73</v>
      </c>
      <c r="J27" s="46" t="s">
        <v>240</v>
      </c>
      <c r="K27" s="13">
        <v>1</v>
      </c>
      <c r="L27" s="46"/>
      <c r="M27" s="46">
        <v>85</v>
      </c>
      <c r="N27" s="73" t="s">
        <v>347</v>
      </c>
      <c r="O27" s="73" t="s">
        <v>347</v>
      </c>
      <c r="P27" s="46" t="s">
        <v>435</v>
      </c>
      <c r="Q27" s="46" t="s">
        <v>436</v>
      </c>
    </row>
    <row r="28" spans="1:17" x14ac:dyDescent="0.2">
      <c r="A28" s="39" t="s">
        <v>467</v>
      </c>
      <c r="B28" s="39" t="s">
        <v>536</v>
      </c>
      <c r="C28" s="39" t="s">
        <v>467</v>
      </c>
      <c r="D28" s="40" t="s">
        <v>564</v>
      </c>
      <c r="E28" s="40" t="s">
        <v>353</v>
      </c>
      <c r="F28" s="40" t="s">
        <v>433</v>
      </c>
      <c r="G28" s="71" t="s">
        <v>434</v>
      </c>
      <c r="H28" s="13">
        <v>1</v>
      </c>
      <c r="I28" s="46">
        <v>0.73</v>
      </c>
      <c r="J28" s="46" t="s">
        <v>240</v>
      </c>
      <c r="K28" s="13">
        <v>1</v>
      </c>
      <c r="L28" s="46"/>
      <c r="M28" s="46">
        <v>85</v>
      </c>
      <c r="N28" s="73" t="s">
        <v>347</v>
      </c>
      <c r="O28" s="73" t="s">
        <v>347</v>
      </c>
      <c r="P28" s="46" t="s">
        <v>435</v>
      </c>
      <c r="Q28" s="46" t="s">
        <v>436</v>
      </c>
    </row>
    <row r="29" spans="1:17" x14ac:dyDescent="0.2">
      <c r="A29" s="39" t="s">
        <v>468</v>
      </c>
      <c r="B29" s="39" t="s">
        <v>536</v>
      </c>
      <c r="C29" s="39" t="s">
        <v>468</v>
      </c>
      <c r="D29" s="40" t="s">
        <v>565</v>
      </c>
      <c r="E29" s="40" t="s">
        <v>353</v>
      </c>
      <c r="F29" s="40" t="s">
        <v>433</v>
      </c>
      <c r="G29" s="71" t="s">
        <v>434</v>
      </c>
      <c r="H29" s="13">
        <v>1</v>
      </c>
      <c r="I29" s="46">
        <v>0.73</v>
      </c>
      <c r="J29" s="46" t="s">
        <v>240</v>
      </c>
      <c r="K29" s="13">
        <v>1</v>
      </c>
      <c r="L29" s="46"/>
      <c r="M29" s="46">
        <v>85</v>
      </c>
      <c r="N29" s="73" t="s">
        <v>347</v>
      </c>
      <c r="O29" s="73" t="s">
        <v>347</v>
      </c>
      <c r="P29" s="46" t="s">
        <v>435</v>
      </c>
      <c r="Q29" s="46" t="s">
        <v>436</v>
      </c>
    </row>
    <row r="30" spans="1:17" x14ac:dyDescent="0.2">
      <c r="A30" s="39" t="s">
        <v>469</v>
      </c>
      <c r="B30" s="39" t="s">
        <v>536</v>
      </c>
      <c r="C30" s="39" t="s">
        <v>469</v>
      </c>
      <c r="D30" s="40" t="s">
        <v>566</v>
      </c>
      <c r="E30" s="40" t="s">
        <v>353</v>
      </c>
      <c r="F30" s="40" t="s">
        <v>433</v>
      </c>
      <c r="G30" s="71" t="s">
        <v>434</v>
      </c>
      <c r="H30" s="13">
        <v>1</v>
      </c>
      <c r="I30" s="46">
        <v>0.73</v>
      </c>
      <c r="J30" s="46" t="s">
        <v>240</v>
      </c>
      <c r="K30" s="13">
        <v>1</v>
      </c>
      <c r="L30" s="46"/>
      <c r="M30" s="46">
        <v>85</v>
      </c>
      <c r="N30" s="73" t="s">
        <v>347</v>
      </c>
      <c r="O30" s="73" t="s">
        <v>347</v>
      </c>
      <c r="P30" s="46" t="s">
        <v>435</v>
      </c>
      <c r="Q30" s="46" t="s">
        <v>436</v>
      </c>
    </row>
    <row r="31" spans="1:17" x14ac:dyDescent="0.2">
      <c r="A31" s="39" t="s">
        <v>470</v>
      </c>
      <c r="B31" s="39" t="s">
        <v>536</v>
      </c>
      <c r="C31" s="39" t="s">
        <v>470</v>
      </c>
      <c r="D31" s="40" t="s">
        <v>567</v>
      </c>
      <c r="E31" s="40" t="s">
        <v>353</v>
      </c>
      <c r="F31" s="40" t="s">
        <v>433</v>
      </c>
      <c r="G31" s="71" t="s">
        <v>434</v>
      </c>
      <c r="H31" s="13">
        <v>1</v>
      </c>
      <c r="I31" s="46">
        <v>0.73</v>
      </c>
      <c r="J31" s="46" t="s">
        <v>240</v>
      </c>
      <c r="K31" s="13">
        <v>1</v>
      </c>
      <c r="L31" s="46"/>
      <c r="M31" s="46">
        <v>85</v>
      </c>
      <c r="N31" s="73" t="s">
        <v>347</v>
      </c>
      <c r="O31" s="73" t="s">
        <v>347</v>
      </c>
      <c r="P31" s="46" t="s">
        <v>435</v>
      </c>
      <c r="Q31" s="46" t="s">
        <v>436</v>
      </c>
    </row>
    <row r="32" spans="1:17" x14ac:dyDescent="0.2">
      <c r="A32" s="39" t="s">
        <v>471</v>
      </c>
      <c r="B32" s="39" t="s">
        <v>536</v>
      </c>
      <c r="C32" s="39" t="s">
        <v>471</v>
      </c>
      <c r="D32" s="40" t="s">
        <v>568</v>
      </c>
      <c r="E32" s="40" t="s">
        <v>353</v>
      </c>
      <c r="F32" s="40" t="s">
        <v>433</v>
      </c>
      <c r="G32" s="71" t="s">
        <v>434</v>
      </c>
      <c r="H32" s="13">
        <v>1</v>
      </c>
      <c r="I32" s="46">
        <v>0.73</v>
      </c>
      <c r="J32" s="46" t="s">
        <v>240</v>
      </c>
      <c r="K32" s="13">
        <v>1</v>
      </c>
      <c r="L32" s="46"/>
      <c r="M32" s="46">
        <v>85</v>
      </c>
      <c r="N32" s="73" t="s">
        <v>347</v>
      </c>
      <c r="O32" s="73" t="s">
        <v>347</v>
      </c>
      <c r="P32" s="46" t="s">
        <v>435</v>
      </c>
      <c r="Q32" s="46" t="s">
        <v>436</v>
      </c>
    </row>
    <row r="33" spans="1:17" x14ac:dyDescent="0.2">
      <c r="A33" s="39" t="s">
        <v>472</v>
      </c>
      <c r="B33" s="39" t="s">
        <v>536</v>
      </c>
      <c r="C33" s="39" t="s">
        <v>472</v>
      </c>
      <c r="D33" s="40" t="s">
        <v>569</v>
      </c>
      <c r="E33" s="40" t="s">
        <v>353</v>
      </c>
      <c r="F33" s="40" t="s">
        <v>433</v>
      </c>
      <c r="G33" s="71" t="s">
        <v>434</v>
      </c>
      <c r="H33" s="13">
        <v>1</v>
      </c>
      <c r="I33" s="46">
        <v>0.73</v>
      </c>
      <c r="J33" s="46" t="s">
        <v>240</v>
      </c>
      <c r="K33" s="13">
        <v>1</v>
      </c>
      <c r="L33" s="46"/>
      <c r="M33" s="46">
        <v>85</v>
      </c>
      <c r="N33" s="73" t="s">
        <v>347</v>
      </c>
      <c r="O33" s="73" t="s">
        <v>347</v>
      </c>
      <c r="P33" s="46" t="s">
        <v>435</v>
      </c>
      <c r="Q33" s="46" t="s">
        <v>436</v>
      </c>
    </row>
    <row r="34" spans="1:17" x14ac:dyDescent="0.2">
      <c r="A34" s="39" t="s">
        <v>473</v>
      </c>
      <c r="B34" s="39" t="s">
        <v>536</v>
      </c>
      <c r="C34" s="39" t="s">
        <v>473</v>
      </c>
      <c r="D34" s="40" t="s">
        <v>570</v>
      </c>
      <c r="E34" s="40" t="s">
        <v>353</v>
      </c>
      <c r="F34" s="40" t="s">
        <v>433</v>
      </c>
      <c r="G34" s="71" t="s">
        <v>434</v>
      </c>
      <c r="H34" s="13">
        <v>1</v>
      </c>
      <c r="I34" s="46">
        <v>0.73</v>
      </c>
      <c r="J34" s="46" t="s">
        <v>240</v>
      </c>
      <c r="K34" s="13">
        <v>1</v>
      </c>
      <c r="L34" s="46"/>
      <c r="M34" s="46">
        <v>85</v>
      </c>
      <c r="N34" s="73" t="s">
        <v>347</v>
      </c>
      <c r="O34" s="73" t="s">
        <v>347</v>
      </c>
      <c r="P34" s="46" t="s">
        <v>435</v>
      </c>
      <c r="Q34" s="46" t="s">
        <v>436</v>
      </c>
    </row>
    <row r="35" spans="1:17" x14ac:dyDescent="0.2">
      <c r="A35" s="39" t="s">
        <v>474</v>
      </c>
      <c r="B35" s="39" t="s">
        <v>536</v>
      </c>
      <c r="C35" s="39" t="s">
        <v>474</v>
      </c>
      <c r="D35" s="40" t="s">
        <v>571</v>
      </c>
      <c r="E35" s="40" t="s">
        <v>353</v>
      </c>
      <c r="F35" s="40" t="s">
        <v>433</v>
      </c>
      <c r="G35" s="71" t="s">
        <v>434</v>
      </c>
      <c r="H35" s="13">
        <v>1</v>
      </c>
      <c r="I35" s="46">
        <v>0.73</v>
      </c>
      <c r="J35" s="46" t="s">
        <v>240</v>
      </c>
      <c r="K35" s="13">
        <v>1</v>
      </c>
      <c r="L35" s="46"/>
      <c r="M35" s="46">
        <v>85</v>
      </c>
      <c r="N35" s="73" t="s">
        <v>347</v>
      </c>
      <c r="O35" s="73" t="s">
        <v>347</v>
      </c>
      <c r="P35" s="46" t="s">
        <v>435</v>
      </c>
      <c r="Q35" s="46" t="s">
        <v>436</v>
      </c>
    </row>
    <row r="36" spans="1:17" x14ac:dyDescent="0.2">
      <c r="A36" s="39" t="s">
        <v>475</v>
      </c>
      <c r="B36" s="39" t="s">
        <v>536</v>
      </c>
      <c r="C36" s="39" t="s">
        <v>475</v>
      </c>
      <c r="D36" s="40" t="s">
        <v>572</v>
      </c>
      <c r="E36" s="40" t="s">
        <v>353</v>
      </c>
      <c r="F36" s="40" t="s">
        <v>433</v>
      </c>
      <c r="G36" s="71" t="s">
        <v>434</v>
      </c>
      <c r="H36" s="13">
        <v>1</v>
      </c>
      <c r="I36" s="46">
        <v>0.73</v>
      </c>
      <c r="J36" s="46" t="s">
        <v>240</v>
      </c>
      <c r="K36" s="13">
        <v>1</v>
      </c>
      <c r="L36" s="46"/>
      <c r="M36" s="46">
        <v>85</v>
      </c>
      <c r="N36" s="73" t="s">
        <v>347</v>
      </c>
      <c r="O36" s="73" t="s">
        <v>347</v>
      </c>
      <c r="P36" s="46" t="s">
        <v>435</v>
      </c>
      <c r="Q36" s="46" t="s">
        <v>436</v>
      </c>
    </row>
    <row r="37" spans="1:17" x14ac:dyDescent="0.2">
      <c r="A37" s="39" t="s">
        <v>476</v>
      </c>
      <c r="B37" s="39" t="s">
        <v>536</v>
      </c>
      <c r="C37" s="39" t="s">
        <v>476</v>
      </c>
      <c r="D37" s="40" t="s">
        <v>573</v>
      </c>
      <c r="E37" s="40" t="s">
        <v>353</v>
      </c>
      <c r="F37" s="40" t="s">
        <v>433</v>
      </c>
      <c r="G37" s="71" t="s">
        <v>434</v>
      </c>
      <c r="H37" s="13">
        <v>1</v>
      </c>
      <c r="I37" s="46">
        <v>0.73</v>
      </c>
      <c r="J37" s="46" t="s">
        <v>240</v>
      </c>
      <c r="K37" s="13">
        <v>1</v>
      </c>
      <c r="L37" s="46"/>
      <c r="M37" s="46">
        <v>85</v>
      </c>
      <c r="N37" s="73" t="s">
        <v>347</v>
      </c>
      <c r="O37" s="73" t="s">
        <v>347</v>
      </c>
      <c r="P37" s="46" t="s">
        <v>435</v>
      </c>
      <c r="Q37" s="46" t="s">
        <v>436</v>
      </c>
    </row>
    <row r="38" spans="1:17" x14ac:dyDescent="0.2">
      <c r="A38" s="39" t="s">
        <v>477</v>
      </c>
      <c r="B38" s="39" t="s">
        <v>536</v>
      </c>
      <c r="C38" s="39" t="s">
        <v>477</v>
      </c>
      <c r="D38" s="40" t="s">
        <v>574</v>
      </c>
      <c r="E38" s="40" t="s">
        <v>353</v>
      </c>
      <c r="F38" s="40" t="s">
        <v>433</v>
      </c>
      <c r="G38" s="71" t="s">
        <v>434</v>
      </c>
      <c r="H38" s="13">
        <v>1</v>
      </c>
      <c r="I38" s="46">
        <v>0.73</v>
      </c>
      <c r="J38" s="46" t="s">
        <v>240</v>
      </c>
      <c r="K38" s="13">
        <v>1</v>
      </c>
      <c r="L38" s="46"/>
      <c r="M38" s="46">
        <v>85</v>
      </c>
      <c r="N38" s="73" t="s">
        <v>347</v>
      </c>
      <c r="O38" s="73" t="s">
        <v>347</v>
      </c>
      <c r="P38" s="46" t="s">
        <v>435</v>
      </c>
      <c r="Q38" s="46" t="s">
        <v>436</v>
      </c>
    </row>
    <row r="39" spans="1:17" x14ac:dyDescent="0.2">
      <c r="A39" s="39" t="s">
        <v>478</v>
      </c>
      <c r="B39" s="39" t="s">
        <v>536</v>
      </c>
      <c r="C39" s="39" t="s">
        <v>478</v>
      </c>
      <c r="D39" s="40" t="s">
        <v>575</v>
      </c>
      <c r="E39" s="40" t="s">
        <v>353</v>
      </c>
      <c r="F39" s="40" t="s">
        <v>433</v>
      </c>
      <c r="G39" s="71" t="s">
        <v>434</v>
      </c>
      <c r="H39" s="13">
        <v>1</v>
      </c>
      <c r="I39" s="46">
        <v>0.73</v>
      </c>
      <c r="J39" s="46" t="s">
        <v>240</v>
      </c>
      <c r="K39" s="13">
        <v>1</v>
      </c>
      <c r="L39" s="46"/>
      <c r="M39" s="46">
        <v>85</v>
      </c>
      <c r="N39" s="73" t="s">
        <v>347</v>
      </c>
      <c r="O39" s="73" t="s">
        <v>347</v>
      </c>
      <c r="P39" s="46" t="s">
        <v>435</v>
      </c>
      <c r="Q39" s="46" t="s">
        <v>436</v>
      </c>
    </row>
    <row r="40" spans="1:17" x14ac:dyDescent="0.2">
      <c r="A40" s="39" t="s">
        <v>479</v>
      </c>
      <c r="B40" s="39" t="s">
        <v>536</v>
      </c>
      <c r="C40" s="39" t="s">
        <v>479</v>
      </c>
      <c r="D40" s="40" t="s">
        <v>576</v>
      </c>
      <c r="E40" s="40" t="s">
        <v>353</v>
      </c>
      <c r="F40" s="40" t="s">
        <v>433</v>
      </c>
      <c r="G40" s="71" t="s">
        <v>434</v>
      </c>
      <c r="H40" s="13">
        <v>1</v>
      </c>
      <c r="I40" s="46">
        <v>0.73</v>
      </c>
      <c r="J40" s="46" t="s">
        <v>240</v>
      </c>
      <c r="K40" s="13">
        <v>1</v>
      </c>
      <c r="L40" s="46"/>
      <c r="M40" s="46">
        <v>85</v>
      </c>
      <c r="N40" s="73" t="s">
        <v>347</v>
      </c>
      <c r="O40" s="73" t="s">
        <v>347</v>
      </c>
      <c r="P40" s="46" t="s">
        <v>435</v>
      </c>
      <c r="Q40" s="46" t="s">
        <v>436</v>
      </c>
    </row>
    <row r="41" spans="1:17" x14ac:dyDescent="0.2">
      <c r="A41" s="39" t="s">
        <v>480</v>
      </c>
      <c r="B41" s="39" t="s">
        <v>536</v>
      </c>
      <c r="C41" s="39" t="s">
        <v>480</v>
      </c>
      <c r="D41" s="40" t="s">
        <v>577</v>
      </c>
      <c r="E41" s="40" t="s">
        <v>353</v>
      </c>
      <c r="F41" s="40" t="s">
        <v>433</v>
      </c>
      <c r="G41" s="71" t="s">
        <v>434</v>
      </c>
      <c r="H41" s="13">
        <v>1</v>
      </c>
      <c r="I41" s="46">
        <v>0.73</v>
      </c>
      <c r="J41" s="46" t="s">
        <v>240</v>
      </c>
      <c r="K41" s="13">
        <v>1</v>
      </c>
      <c r="L41" s="46"/>
      <c r="M41" s="46">
        <v>85</v>
      </c>
      <c r="N41" s="73" t="s">
        <v>347</v>
      </c>
      <c r="O41" s="73" t="s">
        <v>347</v>
      </c>
      <c r="P41" s="46" t="s">
        <v>435</v>
      </c>
      <c r="Q41" s="46" t="s">
        <v>436</v>
      </c>
    </row>
    <row r="42" spans="1:17" x14ac:dyDescent="0.2">
      <c r="A42" s="39" t="s">
        <v>481</v>
      </c>
      <c r="B42" s="39" t="s">
        <v>536</v>
      </c>
      <c r="C42" s="39" t="s">
        <v>481</v>
      </c>
      <c r="D42" s="40" t="s">
        <v>578</v>
      </c>
      <c r="E42" s="40" t="s">
        <v>353</v>
      </c>
      <c r="F42" s="40" t="s">
        <v>433</v>
      </c>
      <c r="G42" s="71" t="s">
        <v>434</v>
      </c>
      <c r="H42" s="13">
        <v>1</v>
      </c>
      <c r="I42" s="46">
        <v>0.73</v>
      </c>
      <c r="J42" s="46" t="s">
        <v>240</v>
      </c>
      <c r="K42" s="13">
        <v>1</v>
      </c>
      <c r="L42" s="46"/>
      <c r="M42" s="46">
        <v>85</v>
      </c>
      <c r="N42" s="73" t="s">
        <v>347</v>
      </c>
      <c r="O42" s="73" t="s">
        <v>347</v>
      </c>
      <c r="P42" s="46" t="s">
        <v>435</v>
      </c>
      <c r="Q42" s="46" t="s">
        <v>436</v>
      </c>
    </row>
    <row r="43" spans="1:17" x14ac:dyDescent="0.2">
      <c r="A43" s="39" t="s">
        <v>482</v>
      </c>
      <c r="B43" s="39" t="s">
        <v>536</v>
      </c>
      <c r="C43" s="39" t="s">
        <v>482</v>
      </c>
      <c r="D43" s="40" t="s">
        <v>579</v>
      </c>
      <c r="E43" s="40" t="s">
        <v>353</v>
      </c>
      <c r="F43" s="40" t="s">
        <v>433</v>
      </c>
      <c r="G43" s="71" t="s">
        <v>434</v>
      </c>
      <c r="H43" s="13">
        <v>1</v>
      </c>
      <c r="I43" s="46">
        <v>0.73</v>
      </c>
      <c r="J43" s="46" t="s">
        <v>240</v>
      </c>
      <c r="K43" s="13">
        <v>1</v>
      </c>
      <c r="L43" s="46"/>
      <c r="M43" s="46">
        <v>85</v>
      </c>
      <c r="N43" s="73" t="s">
        <v>347</v>
      </c>
      <c r="O43" s="73" t="s">
        <v>347</v>
      </c>
      <c r="P43" s="46" t="s">
        <v>435</v>
      </c>
      <c r="Q43" s="46" t="s">
        <v>436</v>
      </c>
    </row>
    <row r="44" spans="1:17" x14ac:dyDescent="0.2">
      <c r="A44" s="39" t="s">
        <v>483</v>
      </c>
      <c r="B44" s="39" t="s">
        <v>536</v>
      </c>
      <c r="C44" s="39" t="s">
        <v>483</v>
      </c>
      <c r="D44" s="40" t="s">
        <v>580</v>
      </c>
      <c r="E44" s="40" t="s">
        <v>353</v>
      </c>
      <c r="F44" s="40" t="s">
        <v>433</v>
      </c>
      <c r="G44" s="71" t="s">
        <v>434</v>
      </c>
      <c r="H44" s="13">
        <v>1</v>
      </c>
      <c r="I44" s="46">
        <v>0.73</v>
      </c>
      <c r="J44" s="46" t="s">
        <v>240</v>
      </c>
      <c r="K44" s="13">
        <v>1</v>
      </c>
      <c r="L44" s="46"/>
      <c r="M44" s="46">
        <v>85</v>
      </c>
      <c r="N44" s="73" t="s">
        <v>347</v>
      </c>
      <c r="O44" s="73" t="s">
        <v>347</v>
      </c>
      <c r="P44" s="46" t="s">
        <v>435</v>
      </c>
      <c r="Q44" s="46" t="s">
        <v>436</v>
      </c>
    </row>
    <row r="45" spans="1:17" x14ac:dyDescent="0.2">
      <c r="A45" s="39" t="s">
        <v>484</v>
      </c>
      <c r="B45" s="39" t="s">
        <v>536</v>
      </c>
      <c r="C45" s="39" t="s">
        <v>484</v>
      </c>
      <c r="D45" s="40" t="s">
        <v>581</v>
      </c>
      <c r="E45" s="40" t="s">
        <v>353</v>
      </c>
      <c r="F45" s="40" t="s">
        <v>433</v>
      </c>
      <c r="G45" s="71" t="s">
        <v>434</v>
      </c>
      <c r="H45" s="13">
        <v>1</v>
      </c>
      <c r="I45" s="46">
        <v>0.73</v>
      </c>
      <c r="J45" s="46" t="s">
        <v>240</v>
      </c>
      <c r="K45" s="13">
        <v>1</v>
      </c>
      <c r="L45" s="46"/>
      <c r="M45" s="46">
        <v>85</v>
      </c>
      <c r="N45" s="73" t="s">
        <v>347</v>
      </c>
      <c r="O45" s="73" t="s">
        <v>347</v>
      </c>
      <c r="P45" s="46" t="s">
        <v>435</v>
      </c>
      <c r="Q45" s="46" t="s">
        <v>436</v>
      </c>
    </row>
    <row r="46" spans="1:17" x14ac:dyDescent="0.2">
      <c r="A46" s="39" t="s">
        <v>485</v>
      </c>
      <c r="B46" s="39" t="s">
        <v>536</v>
      </c>
      <c r="C46" s="39" t="s">
        <v>485</v>
      </c>
      <c r="D46" s="40" t="s">
        <v>582</v>
      </c>
      <c r="E46" s="40" t="s">
        <v>353</v>
      </c>
      <c r="F46" s="40" t="s">
        <v>433</v>
      </c>
      <c r="G46" s="71" t="s">
        <v>434</v>
      </c>
      <c r="H46" s="13">
        <v>1</v>
      </c>
      <c r="I46" s="46">
        <v>0.73</v>
      </c>
      <c r="J46" s="46" t="s">
        <v>240</v>
      </c>
      <c r="K46" s="13">
        <v>1</v>
      </c>
      <c r="L46" s="46"/>
      <c r="M46" s="46">
        <v>85</v>
      </c>
      <c r="N46" s="73" t="s">
        <v>347</v>
      </c>
      <c r="O46" s="73" t="s">
        <v>347</v>
      </c>
      <c r="P46" s="46" t="s">
        <v>435</v>
      </c>
      <c r="Q46" s="46" t="s">
        <v>436</v>
      </c>
    </row>
    <row r="47" spans="1:17" x14ac:dyDescent="0.2">
      <c r="A47" s="39" t="s">
        <v>486</v>
      </c>
      <c r="B47" s="39" t="s">
        <v>536</v>
      </c>
      <c r="C47" s="39" t="s">
        <v>486</v>
      </c>
      <c r="D47" s="40" t="s">
        <v>583</v>
      </c>
      <c r="E47" s="40" t="s">
        <v>353</v>
      </c>
      <c r="F47" s="40" t="s">
        <v>433</v>
      </c>
      <c r="G47" s="71" t="s">
        <v>434</v>
      </c>
      <c r="H47" s="13">
        <v>1</v>
      </c>
      <c r="I47" s="46">
        <v>0.73</v>
      </c>
      <c r="J47" s="46" t="s">
        <v>240</v>
      </c>
      <c r="K47" s="13">
        <v>1</v>
      </c>
      <c r="L47" s="46"/>
      <c r="M47" s="46">
        <v>85</v>
      </c>
      <c r="N47" s="73" t="s">
        <v>347</v>
      </c>
      <c r="O47" s="73" t="s">
        <v>347</v>
      </c>
      <c r="P47" s="46" t="s">
        <v>435</v>
      </c>
      <c r="Q47" s="46" t="s">
        <v>436</v>
      </c>
    </row>
    <row r="48" spans="1:17" x14ac:dyDescent="0.2">
      <c r="A48" s="39" t="s">
        <v>487</v>
      </c>
      <c r="B48" s="39" t="s">
        <v>536</v>
      </c>
      <c r="C48" s="39" t="s">
        <v>487</v>
      </c>
      <c r="D48" s="40" t="s">
        <v>584</v>
      </c>
      <c r="E48" s="40" t="s">
        <v>353</v>
      </c>
      <c r="F48" s="40" t="s">
        <v>433</v>
      </c>
      <c r="G48" s="71" t="s">
        <v>434</v>
      </c>
      <c r="H48" s="13">
        <v>1</v>
      </c>
      <c r="I48" s="46">
        <v>0.73</v>
      </c>
      <c r="J48" s="46" t="s">
        <v>240</v>
      </c>
      <c r="K48" s="13">
        <v>1</v>
      </c>
      <c r="L48" s="46"/>
      <c r="M48" s="46">
        <v>85</v>
      </c>
      <c r="N48" s="73" t="s">
        <v>347</v>
      </c>
      <c r="O48" s="73" t="s">
        <v>347</v>
      </c>
      <c r="P48" s="46" t="s">
        <v>435</v>
      </c>
      <c r="Q48" s="46" t="s">
        <v>436</v>
      </c>
    </row>
    <row r="49" spans="1:17" x14ac:dyDescent="0.2">
      <c r="A49" s="39" t="s">
        <v>488</v>
      </c>
      <c r="B49" s="39" t="s">
        <v>536</v>
      </c>
      <c r="C49" s="39" t="s">
        <v>488</v>
      </c>
      <c r="D49" s="40" t="s">
        <v>585</v>
      </c>
      <c r="E49" s="40" t="s">
        <v>353</v>
      </c>
      <c r="F49" s="40" t="s">
        <v>433</v>
      </c>
      <c r="G49" s="71" t="s">
        <v>434</v>
      </c>
      <c r="H49" s="13">
        <v>1</v>
      </c>
      <c r="I49" s="46">
        <v>0.73</v>
      </c>
      <c r="J49" s="46" t="s">
        <v>240</v>
      </c>
      <c r="K49" s="13">
        <v>1</v>
      </c>
      <c r="L49" s="46"/>
      <c r="M49" s="46">
        <v>85</v>
      </c>
      <c r="N49" s="73" t="s">
        <v>347</v>
      </c>
      <c r="O49" s="73" t="s">
        <v>347</v>
      </c>
      <c r="P49" s="46" t="s">
        <v>435</v>
      </c>
      <c r="Q49" s="46" t="s">
        <v>436</v>
      </c>
    </row>
    <row r="50" spans="1:17" x14ac:dyDescent="0.2">
      <c r="A50" s="39" t="s">
        <v>489</v>
      </c>
      <c r="B50" s="39" t="s">
        <v>536</v>
      </c>
      <c r="C50" s="39" t="s">
        <v>489</v>
      </c>
      <c r="D50" s="40" t="s">
        <v>586</v>
      </c>
      <c r="E50" s="40" t="s">
        <v>353</v>
      </c>
      <c r="F50" s="40" t="s">
        <v>433</v>
      </c>
      <c r="G50" s="71" t="s">
        <v>434</v>
      </c>
      <c r="H50" s="13">
        <v>1</v>
      </c>
      <c r="I50" s="46">
        <v>0.73</v>
      </c>
      <c r="J50" s="46" t="s">
        <v>240</v>
      </c>
      <c r="K50" s="13">
        <v>1</v>
      </c>
      <c r="L50" s="46"/>
      <c r="M50" s="46">
        <v>85</v>
      </c>
      <c r="N50" s="73" t="s">
        <v>347</v>
      </c>
      <c r="O50" s="73" t="s">
        <v>347</v>
      </c>
      <c r="P50" s="46" t="s">
        <v>435</v>
      </c>
      <c r="Q50" s="46" t="s">
        <v>436</v>
      </c>
    </row>
    <row r="51" spans="1:17" x14ac:dyDescent="0.2">
      <c r="A51" s="39" t="s">
        <v>490</v>
      </c>
      <c r="B51" s="39" t="s">
        <v>536</v>
      </c>
      <c r="C51" s="39" t="s">
        <v>490</v>
      </c>
      <c r="D51" s="40" t="s">
        <v>587</v>
      </c>
      <c r="E51" s="40" t="s">
        <v>353</v>
      </c>
      <c r="F51" s="40" t="s">
        <v>433</v>
      </c>
      <c r="G51" s="71" t="s">
        <v>434</v>
      </c>
      <c r="H51" s="13">
        <v>1</v>
      </c>
      <c r="I51" s="46">
        <v>0.73</v>
      </c>
      <c r="J51" s="46" t="s">
        <v>240</v>
      </c>
      <c r="K51" s="13">
        <v>1</v>
      </c>
      <c r="L51" s="46"/>
      <c r="M51" s="46">
        <v>85</v>
      </c>
      <c r="N51" s="73" t="s">
        <v>347</v>
      </c>
      <c r="O51" s="73" t="s">
        <v>347</v>
      </c>
      <c r="P51" s="46" t="s">
        <v>435</v>
      </c>
      <c r="Q51" s="46" t="s">
        <v>436</v>
      </c>
    </row>
    <row r="52" spans="1:17" x14ac:dyDescent="0.2">
      <c r="A52" s="39" t="s">
        <v>491</v>
      </c>
      <c r="B52" s="39" t="s">
        <v>536</v>
      </c>
      <c r="C52" s="39" t="s">
        <v>491</v>
      </c>
      <c r="D52" s="40" t="s">
        <v>588</v>
      </c>
      <c r="E52" s="40" t="s">
        <v>353</v>
      </c>
      <c r="F52" s="40" t="s">
        <v>433</v>
      </c>
      <c r="G52" s="71" t="s">
        <v>434</v>
      </c>
      <c r="H52" s="13">
        <v>1</v>
      </c>
      <c r="I52" s="46">
        <v>0.73</v>
      </c>
      <c r="J52" s="46" t="s">
        <v>240</v>
      </c>
      <c r="K52" s="13">
        <v>1</v>
      </c>
      <c r="L52" s="46"/>
      <c r="M52" s="46">
        <v>85</v>
      </c>
      <c r="N52" s="73" t="s">
        <v>347</v>
      </c>
      <c r="O52" s="73" t="s">
        <v>347</v>
      </c>
      <c r="P52" s="46" t="s">
        <v>435</v>
      </c>
      <c r="Q52" s="46" t="s">
        <v>436</v>
      </c>
    </row>
    <row r="53" spans="1:17" x14ac:dyDescent="0.2">
      <c r="A53" s="39" t="s">
        <v>492</v>
      </c>
      <c r="B53" s="39" t="s">
        <v>536</v>
      </c>
      <c r="C53" s="39" t="s">
        <v>492</v>
      </c>
      <c r="D53" s="40" t="s">
        <v>589</v>
      </c>
      <c r="E53" s="40" t="s">
        <v>353</v>
      </c>
      <c r="F53" s="40" t="s">
        <v>433</v>
      </c>
      <c r="G53" s="71" t="s">
        <v>434</v>
      </c>
      <c r="H53" s="13">
        <v>1</v>
      </c>
      <c r="I53" s="46">
        <v>0.73</v>
      </c>
      <c r="J53" s="46" t="s">
        <v>240</v>
      </c>
      <c r="K53" s="13">
        <v>1</v>
      </c>
      <c r="L53" s="46"/>
      <c r="M53" s="46">
        <v>85</v>
      </c>
      <c r="N53" s="73" t="s">
        <v>347</v>
      </c>
      <c r="O53" s="73" t="s">
        <v>347</v>
      </c>
      <c r="P53" s="46" t="s">
        <v>435</v>
      </c>
      <c r="Q53" s="46" t="s">
        <v>436</v>
      </c>
    </row>
    <row r="54" spans="1:17" x14ac:dyDescent="0.2">
      <c r="A54" s="39" t="s">
        <v>493</v>
      </c>
      <c r="B54" s="39" t="s">
        <v>536</v>
      </c>
      <c r="C54" s="39" t="s">
        <v>493</v>
      </c>
      <c r="D54" s="40" t="s">
        <v>590</v>
      </c>
      <c r="E54" s="40" t="s">
        <v>353</v>
      </c>
      <c r="F54" s="40" t="s">
        <v>433</v>
      </c>
      <c r="G54" s="71" t="s">
        <v>434</v>
      </c>
      <c r="H54" s="13">
        <v>1</v>
      </c>
      <c r="I54" s="46">
        <v>0.73</v>
      </c>
      <c r="J54" s="46" t="s">
        <v>240</v>
      </c>
      <c r="K54" s="13">
        <v>1</v>
      </c>
      <c r="L54" s="46"/>
      <c r="M54" s="46">
        <v>85</v>
      </c>
      <c r="N54" s="73" t="s">
        <v>347</v>
      </c>
      <c r="O54" s="73" t="s">
        <v>347</v>
      </c>
      <c r="P54" s="46" t="s">
        <v>435</v>
      </c>
      <c r="Q54" s="46" t="s">
        <v>436</v>
      </c>
    </row>
    <row r="55" spans="1:17" x14ac:dyDescent="0.2">
      <c r="A55" s="39" t="s">
        <v>494</v>
      </c>
      <c r="B55" s="39" t="s">
        <v>536</v>
      </c>
      <c r="C55" s="39" t="s">
        <v>494</v>
      </c>
      <c r="D55" s="40" t="s">
        <v>591</v>
      </c>
      <c r="E55" s="40" t="s">
        <v>353</v>
      </c>
      <c r="F55" s="40" t="s">
        <v>433</v>
      </c>
      <c r="G55" s="71" t="s">
        <v>434</v>
      </c>
      <c r="H55" s="13">
        <v>1</v>
      </c>
      <c r="I55" s="46">
        <v>0.73</v>
      </c>
      <c r="J55" s="46" t="s">
        <v>240</v>
      </c>
      <c r="K55" s="13">
        <v>1</v>
      </c>
      <c r="L55" s="46"/>
      <c r="M55" s="46">
        <v>85</v>
      </c>
      <c r="N55" s="73" t="s">
        <v>347</v>
      </c>
      <c r="O55" s="73" t="s">
        <v>347</v>
      </c>
      <c r="P55" s="46" t="s">
        <v>435</v>
      </c>
      <c r="Q55" s="46" t="s">
        <v>436</v>
      </c>
    </row>
    <row r="56" spans="1:17" x14ac:dyDescent="0.2">
      <c r="A56" s="39" t="s">
        <v>495</v>
      </c>
      <c r="B56" s="39" t="s">
        <v>536</v>
      </c>
      <c r="C56" s="39" t="s">
        <v>495</v>
      </c>
      <c r="D56" s="40" t="s">
        <v>592</v>
      </c>
      <c r="E56" s="40" t="s">
        <v>353</v>
      </c>
      <c r="F56" s="40" t="s">
        <v>433</v>
      </c>
      <c r="G56" s="71" t="s">
        <v>434</v>
      </c>
      <c r="H56" s="13">
        <v>1</v>
      </c>
      <c r="I56" s="46">
        <v>0.73</v>
      </c>
      <c r="J56" s="46" t="s">
        <v>240</v>
      </c>
      <c r="K56" s="13">
        <v>1</v>
      </c>
      <c r="L56" s="46"/>
      <c r="M56" s="46">
        <v>85</v>
      </c>
      <c r="N56" s="73" t="s">
        <v>347</v>
      </c>
      <c r="O56" s="73" t="s">
        <v>347</v>
      </c>
      <c r="P56" s="46" t="s">
        <v>435</v>
      </c>
      <c r="Q56" s="46" t="s">
        <v>436</v>
      </c>
    </row>
    <row r="57" spans="1:17" x14ac:dyDescent="0.2">
      <c r="A57" s="39" t="s">
        <v>496</v>
      </c>
      <c r="B57" s="39" t="s">
        <v>536</v>
      </c>
      <c r="C57" s="39" t="s">
        <v>496</v>
      </c>
      <c r="D57" s="40" t="s">
        <v>593</v>
      </c>
      <c r="E57" s="40" t="s">
        <v>353</v>
      </c>
      <c r="F57" s="40" t="s">
        <v>433</v>
      </c>
      <c r="G57" s="71" t="s">
        <v>434</v>
      </c>
      <c r="H57" s="13">
        <v>1</v>
      </c>
      <c r="I57" s="46">
        <v>0.73</v>
      </c>
      <c r="J57" s="46" t="s">
        <v>240</v>
      </c>
      <c r="K57" s="13">
        <v>1</v>
      </c>
      <c r="L57" s="46"/>
      <c r="M57" s="46">
        <v>85</v>
      </c>
      <c r="N57" s="73" t="s">
        <v>347</v>
      </c>
      <c r="O57" s="73" t="s">
        <v>347</v>
      </c>
      <c r="P57" s="46" t="s">
        <v>435</v>
      </c>
      <c r="Q57" s="46" t="s">
        <v>436</v>
      </c>
    </row>
    <row r="58" spans="1:17" x14ac:dyDescent="0.2">
      <c r="A58" s="39" t="s">
        <v>497</v>
      </c>
      <c r="B58" s="39" t="s">
        <v>536</v>
      </c>
      <c r="C58" s="39" t="s">
        <v>497</v>
      </c>
      <c r="D58" s="40" t="s">
        <v>594</v>
      </c>
      <c r="E58" s="40" t="s">
        <v>353</v>
      </c>
      <c r="F58" s="40" t="s">
        <v>433</v>
      </c>
      <c r="G58" s="71" t="s">
        <v>434</v>
      </c>
      <c r="H58" s="13">
        <v>1</v>
      </c>
      <c r="I58" s="46">
        <v>0.73</v>
      </c>
      <c r="J58" s="46" t="s">
        <v>240</v>
      </c>
      <c r="K58" s="13">
        <v>1</v>
      </c>
      <c r="L58" s="46"/>
      <c r="M58" s="46">
        <v>85</v>
      </c>
      <c r="N58" s="73" t="s">
        <v>347</v>
      </c>
      <c r="O58" s="73" t="s">
        <v>347</v>
      </c>
      <c r="P58" s="46" t="s">
        <v>435</v>
      </c>
      <c r="Q58" s="46" t="s">
        <v>436</v>
      </c>
    </row>
    <row r="59" spans="1:17" x14ac:dyDescent="0.2">
      <c r="A59" s="39" t="s">
        <v>498</v>
      </c>
      <c r="B59" s="39" t="s">
        <v>536</v>
      </c>
      <c r="C59" s="39" t="s">
        <v>498</v>
      </c>
      <c r="D59" s="40" t="s">
        <v>595</v>
      </c>
      <c r="E59" s="40" t="s">
        <v>353</v>
      </c>
      <c r="F59" s="40" t="s">
        <v>433</v>
      </c>
      <c r="G59" s="71" t="s">
        <v>434</v>
      </c>
      <c r="H59" s="13">
        <v>1</v>
      </c>
      <c r="I59" s="46">
        <v>0.73</v>
      </c>
      <c r="J59" s="46" t="s">
        <v>240</v>
      </c>
      <c r="K59" s="13">
        <v>1</v>
      </c>
      <c r="L59" s="46"/>
      <c r="M59" s="46">
        <v>85</v>
      </c>
      <c r="N59" s="73" t="s">
        <v>347</v>
      </c>
      <c r="O59" s="73" t="s">
        <v>347</v>
      </c>
      <c r="P59" s="46" t="s">
        <v>435</v>
      </c>
      <c r="Q59" s="46" t="s">
        <v>436</v>
      </c>
    </row>
    <row r="60" spans="1:17" x14ac:dyDescent="0.2">
      <c r="A60" s="39" t="s">
        <v>499</v>
      </c>
      <c r="B60" s="39" t="s">
        <v>536</v>
      </c>
      <c r="C60" s="39" t="s">
        <v>499</v>
      </c>
      <c r="D60" s="40" t="s">
        <v>596</v>
      </c>
      <c r="E60" s="40" t="s">
        <v>353</v>
      </c>
      <c r="F60" s="40" t="s">
        <v>433</v>
      </c>
      <c r="G60" s="71" t="s">
        <v>434</v>
      </c>
      <c r="H60" s="13">
        <v>1</v>
      </c>
      <c r="I60" s="46">
        <v>0.73</v>
      </c>
      <c r="J60" s="46" t="s">
        <v>240</v>
      </c>
      <c r="K60" s="13">
        <v>1</v>
      </c>
      <c r="L60" s="46"/>
      <c r="M60" s="46">
        <v>85</v>
      </c>
      <c r="N60" s="73" t="s">
        <v>347</v>
      </c>
      <c r="O60" s="73" t="s">
        <v>347</v>
      </c>
      <c r="P60" s="46" t="s">
        <v>435</v>
      </c>
      <c r="Q60" s="46" t="s">
        <v>436</v>
      </c>
    </row>
    <row r="61" spans="1:17" x14ac:dyDescent="0.2">
      <c r="A61" s="39" t="s">
        <v>500</v>
      </c>
      <c r="B61" s="39" t="s">
        <v>536</v>
      </c>
      <c r="C61" s="39" t="s">
        <v>500</v>
      </c>
      <c r="D61" s="40" t="s">
        <v>597</v>
      </c>
      <c r="E61" s="40" t="s">
        <v>353</v>
      </c>
      <c r="F61" s="40" t="s">
        <v>433</v>
      </c>
      <c r="G61" s="71" t="s">
        <v>434</v>
      </c>
      <c r="H61" s="13">
        <v>1</v>
      </c>
      <c r="I61" s="46">
        <v>0.73</v>
      </c>
      <c r="J61" s="46" t="s">
        <v>240</v>
      </c>
      <c r="K61" s="13">
        <v>1</v>
      </c>
      <c r="L61" s="46"/>
      <c r="M61" s="46">
        <v>85</v>
      </c>
      <c r="N61" s="73" t="s">
        <v>347</v>
      </c>
      <c r="O61" s="73" t="s">
        <v>347</v>
      </c>
      <c r="P61" s="46" t="s">
        <v>435</v>
      </c>
      <c r="Q61" s="46" t="s">
        <v>436</v>
      </c>
    </row>
    <row r="62" spans="1:17" x14ac:dyDescent="0.2">
      <c r="A62" s="39" t="s">
        <v>501</v>
      </c>
      <c r="B62" s="39" t="s">
        <v>536</v>
      </c>
      <c r="C62" s="39" t="s">
        <v>501</v>
      </c>
      <c r="D62" s="40" t="s">
        <v>598</v>
      </c>
      <c r="E62" s="40" t="s">
        <v>353</v>
      </c>
      <c r="F62" s="40" t="s">
        <v>433</v>
      </c>
      <c r="G62" s="71" t="s">
        <v>434</v>
      </c>
      <c r="H62" s="13">
        <v>1</v>
      </c>
      <c r="I62" s="46">
        <v>0.73</v>
      </c>
      <c r="J62" s="46" t="s">
        <v>240</v>
      </c>
      <c r="K62" s="13">
        <v>1</v>
      </c>
      <c r="L62" s="46"/>
      <c r="M62" s="46">
        <v>85</v>
      </c>
      <c r="N62" s="73" t="s">
        <v>347</v>
      </c>
      <c r="O62" s="73" t="s">
        <v>347</v>
      </c>
      <c r="P62" s="46" t="s">
        <v>435</v>
      </c>
      <c r="Q62" s="46" t="s">
        <v>436</v>
      </c>
    </row>
    <row r="63" spans="1:17" x14ac:dyDescent="0.2">
      <c r="A63" s="39" t="s">
        <v>502</v>
      </c>
      <c r="B63" s="39" t="s">
        <v>536</v>
      </c>
      <c r="C63" s="39" t="s">
        <v>502</v>
      </c>
      <c r="D63" s="40" t="s">
        <v>599</v>
      </c>
      <c r="E63" s="40" t="s">
        <v>353</v>
      </c>
      <c r="F63" s="40" t="s">
        <v>433</v>
      </c>
      <c r="G63" s="71" t="s">
        <v>434</v>
      </c>
      <c r="H63" s="13">
        <v>1</v>
      </c>
      <c r="I63" s="46">
        <v>0.73</v>
      </c>
      <c r="J63" s="46" t="s">
        <v>240</v>
      </c>
      <c r="K63" s="13">
        <v>1</v>
      </c>
      <c r="L63" s="46"/>
      <c r="M63" s="46">
        <v>85</v>
      </c>
      <c r="N63" s="73" t="s">
        <v>347</v>
      </c>
      <c r="O63" s="73" t="s">
        <v>347</v>
      </c>
      <c r="P63" s="46" t="s">
        <v>435</v>
      </c>
      <c r="Q63" s="46" t="s">
        <v>436</v>
      </c>
    </row>
    <row r="64" spans="1:17" x14ac:dyDescent="0.2">
      <c r="A64" s="39" t="s">
        <v>503</v>
      </c>
      <c r="B64" s="39" t="s">
        <v>536</v>
      </c>
      <c r="C64" s="39" t="s">
        <v>503</v>
      </c>
      <c r="D64" s="40" t="s">
        <v>600</v>
      </c>
      <c r="E64" s="40" t="s">
        <v>353</v>
      </c>
      <c r="F64" s="40" t="s">
        <v>433</v>
      </c>
      <c r="G64" s="71" t="s">
        <v>434</v>
      </c>
      <c r="H64" s="13">
        <v>1</v>
      </c>
      <c r="I64" s="46">
        <v>0.73</v>
      </c>
      <c r="J64" s="46" t="s">
        <v>240</v>
      </c>
      <c r="K64" s="13">
        <v>1</v>
      </c>
      <c r="L64" s="46"/>
      <c r="M64" s="46">
        <v>85</v>
      </c>
      <c r="N64" s="73" t="s">
        <v>347</v>
      </c>
      <c r="O64" s="73" t="s">
        <v>347</v>
      </c>
      <c r="P64" s="46" t="s">
        <v>435</v>
      </c>
      <c r="Q64" s="46" t="s">
        <v>436</v>
      </c>
    </row>
    <row r="65" spans="1:17" x14ac:dyDescent="0.2">
      <c r="A65" s="39" t="s">
        <v>504</v>
      </c>
      <c r="B65" s="39" t="s">
        <v>536</v>
      </c>
      <c r="C65" s="39" t="s">
        <v>504</v>
      </c>
      <c r="D65" s="40" t="s">
        <v>601</v>
      </c>
      <c r="E65" s="40" t="s">
        <v>353</v>
      </c>
      <c r="F65" s="40" t="s">
        <v>433</v>
      </c>
      <c r="G65" s="71" t="s">
        <v>434</v>
      </c>
      <c r="H65" s="13">
        <v>1</v>
      </c>
      <c r="I65" s="46">
        <v>0.73</v>
      </c>
      <c r="J65" s="46" t="s">
        <v>240</v>
      </c>
      <c r="K65" s="13">
        <v>1</v>
      </c>
      <c r="L65" s="46"/>
      <c r="M65" s="46">
        <v>85</v>
      </c>
      <c r="N65" s="73" t="s">
        <v>347</v>
      </c>
      <c r="O65" s="73" t="s">
        <v>347</v>
      </c>
      <c r="P65" s="46" t="s">
        <v>435</v>
      </c>
      <c r="Q65" s="46" t="s">
        <v>436</v>
      </c>
    </row>
    <row r="66" spans="1:17" x14ac:dyDescent="0.2">
      <c r="A66" s="39" t="s">
        <v>505</v>
      </c>
      <c r="B66" s="39" t="s">
        <v>536</v>
      </c>
      <c r="C66" s="39" t="s">
        <v>505</v>
      </c>
      <c r="D66" s="40" t="s">
        <v>602</v>
      </c>
      <c r="E66" s="40" t="s">
        <v>353</v>
      </c>
      <c r="F66" s="40" t="s">
        <v>433</v>
      </c>
      <c r="G66" s="71" t="s">
        <v>434</v>
      </c>
      <c r="H66" s="13">
        <v>1</v>
      </c>
      <c r="I66" s="46">
        <v>0.73</v>
      </c>
      <c r="J66" s="46" t="s">
        <v>240</v>
      </c>
      <c r="K66" s="13">
        <v>1</v>
      </c>
      <c r="L66" s="46"/>
      <c r="M66" s="46">
        <v>85</v>
      </c>
      <c r="N66" s="73" t="s">
        <v>347</v>
      </c>
      <c r="O66" s="73" t="s">
        <v>347</v>
      </c>
      <c r="P66" s="46" t="s">
        <v>435</v>
      </c>
      <c r="Q66" s="46" t="s">
        <v>436</v>
      </c>
    </row>
    <row r="67" spans="1:17" x14ac:dyDescent="0.2">
      <c r="A67" s="39" t="s">
        <v>506</v>
      </c>
      <c r="B67" s="39" t="s">
        <v>536</v>
      </c>
      <c r="C67" s="39" t="s">
        <v>506</v>
      </c>
      <c r="D67" s="40" t="s">
        <v>603</v>
      </c>
      <c r="E67" s="40" t="s">
        <v>353</v>
      </c>
      <c r="F67" s="40" t="s">
        <v>433</v>
      </c>
      <c r="G67" s="71" t="s">
        <v>434</v>
      </c>
      <c r="H67" s="13">
        <v>1</v>
      </c>
      <c r="I67" s="46">
        <v>0.73</v>
      </c>
      <c r="J67" s="46" t="s">
        <v>240</v>
      </c>
      <c r="K67" s="13">
        <v>1</v>
      </c>
      <c r="L67" s="46"/>
      <c r="M67" s="46">
        <v>85</v>
      </c>
      <c r="N67" s="73" t="s">
        <v>347</v>
      </c>
      <c r="O67" s="73" t="s">
        <v>347</v>
      </c>
      <c r="P67" s="46" t="s">
        <v>435</v>
      </c>
      <c r="Q67" s="46" t="s">
        <v>436</v>
      </c>
    </row>
    <row r="68" spans="1:17" x14ac:dyDescent="0.2">
      <c r="A68" s="39" t="s">
        <v>507</v>
      </c>
      <c r="B68" s="39" t="s">
        <v>536</v>
      </c>
      <c r="C68" s="39" t="s">
        <v>507</v>
      </c>
      <c r="D68" s="40" t="s">
        <v>604</v>
      </c>
      <c r="E68" s="40" t="s">
        <v>353</v>
      </c>
      <c r="F68" s="40" t="s">
        <v>433</v>
      </c>
      <c r="G68" s="71" t="s">
        <v>434</v>
      </c>
      <c r="H68" s="13">
        <v>1</v>
      </c>
      <c r="I68" s="46">
        <v>0.73</v>
      </c>
      <c r="J68" s="46" t="s">
        <v>240</v>
      </c>
      <c r="K68" s="13">
        <v>1</v>
      </c>
      <c r="L68" s="46"/>
      <c r="M68" s="46">
        <v>85</v>
      </c>
      <c r="N68" s="73" t="s">
        <v>347</v>
      </c>
      <c r="O68" s="73" t="s">
        <v>347</v>
      </c>
      <c r="P68" s="46" t="s">
        <v>435</v>
      </c>
      <c r="Q68" s="46" t="s">
        <v>436</v>
      </c>
    </row>
    <row r="69" spans="1:17" x14ac:dyDescent="0.2">
      <c r="A69" s="39" t="s">
        <v>508</v>
      </c>
      <c r="B69" s="39" t="s">
        <v>536</v>
      </c>
      <c r="C69" s="39" t="s">
        <v>508</v>
      </c>
      <c r="D69" s="40" t="s">
        <v>605</v>
      </c>
      <c r="E69" s="40" t="s">
        <v>353</v>
      </c>
      <c r="F69" s="40" t="s">
        <v>433</v>
      </c>
      <c r="G69" s="71" t="s">
        <v>434</v>
      </c>
      <c r="H69" s="13">
        <v>1</v>
      </c>
      <c r="I69" s="46">
        <v>0.73</v>
      </c>
      <c r="J69" s="46" t="s">
        <v>240</v>
      </c>
      <c r="K69" s="13">
        <v>1</v>
      </c>
      <c r="L69" s="46"/>
      <c r="M69" s="46">
        <v>85</v>
      </c>
      <c r="N69" s="73" t="s">
        <v>347</v>
      </c>
      <c r="O69" s="73" t="s">
        <v>347</v>
      </c>
      <c r="P69" s="46" t="s">
        <v>435</v>
      </c>
      <c r="Q69" s="46" t="s">
        <v>436</v>
      </c>
    </row>
    <row r="70" spans="1:17" x14ac:dyDescent="0.2">
      <c r="A70" s="39" t="s">
        <v>509</v>
      </c>
      <c r="B70" s="39" t="s">
        <v>536</v>
      </c>
      <c r="C70" s="39" t="s">
        <v>509</v>
      </c>
      <c r="D70" s="40" t="s">
        <v>606</v>
      </c>
      <c r="E70" s="40" t="s">
        <v>353</v>
      </c>
      <c r="F70" s="40" t="s">
        <v>433</v>
      </c>
      <c r="G70" s="71" t="s">
        <v>434</v>
      </c>
      <c r="H70" s="13">
        <v>1</v>
      </c>
      <c r="I70" s="46">
        <v>0.73</v>
      </c>
      <c r="J70" s="46" t="s">
        <v>240</v>
      </c>
      <c r="K70" s="13">
        <v>1</v>
      </c>
      <c r="L70" s="46"/>
      <c r="M70" s="46">
        <v>85</v>
      </c>
      <c r="N70" s="73" t="s">
        <v>347</v>
      </c>
      <c r="O70" s="73" t="s">
        <v>347</v>
      </c>
      <c r="P70" s="46" t="s">
        <v>435</v>
      </c>
      <c r="Q70" s="46" t="s">
        <v>436</v>
      </c>
    </row>
    <row r="71" spans="1:17" x14ac:dyDescent="0.2">
      <c r="A71" s="39" t="s">
        <v>510</v>
      </c>
      <c r="B71" s="39" t="s">
        <v>536</v>
      </c>
      <c r="C71" s="39" t="s">
        <v>510</v>
      </c>
      <c r="D71" s="40" t="s">
        <v>607</v>
      </c>
      <c r="E71" s="40" t="s">
        <v>353</v>
      </c>
      <c r="F71" s="40" t="s">
        <v>433</v>
      </c>
      <c r="G71" s="71" t="s">
        <v>434</v>
      </c>
      <c r="H71" s="13">
        <v>1</v>
      </c>
      <c r="I71" s="46">
        <v>0.73</v>
      </c>
      <c r="J71" s="46" t="s">
        <v>240</v>
      </c>
      <c r="K71" s="13">
        <v>1</v>
      </c>
      <c r="L71" s="46"/>
      <c r="M71" s="46">
        <v>85</v>
      </c>
      <c r="N71" s="73" t="s">
        <v>347</v>
      </c>
      <c r="O71" s="73" t="s">
        <v>347</v>
      </c>
      <c r="P71" s="46" t="s">
        <v>435</v>
      </c>
      <c r="Q71" s="46" t="s">
        <v>436</v>
      </c>
    </row>
    <row r="72" spans="1:17" x14ac:dyDescent="0.2">
      <c r="A72" s="39" t="s">
        <v>511</v>
      </c>
      <c r="B72" s="39" t="s">
        <v>536</v>
      </c>
      <c r="C72" s="39" t="s">
        <v>511</v>
      </c>
      <c r="D72" s="40" t="s">
        <v>608</v>
      </c>
      <c r="E72" s="40" t="s">
        <v>353</v>
      </c>
      <c r="F72" s="40" t="s">
        <v>433</v>
      </c>
      <c r="G72" s="71" t="s">
        <v>434</v>
      </c>
      <c r="H72" s="13">
        <v>1</v>
      </c>
      <c r="I72" s="46">
        <v>0.73</v>
      </c>
      <c r="J72" s="46" t="s">
        <v>240</v>
      </c>
      <c r="K72" s="13">
        <v>1</v>
      </c>
      <c r="L72" s="46"/>
      <c r="M72" s="46">
        <v>85</v>
      </c>
      <c r="N72" s="73" t="s">
        <v>347</v>
      </c>
      <c r="O72" s="73" t="s">
        <v>347</v>
      </c>
      <c r="P72" s="46" t="s">
        <v>435</v>
      </c>
      <c r="Q72" s="46" t="s">
        <v>436</v>
      </c>
    </row>
    <row r="73" spans="1:17" x14ac:dyDescent="0.2">
      <c r="A73" s="39" t="s">
        <v>512</v>
      </c>
      <c r="B73" s="39" t="s">
        <v>536</v>
      </c>
      <c r="C73" s="39" t="s">
        <v>512</v>
      </c>
      <c r="D73" s="40" t="s">
        <v>609</v>
      </c>
      <c r="E73" s="40" t="s">
        <v>353</v>
      </c>
      <c r="F73" s="40" t="s">
        <v>433</v>
      </c>
      <c r="G73" s="71" t="s">
        <v>434</v>
      </c>
      <c r="H73" s="13">
        <v>1</v>
      </c>
      <c r="I73" s="46">
        <v>0.73</v>
      </c>
      <c r="J73" s="46" t="s">
        <v>240</v>
      </c>
      <c r="K73" s="13">
        <v>1</v>
      </c>
      <c r="L73" s="46"/>
      <c r="M73" s="46">
        <v>85</v>
      </c>
      <c r="N73" s="73" t="s">
        <v>347</v>
      </c>
      <c r="O73" s="73" t="s">
        <v>347</v>
      </c>
      <c r="P73" s="46" t="s">
        <v>435</v>
      </c>
      <c r="Q73" s="46" t="s">
        <v>436</v>
      </c>
    </row>
    <row r="74" spans="1:17" x14ac:dyDescent="0.2">
      <c r="A74" s="39" t="s">
        <v>513</v>
      </c>
      <c r="B74" s="39" t="s">
        <v>536</v>
      </c>
      <c r="C74" s="39" t="s">
        <v>513</v>
      </c>
      <c r="D74" s="40" t="s">
        <v>610</v>
      </c>
      <c r="E74" s="40" t="s">
        <v>353</v>
      </c>
      <c r="F74" s="40" t="s">
        <v>433</v>
      </c>
      <c r="G74" s="71" t="s">
        <v>434</v>
      </c>
      <c r="H74" s="13">
        <v>1</v>
      </c>
      <c r="I74" s="46">
        <v>0.73</v>
      </c>
      <c r="J74" s="46" t="s">
        <v>240</v>
      </c>
      <c r="K74" s="13">
        <v>1</v>
      </c>
      <c r="L74" s="46"/>
      <c r="M74" s="46">
        <v>85</v>
      </c>
      <c r="N74" s="73" t="s">
        <v>347</v>
      </c>
      <c r="O74" s="73" t="s">
        <v>347</v>
      </c>
      <c r="P74" s="46" t="s">
        <v>435</v>
      </c>
      <c r="Q74" s="46" t="s">
        <v>436</v>
      </c>
    </row>
    <row r="75" spans="1:17" x14ac:dyDescent="0.2">
      <c r="A75" s="39" t="s">
        <v>514</v>
      </c>
      <c r="B75" s="39" t="s">
        <v>536</v>
      </c>
      <c r="C75" s="39" t="s">
        <v>514</v>
      </c>
      <c r="D75" s="40" t="s">
        <v>611</v>
      </c>
      <c r="E75" s="40" t="s">
        <v>353</v>
      </c>
      <c r="F75" s="40" t="s">
        <v>433</v>
      </c>
      <c r="G75" s="71" t="s">
        <v>434</v>
      </c>
      <c r="H75" s="13">
        <v>1</v>
      </c>
      <c r="I75" s="46">
        <v>0.73</v>
      </c>
      <c r="J75" s="46" t="s">
        <v>240</v>
      </c>
      <c r="K75" s="13">
        <v>1</v>
      </c>
      <c r="L75" s="46"/>
      <c r="M75" s="46">
        <v>85</v>
      </c>
      <c r="N75" s="73" t="s">
        <v>347</v>
      </c>
      <c r="O75" s="73" t="s">
        <v>347</v>
      </c>
      <c r="P75" s="46" t="s">
        <v>435</v>
      </c>
      <c r="Q75" s="46" t="s">
        <v>436</v>
      </c>
    </row>
    <row r="76" spans="1:17" x14ac:dyDescent="0.2">
      <c r="A76" s="39" t="s">
        <v>515</v>
      </c>
      <c r="B76" s="39" t="s">
        <v>536</v>
      </c>
      <c r="C76" s="39" t="s">
        <v>515</v>
      </c>
      <c r="D76" s="40" t="s">
        <v>612</v>
      </c>
      <c r="E76" s="40" t="s">
        <v>353</v>
      </c>
      <c r="F76" s="40" t="s">
        <v>433</v>
      </c>
      <c r="G76" s="71" t="s">
        <v>434</v>
      </c>
      <c r="H76" s="13">
        <v>1</v>
      </c>
      <c r="I76" s="46">
        <v>0.73</v>
      </c>
      <c r="J76" s="46" t="s">
        <v>240</v>
      </c>
      <c r="K76" s="13">
        <v>1</v>
      </c>
      <c r="L76" s="46"/>
      <c r="M76" s="46">
        <v>85</v>
      </c>
      <c r="N76" s="73" t="s">
        <v>347</v>
      </c>
      <c r="O76" s="73" t="s">
        <v>347</v>
      </c>
      <c r="P76" s="46" t="s">
        <v>435</v>
      </c>
      <c r="Q76" s="46" t="s">
        <v>436</v>
      </c>
    </row>
    <row r="77" spans="1:17" x14ac:dyDescent="0.2">
      <c r="A77" s="39" t="s">
        <v>516</v>
      </c>
      <c r="B77" s="39" t="s">
        <v>536</v>
      </c>
      <c r="C77" s="39" t="s">
        <v>516</v>
      </c>
      <c r="D77" s="40" t="s">
        <v>613</v>
      </c>
      <c r="E77" s="40" t="s">
        <v>353</v>
      </c>
      <c r="F77" s="40" t="s">
        <v>433</v>
      </c>
      <c r="G77" s="71" t="s">
        <v>434</v>
      </c>
      <c r="H77" s="13">
        <v>1</v>
      </c>
      <c r="I77" s="46">
        <v>0.73</v>
      </c>
      <c r="J77" s="46" t="s">
        <v>240</v>
      </c>
      <c r="K77" s="13">
        <v>1</v>
      </c>
      <c r="L77" s="46"/>
      <c r="M77" s="46">
        <v>85</v>
      </c>
      <c r="N77" s="73" t="s">
        <v>347</v>
      </c>
      <c r="O77" s="73" t="s">
        <v>347</v>
      </c>
      <c r="P77" s="46" t="s">
        <v>435</v>
      </c>
      <c r="Q77" s="46" t="s">
        <v>436</v>
      </c>
    </row>
    <row r="78" spans="1:17" x14ac:dyDescent="0.2">
      <c r="A78" s="39" t="s">
        <v>517</v>
      </c>
      <c r="B78" s="39" t="s">
        <v>536</v>
      </c>
      <c r="C78" s="39" t="s">
        <v>517</v>
      </c>
      <c r="D78" s="40" t="s">
        <v>614</v>
      </c>
      <c r="E78" s="40" t="s">
        <v>353</v>
      </c>
      <c r="F78" s="40" t="s">
        <v>433</v>
      </c>
      <c r="G78" s="71" t="s">
        <v>434</v>
      </c>
      <c r="H78" s="13">
        <v>1</v>
      </c>
      <c r="I78" s="46">
        <v>0.73</v>
      </c>
      <c r="J78" s="46" t="s">
        <v>240</v>
      </c>
      <c r="K78" s="13">
        <v>1</v>
      </c>
      <c r="L78" s="46"/>
      <c r="M78" s="46">
        <v>85</v>
      </c>
      <c r="N78" s="73" t="s">
        <v>347</v>
      </c>
      <c r="O78" s="73" t="s">
        <v>347</v>
      </c>
      <c r="P78" s="46" t="s">
        <v>435</v>
      </c>
      <c r="Q78" s="46" t="s">
        <v>436</v>
      </c>
    </row>
    <row r="79" spans="1:17" x14ac:dyDescent="0.2">
      <c r="A79" s="39" t="s">
        <v>518</v>
      </c>
      <c r="B79" s="39" t="s">
        <v>536</v>
      </c>
      <c r="C79" s="39" t="s">
        <v>518</v>
      </c>
      <c r="D79" s="40" t="s">
        <v>615</v>
      </c>
      <c r="E79" s="40" t="s">
        <v>353</v>
      </c>
      <c r="F79" s="40" t="s">
        <v>433</v>
      </c>
      <c r="G79" s="71" t="s">
        <v>434</v>
      </c>
      <c r="H79" s="13">
        <v>1</v>
      </c>
      <c r="I79" s="46">
        <v>0.73</v>
      </c>
      <c r="J79" s="46" t="s">
        <v>240</v>
      </c>
      <c r="K79" s="13">
        <v>1</v>
      </c>
      <c r="L79" s="46"/>
      <c r="M79" s="46">
        <v>85</v>
      </c>
      <c r="N79" s="73" t="s">
        <v>347</v>
      </c>
      <c r="O79" s="73" t="s">
        <v>347</v>
      </c>
      <c r="P79" s="46" t="s">
        <v>435</v>
      </c>
      <c r="Q79" s="46" t="s">
        <v>436</v>
      </c>
    </row>
    <row r="80" spans="1:17" x14ac:dyDescent="0.2">
      <c r="A80" s="39" t="s">
        <v>519</v>
      </c>
      <c r="B80" s="39" t="s">
        <v>536</v>
      </c>
      <c r="C80" s="39" t="s">
        <v>519</v>
      </c>
      <c r="D80" s="40" t="s">
        <v>616</v>
      </c>
      <c r="E80" s="40" t="s">
        <v>353</v>
      </c>
      <c r="F80" s="40" t="s">
        <v>433</v>
      </c>
      <c r="G80" s="71" t="s">
        <v>434</v>
      </c>
      <c r="H80" s="13">
        <v>1</v>
      </c>
      <c r="I80" s="46">
        <v>0.73</v>
      </c>
      <c r="J80" s="46" t="s">
        <v>240</v>
      </c>
      <c r="K80" s="13">
        <v>1</v>
      </c>
      <c r="L80" s="46"/>
      <c r="M80" s="46">
        <v>85</v>
      </c>
      <c r="N80" s="73" t="s">
        <v>347</v>
      </c>
      <c r="O80" s="73" t="s">
        <v>347</v>
      </c>
      <c r="P80" s="46" t="s">
        <v>435</v>
      </c>
      <c r="Q80" s="46" t="s">
        <v>436</v>
      </c>
    </row>
    <row r="81" spans="1:17" x14ac:dyDescent="0.2">
      <c r="A81" s="39" t="s">
        <v>520</v>
      </c>
      <c r="B81" s="39" t="s">
        <v>536</v>
      </c>
      <c r="C81" s="39" t="s">
        <v>520</v>
      </c>
      <c r="D81" s="40" t="s">
        <v>617</v>
      </c>
      <c r="E81" s="40" t="s">
        <v>353</v>
      </c>
      <c r="F81" s="40" t="s">
        <v>433</v>
      </c>
      <c r="G81" s="71" t="s">
        <v>434</v>
      </c>
      <c r="H81" s="13">
        <v>1</v>
      </c>
      <c r="I81" s="46">
        <v>0.73</v>
      </c>
      <c r="J81" s="46" t="s">
        <v>240</v>
      </c>
      <c r="K81" s="13">
        <v>1</v>
      </c>
      <c r="L81" s="46"/>
      <c r="M81" s="46">
        <v>85</v>
      </c>
      <c r="N81" s="73" t="s">
        <v>347</v>
      </c>
      <c r="O81" s="73" t="s">
        <v>347</v>
      </c>
      <c r="P81" s="46" t="s">
        <v>435</v>
      </c>
      <c r="Q81" s="46" t="s">
        <v>436</v>
      </c>
    </row>
    <row r="82" spans="1:17" x14ac:dyDescent="0.2">
      <c r="A82" s="39" t="s">
        <v>521</v>
      </c>
      <c r="B82" s="39" t="s">
        <v>536</v>
      </c>
      <c r="C82" s="39" t="s">
        <v>521</v>
      </c>
      <c r="D82" s="40" t="s">
        <v>618</v>
      </c>
      <c r="E82" s="40" t="s">
        <v>353</v>
      </c>
      <c r="F82" s="40" t="s">
        <v>433</v>
      </c>
      <c r="G82" s="71" t="s">
        <v>434</v>
      </c>
      <c r="H82" s="13">
        <v>1</v>
      </c>
      <c r="I82" s="46">
        <v>0.73</v>
      </c>
      <c r="J82" s="46" t="s">
        <v>240</v>
      </c>
      <c r="K82" s="13">
        <v>1</v>
      </c>
      <c r="L82" s="46"/>
      <c r="M82" s="46">
        <v>85</v>
      </c>
      <c r="N82" s="73" t="s">
        <v>347</v>
      </c>
      <c r="O82" s="73" t="s">
        <v>347</v>
      </c>
      <c r="P82" s="46" t="s">
        <v>435</v>
      </c>
      <c r="Q82" s="46" t="s">
        <v>436</v>
      </c>
    </row>
    <row r="83" spans="1:17" x14ac:dyDescent="0.2">
      <c r="A83" s="39" t="s">
        <v>522</v>
      </c>
      <c r="B83" s="39" t="s">
        <v>536</v>
      </c>
      <c r="C83" s="39" t="s">
        <v>522</v>
      </c>
      <c r="D83" s="40" t="s">
        <v>619</v>
      </c>
      <c r="E83" s="40" t="s">
        <v>353</v>
      </c>
      <c r="F83" s="40" t="s">
        <v>433</v>
      </c>
      <c r="G83" s="71" t="s">
        <v>434</v>
      </c>
      <c r="H83" s="13">
        <v>1</v>
      </c>
      <c r="I83" s="46">
        <v>0.73</v>
      </c>
      <c r="J83" s="46" t="s">
        <v>240</v>
      </c>
      <c r="K83" s="13">
        <v>1</v>
      </c>
      <c r="L83" s="46"/>
      <c r="M83" s="46">
        <v>85</v>
      </c>
      <c r="N83" s="73" t="s">
        <v>347</v>
      </c>
      <c r="O83" s="73" t="s">
        <v>347</v>
      </c>
      <c r="P83" s="46" t="s">
        <v>435</v>
      </c>
      <c r="Q83" s="46" t="s">
        <v>436</v>
      </c>
    </row>
    <row r="84" spans="1:17" x14ac:dyDescent="0.2">
      <c r="A84" s="39" t="s">
        <v>523</v>
      </c>
      <c r="B84" s="39" t="s">
        <v>536</v>
      </c>
      <c r="C84" s="39" t="s">
        <v>523</v>
      </c>
      <c r="D84" s="40" t="s">
        <v>620</v>
      </c>
      <c r="E84" s="40" t="s">
        <v>353</v>
      </c>
      <c r="F84" s="40" t="s">
        <v>433</v>
      </c>
      <c r="G84" s="71" t="s">
        <v>434</v>
      </c>
      <c r="H84" s="13">
        <v>1</v>
      </c>
      <c r="I84" s="46">
        <v>0.73</v>
      </c>
      <c r="J84" s="46" t="s">
        <v>240</v>
      </c>
      <c r="K84" s="13">
        <v>1</v>
      </c>
      <c r="L84" s="46"/>
      <c r="M84" s="46">
        <v>85</v>
      </c>
      <c r="N84" s="73" t="s">
        <v>347</v>
      </c>
      <c r="O84" s="73" t="s">
        <v>347</v>
      </c>
      <c r="P84" s="46" t="s">
        <v>435</v>
      </c>
      <c r="Q84" s="46" t="s">
        <v>436</v>
      </c>
    </row>
    <row r="85" spans="1:17" x14ac:dyDescent="0.2">
      <c r="A85" s="39" t="s">
        <v>524</v>
      </c>
      <c r="B85" s="39" t="s">
        <v>536</v>
      </c>
      <c r="C85" s="39" t="s">
        <v>524</v>
      </c>
      <c r="D85" s="40" t="s">
        <v>621</v>
      </c>
      <c r="E85" s="40" t="s">
        <v>353</v>
      </c>
      <c r="F85" s="40" t="s">
        <v>433</v>
      </c>
      <c r="G85" s="71" t="s">
        <v>434</v>
      </c>
      <c r="H85" s="13">
        <v>1</v>
      </c>
      <c r="I85" s="46">
        <v>0.73</v>
      </c>
      <c r="J85" s="46" t="s">
        <v>240</v>
      </c>
      <c r="K85" s="13">
        <v>1</v>
      </c>
      <c r="L85" s="46"/>
      <c r="M85" s="46">
        <v>85</v>
      </c>
      <c r="N85" s="73" t="s">
        <v>347</v>
      </c>
      <c r="O85" s="73" t="s">
        <v>347</v>
      </c>
      <c r="P85" s="46" t="s">
        <v>435</v>
      </c>
      <c r="Q85" s="46" t="s">
        <v>436</v>
      </c>
    </row>
    <row r="86" spans="1:17" x14ac:dyDescent="0.2">
      <c r="A86" s="39" t="s">
        <v>525</v>
      </c>
      <c r="B86" s="39" t="s">
        <v>536</v>
      </c>
      <c r="C86" s="39" t="s">
        <v>525</v>
      </c>
      <c r="D86" s="40" t="s">
        <v>622</v>
      </c>
      <c r="E86" s="40" t="s">
        <v>353</v>
      </c>
      <c r="F86" s="40" t="s">
        <v>433</v>
      </c>
      <c r="G86" s="71" t="s">
        <v>434</v>
      </c>
      <c r="H86" s="13">
        <v>1</v>
      </c>
      <c r="I86" s="46">
        <v>0.73</v>
      </c>
      <c r="J86" s="46" t="s">
        <v>240</v>
      </c>
      <c r="K86" s="13">
        <v>1</v>
      </c>
      <c r="L86" s="46"/>
      <c r="M86" s="46">
        <v>85</v>
      </c>
      <c r="N86" s="73" t="s">
        <v>347</v>
      </c>
      <c r="O86" s="73" t="s">
        <v>347</v>
      </c>
      <c r="P86" s="46" t="s">
        <v>435</v>
      </c>
      <c r="Q86" s="46" t="s">
        <v>436</v>
      </c>
    </row>
    <row r="87" spans="1:17" x14ac:dyDescent="0.2">
      <c r="A87" s="39" t="s">
        <v>526</v>
      </c>
      <c r="B87" s="39" t="s">
        <v>536</v>
      </c>
      <c r="C87" s="39" t="s">
        <v>526</v>
      </c>
      <c r="D87" s="40" t="s">
        <v>623</v>
      </c>
      <c r="E87" s="40" t="s">
        <v>353</v>
      </c>
      <c r="F87" s="40" t="s">
        <v>433</v>
      </c>
      <c r="G87" s="71" t="s">
        <v>434</v>
      </c>
      <c r="H87" s="13">
        <v>1</v>
      </c>
      <c r="I87" s="46">
        <v>0.73</v>
      </c>
      <c r="J87" s="46" t="s">
        <v>240</v>
      </c>
      <c r="K87" s="13">
        <v>1</v>
      </c>
      <c r="L87" s="46"/>
      <c r="M87" s="46">
        <v>85</v>
      </c>
      <c r="N87" s="73" t="s">
        <v>347</v>
      </c>
      <c r="O87" s="73" t="s">
        <v>347</v>
      </c>
      <c r="P87" s="46" t="s">
        <v>435</v>
      </c>
      <c r="Q87" s="46" t="s">
        <v>436</v>
      </c>
    </row>
    <row r="88" spans="1:17" x14ac:dyDescent="0.2">
      <c r="A88" s="39" t="s">
        <v>527</v>
      </c>
      <c r="B88" s="39" t="s">
        <v>536</v>
      </c>
      <c r="C88" s="39" t="s">
        <v>527</v>
      </c>
      <c r="D88" s="40" t="s">
        <v>624</v>
      </c>
      <c r="E88" s="40" t="s">
        <v>353</v>
      </c>
      <c r="F88" s="40" t="s">
        <v>433</v>
      </c>
      <c r="G88" s="71" t="s">
        <v>434</v>
      </c>
      <c r="H88" s="13">
        <v>1</v>
      </c>
      <c r="I88" s="46">
        <v>0.73</v>
      </c>
      <c r="J88" s="46" t="s">
        <v>240</v>
      </c>
      <c r="K88" s="13">
        <v>1</v>
      </c>
      <c r="L88" s="46"/>
      <c r="M88" s="46">
        <v>85</v>
      </c>
      <c r="N88" s="73" t="s">
        <v>347</v>
      </c>
      <c r="O88" s="73" t="s">
        <v>347</v>
      </c>
      <c r="P88" s="46" t="s">
        <v>435</v>
      </c>
      <c r="Q88" s="46" t="s">
        <v>436</v>
      </c>
    </row>
    <row r="89" spans="1:17" x14ac:dyDescent="0.2">
      <c r="A89" s="39" t="s">
        <v>528</v>
      </c>
      <c r="B89" s="39" t="s">
        <v>536</v>
      </c>
      <c r="C89" s="39" t="s">
        <v>528</v>
      </c>
      <c r="D89" s="40" t="s">
        <v>625</v>
      </c>
      <c r="E89" s="40" t="s">
        <v>353</v>
      </c>
      <c r="F89" s="40" t="s">
        <v>433</v>
      </c>
      <c r="G89" s="71" t="s">
        <v>434</v>
      </c>
      <c r="H89" s="13">
        <v>1</v>
      </c>
      <c r="I89" s="46">
        <v>0.73</v>
      </c>
      <c r="J89" s="46" t="s">
        <v>240</v>
      </c>
      <c r="K89" s="13">
        <v>1</v>
      </c>
      <c r="L89" s="46"/>
      <c r="M89" s="46">
        <v>85</v>
      </c>
      <c r="N89" s="73" t="s">
        <v>347</v>
      </c>
      <c r="O89" s="73" t="s">
        <v>347</v>
      </c>
      <c r="P89" s="46" t="s">
        <v>435</v>
      </c>
      <c r="Q89" s="46" t="s">
        <v>436</v>
      </c>
    </row>
    <row r="90" spans="1:17" x14ac:dyDescent="0.2">
      <c r="A90" s="39" t="s">
        <v>529</v>
      </c>
      <c r="B90" s="39" t="s">
        <v>536</v>
      </c>
      <c r="C90" s="39" t="s">
        <v>529</v>
      </c>
      <c r="D90" s="40" t="s">
        <v>626</v>
      </c>
      <c r="E90" s="40" t="s">
        <v>353</v>
      </c>
      <c r="F90" s="40" t="s">
        <v>433</v>
      </c>
      <c r="G90" s="71" t="s">
        <v>434</v>
      </c>
      <c r="H90" s="13">
        <v>1</v>
      </c>
      <c r="I90" s="46">
        <v>0.73</v>
      </c>
      <c r="J90" s="46" t="s">
        <v>240</v>
      </c>
      <c r="K90" s="13">
        <v>1</v>
      </c>
      <c r="L90" s="46"/>
      <c r="M90" s="46">
        <v>85</v>
      </c>
      <c r="N90" s="73" t="s">
        <v>347</v>
      </c>
      <c r="O90" s="73" t="s">
        <v>347</v>
      </c>
      <c r="P90" s="46" t="s">
        <v>435</v>
      </c>
      <c r="Q90" s="46" t="s">
        <v>436</v>
      </c>
    </row>
    <row r="91" spans="1:17" x14ac:dyDescent="0.2">
      <c r="A91" s="39" t="s">
        <v>530</v>
      </c>
      <c r="B91" s="39" t="s">
        <v>536</v>
      </c>
      <c r="C91" s="39" t="s">
        <v>530</v>
      </c>
      <c r="D91" s="40" t="s">
        <v>627</v>
      </c>
      <c r="E91" s="40" t="s">
        <v>353</v>
      </c>
      <c r="F91" s="40" t="s">
        <v>433</v>
      </c>
      <c r="G91" s="71" t="s">
        <v>434</v>
      </c>
      <c r="H91" s="13">
        <v>1</v>
      </c>
      <c r="I91" s="46">
        <v>0.73</v>
      </c>
      <c r="J91" s="46" t="s">
        <v>240</v>
      </c>
      <c r="K91" s="13">
        <v>1</v>
      </c>
      <c r="L91" s="46"/>
      <c r="M91" s="46">
        <v>85</v>
      </c>
      <c r="N91" s="73" t="s">
        <v>347</v>
      </c>
      <c r="O91" s="73" t="s">
        <v>347</v>
      </c>
      <c r="P91" s="46" t="s">
        <v>435</v>
      </c>
      <c r="Q91" s="46" t="s">
        <v>436</v>
      </c>
    </row>
    <row r="92" spans="1:17" x14ac:dyDescent="0.2">
      <c r="A92" s="39" t="s">
        <v>531</v>
      </c>
      <c r="B92" s="39" t="s">
        <v>536</v>
      </c>
      <c r="C92" s="39" t="s">
        <v>531</v>
      </c>
      <c r="D92" s="40" t="s">
        <v>628</v>
      </c>
      <c r="E92" s="40" t="s">
        <v>353</v>
      </c>
      <c r="F92" s="40" t="s">
        <v>433</v>
      </c>
      <c r="G92" s="71" t="s">
        <v>434</v>
      </c>
      <c r="H92" s="13">
        <v>1</v>
      </c>
      <c r="I92" s="46">
        <v>0.73</v>
      </c>
      <c r="J92" s="46" t="s">
        <v>240</v>
      </c>
      <c r="K92" s="13">
        <v>1</v>
      </c>
      <c r="L92" s="46"/>
      <c r="M92" s="46">
        <v>85</v>
      </c>
      <c r="N92" s="73" t="s">
        <v>347</v>
      </c>
      <c r="O92" s="73" t="s">
        <v>347</v>
      </c>
      <c r="P92" s="46" t="s">
        <v>435</v>
      </c>
      <c r="Q92" s="46" t="s">
        <v>436</v>
      </c>
    </row>
    <row r="93" spans="1:17" x14ac:dyDescent="0.2">
      <c r="A93" s="39" t="s">
        <v>532</v>
      </c>
      <c r="B93" s="39" t="s">
        <v>536</v>
      </c>
      <c r="C93" s="39" t="s">
        <v>532</v>
      </c>
      <c r="D93" s="40" t="s">
        <v>629</v>
      </c>
      <c r="E93" s="40" t="s">
        <v>353</v>
      </c>
      <c r="F93" s="40" t="s">
        <v>433</v>
      </c>
      <c r="G93" s="71" t="s">
        <v>434</v>
      </c>
      <c r="H93" s="13">
        <v>1</v>
      </c>
      <c r="I93" s="46">
        <v>0.73</v>
      </c>
      <c r="J93" s="46" t="s">
        <v>240</v>
      </c>
      <c r="K93" s="13">
        <v>1</v>
      </c>
      <c r="L93" s="46"/>
      <c r="M93" s="46">
        <v>85</v>
      </c>
      <c r="N93" s="73" t="s">
        <v>347</v>
      </c>
      <c r="O93" s="73" t="s">
        <v>347</v>
      </c>
      <c r="P93" s="46" t="s">
        <v>435</v>
      </c>
      <c r="Q93" s="46" t="s">
        <v>436</v>
      </c>
    </row>
    <row r="94" spans="1:17" x14ac:dyDescent="0.2">
      <c r="A94" s="39" t="s">
        <v>533</v>
      </c>
      <c r="B94" s="39" t="s">
        <v>536</v>
      </c>
      <c r="C94" s="39" t="s">
        <v>533</v>
      </c>
      <c r="D94" s="40" t="s">
        <v>630</v>
      </c>
      <c r="E94" s="40" t="s">
        <v>353</v>
      </c>
      <c r="F94" s="40" t="s">
        <v>433</v>
      </c>
      <c r="G94" s="71" t="s">
        <v>434</v>
      </c>
      <c r="H94" s="13">
        <v>1</v>
      </c>
      <c r="I94" s="46">
        <v>0.73</v>
      </c>
      <c r="J94" s="46" t="s">
        <v>240</v>
      </c>
      <c r="K94" s="13">
        <v>1</v>
      </c>
      <c r="L94" s="46"/>
      <c r="M94" s="46">
        <v>85</v>
      </c>
      <c r="N94" s="73" t="s">
        <v>347</v>
      </c>
      <c r="O94" s="73" t="s">
        <v>347</v>
      </c>
      <c r="P94" s="46" t="s">
        <v>435</v>
      </c>
      <c r="Q94" s="46" t="s">
        <v>436</v>
      </c>
    </row>
    <row r="95" spans="1:17" x14ac:dyDescent="0.2">
      <c r="A95" s="39" t="s">
        <v>534</v>
      </c>
      <c r="B95" s="39" t="s">
        <v>536</v>
      </c>
      <c r="C95" s="39" t="s">
        <v>534</v>
      </c>
      <c r="D95" s="40" t="s">
        <v>631</v>
      </c>
      <c r="E95" s="40" t="s">
        <v>353</v>
      </c>
      <c r="F95" s="40" t="s">
        <v>433</v>
      </c>
      <c r="G95" s="71" t="s">
        <v>434</v>
      </c>
      <c r="H95" s="13">
        <v>1</v>
      </c>
      <c r="I95" s="46">
        <v>0.73</v>
      </c>
      <c r="J95" s="46" t="s">
        <v>240</v>
      </c>
      <c r="K95" s="13">
        <v>1</v>
      </c>
      <c r="L95" s="46"/>
      <c r="M95" s="46">
        <v>85</v>
      </c>
      <c r="N95" s="73" t="s">
        <v>347</v>
      </c>
      <c r="O95" s="73" t="s">
        <v>347</v>
      </c>
      <c r="P95" s="46" t="s">
        <v>435</v>
      </c>
      <c r="Q95" s="46" t="s">
        <v>436</v>
      </c>
    </row>
    <row r="96" spans="1:17" x14ac:dyDescent="0.2">
      <c r="A96" s="39" t="s">
        <v>535</v>
      </c>
      <c r="B96" s="39" t="s">
        <v>536</v>
      </c>
      <c r="C96" s="39" t="s">
        <v>535</v>
      </c>
      <c r="D96" s="40" t="s">
        <v>632</v>
      </c>
      <c r="E96" s="40" t="s">
        <v>353</v>
      </c>
      <c r="F96" s="40" t="s">
        <v>433</v>
      </c>
      <c r="G96" s="71" t="s">
        <v>434</v>
      </c>
      <c r="H96" s="13">
        <v>1</v>
      </c>
      <c r="I96" s="46">
        <v>0.73</v>
      </c>
      <c r="J96" s="46" t="s">
        <v>240</v>
      </c>
      <c r="K96" s="13">
        <v>1</v>
      </c>
      <c r="L96" s="46"/>
      <c r="M96" s="46">
        <v>85</v>
      </c>
      <c r="N96" s="73" t="s">
        <v>347</v>
      </c>
      <c r="O96" s="73" t="s">
        <v>347</v>
      </c>
      <c r="P96" s="46" t="s">
        <v>435</v>
      </c>
      <c r="Q96" s="46" t="s">
        <v>436</v>
      </c>
    </row>
  </sheetData>
  <conditionalFormatting sqref="H2:H96">
    <cfRule type="cellIs" dxfId="106" priority="36" operator="equal">
      <formula>0</formula>
    </cfRule>
    <cfRule type="cellIs" dxfId="105" priority="37" operator="equal">
      <formula>1</formula>
    </cfRule>
    <cfRule type="cellIs" dxfId="104" priority="38" operator="equal">
      <formula>2</formula>
    </cfRule>
    <cfRule type="cellIs" dxfId="103" priority="39" operator="equal">
      <formula>3</formula>
    </cfRule>
    <cfRule type="cellIs" dxfId="102" priority="40" operator="equal">
      <formula>4</formula>
    </cfRule>
    <cfRule type="cellIs" dxfId="101" priority="41" operator="equal">
      <formula>5</formula>
    </cfRule>
    <cfRule type="cellIs" dxfId="100" priority="42" operator="equal">
      <formula>6</formula>
    </cfRule>
    <cfRule type="cellIs" dxfId="99" priority="43" operator="equal">
      <formula>7</formula>
    </cfRule>
    <cfRule type="cellIs" dxfId="98" priority="44" operator="equal">
      <formula>8</formula>
    </cfRule>
    <cfRule type="cellIs" dxfId="97" priority="45" operator="equal">
      <formula>9</formula>
    </cfRule>
    <cfRule type="cellIs" dxfId="96" priority="46" operator="equal">
      <formula>10</formula>
    </cfRule>
    <cfRule type="cellIs" dxfId="95" priority="47" operator="equal">
      <formula>11</formula>
    </cfRule>
    <cfRule type="cellIs" dxfId="94" priority="48" operator="equal">
      <formula>12</formula>
    </cfRule>
    <cfRule type="cellIs" dxfId="93" priority="49" operator="equal">
      <formula>13</formula>
    </cfRule>
    <cfRule type="cellIs" dxfId="92" priority="50" operator="equal">
      <formula>14</formula>
    </cfRule>
    <cfRule type="cellIs" dxfId="91" priority="51" operator="equal">
      <formula>15</formula>
    </cfRule>
    <cfRule type="cellIs" dxfId="90" priority="52" operator="equal">
      <formula>16</formula>
    </cfRule>
    <cfRule type="cellIs" dxfId="89" priority="53" operator="equal">
      <formula>17</formula>
    </cfRule>
    <cfRule type="cellIs" dxfId="88" priority="54" operator="equal">
      <formula>18</formula>
    </cfRule>
    <cfRule type="cellIs" dxfId="87" priority="55" operator="equal">
      <formula>19</formula>
    </cfRule>
    <cfRule type="cellIs" dxfId="86" priority="56" operator="equal">
      <formula>20</formula>
    </cfRule>
    <cfRule type="cellIs" dxfId="85" priority="57" operator="equal">
      <formula>21</formula>
    </cfRule>
    <cfRule type="cellIs" dxfId="84" priority="58" operator="equal">
      <formula>22</formula>
    </cfRule>
    <cfRule type="cellIs" dxfId="83" priority="59" operator="equal">
      <formula>23</formula>
    </cfRule>
    <cfRule type="cellIs" dxfId="82" priority="60" operator="equal">
      <formula>24</formula>
    </cfRule>
    <cfRule type="cellIs" dxfId="81" priority="61" operator="equal">
      <formula>25</formula>
    </cfRule>
    <cfRule type="cellIs" dxfId="80" priority="62" operator="equal">
      <formula>26</formula>
    </cfRule>
    <cfRule type="cellIs" dxfId="79" priority="63" operator="equal">
      <formula>27</formula>
    </cfRule>
    <cfRule type="cellIs" dxfId="78" priority="64" operator="equal">
      <formula>28</formula>
    </cfRule>
    <cfRule type="cellIs" dxfId="77" priority="65" operator="equal">
      <formula>29</formula>
    </cfRule>
    <cfRule type="cellIs" dxfId="76" priority="66" operator="equal">
      <formula>30</formula>
    </cfRule>
    <cfRule type="cellIs" dxfId="75" priority="67" operator="equal">
      <formula>31</formula>
    </cfRule>
    <cfRule type="cellIs" dxfId="74" priority="68" operator="equal">
      <formula>32</formula>
    </cfRule>
    <cfRule type="cellIs" dxfId="73" priority="69" operator="equal">
      <formula>33</formula>
    </cfRule>
    <cfRule type="cellIs" dxfId="72" priority="70" operator="equal">
      <formula>34</formula>
    </cfRule>
  </conditionalFormatting>
  <conditionalFormatting sqref="K2:K96">
    <cfRule type="cellIs" dxfId="71" priority="1" operator="equal">
      <formula>0</formula>
    </cfRule>
    <cfRule type="cellIs" dxfId="70" priority="2" operator="equal">
      <formula>1</formula>
    </cfRule>
    <cfRule type="cellIs" dxfId="69" priority="3" operator="equal">
      <formula>2</formula>
    </cfRule>
    <cfRule type="cellIs" dxfId="68" priority="4" operator="equal">
      <formula>3</formula>
    </cfRule>
    <cfRule type="cellIs" dxfId="67" priority="5" operator="equal">
      <formula>4</formula>
    </cfRule>
    <cfRule type="cellIs" dxfId="66" priority="6" operator="equal">
      <formula>5</formula>
    </cfRule>
    <cfRule type="cellIs" dxfId="65" priority="7" operator="equal">
      <formula>6</formula>
    </cfRule>
    <cfRule type="cellIs" dxfId="64" priority="8" operator="equal">
      <formula>7</formula>
    </cfRule>
    <cfRule type="cellIs" dxfId="63" priority="9" operator="equal">
      <formula>8</formula>
    </cfRule>
    <cfRule type="cellIs" dxfId="62" priority="10" operator="equal">
      <formula>9</formula>
    </cfRule>
    <cfRule type="cellIs" dxfId="61" priority="11" operator="equal">
      <formula>10</formula>
    </cfRule>
    <cfRule type="cellIs" dxfId="60" priority="12" operator="equal">
      <formula>11</formula>
    </cfRule>
    <cfRule type="cellIs" dxfId="59" priority="13" operator="equal">
      <formula>12</formula>
    </cfRule>
    <cfRule type="cellIs" dxfId="58" priority="14" operator="equal">
      <formula>13</formula>
    </cfRule>
    <cfRule type="cellIs" dxfId="57" priority="15" operator="equal">
      <formula>14</formula>
    </cfRule>
    <cfRule type="cellIs" dxfId="56" priority="16" operator="equal">
      <formula>15</formula>
    </cfRule>
    <cfRule type="cellIs" dxfId="55" priority="17" operator="equal">
      <formula>16</formula>
    </cfRule>
    <cfRule type="cellIs" dxfId="54" priority="18" operator="equal">
      <formula>17</formula>
    </cfRule>
    <cfRule type="cellIs" dxfId="53" priority="19" operator="equal">
      <formula>18</formula>
    </cfRule>
    <cfRule type="cellIs" dxfId="52" priority="20" operator="equal">
      <formula>19</formula>
    </cfRule>
    <cfRule type="cellIs" dxfId="51" priority="21" operator="equal">
      <formula>20</formula>
    </cfRule>
    <cfRule type="cellIs" dxfId="50" priority="22" operator="equal">
      <formula>21</formula>
    </cfRule>
    <cfRule type="cellIs" dxfId="49" priority="23" operator="equal">
      <formula>22</formula>
    </cfRule>
    <cfRule type="cellIs" dxfId="48" priority="24" operator="equal">
      <formula>23</formula>
    </cfRule>
    <cfRule type="cellIs" dxfId="47" priority="25" operator="equal">
      <formula>24</formula>
    </cfRule>
    <cfRule type="cellIs" dxfId="46" priority="26" operator="equal">
      <formula>25</formula>
    </cfRule>
    <cfRule type="cellIs" dxfId="45" priority="27" operator="equal">
      <formula>26</formula>
    </cfRule>
    <cfRule type="cellIs" dxfId="44" priority="28" operator="equal">
      <formula>27</formula>
    </cfRule>
    <cfRule type="cellIs" dxfId="43" priority="29" operator="equal">
      <formula>28</formula>
    </cfRule>
    <cfRule type="cellIs" dxfId="42" priority="30" operator="equal">
      <formula>29</formula>
    </cfRule>
    <cfRule type="cellIs" dxfId="41" priority="31" operator="equal">
      <formula>30</formula>
    </cfRule>
    <cfRule type="cellIs" dxfId="40" priority="32" operator="equal">
      <formula>31</formula>
    </cfRule>
    <cfRule type="cellIs" dxfId="39" priority="33" operator="equal">
      <formula>32</formula>
    </cfRule>
    <cfRule type="cellIs" dxfId="38" priority="34" operator="equal">
      <formula>33</formula>
    </cfRule>
    <cfRule type="cellIs" dxfId="37" priority="35" operator="equal">
      <formula>34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0D6ED-1567-458B-BB33-5E783E47454D}">
  <sheetPr codeName="Sheet9"/>
  <dimension ref="B3:I99"/>
  <sheetViews>
    <sheetView showGridLines="0" workbookViewId="0">
      <selection activeCell="J30" sqref="J30"/>
    </sheetView>
  </sheetViews>
  <sheetFormatPr defaultRowHeight="13.8" x14ac:dyDescent="0.25"/>
  <cols>
    <col min="1" max="1" width="8.796875" style="7"/>
    <col min="2" max="2" width="8.69921875" style="7" customWidth="1"/>
    <col min="3" max="6" width="8.796875" style="7"/>
    <col min="7" max="7" width="18.296875" style="7" customWidth="1"/>
    <col min="8" max="8" width="8.796875" style="7"/>
    <col min="9" max="9" width="21.3984375" style="7" customWidth="1"/>
    <col min="10" max="16384" width="8.796875" style="7"/>
  </cols>
  <sheetData>
    <row r="3" spans="2:9" ht="40.200000000000003" customHeight="1" x14ac:dyDescent="0.25">
      <c r="B3" s="2" t="s">
        <v>150</v>
      </c>
      <c r="D3" s="21" t="s">
        <v>250</v>
      </c>
      <c r="E3" s="21" t="s">
        <v>251</v>
      </c>
      <c r="G3" s="25" t="s">
        <v>252</v>
      </c>
      <c r="H3" s="26" t="s">
        <v>253</v>
      </c>
      <c r="I3" s="27" t="s">
        <v>254</v>
      </c>
    </row>
    <row r="4" spans="2:9" x14ac:dyDescent="0.25">
      <c r="B4" s="63" t="s">
        <v>322</v>
      </c>
      <c r="D4" s="22">
        <v>0</v>
      </c>
      <c r="E4" s="22">
        <v>1</v>
      </c>
      <c r="G4" s="23" t="s">
        <v>241</v>
      </c>
      <c r="H4" s="4" t="s">
        <v>255</v>
      </c>
      <c r="I4" s="15"/>
    </row>
    <row r="5" spans="2:9" x14ac:dyDescent="0.25">
      <c r="B5" s="63" t="s">
        <v>323</v>
      </c>
      <c r="D5" s="22">
        <v>1</v>
      </c>
      <c r="E5" s="22">
        <v>1</v>
      </c>
      <c r="G5" s="23" t="s">
        <v>242</v>
      </c>
      <c r="H5" s="4" t="s">
        <v>256</v>
      </c>
      <c r="I5" s="15" t="s">
        <v>345</v>
      </c>
    </row>
    <row r="6" spans="2:9" x14ac:dyDescent="0.25">
      <c r="B6" s="63" t="s">
        <v>325</v>
      </c>
      <c r="D6" s="22">
        <v>1</v>
      </c>
      <c r="E6" s="22">
        <v>1</v>
      </c>
      <c r="G6" s="23" t="s">
        <v>243</v>
      </c>
      <c r="H6" s="4" t="s">
        <v>255</v>
      </c>
      <c r="I6" s="15"/>
    </row>
    <row r="7" spans="2:9" x14ac:dyDescent="0.25">
      <c r="B7" s="63" t="s">
        <v>326</v>
      </c>
      <c r="D7" s="22">
        <v>1</v>
      </c>
      <c r="E7" s="22">
        <v>2</v>
      </c>
      <c r="G7" s="23" t="s">
        <v>244</v>
      </c>
      <c r="H7" s="4" t="s">
        <v>255</v>
      </c>
      <c r="I7" s="15"/>
    </row>
    <row r="8" spans="2:9" x14ac:dyDescent="0.25">
      <c r="B8" s="63" t="s">
        <v>327</v>
      </c>
      <c r="D8" s="22">
        <v>1</v>
      </c>
      <c r="E8" s="22">
        <v>2</v>
      </c>
      <c r="G8" s="23" t="s">
        <v>245</v>
      </c>
      <c r="H8" s="4" t="s">
        <v>255</v>
      </c>
      <c r="I8" s="15"/>
    </row>
    <row r="9" spans="2:9" x14ac:dyDescent="0.25">
      <c r="B9" s="63" t="s">
        <v>328</v>
      </c>
      <c r="D9" s="22">
        <v>1</v>
      </c>
      <c r="E9" s="22">
        <v>1</v>
      </c>
      <c r="G9" s="23" t="s">
        <v>246</v>
      </c>
      <c r="H9" s="4" t="s">
        <v>255</v>
      </c>
      <c r="I9" s="15"/>
    </row>
    <row r="10" spans="2:9" x14ac:dyDescent="0.25">
      <c r="B10" s="63" t="s">
        <v>329</v>
      </c>
      <c r="D10" s="22">
        <v>1</v>
      </c>
      <c r="E10" s="22">
        <v>2</v>
      </c>
      <c r="G10" s="23" t="s">
        <v>247</v>
      </c>
      <c r="H10" s="4" t="s">
        <v>255</v>
      </c>
      <c r="I10" s="15"/>
    </row>
    <row r="11" spans="2:9" x14ac:dyDescent="0.25">
      <c r="B11" s="63" t="s">
        <v>330</v>
      </c>
      <c r="D11" s="22">
        <v>0</v>
      </c>
      <c r="E11" s="22">
        <v>1</v>
      </c>
      <c r="G11" s="23" t="s">
        <v>248</v>
      </c>
      <c r="H11" s="4" t="s">
        <v>255</v>
      </c>
      <c r="I11" s="15"/>
    </row>
    <row r="12" spans="2:9" x14ac:dyDescent="0.25">
      <c r="B12" s="63" t="s">
        <v>331</v>
      </c>
      <c r="D12" s="22">
        <v>1</v>
      </c>
      <c r="E12" s="22">
        <v>1</v>
      </c>
    </row>
    <row r="13" spans="2:9" x14ac:dyDescent="0.25">
      <c r="B13" s="63" t="s">
        <v>332</v>
      </c>
      <c r="D13" s="22">
        <v>1</v>
      </c>
      <c r="E13" s="22">
        <v>1</v>
      </c>
    </row>
    <row r="14" spans="2:9" x14ac:dyDescent="0.25">
      <c r="B14" s="63" t="s">
        <v>333</v>
      </c>
      <c r="D14" s="22">
        <v>1</v>
      </c>
      <c r="E14" s="22">
        <v>2</v>
      </c>
    </row>
    <row r="15" spans="2:9" x14ac:dyDescent="0.25">
      <c r="B15" s="63" t="s">
        <v>334</v>
      </c>
      <c r="D15" s="22">
        <v>1</v>
      </c>
      <c r="E15" s="22">
        <v>2</v>
      </c>
    </row>
    <row r="16" spans="2:9" x14ac:dyDescent="0.25">
      <c r="B16" s="63" t="s">
        <v>335</v>
      </c>
      <c r="D16" s="22">
        <v>1</v>
      </c>
      <c r="E16" s="22">
        <v>1</v>
      </c>
    </row>
    <row r="17" spans="2:5" x14ac:dyDescent="0.25">
      <c r="B17" s="63" t="s">
        <v>336</v>
      </c>
      <c r="D17" s="22">
        <v>1</v>
      </c>
      <c r="E17" s="22">
        <v>2</v>
      </c>
    </row>
    <row r="18" spans="2:5" x14ac:dyDescent="0.25">
      <c r="B18" s="63" t="s">
        <v>337</v>
      </c>
      <c r="D18" s="22">
        <v>0</v>
      </c>
      <c r="E18" s="22">
        <v>1</v>
      </c>
    </row>
    <row r="19" spans="2:5" x14ac:dyDescent="0.25">
      <c r="B19" s="63" t="s">
        <v>339</v>
      </c>
      <c r="D19" s="22">
        <v>1</v>
      </c>
      <c r="E19" s="22">
        <v>1</v>
      </c>
    </row>
    <row r="20" spans="2:5" x14ac:dyDescent="0.25">
      <c r="B20" s="63" t="s">
        <v>340</v>
      </c>
      <c r="D20" s="22">
        <v>1</v>
      </c>
      <c r="E20" s="22">
        <v>1</v>
      </c>
    </row>
    <row r="21" spans="2:5" x14ac:dyDescent="0.25">
      <c r="B21" s="63" t="s">
        <v>341</v>
      </c>
      <c r="D21" s="22">
        <v>1</v>
      </c>
      <c r="E21" s="22">
        <v>2</v>
      </c>
    </row>
    <row r="22" spans="2:5" x14ac:dyDescent="0.25">
      <c r="B22" s="63" t="s">
        <v>342</v>
      </c>
      <c r="D22" s="22">
        <v>1</v>
      </c>
      <c r="E22" s="22">
        <v>2</v>
      </c>
    </row>
    <row r="23" spans="2:5" x14ac:dyDescent="0.25">
      <c r="B23" s="63" t="s">
        <v>343</v>
      </c>
      <c r="D23" s="22">
        <v>1</v>
      </c>
      <c r="E23" s="22">
        <v>1</v>
      </c>
    </row>
    <row r="24" spans="2:5" x14ac:dyDescent="0.25">
      <c r="B24" s="63" t="s">
        <v>344</v>
      </c>
      <c r="D24" s="22">
        <v>1</v>
      </c>
      <c r="E24" s="22">
        <v>2</v>
      </c>
    </row>
    <row r="25" spans="2:5" x14ac:dyDescent="0.25">
      <c r="B25"/>
      <c r="C25"/>
      <c r="D25"/>
      <c r="E25"/>
    </row>
    <row r="26" spans="2:5" x14ac:dyDescent="0.25">
      <c r="B26"/>
      <c r="C26"/>
      <c r="D26"/>
      <c r="E26"/>
    </row>
    <row r="27" spans="2:5" x14ac:dyDescent="0.25">
      <c r="B27"/>
      <c r="C27"/>
      <c r="D27"/>
      <c r="E27"/>
    </row>
    <row r="28" spans="2:5" x14ac:dyDescent="0.25">
      <c r="B28"/>
      <c r="C28"/>
      <c r="D28"/>
      <c r="E28"/>
    </row>
    <row r="29" spans="2:5" x14ac:dyDescent="0.25">
      <c r="B29"/>
      <c r="C29"/>
      <c r="D29"/>
      <c r="E29"/>
    </row>
    <row r="30" spans="2:5" x14ac:dyDescent="0.25">
      <c r="B30"/>
      <c r="C30"/>
      <c r="D30"/>
      <c r="E30"/>
    </row>
    <row r="31" spans="2:5" x14ac:dyDescent="0.25">
      <c r="B31"/>
      <c r="C31"/>
      <c r="D31"/>
      <c r="E31"/>
    </row>
    <row r="32" spans="2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  <row r="96" spans="2:5" x14ac:dyDescent="0.25">
      <c r="B96"/>
      <c r="C96"/>
      <c r="D96"/>
      <c r="E96"/>
    </row>
    <row r="97" spans="2:5" x14ac:dyDescent="0.25">
      <c r="B97"/>
      <c r="C97"/>
      <c r="D97"/>
      <c r="E97"/>
    </row>
    <row r="98" spans="2:5" x14ac:dyDescent="0.25">
      <c r="B98"/>
      <c r="C98"/>
      <c r="D98"/>
      <c r="E98"/>
    </row>
    <row r="99" spans="2:5" x14ac:dyDescent="0.25">
      <c r="B99"/>
      <c r="C99"/>
      <c r="D99"/>
      <c r="E99"/>
    </row>
  </sheetData>
  <conditionalFormatting sqref="D4:E24">
    <cfRule type="cellIs" dxfId="36" priority="3" operator="equal">
      <formula>0</formula>
    </cfRule>
    <cfRule type="cellIs" dxfId="35" priority="4" operator="equal">
      <formula>1</formula>
    </cfRule>
    <cfRule type="cellIs" dxfId="34" priority="5" operator="equal">
      <formula>2</formula>
    </cfRule>
    <cfRule type="cellIs" dxfId="33" priority="6" operator="equal">
      <formula>3</formula>
    </cfRule>
    <cfRule type="cellIs" dxfId="32" priority="7" operator="equal">
      <formula>4</formula>
    </cfRule>
    <cfRule type="cellIs" dxfId="31" priority="8" operator="equal">
      <formula>5</formula>
    </cfRule>
    <cfRule type="cellIs" dxfId="30" priority="9" operator="equal">
      <formula>6</formula>
    </cfRule>
    <cfRule type="cellIs" dxfId="29" priority="10" operator="equal">
      <formula>7</formula>
    </cfRule>
    <cfRule type="cellIs" dxfId="28" priority="11" operator="equal">
      <formula>8</formula>
    </cfRule>
    <cfRule type="cellIs" dxfId="27" priority="12" operator="equal">
      <formula>9</formula>
    </cfRule>
    <cfRule type="cellIs" dxfId="26" priority="13" operator="equal">
      <formula>10</formula>
    </cfRule>
    <cfRule type="cellIs" dxfId="25" priority="14" operator="equal">
      <formula>11</formula>
    </cfRule>
    <cfRule type="cellIs" dxfId="24" priority="15" operator="equal">
      <formula>12</formula>
    </cfRule>
    <cfRule type="cellIs" dxfId="23" priority="16" operator="equal">
      <formula>13</formula>
    </cfRule>
    <cfRule type="cellIs" dxfId="22" priority="17" operator="equal">
      <formula>14</formula>
    </cfRule>
    <cfRule type="cellIs" dxfId="21" priority="18" operator="equal">
      <formula>15</formula>
    </cfRule>
    <cfRule type="cellIs" dxfId="20" priority="19" operator="equal">
      <formula>16</formula>
    </cfRule>
    <cfRule type="cellIs" dxfId="19" priority="20" operator="equal">
      <formula>17</formula>
    </cfRule>
    <cfRule type="cellIs" dxfId="18" priority="21" operator="equal">
      <formula>18</formula>
    </cfRule>
    <cfRule type="cellIs" dxfId="17" priority="22" operator="equal">
      <formula>19</formula>
    </cfRule>
    <cfRule type="cellIs" dxfId="16" priority="23" operator="equal">
      <formula>20</formula>
    </cfRule>
    <cfRule type="cellIs" dxfId="15" priority="24" operator="equal">
      <formula>21</formula>
    </cfRule>
    <cfRule type="cellIs" dxfId="14" priority="25" operator="equal">
      <formula>22</formula>
    </cfRule>
    <cfRule type="cellIs" dxfId="13" priority="26" operator="equal">
      <formula>23</formula>
    </cfRule>
    <cfRule type="cellIs" dxfId="12" priority="27" operator="equal">
      <formula>24</formula>
    </cfRule>
    <cfRule type="cellIs" dxfId="11" priority="28" operator="equal">
      <formula>25</formula>
    </cfRule>
    <cfRule type="cellIs" dxfId="10" priority="29" operator="equal">
      <formula>26</formula>
    </cfRule>
    <cfRule type="cellIs" dxfId="9" priority="30" operator="equal">
      <formula>27</formula>
    </cfRule>
    <cfRule type="cellIs" dxfId="8" priority="31" operator="equal">
      <formula>28</formula>
    </cfRule>
    <cfRule type="cellIs" dxfId="7" priority="32" operator="equal">
      <formula>29</formula>
    </cfRule>
    <cfRule type="cellIs" dxfId="6" priority="33" operator="equal">
      <formula>30</formula>
    </cfRule>
    <cfRule type="cellIs" dxfId="5" priority="34" operator="equal">
      <formula>31</formula>
    </cfRule>
    <cfRule type="cellIs" dxfId="4" priority="35" operator="equal">
      <formula>32</formula>
    </cfRule>
    <cfRule type="cellIs" dxfId="3" priority="36" operator="equal">
      <formula>33</formula>
    </cfRule>
    <cfRule type="cellIs" dxfId="2" priority="37" operator="equal">
      <formula>34</formula>
    </cfRule>
  </conditionalFormatting>
  <conditionalFormatting sqref="H4:H11">
    <cfRule type="cellIs" dxfId="1" priority="1" operator="equal">
      <formula>"Yes"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42B7-BCF2-4043-8B6E-CB1345A1FC2E}">
  <sheetPr codeName="Sheet11">
    <tabColor theme="7" tint="0.79998168889431442"/>
  </sheetPr>
  <dimension ref="A1:L96"/>
  <sheetViews>
    <sheetView showGridLines="0" workbookViewId="0">
      <selection activeCell="P2" sqref="P2"/>
    </sheetView>
  </sheetViews>
  <sheetFormatPr defaultRowHeight="11.4" x14ac:dyDescent="0.2"/>
  <cols>
    <col min="1" max="5" width="8.796875" style="38"/>
    <col min="6" max="6" width="4.3984375" style="38" customWidth="1"/>
    <col min="7" max="10" width="8.796875" style="38"/>
    <col min="11" max="11" width="8.796875" style="72"/>
    <col min="12" max="12" width="9.296875" style="38" customWidth="1"/>
    <col min="13" max="16384" width="8.796875" style="38"/>
  </cols>
  <sheetData>
    <row r="1" spans="1:12" ht="70.2" customHeight="1" x14ac:dyDescent="0.2">
      <c r="A1" s="35" t="s">
        <v>93</v>
      </c>
      <c r="B1" s="35" t="s">
        <v>92</v>
      </c>
      <c r="C1" s="35" t="s">
        <v>0</v>
      </c>
      <c r="D1" s="35" t="s">
        <v>8</v>
      </c>
      <c r="E1" s="45" t="s">
        <v>241</v>
      </c>
      <c r="F1" s="45" t="s">
        <v>242</v>
      </c>
      <c r="G1" s="45" t="s">
        <v>243</v>
      </c>
      <c r="H1" s="45" t="s">
        <v>244</v>
      </c>
      <c r="I1" s="45" t="s">
        <v>245</v>
      </c>
      <c r="J1" s="45" t="s">
        <v>246</v>
      </c>
      <c r="K1" s="70" t="s">
        <v>247</v>
      </c>
      <c r="L1" s="45" t="s">
        <v>248</v>
      </c>
    </row>
    <row r="2" spans="1:12" x14ac:dyDescent="0.2">
      <c r="A2" s="39" t="s">
        <v>441</v>
      </c>
      <c r="B2" s="39" t="s">
        <v>536</v>
      </c>
      <c r="C2" s="39" t="s">
        <v>441</v>
      </c>
      <c r="D2" s="40" t="s">
        <v>537</v>
      </c>
      <c r="E2" s="40" t="s">
        <v>354</v>
      </c>
      <c r="F2" s="40">
        <v>1</v>
      </c>
      <c r="G2" s="40" t="s">
        <v>249</v>
      </c>
      <c r="H2" s="40" t="s">
        <v>437</v>
      </c>
      <c r="I2" s="40">
        <v>8</v>
      </c>
      <c r="J2" s="40"/>
      <c r="K2" s="71" t="s">
        <v>347</v>
      </c>
      <c r="L2" s="40"/>
    </row>
    <row r="3" spans="1:12" x14ac:dyDescent="0.2">
      <c r="A3" s="39" t="s">
        <v>442</v>
      </c>
      <c r="B3" s="39" t="s">
        <v>536</v>
      </c>
      <c r="C3" s="39" t="s">
        <v>442</v>
      </c>
      <c r="D3" s="40" t="s">
        <v>539</v>
      </c>
      <c r="E3" s="40" t="s">
        <v>354</v>
      </c>
      <c r="F3" s="40">
        <v>1</v>
      </c>
      <c r="G3" s="40" t="s">
        <v>249</v>
      </c>
      <c r="H3" s="40" t="s">
        <v>437</v>
      </c>
      <c r="I3" s="40">
        <v>8</v>
      </c>
      <c r="J3" s="40"/>
      <c r="K3" s="71" t="s">
        <v>347</v>
      </c>
      <c r="L3" s="40"/>
    </row>
    <row r="4" spans="1:12" x14ac:dyDescent="0.2">
      <c r="A4" s="39" t="s">
        <v>443</v>
      </c>
      <c r="B4" s="39" t="s">
        <v>536</v>
      </c>
      <c r="C4" s="39" t="s">
        <v>443</v>
      </c>
      <c r="D4" s="40" t="s">
        <v>540</v>
      </c>
      <c r="E4" s="40" t="s">
        <v>354</v>
      </c>
      <c r="F4" s="40">
        <v>1</v>
      </c>
      <c r="G4" s="40" t="s">
        <v>249</v>
      </c>
      <c r="H4" s="40" t="s">
        <v>437</v>
      </c>
      <c r="I4" s="40">
        <v>8</v>
      </c>
      <c r="J4" s="40"/>
      <c r="K4" s="71" t="s">
        <v>347</v>
      </c>
      <c r="L4" s="40"/>
    </row>
    <row r="5" spans="1:12" x14ac:dyDescent="0.2">
      <c r="A5" s="39" t="s">
        <v>444</v>
      </c>
      <c r="B5" s="39" t="s">
        <v>536</v>
      </c>
      <c r="C5" s="39" t="s">
        <v>444</v>
      </c>
      <c r="D5" s="40" t="s">
        <v>541</v>
      </c>
      <c r="E5" s="40" t="s">
        <v>354</v>
      </c>
      <c r="F5" s="40">
        <v>1</v>
      </c>
      <c r="G5" s="40" t="s">
        <v>249</v>
      </c>
      <c r="H5" s="40" t="s">
        <v>437</v>
      </c>
      <c r="I5" s="40">
        <v>8</v>
      </c>
      <c r="J5" s="40"/>
      <c r="K5" s="71" t="s">
        <v>347</v>
      </c>
      <c r="L5" s="40"/>
    </row>
    <row r="6" spans="1:12" x14ac:dyDescent="0.2">
      <c r="A6" s="39" t="s">
        <v>445</v>
      </c>
      <c r="B6" s="39" t="s">
        <v>536</v>
      </c>
      <c r="C6" s="39" t="s">
        <v>445</v>
      </c>
      <c r="D6" s="40" t="s">
        <v>542</v>
      </c>
      <c r="E6" s="40" t="s">
        <v>354</v>
      </c>
      <c r="F6" s="40">
        <v>0</v>
      </c>
      <c r="G6" s="40" t="s">
        <v>249</v>
      </c>
      <c r="H6" s="40" t="s">
        <v>437</v>
      </c>
      <c r="I6" s="40">
        <v>8</v>
      </c>
      <c r="J6" s="40"/>
      <c r="K6" s="71" t="s">
        <v>347</v>
      </c>
      <c r="L6" s="40"/>
    </row>
    <row r="7" spans="1:12" x14ac:dyDescent="0.2">
      <c r="A7" s="39" t="s">
        <v>446</v>
      </c>
      <c r="B7" s="39" t="s">
        <v>536</v>
      </c>
      <c r="C7" s="39" t="s">
        <v>446</v>
      </c>
      <c r="D7" s="40" t="s">
        <v>543</v>
      </c>
      <c r="E7" s="40" t="s">
        <v>354</v>
      </c>
      <c r="F7" s="40">
        <v>0</v>
      </c>
      <c r="G7" s="40" t="s">
        <v>249</v>
      </c>
      <c r="H7" s="40" t="s">
        <v>437</v>
      </c>
      <c r="I7" s="40">
        <v>8</v>
      </c>
      <c r="J7" s="40"/>
      <c r="K7" s="71" t="s">
        <v>347</v>
      </c>
      <c r="L7" s="40"/>
    </row>
    <row r="8" spans="1:12" x14ac:dyDescent="0.2">
      <c r="A8" s="39" t="s">
        <v>447</v>
      </c>
      <c r="B8" s="39" t="s">
        <v>536</v>
      </c>
      <c r="C8" s="39" t="s">
        <v>447</v>
      </c>
      <c r="D8" s="40" t="s">
        <v>544</v>
      </c>
      <c r="E8" s="40" t="s">
        <v>354</v>
      </c>
      <c r="F8" s="40">
        <v>0</v>
      </c>
      <c r="G8" s="40" t="s">
        <v>249</v>
      </c>
      <c r="H8" s="40" t="s">
        <v>437</v>
      </c>
      <c r="I8" s="40">
        <v>8</v>
      </c>
      <c r="J8" s="40"/>
      <c r="K8" s="71" t="s">
        <v>347</v>
      </c>
      <c r="L8" s="40"/>
    </row>
    <row r="9" spans="1:12" x14ac:dyDescent="0.2">
      <c r="A9" s="39" t="s">
        <v>448</v>
      </c>
      <c r="B9" s="39" t="s">
        <v>536</v>
      </c>
      <c r="C9" s="39" t="s">
        <v>448</v>
      </c>
      <c r="D9" s="40" t="s">
        <v>545</v>
      </c>
      <c r="E9" s="40" t="s">
        <v>354</v>
      </c>
      <c r="F9" s="40">
        <v>0</v>
      </c>
      <c r="G9" s="40" t="s">
        <v>249</v>
      </c>
      <c r="H9" s="40" t="s">
        <v>437</v>
      </c>
      <c r="I9" s="40">
        <v>8</v>
      </c>
      <c r="J9" s="40"/>
      <c r="K9" s="71" t="s">
        <v>347</v>
      </c>
      <c r="L9" s="40"/>
    </row>
    <row r="10" spans="1:12" x14ac:dyDescent="0.2">
      <c r="A10" s="39" t="s">
        <v>449</v>
      </c>
      <c r="B10" s="39" t="s">
        <v>536</v>
      </c>
      <c r="C10" s="39" t="s">
        <v>449</v>
      </c>
      <c r="D10" s="40" t="s">
        <v>546</v>
      </c>
      <c r="E10" s="40" t="s">
        <v>354</v>
      </c>
      <c r="F10" s="40">
        <v>0</v>
      </c>
      <c r="G10" s="40" t="s">
        <v>249</v>
      </c>
      <c r="H10" s="40" t="s">
        <v>437</v>
      </c>
      <c r="I10" s="40">
        <v>8</v>
      </c>
      <c r="J10" s="40"/>
      <c r="K10" s="71" t="s">
        <v>347</v>
      </c>
      <c r="L10" s="40"/>
    </row>
    <row r="11" spans="1:12" x14ac:dyDescent="0.2">
      <c r="A11" s="39" t="s">
        <v>450</v>
      </c>
      <c r="B11" s="39" t="s">
        <v>536</v>
      </c>
      <c r="C11" s="39" t="s">
        <v>450</v>
      </c>
      <c r="D11" s="40" t="s">
        <v>547</v>
      </c>
      <c r="E11" s="40" t="s">
        <v>354</v>
      </c>
      <c r="F11" s="40">
        <v>0</v>
      </c>
      <c r="G11" s="40" t="s">
        <v>249</v>
      </c>
      <c r="H11" s="40" t="s">
        <v>437</v>
      </c>
      <c r="I11" s="40">
        <v>8</v>
      </c>
      <c r="J11" s="40"/>
      <c r="K11" s="71" t="s">
        <v>347</v>
      </c>
      <c r="L11" s="40"/>
    </row>
    <row r="12" spans="1:12" x14ac:dyDescent="0.2">
      <c r="A12" s="39" t="s">
        <v>451</v>
      </c>
      <c r="B12" s="39" t="s">
        <v>536</v>
      </c>
      <c r="C12" s="39" t="s">
        <v>451</v>
      </c>
      <c r="D12" s="40" t="s">
        <v>548</v>
      </c>
      <c r="E12" s="40" t="s">
        <v>354</v>
      </c>
      <c r="F12" s="40">
        <v>0</v>
      </c>
      <c r="G12" s="40" t="s">
        <v>249</v>
      </c>
      <c r="H12" s="40" t="s">
        <v>437</v>
      </c>
      <c r="I12" s="40">
        <v>8</v>
      </c>
      <c r="J12" s="40"/>
      <c r="K12" s="71" t="s">
        <v>347</v>
      </c>
      <c r="L12" s="40"/>
    </row>
    <row r="13" spans="1:12" x14ac:dyDescent="0.2">
      <c r="A13" s="39" t="s">
        <v>452</v>
      </c>
      <c r="B13" s="39" t="s">
        <v>536</v>
      </c>
      <c r="C13" s="39" t="s">
        <v>452</v>
      </c>
      <c r="D13" s="40" t="s">
        <v>549</v>
      </c>
      <c r="E13" s="40" t="s">
        <v>354</v>
      </c>
      <c r="F13" s="40">
        <v>0</v>
      </c>
      <c r="G13" s="40" t="s">
        <v>249</v>
      </c>
      <c r="H13" s="40" t="s">
        <v>437</v>
      </c>
      <c r="I13" s="40">
        <v>8</v>
      </c>
      <c r="J13" s="40"/>
      <c r="K13" s="71" t="s">
        <v>347</v>
      </c>
      <c r="L13" s="40"/>
    </row>
    <row r="14" spans="1:12" x14ac:dyDescent="0.2">
      <c r="A14" s="39" t="s">
        <v>453</v>
      </c>
      <c r="B14" s="39" t="s">
        <v>536</v>
      </c>
      <c r="C14" s="39" t="s">
        <v>453</v>
      </c>
      <c r="D14" s="40" t="s">
        <v>550</v>
      </c>
      <c r="E14" s="40" t="s">
        <v>354</v>
      </c>
      <c r="F14" s="40">
        <v>1</v>
      </c>
      <c r="G14" s="40" t="s">
        <v>249</v>
      </c>
      <c r="H14" s="40" t="s">
        <v>437</v>
      </c>
      <c r="I14" s="40">
        <v>8</v>
      </c>
      <c r="J14" s="40"/>
      <c r="K14" s="71" t="s">
        <v>347</v>
      </c>
      <c r="L14" s="40"/>
    </row>
    <row r="15" spans="1:12" x14ac:dyDescent="0.2">
      <c r="A15" s="39" t="s">
        <v>454</v>
      </c>
      <c r="B15" s="39" t="s">
        <v>536</v>
      </c>
      <c r="C15" s="39" t="s">
        <v>454</v>
      </c>
      <c r="D15" s="40" t="s">
        <v>551</v>
      </c>
      <c r="E15" s="40" t="s">
        <v>354</v>
      </c>
      <c r="F15" s="40">
        <v>0</v>
      </c>
      <c r="G15" s="40" t="s">
        <v>249</v>
      </c>
      <c r="H15" s="40" t="s">
        <v>437</v>
      </c>
      <c r="I15" s="40">
        <v>8</v>
      </c>
      <c r="J15" s="40"/>
      <c r="K15" s="71" t="s">
        <v>347</v>
      </c>
      <c r="L15" s="40"/>
    </row>
    <row r="16" spans="1:12" x14ac:dyDescent="0.2">
      <c r="A16" s="39" t="s">
        <v>455</v>
      </c>
      <c r="B16" s="39" t="s">
        <v>536</v>
      </c>
      <c r="C16" s="39" t="s">
        <v>455</v>
      </c>
      <c r="D16" s="40" t="s">
        <v>552</v>
      </c>
      <c r="E16" s="40" t="s">
        <v>354</v>
      </c>
      <c r="F16" s="40">
        <v>0</v>
      </c>
      <c r="G16" s="40" t="s">
        <v>249</v>
      </c>
      <c r="H16" s="40" t="s">
        <v>437</v>
      </c>
      <c r="I16" s="40">
        <v>8</v>
      </c>
      <c r="J16" s="40"/>
      <c r="K16" s="71" t="s">
        <v>347</v>
      </c>
      <c r="L16" s="40"/>
    </row>
    <row r="17" spans="1:12" x14ac:dyDescent="0.2">
      <c r="A17" s="39" t="s">
        <v>456</v>
      </c>
      <c r="B17" s="39" t="s">
        <v>536</v>
      </c>
      <c r="C17" s="39" t="s">
        <v>456</v>
      </c>
      <c r="D17" s="40" t="s">
        <v>553</v>
      </c>
      <c r="E17" s="40" t="s">
        <v>354</v>
      </c>
      <c r="F17" s="40">
        <v>1</v>
      </c>
      <c r="G17" s="40" t="s">
        <v>249</v>
      </c>
      <c r="H17" s="40" t="s">
        <v>437</v>
      </c>
      <c r="I17" s="40">
        <v>8</v>
      </c>
      <c r="J17" s="40"/>
      <c r="K17" s="71" t="s">
        <v>347</v>
      </c>
      <c r="L17" s="40"/>
    </row>
    <row r="18" spans="1:12" x14ac:dyDescent="0.2">
      <c r="A18" s="39" t="s">
        <v>457</v>
      </c>
      <c r="B18" s="39" t="s">
        <v>536</v>
      </c>
      <c r="C18" s="39" t="s">
        <v>457</v>
      </c>
      <c r="D18" s="40" t="s">
        <v>554</v>
      </c>
      <c r="E18" s="40" t="s">
        <v>354</v>
      </c>
      <c r="F18" s="40">
        <v>1</v>
      </c>
      <c r="G18" s="40" t="s">
        <v>249</v>
      </c>
      <c r="H18" s="40" t="s">
        <v>437</v>
      </c>
      <c r="I18" s="40">
        <v>8</v>
      </c>
      <c r="J18" s="40"/>
      <c r="K18" s="71" t="s">
        <v>347</v>
      </c>
      <c r="L18" s="40"/>
    </row>
    <row r="19" spans="1:12" x14ac:dyDescent="0.2">
      <c r="A19" s="39" t="s">
        <v>458</v>
      </c>
      <c r="B19" s="39" t="s">
        <v>536</v>
      </c>
      <c r="C19" s="39" t="s">
        <v>458</v>
      </c>
      <c r="D19" s="40" t="s">
        <v>555</v>
      </c>
      <c r="E19" s="40" t="s">
        <v>354</v>
      </c>
      <c r="F19" s="40">
        <v>1</v>
      </c>
      <c r="G19" s="40" t="s">
        <v>249</v>
      </c>
      <c r="H19" s="40" t="s">
        <v>437</v>
      </c>
      <c r="I19" s="40">
        <v>8</v>
      </c>
      <c r="J19" s="40"/>
      <c r="K19" s="71" t="s">
        <v>347</v>
      </c>
      <c r="L19" s="40"/>
    </row>
    <row r="20" spans="1:12" x14ac:dyDescent="0.2">
      <c r="A20" s="39" t="s">
        <v>459</v>
      </c>
      <c r="B20" s="39" t="s">
        <v>536</v>
      </c>
      <c r="C20" s="39" t="s">
        <v>459</v>
      </c>
      <c r="D20" s="40" t="s">
        <v>556</v>
      </c>
      <c r="E20" s="40" t="s">
        <v>354</v>
      </c>
      <c r="F20" s="40">
        <v>1</v>
      </c>
      <c r="G20" s="40" t="s">
        <v>249</v>
      </c>
      <c r="H20" s="40" t="s">
        <v>437</v>
      </c>
      <c r="I20" s="40">
        <v>8</v>
      </c>
      <c r="J20" s="40"/>
      <c r="K20" s="71" t="s">
        <v>347</v>
      </c>
      <c r="L20" s="40"/>
    </row>
    <row r="21" spans="1:12" x14ac:dyDescent="0.2">
      <c r="A21" s="39" t="s">
        <v>460</v>
      </c>
      <c r="B21" s="39" t="s">
        <v>536</v>
      </c>
      <c r="C21" s="39" t="s">
        <v>460</v>
      </c>
      <c r="D21" s="40" t="s">
        <v>557</v>
      </c>
      <c r="E21" s="40" t="s">
        <v>354</v>
      </c>
      <c r="F21" s="40">
        <v>1</v>
      </c>
      <c r="G21" s="40" t="s">
        <v>249</v>
      </c>
      <c r="H21" s="40" t="s">
        <v>437</v>
      </c>
      <c r="I21" s="40">
        <v>8</v>
      </c>
      <c r="J21" s="40"/>
      <c r="K21" s="71" t="s">
        <v>347</v>
      </c>
      <c r="L21" s="40"/>
    </row>
    <row r="22" spans="1:12" x14ac:dyDescent="0.2">
      <c r="A22" s="39" t="s">
        <v>461</v>
      </c>
      <c r="B22" s="39" t="s">
        <v>536</v>
      </c>
      <c r="C22" s="39" t="s">
        <v>461</v>
      </c>
      <c r="D22" s="40" t="s">
        <v>558</v>
      </c>
      <c r="E22" s="40" t="s">
        <v>354</v>
      </c>
      <c r="F22" s="40">
        <v>0</v>
      </c>
      <c r="G22" s="40" t="s">
        <v>249</v>
      </c>
      <c r="H22" s="40" t="s">
        <v>437</v>
      </c>
      <c r="I22" s="40">
        <v>8</v>
      </c>
      <c r="J22" s="40"/>
      <c r="K22" s="71" t="s">
        <v>347</v>
      </c>
      <c r="L22" s="40"/>
    </row>
    <row r="23" spans="1:12" x14ac:dyDescent="0.2">
      <c r="A23" s="39" t="s">
        <v>462</v>
      </c>
      <c r="B23" s="39" t="s">
        <v>536</v>
      </c>
      <c r="C23" s="39" t="s">
        <v>462</v>
      </c>
      <c r="D23" s="40" t="s">
        <v>559</v>
      </c>
      <c r="E23" s="40" t="s">
        <v>354</v>
      </c>
      <c r="F23" s="40">
        <v>0</v>
      </c>
      <c r="G23" s="40" t="s">
        <v>249</v>
      </c>
      <c r="H23" s="40" t="s">
        <v>437</v>
      </c>
      <c r="I23" s="40">
        <v>8</v>
      </c>
      <c r="J23" s="40"/>
      <c r="K23" s="71" t="s">
        <v>347</v>
      </c>
      <c r="L23" s="40"/>
    </row>
    <row r="24" spans="1:12" x14ac:dyDescent="0.2">
      <c r="A24" s="39" t="s">
        <v>463</v>
      </c>
      <c r="B24" s="39" t="s">
        <v>536</v>
      </c>
      <c r="C24" s="39" t="s">
        <v>463</v>
      </c>
      <c r="D24" s="40" t="s">
        <v>560</v>
      </c>
      <c r="E24" s="40" t="s">
        <v>354</v>
      </c>
      <c r="F24" s="40">
        <v>0</v>
      </c>
      <c r="G24" s="40" t="s">
        <v>249</v>
      </c>
      <c r="H24" s="40" t="s">
        <v>437</v>
      </c>
      <c r="I24" s="40">
        <v>8</v>
      </c>
      <c r="J24" s="40"/>
      <c r="K24" s="71" t="s">
        <v>347</v>
      </c>
      <c r="L24" s="40"/>
    </row>
    <row r="25" spans="1:12" x14ac:dyDescent="0.2">
      <c r="A25" s="39" t="s">
        <v>464</v>
      </c>
      <c r="B25" s="39" t="s">
        <v>536</v>
      </c>
      <c r="C25" s="39" t="s">
        <v>464</v>
      </c>
      <c r="D25" s="40" t="s">
        <v>561</v>
      </c>
      <c r="E25" s="40" t="s">
        <v>354</v>
      </c>
      <c r="F25" s="40">
        <v>0</v>
      </c>
      <c r="G25" s="40" t="s">
        <v>249</v>
      </c>
      <c r="H25" s="40" t="s">
        <v>437</v>
      </c>
      <c r="I25" s="40">
        <v>8</v>
      </c>
      <c r="J25" s="40"/>
      <c r="K25" s="71" t="s">
        <v>347</v>
      </c>
      <c r="L25" s="40"/>
    </row>
    <row r="26" spans="1:12" x14ac:dyDescent="0.2">
      <c r="A26" s="39" t="s">
        <v>465</v>
      </c>
      <c r="B26" s="39" t="s">
        <v>536</v>
      </c>
      <c r="C26" s="39" t="s">
        <v>465</v>
      </c>
      <c r="D26" s="40" t="s">
        <v>562</v>
      </c>
      <c r="E26" s="40" t="s">
        <v>354</v>
      </c>
      <c r="F26" s="40">
        <v>0</v>
      </c>
      <c r="G26" s="40" t="s">
        <v>249</v>
      </c>
      <c r="H26" s="40" t="s">
        <v>437</v>
      </c>
      <c r="I26" s="40">
        <v>8</v>
      </c>
      <c r="J26" s="40"/>
      <c r="K26" s="71" t="s">
        <v>347</v>
      </c>
      <c r="L26" s="40"/>
    </row>
    <row r="27" spans="1:12" x14ac:dyDescent="0.2">
      <c r="A27" s="39" t="s">
        <v>466</v>
      </c>
      <c r="B27" s="39" t="s">
        <v>536</v>
      </c>
      <c r="C27" s="39" t="s">
        <v>466</v>
      </c>
      <c r="D27" s="40" t="s">
        <v>563</v>
      </c>
      <c r="E27" s="40" t="s">
        <v>354</v>
      </c>
      <c r="F27" s="40">
        <v>1</v>
      </c>
      <c r="G27" s="40" t="s">
        <v>249</v>
      </c>
      <c r="H27" s="40" t="s">
        <v>437</v>
      </c>
      <c r="I27" s="40">
        <v>8</v>
      </c>
      <c r="J27" s="40"/>
      <c r="K27" s="71" t="s">
        <v>347</v>
      </c>
      <c r="L27" s="40"/>
    </row>
    <row r="28" spans="1:12" x14ac:dyDescent="0.2">
      <c r="A28" s="39" t="s">
        <v>467</v>
      </c>
      <c r="B28" s="39" t="s">
        <v>536</v>
      </c>
      <c r="C28" s="39" t="s">
        <v>467</v>
      </c>
      <c r="D28" s="40" t="s">
        <v>564</v>
      </c>
      <c r="E28" s="40" t="s">
        <v>354</v>
      </c>
      <c r="F28" s="40">
        <v>1</v>
      </c>
      <c r="G28" s="40" t="s">
        <v>249</v>
      </c>
      <c r="H28" s="40" t="s">
        <v>437</v>
      </c>
      <c r="I28" s="40">
        <v>8</v>
      </c>
      <c r="J28" s="40"/>
      <c r="K28" s="71" t="s">
        <v>347</v>
      </c>
      <c r="L28" s="40"/>
    </row>
    <row r="29" spans="1:12" x14ac:dyDescent="0.2">
      <c r="A29" s="39" t="s">
        <v>468</v>
      </c>
      <c r="B29" s="39" t="s">
        <v>536</v>
      </c>
      <c r="C29" s="39" t="s">
        <v>468</v>
      </c>
      <c r="D29" s="40" t="s">
        <v>565</v>
      </c>
      <c r="E29" s="40" t="s">
        <v>354</v>
      </c>
      <c r="F29" s="40">
        <v>0</v>
      </c>
      <c r="G29" s="40" t="s">
        <v>249</v>
      </c>
      <c r="H29" s="40" t="s">
        <v>437</v>
      </c>
      <c r="I29" s="40">
        <v>8</v>
      </c>
      <c r="J29" s="40"/>
      <c r="K29" s="71" t="s">
        <v>347</v>
      </c>
      <c r="L29" s="40"/>
    </row>
    <row r="30" spans="1:12" x14ac:dyDescent="0.2">
      <c r="A30" s="39" t="s">
        <v>469</v>
      </c>
      <c r="B30" s="39" t="s">
        <v>536</v>
      </c>
      <c r="C30" s="39" t="s">
        <v>469</v>
      </c>
      <c r="D30" s="40" t="s">
        <v>566</v>
      </c>
      <c r="E30" s="40" t="s">
        <v>354</v>
      </c>
      <c r="F30" s="40">
        <v>0</v>
      </c>
      <c r="G30" s="40" t="s">
        <v>249</v>
      </c>
      <c r="H30" s="40" t="s">
        <v>437</v>
      </c>
      <c r="I30" s="40">
        <v>8</v>
      </c>
      <c r="J30" s="40"/>
      <c r="K30" s="71" t="s">
        <v>347</v>
      </c>
      <c r="L30" s="40"/>
    </row>
    <row r="31" spans="1:12" x14ac:dyDescent="0.2">
      <c r="A31" s="39" t="s">
        <v>470</v>
      </c>
      <c r="B31" s="39" t="s">
        <v>536</v>
      </c>
      <c r="C31" s="39" t="s">
        <v>470</v>
      </c>
      <c r="D31" s="40" t="s">
        <v>567</v>
      </c>
      <c r="E31" s="40" t="s">
        <v>354</v>
      </c>
      <c r="F31" s="40">
        <v>0</v>
      </c>
      <c r="G31" s="40" t="s">
        <v>249</v>
      </c>
      <c r="H31" s="40" t="s">
        <v>437</v>
      </c>
      <c r="I31" s="40">
        <v>8</v>
      </c>
      <c r="J31" s="40"/>
      <c r="K31" s="71" t="s">
        <v>347</v>
      </c>
      <c r="L31" s="40"/>
    </row>
    <row r="32" spans="1:12" x14ac:dyDescent="0.2">
      <c r="A32" s="39" t="s">
        <v>471</v>
      </c>
      <c r="B32" s="39" t="s">
        <v>536</v>
      </c>
      <c r="C32" s="39" t="s">
        <v>471</v>
      </c>
      <c r="D32" s="40" t="s">
        <v>568</v>
      </c>
      <c r="E32" s="40" t="s">
        <v>354</v>
      </c>
      <c r="F32" s="40">
        <v>0</v>
      </c>
      <c r="G32" s="40" t="s">
        <v>249</v>
      </c>
      <c r="H32" s="40" t="s">
        <v>437</v>
      </c>
      <c r="I32" s="40">
        <v>8</v>
      </c>
      <c r="J32" s="40"/>
      <c r="K32" s="71" t="s">
        <v>347</v>
      </c>
      <c r="L32" s="40"/>
    </row>
    <row r="33" spans="1:12" x14ac:dyDescent="0.2">
      <c r="A33" s="39" t="s">
        <v>472</v>
      </c>
      <c r="B33" s="39" t="s">
        <v>536</v>
      </c>
      <c r="C33" s="39" t="s">
        <v>472</v>
      </c>
      <c r="D33" s="40" t="s">
        <v>569</v>
      </c>
      <c r="E33" s="40" t="s">
        <v>354</v>
      </c>
      <c r="F33" s="40">
        <v>1</v>
      </c>
      <c r="G33" s="40" t="s">
        <v>249</v>
      </c>
      <c r="H33" s="40" t="s">
        <v>437</v>
      </c>
      <c r="I33" s="40">
        <v>8</v>
      </c>
      <c r="J33" s="40"/>
      <c r="K33" s="71" t="s">
        <v>347</v>
      </c>
      <c r="L33" s="40"/>
    </row>
    <row r="34" spans="1:12" x14ac:dyDescent="0.2">
      <c r="A34" s="39" t="s">
        <v>473</v>
      </c>
      <c r="B34" s="39" t="s">
        <v>536</v>
      </c>
      <c r="C34" s="39" t="s">
        <v>473</v>
      </c>
      <c r="D34" s="40" t="s">
        <v>570</v>
      </c>
      <c r="E34" s="40" t="s">
        <v>354</v>
      </c>
      <c r="F34" s="40">
        <v>0</v>
      </c>
      <c r="G34" s="40" t="s">
        <v>249</v>
      </c>
      <c r="H34" s="40" t="s">
        <v>437</v>
      </c>
      <c r="I34" s="40">
        <v>8</v>
      </c>
      <c r="J34" s="40"/>
      <c r="K34" s="71" t="s">
        <v>347</v>
      </c>
      <c r="L34" s="40"/>
    </row>
    <row r="35" spans="1:12" x14ac:dyDescent="0.2">
      <c r="A35" s="39" t="s">
        <v>474</v>
      </c>
      <c r="B35" s="39" t="s">
        <v>536</v>
      </c>
      <c r="C35" s="39" t="s">
        <v>474</v>
      </c>
      <c r="D35" s="40" t="s">
        <v>571</v>
      </c>
      <c r="E35" s="40" t="s">
        <v>354</v>
      </c>
      <c r="F35" s="40">
        <v>0</v>
      </c>
      <c r="G35" s="40" t="s">
        <v>249</v>
      </c>
      <c r="H35" s="40" t="s">
        <v>437</v>
      </c>
      <c r="I35" s="40">
        <v>8</v>
      </c>
      <c r="J35" s="40"/>
      <c r="K35" s="71" t="s">
        <v>347</v>
      </c>
      <c r="L35" s="40"/>
    </row>
    <row r="36" spans="1:12" x14ac:dyDescent="0.2">
      <c r="A36" s="39" t="s">
        <v>475</v>
      </c>
      <c r="B36" s="39" t="s">
        <v>536</v>
      </c>
      <c r="C36" s="39" t="s">
        <v>475</v>
      </c>
      <c r="D36" s="40" t="s">
        <v>572</v>
      </c>
      <c r="E36" s="40" t="s">
        <v>354</v>
      </c>
      <c r="F36" s="40">
        <v>1</v>
      </c>
      <c r="G36" s="40" t="s">
        <v>249</v>
      </c>
      <c r="H36" s="40" t="s">
        <v>437</v>
      </c>
      <c r="I36" s="40">
        <v>8</v>
      </c>
      <c r="J36" s="40"/>
      <c r="K36" s="71" t="s">
        <v>347</v>
      </c>
      <c r="L36" s="40"/>
    </row>
    <row r="37" spans="1:12" x14ac:dyDescent="0.2">
      <c r="A37" s="39" t="s">
        <v>476</v>
      </c>
      <c r="B37" s="39" t="s">
        <v>536</v>
      </c>
      <c r="C37" s="39" t="s">
        <v>476</v>
      </c>
      <c r="D37" s="40" t="s">
        <v>573</v>
      </c>
      <c r="E37" s="40" t="s">
        <v>354</v>
      </c>
      <c r="F37" s="40">
        <v>0</v>
      </c>
      <c r="G37" s="40" t="s">
        <v>249</v>
      </c>
      <c r="H37" s="40" t="s">
        <v>437</v>
      </c>
      <c r="I37" s="40">
        <v>8</v>
      </c>
      <c r="J37" s="40"/>
      <c r="K37" s="71" t="s">
        <v>347</v>
      </c>
      <c r="L37" s="40"/>
    </row>
    <row r="38" spans="1:12" x14ac:dyDescent="0.2">
      <c r="A38" s="39" t="s">
        <v>477</v>
      </c>
      <c r="B38" s="39" t="s">
        <v>536</v>
      </c>
      <c r="C38" s="39" t="s">
        <v>477</v>
      </c>
      <c r="D38" s="40" t="s">
        <v>574</v>
      </c>
      <c r="E38" s="40" t="s">
        <v>354</v>
      </c>
      <c r="F38" s="40">
        <v>0</v>
      </c>
      <c r="G38" s="40" t="s">
        <v>249</v>
      </c>
      <c r="H38" s="40" t="s">
        <v>437</v>
      </c>
      <c r="I38" s="40">
        <v>8</v>
      </c>
      <c r="J38" s="40"/>
      <c r="K38" s="71" t="s">
        <v>347</v>
      </c>
      <c r="L38" s="40"/>
    </row>
    <row r="39" spans="1:12" x14ac:dyDescent="0.2">
      <c r="A39" s="39" t="s">
        <v>478</v>
      </c>
      <c r="B39" s="39" t="s">
        <v>536</v>
      </c>
      <c r="C39" s="39" t="s">
        <v>478</v>
      </c>
      <c r="D39" s="40" t="s">
        <v>575</v>
      </c>
      <c r="E39" s="40" t="s">
        <v>354</v>
      </c>
      <c r="F39" s="40">
        <v>0</v>
      </c>
      <c r="G39" s="40" t="s">
        <v>249</v>
      </c>
      <c r="H39" s="40" t="s">
        <v>437</v>
      </c>
      <c r="I39" s="40">
        <v>8</v>
      </c>
      <c r="J39" s="40"/>
      <c r="K39" s="71" t="s">
        <v>347</v>
      </c>
      <c r="L39" s="40"/>
    </row>
    <row r="40" spans="1:12" x14ac:dyDescent="0.2">
      <c r="A40" s="39" t="s">
        <v>479</v>
      </c>
      <c r="B40" s="39" t="s">
        <v>536</v>
      </c>
      <c r="C40" s="39" t="s">
        <v>479</v>
      </c>
      <c r="D40" s="40" t="s">
        <v>576</v>
      </c>
      <c r="E40" s="40" t="s">
        <v>354</v>
      </c>
      <c r="F40" s="40">
        <v>0</v>
      </c>
      <c r="G40" s="40" t="s">
        <v>249</v>
      </c>
      <c r="H40" s="40" t="s">
        <v>437</v>
      </c>
      <c r="I40" s="40">
        <v>8</v>
      </c>
      <c r="J40" s="40"/>
      <c r="K40" s="71" t="s">
        <v>347</v>
      </c>
      <c r="L40" s="40"/>
    </row>
    <row r="41" spans="1:12" x14ac:dyDescent="0.2">
      <c r="A41" s="39" t="s">
        <v>480</v>
      </c>
      <c r="B41" s="39" t="s">
        <v>536</v>
      </c>
      <c r="C41" s="39" t="s">
        <v>480</v>
      </c>
      <c r="D41" s="40" t="s">
        <v>577</v>
      </c>
      <c r="E41" s="40" t="s">
        <v>354</v>
      </c>
      <c r="F41" s="40">
        <v>0</v>
      </c>
      <c r="G41" s="40" t="s">
        <v>249</v>
      </c>
      <c r="H41" s="40" t="s">
        <v>437</v>
      </c>
      <c r="I41" s="40">
        <v>8</v>
      </c>
      <c r="J41" s="40"/>
      <c r="K41" s="71" t="s">
        <v>347</v>
      </c>
      <c r="L41" s="40"/>
    </row>
    <row r="42" spans="1:12" x14ac:dyDescent="0.2">
      <c r="A42" s="39" t="s">
        <v>481</v>
      </c>
      <c r="B42" s="39" t="s">
        <v>536</v>
      </c>
      <c r="C42" s="39" t="s">
        <v>481</v>
      </c>
      <c r="D42" s="40" t="s">
        <v>578</v>
      </c>
      <c r="E42" s="40" t="s">
        <v>354</v>
      </c>
      <c r="F42" s="40">
        <v>0</v>
      </c>
      <c r="G42" s="40" t="s">
        <v>249</v>
      </c>
      <c r="H42" s="40" t="s">
        <v>437</v>
      </c>
      <c r="I42" s="40">
        <v>8</v>
      </c>
      <c r="J42" s="40"/>
      <c r="K42" s="71" t="s">
        <v>347</v>
      </c>
      <c r="L42" s="40"/>
    </row>
    <row r="43" spans="1:12" x14ac:dyDescent="0.2">
      <c r="A43" s="39" t="s">
        <v>482</v>
      </c>
      <c r="B43" s="39" t="s">
        <v>536</v>
      </c>
      <c r="C43" s="39" t="s">
        <v>482</v>
      </c>
      <c r="D43" s="40" t="s">
        <v>579</v>
      </c>
      <c r="E43" s="40" t="s">
        <v>354</v>
      </c>
      <c r="F43" s="40">
        <v>0</v>
      </c>
      <c r="G43" s="40" t="s">
        <v>249</v>
      </c>
      <c r="H43" s="40" t="s">
        <v>437</v>
      </c>
      <c r="I43" s="40">
        <v>8</v>
      </c>
      <c r="J43" s="40"/>
      <c r="K43" s="71" t="s">
        <v>347</v>
      </c>
      <c r="L43" s="40"/>
    </row>
    <row r="44" spans="1:12" x14ac:dyDescent="0.2">
      <c r="A44" s="39" t="s">
        <v>483</v>
      </c>
      <c r="B44" s="39" t="s">
        <v>536</v>
      </c>
      <c r="C44" s="39" t="s">
        <v>483</v>
      </c>
      <c r="D44" s="40" t="s">
        <v>580</v>
      </c>
      <c r="E44" s="40" t="s">
        <v>354</v>
      </c>
      <c r="F44" s="40">
        <v>0</v>
      </c>
      <c r="G44" s="40" t="s">
        <v>249</v>
      </c>
      <c r="H44" s="40" t="s">
        <v>437</v>
      </c>
      <c r="I44" s="40">
        <v>8</v>
      </c>
      <c r="J44" s="40"/>
      <c r="K44" s="71" t="s">
        <v>347</v>
      </c>
      <c r="L44" s="40"/>
    </row>
    <row r="45" spans="1:12" x14ac:dyDescent="0.2">
      <c r="A45" s="39" t="s">
        <v>484</v>
      </c>
      <c r="B45" s="39" t="s">
        <v>536</v>
      </c>
      <c r="C45" s="39" t="s">
        <v>484</v>
      </c>
      <c r="D45" s="40" t="s">
        <v>581</v>
      </c>
      <c r="E45" s="40" t="s">
        <v>354</v>
      </c>
      <c r="F45" s="40">
        <v>1</v>
      </c>
      <c r="G45" s="40" t="s">
        <v>249</v>
      </c>
      <c r="H45" s="40" t="s">
        <v>437</v>
      </c>
      <c r="I45" s="40">
        <v>8</v>
      </c>
      <c r="J45" s="40"/>
      <c r="K45" s="71" t="s">
        <v>347</v>
      </c>
      <c r="L45" s="40"/>
    </row>
    <row r="46" spans="1:12" x14ac:dyDescent="0.2">
      <c r="A46" s="39" t="s">
        <v>485</v>
      </c>
      <c r="B46" s="39" t="s">
        <v>536</v>
      </c>
      <c r="C46" s="39" t="s">
        <v>485</v>
      </c>
      <c r="D46" s="40" t="s">
        <v>582</v>
      </c>
      <c r="E46" s="40" t="s">
        <v>354</v>
      </c>
      <c r="F46" s="40">
        <v>0</v>
      </c>
      <c r="G46" s="40" t="s">
        <v>249</v>
      </c>
      <c r="H46" s="40" t="s">
        <v>437</v>
      </c>
      <c r="I46" s="40">
        <v>8</v>
      </c>
      <c r="J46" s="40"/>
      <c r="K46" s="71" t="s">
        <v>347</v>
      </c>
      <c r="L46" s="40"/>
    </row>
    <row r="47" spans="1:12" x14ac:dyDescent="0.2">
      <c r="A47" s="39" t="s">
        <v>486</v>
      </c>
      <c r="B47" s="39" t="s">
        <v>536</v>
      </c>
      <c r="C47" s="39" t="s">
        <v>486</v>
      </c>
      <c r="D47" s="40" t="s">
        <v>583</v>
      </c>
      <c r="E47" s="40" t="s">
        <v>354</v>
      </c>
      <c r="F47" s="40">
        <v>0</v>
      </c>
      <c r="G47" s="40" t="s">
        <v>249</v>
      </c>
      <c r="H47" s="40" t="s">
        <v>437</v>
      </c>
      <c r="I47" s="40">
        <v>8</v>
      </c>
      <c r="J47" s="40"/>
      <c r="K47" s="71" t="s">
        <v>347</v>
      </c>
      <c r="L47" s="40"/>
    </row>
    <row r="48" spans="1:12" x14ac:dyDescent="0.2">
      <c r="A48" s="39" t="s">
        <v>487</v>
      </c>
      <c r="B48" s="39" t="s">
        <v>536</v>
      </c>
      <c r="C48" s="39" t="s">
        <v>487</v>
      </c>
      <c r="D48" s="40" t="s">
        <v>584</v>
      </c>
      <c r="E48" s="40" t="s">
        <v>354</v>
      </c>
      <c r="F48" s="40">
        <v>0</v>
      </c>
      <c r="G48" s="40" t="s">
        <v>249</v>
      </c>
      <c r="H48" s="40" t="s">
        <v>437</v>
      </c>
      <c r="I48" s="40">
        <v>8</v>
      </c>
      <c r="J48" s="40"/>
      <c r="K48" s="71" t="s">
        <v>347</v>
      </c>
      <c r="L48" s="40"/>
    </row>
    <row r="49" spans="1:12" x14ac:dyDescent="0.2">
      <c r="A49" s="39" t="s">
        <v>488</v>
      </c>
      <c r="B49" s="39" t="s">
        <v>536</v>
      </c>
      <c r="C49" s="39" t="s">
        <v>488</v>
      </c>
      <c r="D49" s="40" t="s">
        <v>585</v>
      </c>
      <c r="E49" s="40" t="s">
        <v>354</v>
      </c>
      <c r="F49" s="40">
        <v>0</v>
      </c>
      <c r="G49" s="40" t="s">
        <v>249</v>
      </c>
      <c r="H49" s="40" t="s">
        <v>437</v>
      </c>
      <c r="I49" s="40">
        <v>8</v>
      </c>
      <c r="J49" s="40"/>
      <c r="K49" s="71" t="s">
        <v>347</v>
      </c>
      <c r="L49" s="40"/>
    </row>
    <row r="50" spans="1:12" x14ac:dyDescent="0.2">
      <c r="A50" s="39" t="s">
        <v>489</v>
      </c>
      <c r="B50" s="39" t="s">
        <v>536</v>
      </c>
      <c r="C50" s="39" t="s">
        <v>489</v>
      </c>
      <c r="D50" s="40" t="s">
        <v>586</v>
      </c>
      <c r="E50" s="40" t="s">
        <v>354</v>
      </c>
      <c r="F50" s="40">
        <v>0</v>
      </c>
      <c r="G50" s="40" t="s">
        <v>249</v>
      </c>
      <c r="H50" s="40" t="s">
        <v>437</v>
      </c>
      <c r="I50" s="40">
        <v>8</v>
      </c>
      <c r="J50" s="40"/>
      <c r="K50" s="71" t="s">
        <v>347</v>
      </c>
      <c r="L50" s="40"/>
    </row>
    <row r="51" spans="1:12" x14ac:dyDescent="0.2">
      <c r="A51" s="39" t="s">
        <v>490</v>
      </c>
      <c r="B51" s="39" t="s">
        <v>536</v>
      </c>
      <c r="C51" s="39" t="s">
        <v>490</v>
      </c>
      <c r="D51" s="40" t="s">
        <v>587</v>
      </c>
      <c r="E51" s="40" t="s">
        <v>354</v>
      </c>
      <c r="F51" s="40">
        <v>0</v>
      </c>
      <c r="G51" s="40" t="s">
        <v>249</v>
      </c>
      <c r="H51" s="40" t="s">
        <v>437</v>
      </c>
      <c r="I51" s="40">
        <v>8</v>
      </c>
      <c r="J51" s="40"/>
      <c r="K51" s="71" t="s">
        <v>347</v>
      </c>
      <c r="L51" s="40"/>
    </row>
    <row r="52" spans="1:12" x14ac:dyDescent="0.2">
      <c r="A52" s="39" t="s">
        <v>491</v>
      </c>
      <c r="B52" s="39" t="s">
        <v>536</v>
      </c>
      <c r="C52" s="39" t="s">
        <v>491</v>
      </c>
      <c r="D52" s="40" t="s">
        <v>588</v>
      </c>
      <c r="E52" s="40" t="s">
        <v>354</v>
      </c>
      <c r="F52" s="40">
        <v>0</v>
      </c>
      <c r="G52" s="40" t="s">
        <v>249</v>
      </c>
      <c r="H52" s="40" t="s">
        <v>437</v>
      </c>
      <c r="I52" s="40">
        <v>8</v>
      </c>
      <c r="J52" s="40"/>
      <c r="K52" s="71" t="s">
        <v>347</v>
      </c>
      <c r="L52" s="40"/>
    </row>
    <row r="53" spans="1:12" x14ac:dyDescent="0.2">
      <c r="A53" s="39" t="s">
        <v>492</v>
      </c>
      <c r="B53" s="39" t="s">
        <v>536</v>
      </c>
      <c r="C53" s="39" t="s">
        <v>492</v>
      </c>
      <c r="D53" s="40" t="s">
        <v>589</v>
      </c>
      <c r="E53" s="40" t="s">
        <v>354</v>
      </c>
      <c r="F53" s="40">
        <v>0</v>
      </c>
      <c r="G53" s="40" t="s">
        <v>249</v>
      </c>
      <c r="H53" s="40" t="s">
        <v>437</v>
      </c>
      <c r="I53" s="40">
        <v>8</v>
      </c>
      <c r="J53" s="40"/>
      <c r="K53" s="71" t="s">
        <v>347</v>
      </c>
      <c r="L53" s="40"/>
    </row>
    <row r="54" spans="1:12" x14ac:dyDescent="0.2">
      <c r="A54" s="39" t="s">
        <v>493</v>
      </c>
      <c r="B54" s="39" t="s">
        <v>536</v>
      </c>
      <c r="C54" s="39" t="s">
        <v>493</v>
      </c>
      <c r="D54" s="40" t="s">
        <v>590</v>
      </c>
      <c r="E54" s="40" t="s">
        <v>354</v>
      </c>
      <c r="F54" s="40">
        <v>0</v>
      </c>
      <c r="G54" s="40" t="s">
        <v>249</v>
      </c>
      <c r="H54" s="40" t="s">
        <v>437</v>
      </c>
      <c r="I54" s="40">
        <v>8</v>
      </c>
      <c r="J54" s="40"/>
      <c r="K54" s="71" t="s">
        <v>347</v>
      </c>
      <c r="L54" s="40"/>
    </row>
    <row r="55" spans="1:12" x14ac:dyDescent="0.2">
      <c r="A55" s="39" t="s">
        <v>494</v>
      </c>
      <c r="B55" s="39" t="s">
        <v>536</v>
      </c>
      <c r="C55" s="39" t="s">
        <v>494</v>
      </c>
      <c r="D55" s="40" t="s">
        <v>591</v>
      </c>
      <c r="E55" s="40" t="s">
        <v>354</v>
      </c>
      <c r="F55" s="40">
        <v>0</v>
      </c>
      <c r="G55" s="40" t="s">
        <v>249</v>
      </c>
      <c r="H55" s="40" t="s">
        <v>437</v>
      </c>
      <c r="I55" s="40">
        <v>8</v>
      </c>
      <c r="J55" s="40"/>
      <c r="K55" s="71" t="s">
        <v>347</v>
      </c>
      <c r="L55" s="40"/>
    </row>
    <row r="56" spans="1:12" x14ac:dyDescent="0.2">
      <c r="A56" s="39" t="s">
        <v>495</v>
      </c>
      <c r="B56" s="39" t="s">
        <v>536</v>
      </c>
      <c r="C56" s="39" t="s">
        <v>495</v>
      </c>
      <c r="D56" s="40" t="s">
        <v>592</v>
      </c>
      <c r="E56" s="40" t="s">
        <v>354</v>
      </c>
      <c r="F56" s="40">
        <v>0</v>
      </c>
      <c r="G56" s="40" t="s">
        <v>249</v>
      </c>
      <c r="H56" s="40" t="s">
        <v>437</v>
      </c>
      <c r="I56" s="40">
        <v>8</v>
      </c>
      <c r="J56" s="40"/>
      <c r="K56" s="71" t="s">
        <v>347</v>
      </c>
      <c r="L56" s="40"/>
    </row>
    <row r="57" spans="1:12" x14ac:dyDescent="0.2">
      <c r="A57" s="39" t="s">
        <v>496</v>
      </c>
      <c r="B57" s="39" t="s">
        <v>536</v>
      </c>
      <c r="C57" s="39" t="s">
        <v>496</v>
      </c>
      <c r="D57" s="40" t="s">
        <v>593</v>
      </c>
      <c r="E57" s="40" t="s">
        <v>354</v>
      </c>
      <c r="F57" s="40">
        <v>1</v>
      </c>
      <c r="G57" s="40" t="s">
        <v>249</v>
      </c>
      <c r="H57" s="40" t="s">
        <v>437</v>
      </c>
      <c r="I57" s="40">
        <v>8</v>
      </c>
      <c r="J57" s="40"/>
      <c r="K57" s="71" t="s">
        <v>347</v>
      </c>
      <c r="L57" s="40"/>
    </row>
    <row r="58" spans="1:12" x14ac:dyDescent="0.2">
      <c r="A58" s="39" t="s">
        <v>497</v>
      </c>
      <c r="B58" s="39" t="s">
        <v>536</v>
      </c>
      <c r="C58" s="39" t="s">
        <v>497</v>
      </c>
      <c r="D58" s="40" t="s">
        <v>594</v>
      </c>
      <c r="E58" s="40" t="s">
        <v>354</v>
      </c>
      <c r="F58" s="40">
        <v>0</v>
      </c>
      <c r="G58" s="40" t="s">
        <v>249</v>
      </c>
      <c r="H58" s="40" t="s">
        <v>437</v>
      </c>
      <c r="I58" s="40">
        <v>8</v>
      </c>
      <c r="J58" s="40"/>
      <c r="K58" s="71" t="s">
        <v>347</v>
      </c>
      <c r="L58" s="40"/>
    </row>
    <row r="59" spans="1:12" x14ac:dyDescent="0.2">
      <c r="A59" s="39" t="s">
        <v>498</v>
      </c>
      <c r="B59" s="39" t="s">
        <v>536</v>
      </c>
      <c r="C59" s="39" t="s">
        <v>498</v>
      </c>
      <c r="D59" s="40" t="s">
        <v>595</v>
      </c>
      <c r="E59" s="40" t="s">
        <v>354</v>
      </c>
      <c r="F59" s="40">
        <v>0</v>
      </c>
      <c r="G59" s="40" t="s">
        <v>249</v>
      </c>
      <c r="H59" s="40" t="s">
        <v>437</v>
      </c>
      <c r="I59" s="40">
        <v>8</v>
      </c>
      <c r="J59" s="40"/>
      <c r="K59" s="71" t="s">
        <v>347</v>
      </c>
      <c r="L59" s="40"/>
    </row>
    <row r="60" spans="1:12" x14ac:dyDescent="0.2">
      <c r="A60" s="39" t="s">
        <v>499</v>
      </c>
      <c r="B60" s="39" t="s">
        <v>536</v>
      </c>
      <c r="C60" s="39" t="s">
        <v>499</v>
      </c>
      <c r="D60" s="40" t="s">
        <v>596</v>
      </c>
      <c r="E60" s="40" t="s">
        <v>354</v>
      </c>
      <c r="F60" s="40">
        <v>0</v>
      </c>
      <c r="G60" s="40" t="s">
        <v>249</v>
      </c>
      <c r="H60" s="40" t="s">
        <v>437</v>
      </c>
      <c r="I60" s="40">
        <v>8</v>
      </c>
      <c r="J60" s="40"/>
      <c r="K60" s="71" t="s">
        <v>347</v>
      </c>
      <c r="L60" s="40"/>
    </row>
    <row r="61" spans="1:12" x14ac:dyDescent="0.2">
      <c r="A61" s="39" t="s">
        <v>500</v>
      </c>
      <c r="B61" s="39" t="s">
        <v>536</v>
      </c>
      <c r="C61" s="39" t="s">
        <v>500</v>
      </c>
      <c r="D61" s="40" t="s">
        <v>597</v>
      </c>
      <c r="E61" s="40" t="s">
        <v>354</v>
      </c>
      <c r="F61" s="40">
        <v>0</v>
      </c>
      <c r="G61" s="40" t="s">
        <v>249</v>
      </c>
      <c r="H61" s="40" t="s">
        <v>437</v>
      </c>
      <c r="I61" s="40">
        <v>8</v>
      </c>
      <c r="J61" s="40"/>
      <c r="K61" s="71" t="s">
        <v>347</v>
      </c>
      <c r="L61" s="40"/>
    </row>
    <row r="62" spans="1:12" x14ac:dyDescent="0.2">
      <c r="A62" s="39" t="s">
        <v>501</v>
      </c>
      <c r="B62" s="39" t="s">
        <v>536</v>
      </c>
      <c r="C62" s="39" t="s">
        <v>501</v>
      </c>
      <c r="D62" s="40" t="s">
        <v>598</v>
      </c>
      <c r="E62" s="40" t="s">
        <v>354</v>
      </c>
      <c r="F62" s="40">
        <v>0</v>
      </c>
      <c r="G62" s="40" t="s">
        <v>249</v>
      </c>
      <c r="H62" s="40" t="s">
        <v>437</v>
      </c>
      <c r="I62" s="40">
        <v>8</v>
      </c>
      <c r="J62" s="40"/>
      <c r="K62" s="71" t="s">
        <v>347</v>
      </c>
      <c r="L62" s="40"/>
    </row>
    <row r="63" spans="1:12" x14ac:dyDescent="0.2">
      <c r="A63" s="39" t="s">
        <v>502</v>
      </c>
      <c r="B63" s="39" t="s">
        <v>536</v>
      </c>
      <c r="C63" s="39" t="s">
        <v>502</v>
      </c>
      <c r="D63" s="40" t="s">
        <v>599</v>
      </c>
      <c r="E63" s="40" t="s">
        <v>354</v>
      </c>
      <c r="F63" s="40">
        <v>0</v>
      </c>
      <c r="G63" s="40" t="s">
        <v>249</v>
      </c>
      <c r="H63" s="40" t="s">
        <v>437</v>
      </c>
      <c r="I63" s="40">
        <v>8</v>
      </c>
      <c r="J63" s="40"/>
      <c r="K63" s="71" t="s">
        <v>347</v>
      </c>
      <c r="L63" s="40"/>
    </row>
    <row r="64" spans="1:12" x14ac:dyDescent="0.2">
      <c r="A64" s="39" t="s">
        <v>503</v>
      </c>
      <c r="B64" s="39" t="s">
        <v>536</v>
      </c>
      <c r="C64" s="39" t="s">
        <v>503</v>
      </c>
      <c r="D64" s="40" t="s">
        <v>600</v>
      </c>
      <c r="E64" s="40" t="s">
        <v>354</v>
      </c>
      <c r="F64" s="40">
        <v>0</v>
      </c>
      <c r="G64" s="40" t="s">
        <v>249</v>
      </c>
      <c r="H64" s="40" t="s">
        <v>437</v>
      </c>
      <c r="I64" s="40">
        <v>8</v>
      </c>
      <c r="J64" s="40"/>
      <c r="K64" s="71" t="s">
        <v>347</v>
      </c>
      <c r="L64" s="40"/>
    </row>
    <row r="65" spans="1:12" x14ac:dyDescent="0.2">
      <c r="A65" s="39" t="s">
        <v>504</v>
      </c>
      <c r="B65" s="39" t="s">
        <v>536</v>
      </c>
      <c r="C65" s="39" t="s">
        <v>504</v>
      </c>
      <c r="D65" s="40" t="s">
        <v>601</v>
      </c>
      <c r="E65" s="40" t="s">
        <v>354</v>
      </c>
      <c r="F65" s="40">
        <v>0</v>
      </c>
      <c r="G65" s="40" t="s">
        <v>249</v>
      </c>
      <c r="H65" s="40" t="s">
        <v>437</v>
      </c>
      <c r="I65" s="40">
        <v>8</v>
      </c>
      <c r="J65" s="40"/>
      <c r="K65" s="71" t="s">
        <v>347</v>
      </c>
      <c r="L65" s="40"/>
    </row>
    <row r="66" spans="1:12" x14ac:dyDescent="0.2">
      <c r="A66" s="39" t="s">
        <v>505</v>
      </c>
      <c r="B66" s="39" t="s">
        <v>536</v>
      </c>
      <c r="C66" s="39" t="s">
        <v>505</v>
      </c>
      <c r="D66" s="40" t="s">
        <v>602</v>
      </c>
      <c r="E66" s="40" t="s">
        <v>354</v>
      </c>
      <c r="F66" s="40">
        <v>0</v>
      </c>
      <c r="G66" s="40" t="s">
        <v>249</v>
      </c>
      <c r="H66" s="40" t="s">
        <v>437</v>
      </c>
      <c r="I66" s="40">
        <v>8</v>
      </c>
      <c r="J66" s="40"/>
      <c r="K66" s="71" t="s">
        <v>347</v>
      </c>
      <c r="L66" s="40"/>
    </row>
    <row r="67" spans="1:12" x14ac:dyDescent="0.2">
      <c r="A67" s="39" t="s">
        <v>506</v>
      </c>
      <c r="B67" s="39" t="s">
        <v>536</v>
      </c>
      <c r="C67" s="39" t="s">
        <v>506</v>
      </c>
      <c r="D67" s="40" t="s">
        <v>603</v>
      </c>
      <c r="E67" s="40" t="s">
        <v>354</v>
      </c>
      <c r="F67" s="40">
        <v>0</v>
      </c>
      <c r="G67" s="40" t="s">
        <v>249</v>
      </c>
      <c r="H67" s="40" t="s">
        <v>437</v>
      </c>
      <c r="I67" s="40">
        <v>8</v>
      </c>
      <c r="J67" s="40"/>
      <c r="K67" s="71" t="s">
        <v>347</v>
      </c>
      <c r="L67" s="40"/>
    </row>
    <row r="68" spans="1:12" x14ac:dyDescent="0.2">
      <c r="A68" s="39" t="s">
        <v>507</v>
      </c>
      <c r="B68" s="39" t="s">
        <v>536</v>
      </c>
      <c r="C68" s="39" t="s">
        <v>507</v>
      </c>
      <c r="D68" s="40" t="s">
        <v>604</v>
      </c>
      <c r="E68" s="40" t="s">
        <v>354</v>
      </c>
      <c r="F68" s="40">
        <v>0</v>
      </c>
      <c r="G68" s="40" t="s">
        <v>249</v>
      </c>
      <c r="H68" s="40" t="s">
        <v>437</v>
      </c>
      <c r="I68" s="40">
        <v>8</v>
      </c>
      <c r="J68" s="40"/>
      <c r="K68" s="71" t="s">
        <v>347</v>
      </c>
      <c r="L68" s="40"/>
    </row>
    <row r="69" spans="1:12" x14ac:dyDescent="0.2">
      <c r="A69" s="39" t="s">
        <v>508</v>
      </c>
      <c r="B69" s="39" t="s">
        <v>536</v>
      </c>
      <c r="C69" s="39" t="s">
        <v>508</v>
      </c>
      <c r="D69" s="40" t="s">
        <v>605</v>
      </c>
      <c r="E69" s="40" t="s">
        <v>354</v>
      </c>
      <c r="F69" s="40">
        <v>1</v>
      </c>
      <c r="G69" s="40" t="s">
        <v>249</v>
      </c>
      <c r="H69" s="40" t="s">
        <v>437</v>
      </c>
      <c r="I69" s="40">
        <v>8</v>
      </c>
      <c r="J69" s="40"/>
      <c r="K69" s="71" t="s">
        <v>347</v>
      </c>
      <c r="L69" s="40"/>
    </row>
    <row r="70" spans="1:12" x14ac:dyDescent="0.2">
      <c r="A70" s="39" t="s">
        <v>509</v>
      </c>
      <c r="B70" s="39" t="s">
        <v>536</v>
      </c>
      <c r="C70" s="39" t="s">
        <v>509</v>
      </c>
      <c r="D70" s="40" t="s">
        <v>606</v>
      </c>
      <c r="E70" s="40" t="s">
        <v>354</v>
      </c>
      <c r="F70" s="40">
        <v>0</v>
      </c>
      <c r="G70" s="40" t="s">
        <v>249</v>
      </c>
      <c r="H70" s="40" t="s">
        <v>437</v>
      </c>
      <c r="I70" s="40">
        <v>8</v>
      </c>
      <c r="J70" s="40"/>
      <c r="K70" s="71" t="s">
        <v>347</v>
      </c>
      <c r="L70" s="40"/>
    </row>
    <row r="71" spans="1:12" x14ac:dyDescent="0.2">
      <c r="A71" s="39" t="s">
        <v>510</v>
      </c>
      <c r="B71" s="39" t="s">
        <v>536</v>
      </c>
      <c r="C71" s="39" t="s">
        <v>510</v>
      </c>
      <c r="D71" s="40" t="s">
        <v>607</v>
      </c>
      <c r="E71" s="40" t="s">
        <v>354</v>
      </c>
      <c r="F71" s="40">
        <v>0</v>
      </c>
      <c r="G71" s="40" t="s">
        <v>249</v>
      </c>
      <c r="H71" s="40" t="s">
        <v>437</v>
      </c>
      <c r="I71" s="40">
        <v>8</v>
      </c>
      <c r="J71" s="40"/>
      <c r="K71" s="71" t="s">
        <v>347</v>
      </c>
      <c r="L71" s="40"/>
    </row>
    <row r="72" spans="1:12" x14ac:dyDescent="0.2">
      <c r="A72" s="39" t="s">
        <v>511</v>
      </c>
      <c r="B72" s="39" t="s">
        <v>536</v>
      </c>
      <c r="C72" s="39" t="s">
        <v>511</v>
      </c>
      <c r="D72" s="40" t="s">
        <v>608</v>
      </c>
      <c r="E72" s="40" t="s">
        <v>354</v>
      </c>
      <c r="F72" s="40">
        <v>0</v>
      </c>
      <c r="G72" s="40" t="s">
        <v>249</v>
      </c>
      <c r="H72" s="40" t="s">
        <v>437</v>
      </c>
      <c r="I72" s="40">
        <v>8</v>
      </c>
      <c r="J72" s="40"/>
      <c r="K72" s="71" t="s">
        <v>347</v>
      </c>
      <c r="L72" s="40"/>
    </row>
    <row r="73" spans="1:12" x14ac:dyDescent="0.2">
      <c r="A73" s="39" t="s">
        <v>512</v>
      </c>
      <c r="B73" s="39" t="s">
        <v>536</v>
      </c>
      <c r="C73" s="39" t="s">
        <v>512</v>
      </c>
      <c r="D73" s="40" t="s">
        <v>609</v>
      </c>
      <c r="E73" s="40" t="s">
        <v>354</v>
      </c>
      <c r="F73" s="40">
        <v>0</v>
      </c>
      <c r="G73" s="40" t="s">
        <v>249</v>
      </c>
      <c r="H73" s="40" t="s">
        <v>437</v>
      </c>
      <c r="I73" s="40">
        <v>8</v>
      </c>
      <c r="J73" s="40"/>
      <c r="K73" s="71" t="s">
        <v>347</v>
      </c>
      <c r="L73" s="40"/>
    </row>
    <row r="74" spans="1:12" x14ac:dyDescent="0.2">
      <c r="A74" s="39" t="s">
        <v>513</v>
      </c>
      <c r="B74" s="39" t="s">
        <v>536</v>
      </c>
      <c r="C74" s="39" t="s">
        <v>513</v>
      </c>
      <c r="D74" s="40" t="s">
        <v>610</v>
      </c>
      <c r="E74" s="40" t="s">
        <v>354</v>
      </c>
      <c r="F74" s="40">
        <v>0</v>
      </c>
      <c r="G74" s="40" t="s">
        <v>249</v>
      </c>
      <c r="H74" s="40" t="s">
        <v>437</v>
      </c>
      <c r="I74" s="40">
        <v>8</v>
      </c>
      <c r="J74" s="40"/>
      <c r="K74" s="71" t="s">
        <v>347</v>
      </c>
      <c r="L74" s="40"/>
    </row>
    <row r="75" spans="1:12" x14ac:dyDescent="0.2">
      <c r="A75" s="39" t="s">
        <v>514</v>
      </c>
      <c r="B75" s="39" t="s">
        <v>536</v>
      </c>
      <c r="C75" s="39" t="s">
        <v>514</v>
      </c>
      <c r="D75" s="40" t="s">
        <v>611</v>
      </c>
      <c r="E75" s="40" t="s">
        <v>354</v>
      </c>
      <c r="F75" s="40">
        <v>0</v>
      </c>
      <c r="G75" s="40" t="s">
        <v>249</v>
      </c>
      <c r="H75" s="40" t="s">
        <v>437</v>
      </c>
      <c r="I75" s="40">
        <v>8</v>
      </c>
      <c r="J75" s="40"/>
      <c r="K75" s="71" t="s">
        <v>347</v>
      </c>
      <c r="L75" s="40"/>
    </row>
    <row r="76" spans="1:12" x14ac:dyDescent="0.2">
      <c r="A76" s="39" t="s">
        <v>515</v>
      </c>
      <c r="B76" s="39" t="s">
        <v>536</v>
      </c>
      <c r="C76" s="39" t="s">
        <v>515</v>
      </c>
      <c r="D76" s="40" t="s">
        <v>612</v>
      </c>
      <c r="E76" s="40" t="s">
        <v>354</v>
      </c>
      <c r="F76" s="40">
        <v>0</v>
      </c>
      <c r="G76" s="40" t="s">
        <v>249</v>
      </c>
      <c r="H76" s="40" t="s">
        <v>437</v>
      </c>
      <c r="I76" s="40">
        <v>8</v>
      </c>
      <c r="J76" s="40"/>
      <c r="K76" s="71" t="s">
        <v>347</v>
      </c>
      <c r="L76" s="40"/>
    </row>
    <row r="77" spans="1:12" x14ac:dyDescent="0.2">
      <c r="A77" s="39" t="s">
        <v>516</v>
      </c>
      <c r="B77" s="39" t="s">
        <v>536</v>
      </c>
      <c r="C77" s="39" t="s">
        <v>516</v>
      </c>
      <c r="D77" s="40" t="s">
        <v>613</v>
      </c>
      <c r="E77" s="40" t="s">
        <v>354</v>
      </c>
      <c r="F77" s="40">
        <v>0</v>
      </c>
      <c r="G77" s="40" t="s">
        <v>249</v>
      </c>
      <c r="H77" s="40" t="s">
        <v>437</v>
      </c>
      <c r="I77" s="40">
        <v>8</v>
      </c>
      <c r="J77" s="40"/>
      <c r="K77" s="71" t="s">
        <v>347</v>
      </c>
      <c r="L77" s="40"/>
    </row>
    <row r="78" spans="1:12" x14ac:dyDescent="0.2">
      <c r="A78" s="39" t="s">
        <v>517</v>
      </c>
      <c r="B78" s="39" t="s">
        <v>536</v>
      </c>
      <c r="C78" s="39" t="s">
        <v>517</v>
      </c>
      <c r="D78" s="40" t="s">
        <v>614</v>
      </c>
      <c r="E78" s="40" t="s">
        <v>354</v>
      </c>
      <c r="F78" s="40">
        <v>0</v>
      </c>
      <c r="G78" s="40" t="s">
        <v>249</v>
      </c>
      <c r="H78" s="40" t="s">
        <v>437</v>
      </c>
      <c r="I78" s="40">
        <v>8</v>
      </c>
      <c r="J78" s="40"/>
      <c r="K78" s="71" t="s">
        <v>347</v>
      </c>
      <c r="L78" s="40"/>
    </row>
    <row r="79" spans="1:12" x14ac:dyDescent="0.2">
      <c r="A79" s="39" t="s">
        <v>518</v>
      </c>
      <c r="B79" s="39" t="s">
        <v>536</v>
      </c>
      <c r="C79" s="39" t="s">
        <v>518</v>
      </c>
      <c r="D79" s="40" t="s">
        <v>615</v>
      </c>
      <c r="E79" s="40" t="s">
        <v>354</v>
      </c>
      <c r="F79" s="40">
        <v>0</v>
      </c>
      <c r="G79" s="40" t="s">
        <v>249</v>
      </c>
      <c r="H79" s="40" t="s">
        <v>437</v>
      </c>
      <c r="I79" s="40">
        <v>8</v>
      </c>
      <c r="J79" s="40"/>
      <c r="K79" s="71" t="s">
        <v>347</v>
      </c>
      <c r="L79" s="40"/>
    </row>
    <row r="80" spans="1:12" x14ac:dyDescent="0.2">
      <c r="A80" s="39" t="s">
        <v>519</v>
      </c>
      <c r="B80" s="39" t="s">
        <v>536</v>
      </c>
      <c r="C80" s="39" t="s">
        <v>519</v>
      </c>
      <c r="D80" s="40" t="s">
        <v>616</v>
      </c>
      <c r="E80" s="40" t="s">
        <v>354</v>
      </c>
      <c r="F80" s="40">
        <v>0</v>
      </c>
      <c r="G80" s="40" t="s">
        <v>249</v>
      </c>
      <c r="H80" s="40" t="s">
        <v>437</v>
      </c>
      <c r="I80" s="40">
        <v>8</v>
      </c>
      <c r="J80" s="40"/>
      <c r="K80" s="71" t="s">
        <v>347</v>
      </c>
      <c r="L80" s="40"/>
    </row>
    <row r="81" spans="1:12" x14ac:dyDescent="0.2">
      <c r="A81" s="39" t="s">
        <v>520</v>
      </c>
      <c r="B81" s="39" t="s">
        <v>536</v>
      </c>
      <c r="C81" s="39" t="s">
        <v>520</v>
      </c>
      <c r="D81" s="40" t="s">
        <v>617</v>
      </c>
      <c r="E81" s="40" t="s">
        <v>354</v>
      </c>
      <c r="F81" s="40">
        <v>1</v>
      </c>
      <c r="G81" s="40" t="s">
        <v>249</v>
      </c>
      <c r="H81" s="40" t="s">
        <v>437</v>
      </c>
      <c r="I81" s="40">
        <v>8</v>
      </c>
      <c r="J81" s="40"/>
      <c r="K81" s="71" t="s">
        <v>347</v>
      </c>
      <c r="L81" s="40"/>
    </row>
    <row r="82" spans="1:12" x14ac:dyDescent="0.2">
      <c r="A82" s="39" t="s">
        <v>521</v>
      </c>
      <c r="B82" s="39" t="s">
        <v>536</v>
      </c>
      <c r="C82" s="39" t="s">
        <v>521</v>
      </c>
      <c r="D82" s="40" t="s">
        <v>618</v>
      </c>
      <c r="E82" s="40" t="s">
        <v>354</v>
      </c>
      <c r="F82" s="40">
        <v>0</v>
      </c>
      <c r="G82" s="40" t="s">
        <v>249</v>
      </c>
      <c r="H82" s="40" t="s">
        <v>437</v>
      </c>
      <c r="I82" s="40">
        <v>8</v>
      </c>
      <c r="J82" s="40"/>
      <c r="K82" s="71" t="s">
        <v>347</v>
      </c>
      <c r="L82" s="40"/>
    </row>
    <row r="83" spans="1:12" x14ac:dyDescent="0.2">
      <c r="A83" s="39" t="s">
        <v>522</v>
      </c>
      <c r="B83" s="39" t="s">
        <v>536</v>
      </c>
      <c r="C83" s="39" t="s">
        <v>522</v>
      </c>
      <c r="D83" s="40" t="s">
        <v>619</v>
      </c>
      <c r="E83" s="40" t="s">
        <v>354</v>
      </c>
      <c r="F83" s="40">
        <v>0</v>
      </c>
      <c r="G83" s="40" t="s">
        <v>249</v>
      </c>
      <c r="H83" s="40" t="s">
        <v>437</v>
      </c>
      <c r="I83" s="40">
        <v>8</v>
      </c>
      <c r="J83" s="40"/>
      <c r="K83" s="71" t="s">
        <v>347</v>
      </c>
      <c r="L83" s="40"/>
    </row>
    <row r="84" spans="1:12" x14ac:dyDescent="0.2">
      <c r="A84" s="39" t="s">
        <v>523</v>
      </c>
      <c r="B84" s="39" t="s">
        <v>536</v>
      </c>
      <c r="C84" s="39" t="s">
        <v>523</v>
      </c>
      <c r="D84" s="40" t="s">
        <v>620</v>
      </c>
      <c r="E84" s="40" t="s">
        <v>354</v>
      </c>
      <c r="F84" s="40">
        <v>0</v>
      </c>
      <c r="G84" s="40" t="s">
        <v>249</v>
      </c>
      <c r="H84" s="40" t="s">
        <v>437</v>
      </c>
      <c r="I84" s="40">
        <v>8</v>
      </c>
      <c r="J84" s="40"/>
      <c r="K84" s="71" t="s">
        <v>347</v>
      </c>
      <c r="L84" s="40"/>
    </row>
    <row r="85" spans="1:12" x14ac:dyDescent="0.2">
      <c r="A85" s="39" t="s">
        <v>524</v>
      </c>
      <c r="B85" s="39" t="s">
        <v>536</v>
      </c>
      <c r="C85" s="39" t="s">
        <v>524</v>
      </c>
      <c r="D85" s="40" t="s">
        <v>621</v>
      </c>
      <c r="E85" s="40" t="s">
        <v>354</v>
      </c>
      <c r="F85" s="40">
        <v>0</v>
      </c>
      <c r="G85" s="40" t="s">
        <v>249</v>
      </c>
      <c r="H85" s="40" t="s">
        <v>437</v>
      </c>
      <c r="I85" s="40">
        <v>8</v>
      </c>
      <c r="J85" s="40"/>
      <c r="K85" s="71" t="s">
        <v>347</v>
      </c>
      <c r="L85" s="40"/>
    </row>
    <row r="86" spans="1:12" x14ac:dyDescent="0.2">
      <c r="A86" s="39" t="s">
        <v>525</v>
      </c>
      <c r="B86" s="39" t="s">
        <v>536</v>
      </c>
      <c r="C86" s="39" t="s">
        <v>525</v>
      </c>
      <c r="D86" s="40" t="s">
        <v>622</v>
      </c>
      <c r="E86" s="40" t="s">
        <v>354</v>
      </c>
      <c r="F86" s="40">
        <v>0</v>
      </c>
      <c r="G86" s="40" t="s">
        <v>249</v>
      </c>
      <c r="H86" s="40" t="s">
        <v>437</v>
      </c>
      <c r="I86" s="40">
        <v>8</v>
      </c>
      <c r="J86" s="40"/>
      <c r="K86" s="71" t="s">
        <v>347</v>
      </c>
      <c r="L86" s="40"/>
    </row>
    <row r="87" spans="1:12" x14ac:dyDescent="0.2">
      <c r="A87" s="39" t="s">
        <v>526</v>
      </c>
      <c r="B87" s="39" t="s">
        <v>536</v>
      </c>
      <c r="C87" s="39" t="s">
        <v>526</v>
      </c>
      <c r="D87" s="40" t="s">
        <v>623</v>
      </c>
      <c r="E87" s="40" t="s">
        <v>354</v>
      </c>
      <c r="F87" s="40">
        <v>0</v>
      </c>
      <c r="G87" s="40" t="s">
        <v>249</v>
      </c>
      <c r="H87" s="40" t="s">
        <v>437</v>
      </c>
      <c r="I87" s="40">
        <v>8</v>
      </c>
      <c r="J87" s="40"/>
      <c r="K87" s="71" t="s">
        <v>347</v>
      </c>
      <c r="L87" s="40"/>
    </row>
    <row r="88" spans="1:12" x14ac:dyDescent="0.2">
      <c r="A88" s="39" t="s">
        <v>527</v>
      </c>
      <c r="B88" s="39" t="s">
        <v>536</v>
      </c>
      <c r="C88" s="39" t="s">
        <v>527</v>
      </c>
      <c r="D88" s="40" t="s">
        <v>624</v>
      </c>
      <c r="E88" s="40" t="s">
        <v>354</v>
      </c>
      <c r="F88" s="40">
        <v>0</v>
      </c>
      <c r="G88" s="40" t="s">
        <v>249</v>
      </c>
      <c r="H88" s="40" t="s">
        <v>437</v>
      </c>
      <c r="I88" s="40">
        <v>8</v>
      </c>
      <c r="J88" s="40"/>
      <c r="K88" s="71" t="s">
        <v>347</v>
      </c>
      <c r="L88" s="40"/>
    </row>
    <row r="89" spans="1:12" x14ac:dyDescent="0.2">
      <c r="A89" s="39" t="s">
        <v>528</v>
      </c>
      <c r="B89" s="39" t="s">
        <v>536</v>
      </c>
      <c r="C89" s="39" t="s">
        <v>528</v>
      </c>
      <c r="D89" s="40" t="s">
        <v>625</v>
      </c>
      <c r="E89" s="40" t="s">
        <v>354</v>
      </c>
      <c r="F89" s="40">
        <v>0</v>
      </c>
      <c r="G89" s="40" t="s">
        <v>249</v>
      </c>
      <c r="H89" s="40" t="s">
        <v>437</v>
      </c>
      <c r="I89" s="40">
        <v>8</v>
      </c>
      <c r="J89" s="40"/>
      <c r="K89" s="71" t="s">
        <v>347</v>
      </c>
      <c r="L89" s="40"/>
    </row>
    <row r="90" spans="1:12" x14ac:dyDescent="0.2">
      <c r="A90" s="39" t="s">
        <v>529</v>
      </c>
      <c r="B90" s="39" t="s">
        <v>536</v>
      </c>
      <c r="C90" s="39" t="s">
        <v>529</v>
      </c>
      <c r="D90" s="40" t="s">
        <v>626</v>
      </c>
      <c r="E90" s="40" t="s">
        <v>354</v>
      </c>
      <c r="F90" s="40">
        <v>0</v>
      </c>
      <c r="G90" s="40" t="s">
        <v>249</v>
      </c>
      <c r="H90" s="40" t="s">
        <v>437</v>
      </c>
      <c r="I90" s="40">
        <v>8</v>
      </c>
      <c r="J90" s="40"/>
      <c r="K90" s="71" t="s">
        <v>347</v>
      </c>
      <c r="L90" s="40"/>
    </row>
    <row r="91" spans="1:12" x14ac:dyDescent="0.2">
      <c r="A91" s="39" t="s">
        <v>530</v>
      </c>
      <c r="B91" s="39" t="s">
        <v>536</v>
      </c>
      <c r="C91" s="39" t="s">
        <v>530</v>
      </c>
      <c r="D91" s="40" t="s">
        <v>627</v>
      </c>
      <c r="E91" s="40" t="s">
        <v>354</v>
      </c>
      <c r="F91" s="40">
        <v>0</v>
      </c>
      <c r="G91" s="40" t="s">
        <v>249</v>
      </c>
      <c r="H91" s="40" t="s">
        <v>437</v>
      </c>
      <c r="I91" s="40">
        <v>8</v>
      </c>
      <c r="J91" s="40"/>
      <c r="K91" s="71" t="s">
        <v>347</v>
      </c>
      <c r="L91" s="40"/>
    </row>
    <row r="92" spans="1:12" x14ac:dyDescent="0.2">
      <c r="A92" s="39" t="s">
        <v>531</v>
      </c>
      <c r="B92" s="39" t="s">
        <v>536</v>
      </c>
      <c r="C92" s="39" t="s">
        <v>531</v>
      </c>
      <c r="D92" s="40" t="s">
        <v>628</v>
      </c>
      <c r="E92" s="40" t="s">
        <v>354</v>
      </c>
      <c r="F92" s="40">
        <v>0</v>
      </c>
      <c r="G92" s="40" t="s">
        <v>249</v>
      </c>
      <c r="H92" s="40" t="s">
        <v>437</v>
      </c>
      <c r="I92" s="40">
        <v>8</v>
      </c>
      <c r="J92" s="40"/>
      <c r="K92" s="71" t="s">
        <v>347</v>
      </c>
      <c r="L92" s="40"/>
    </row>
    <row r="93" spans="1:12" x14ac:dyDescent="0.2">
      <c r="A93" s="39" t="s">
        <v>532</v>
      </c>
      <c r="B93" s="39" t="s">
        <v>536</v>
      </c>
      <c r="C93" s="39" t="s">
        <v>532</v>
      </c>
      <c r="D93" s="40" t="s">
        <v>629</v>
      </c>
      <c r="E93" s="40" t="s">
        <v>354</v>
      </c>
      <c r="F93" s="40">
        <v>1</v>
      </c>
      <c r="G93" s="40" t="s">
        <v>249</v>
      </c>
      <c r="H93" s="40" t="s">
        <v>437</v>
      </c>
      <c r="I93" s="40">
        <v>8</v>
      </c>
      <c r="J93" s="40"/>
      <c r="K93" s="71" t="s">
        <v>347</v>
      </c>
      <c r="L93" s="40"/>
    </row>
    <row r="94" spans="1:12" x14ac:dyDescent="0.2">
      <c r="A94" s="39" t="s">
        <v>533</v>
      </c>
      <c r="B94" s="39" t="s">
        <v>536</v>
      </c>
      <c r="C94" s="39" t="s">
        <v>533</v>
      </c>
      <c r="D94" s="40" t="s">
        <v>630</v>
      </c>
      <c r="E94" s="40" t="s">
        <v>354</v>
      </c>
      <c r="F94" s="40">
        <v>0</v>
      </c>
      <c r="G94" s="40" t="s">
        <v>249</v>
      </c>
      <c r="H94" s="40" t="s">
        <v>437</v>
      </c>
      <c r="I94" s="40">
        <v>8</v>
      </c>
      <c r="J94" s="40"/>
      <c r="K94" s="71" t="s">
        <v>347</v>
      </c>
      <c r="L94" s="40"/>
    </row>
    <row r="95" spans="1:12" x14ac:dyDescent="0.2">
      <c r="A95" s="39" t="s">
        <v>534</v>
      </c>
      <c r="B95" s="39" t="s">
        <v>536</v>
      </c>
      <c r="C95" s="39" t="s">
        <v>534</v>
      </c>
      <c r="D95" s="40" t="s">
        <v>631</v>
      </c>
      <c r="E95" s="40" t="s">
        <v>354</v>
      </c>
      <c r="F95" s="40">
        <v>0</v>
      </c>
      <c r="G95" s="40" t="s">
        <v>249</v>
      </c>
      <c r="H95" s="40" t="s">
        <v>437</v>
      </c>
      <c r="I95" s="40">
        <v>8</v>
      </c>
      <c r="J95" s="40"/>
      <c r="K95" s="71" t="s">
        <v>347</v>
      </c>
      <c r="L95" s="40"/>
    </row>
    <row r="96" spans="1:12" x14ac:dyDescent="0.2">
      <c r="A96" s="39" t="s">
        <v>535</v>
      </c>
      <c r="B96" s="39" t="s">
        <v>536</v>
      </c>
      <c r="C96" s="39" t="s">
        <v>535</v>
      </c>
      <c r="D96" s="40" t="s">
        <v>632</v>
      </c>
      <c r="E96" s="40" t="s">
        <v>354</v>
      </c>
      <c r="F96" s="40">
        <v>0</v>
      </c>
      <c r="G96" s="40" t="s">
        <v>249</v>
      </c>
      <c r="H96" s="40" t="s">
        <v>437</v>
      </c>
      <c r="I96" s="40">
        <v>8</v>
      </c>
      <c r="J96" s="40"/>
      <c r="K96" s="71" t="s">
        <v>347</v>
      </c>
      <c r="L96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Control</vt:lpstr>
      <vt:lpstr>Delete Elements</vt:lpstr>
      <vt:lpstr>General Helper</vt:lpstr>
      <vt:lpstr>Imported General</vt:lpstr>
      <vt:lpstr>Fabric Helper</vt:lpstr>
      <vt:lpstr>Imported Fabric</vt:lpstr>
      <vt:lpstr>Openings Helper</vt:lpstr>
      <vt:lpstr>Imported Openings</vt:lpstr>
      <vt:lpstr>Lighting Helper</vt:lpstr>
      <vt:lpstr>Imported Lighting</vt:lpstr>
      <vt:lpstr>Vent Helper</vt:lpstr>
      <vt:lpstr>Imported Vent</vt:lpstr>
      <vt:lpstr>Water Helper</vt:lpstr>
      <vt:lpstr>Imported 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Ross</dc:creator>
  <cp:lastModifiedBy>Thompson, Ross</cp:lastModifiedBy>
  <dcterms:created xsi:type="dcterms:W3CDTF">2025-06-15T18:16:41Z</dcterms:created>
  <dcterms:modified xsi:type="dcterms:W3CDTF">2026-04-13T13:42:29Z</dcterms:modified>
</cp:coreProperties>
</file>