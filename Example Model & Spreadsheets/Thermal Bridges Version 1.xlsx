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My Drive\Building Design\CAD &amp; Software\SketchUp\SAP Tools (2024 -)\Example Model &amp; Spreadsheets\"/>
    </mc:Choice>
  </mc:AlternateContent>
  <xr:revisionPtr revIDLastSave="0" documentId="13_ncr:1_{BCAAF9E5-4B01-4946-A822-5D64FD16794D}" xr6:coauthVersionLast="47" xr6:coauthVersionMax="47" xr10:uidLastSave="{00000000-0000-0000-0000-000000000000}"/>
  <bookViews>
    <workbookView xWindow="-120" yWindow="-16320" windowWidth="29040" windowHeight="15720" tabRatio="912" xr2:uid="{95697461-1F19-4C3E-A73A-3295C921C874}"/>
  </bookViews>
  <sheets>
    <sheet name="Schedule" sheetId="21" r:id="rId1"/>
    <sheet name="Pasted Bridges" sheetId="1" r:id="rId2"/>
    <sheet name="Data" sheetId="22" r:id="rId3"/>
  </sheets>
  <definedNames>
    <definedName name="_xlnm._FilterDatabase" localSheetId="2" hidden="1">Data!$B$3:$P$47</definedName>
    <definedName name="_xlnm._FilterDatabase" localSheetId="1" hidden="1">'Pasted Bridges'!$B$5:$G$764</definedName>
    <definedName name="BridgeCodes">Data!$C$4:$C$47</definedName>
    <definedName name="JunctionCode">Data!$C$4:$C$47</definedName>
    <definedName name="JunctionXML">Data!$P$4:$P$47</definedName>
    <definedName name="Scheme">Data!$R$4:$R$8</definedName>
    <definedName name="SchemeXML">Data!$S$4:$S$8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1" l="1" a="1"/>
  <c r="C7" i="21" s="1"/>
  <c r="F7" i="1" l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6" i="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7" i="21"/>
  <c r="L26" i="21" l="1"/>
  <c r="L25" i="21"/>
  <c r="L18" i="21"/>
  <c r="AJ17" i="21" l="1"/>
  <c r="AK17" i="21"/>
  <c r="AJ18" i="21"/>
  <c r="AK18" i="21"/>
  <c r="AJ19" i="21"/>
  <c r="AK19" i="21"/>
  <c r="AJ20" i="21"/>
  <c r="AK20" i="21"/>
  <c r="AJ21" i="21"/>
  <c r="AK21" i="21"/>
  <c r="AJ22" i="21"/>
  <c r="AK22" i="21"/>
  <c r="AJ23" i="21"/>
  <c r="AK23" i="21"/>
  <c r="AJ24" i="21"/>
  <c r="AK24" i="21"/>
  <c r="AJ25" i="21"/>
  <c r="AK25" i="21"/>
  <c r="AJ26" i="21"/>
  <c r="AK26" i="21"/>
  <c r="AJ27" i="21"/>
  <c r="AK27" i="2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AJ8" i="21" l="1"/>
  <c r="AJ9" i="21"/>
  <c r="AJ10" i="21"/>
  <c r="AJ11" i="21"/>
  <c r="AJ12" i="21"/>
  <c r="AJ13" i="21"/>
  <c r="AJ14" i="21"/>
  <c r="AJ15" i="21"/>
  <c r="AJ16" i="21"/>
  <c r="AJ28" i="21"/>
  <c r="AJ29" i="21"/>
  <c r="AJ30" i="21"/>
  <c r="AJ7" i="21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C36" i="22"/>
  <c r="C37" i="22"/>
  <c r="C38" i="22"/>
  <c r="C39" i="22"/>
  <c r="C40" i="22"/>
  <c r="C41" i="22"/>
  <c r="C42" i="22"/>
  <c r="C43" i="22"/>
  <c r="C44" i="22"/>
  <c r="C45" i="22"/>
  <c r="C46" i="22"/>
  <c r="C47" i="22"/>
  <c r="C4" i="22"/>
  <c r="L36" i="22"/>
  <c r="L32" i="22"/>
  <c r="L29" i="22"/>
  <c r="L28" i="22"/>
  <c r="M21" i="22"/>
  <c r="L21" i="22"/>
  <c r="M12" i="22"/>
  <c r="M10" i="22"/>
  <c r="L10" i="22"/>
  <c r="O6" i="21" a="1"/>
  <c r="O6" i="21" s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" i="1"/>
  <c r="T17" i="21" l="1"/>
  <c r="R18" i="21"/>
  <c r="P19" i="21"/>
  <c r="AF19" i="21"/>
  <c r="AD20" i="21"/>
  <c r="AB21" i="21"/>
  <c r="Z22" i="21"/>
  <c r="X23" i="21"/>
  <c r="V24" i="21"/>
  <c r="T25" i="21"/>
  <c r="R26" i="21"/>
  <c r="P27" i="21"/>
  <c r="AF27" i="21"/>
  <c r="J24" i="21"/>
  <c r="AL24" i="21" s="1"/>
  <c r="E20" i="21" a="1"/>
  <c r="E20" i="21" s="1"/>
  <c r="L20" i="21" s="1"/>
  <c r="M20" i="21" s="1"/>
  <c r="F25" i="21" a="1"/>
  <c r="F25" i="21" s="1"/>
  <c r="V17" i="21"/>
  <c r="T18" i="21"/>
  <c r="P20" i="21"/>
  <c r="AD21" i="21"/>
  <c r="Z23" i="21"/>
  <c r="V25" i="21"/>
  <c r="R27" i="21"/>
  <c r="J25" i="21"/>
  <c r="E26" i="21" a="1"/>
  <c r="E26" i="21" s="1"/>
  <c r="S19" i="21"/>
  <c r="Q20" i="21"/>
  <c r="AE21" i="21"/>
  <c r="AC22" i="21"/>
  <c r="Y24" i="21"/>
  <c r="U26" i="21"/>
  <c r="E21" i="21" a="1"/>
  <c r="E21" i="21" s="1"/>
  <c r="L21" i="21" s="1"/>
  <c r="M21" i="21" s="1"/>
  <c r="Y22" i="21"/>
  <c r="U17" i="21"/>
  <c r="S18" i="21"/>
  <c r="Q19" i="21"/>
  <c r="O20" i="21"/>
  <c r="AE20" i="21"/>
  <c r="AC21" i="21"/>
  <c r="AA22" i="21"/>
  <c r="Y23" i="21"/>
  <c r="W24" i="21"/>
  <c r="U25" i="21"/>
  <c r="S26" i="21"/>
  <c r="Q27" i="21"/>
  <c r="F20" i="21" a="1"/>
  <c r="F20" i="21" s="1"/>
  <c r="G25" i="21" a="1"/>
  <c r="G25" i="21" s="1"/>
  <c r="R19" i="21"/>
  <c r="AF20" i="21"/>
  <c r="AB22" i="21"/>
  <c r="X24" i="21"/>
  <c r="T26" i="21"/>
  <c r="J17" i="21"/>
  <c r="G20" i="21" a="1"/>
  <c r="G20" i="21" s="1"/>
  <c r="W17" i="21"/>
  <c r="U18" i="21"/>
  <c r="O21" i="21"/>
  <c r="AA23" i="21"/>
  <c r="W25" i="21"/>
  <c r="S27" i="21"/>
  <c r="F26" i="21" a="1"/>
  <c r="F26" i="21" s="1"/>
  <c r="AA21" i="21"/>
  <c r="X17" i="21"/>
  <c r="V18" i="21"/>
  <c r="T19" i="21"/>
  <c r="R20" i="21"/>
  <c r="P21" i="21"/>
  <c r="AF21" i="21"/>
  <c r="AD22" i="21"/>
  <c r="AB23" i="21"/>
  <c r="Z24" i="21"/>
  <c r="X25" i="21"/>
  <c r="V26" i="21"/>
  <c r="T27" i="21"/>
  <c r="J18" i="21"/>
  <c r="J26" i="21"/>
  <c r="F21" i="21" a="1"/>
  <c r="F21" i="21" s="1"/>
  <c r="G26" i="21" a="1"/>
  <c r="G26" i="21" s="1"/>
  <c r="T20" i="21"/>
  <c r="AF22" i="21"/>
  <c r="AB24" i="21"/>
  <c r="X26" i="21"/>
  <c r="E22" i="21" a="1"/>
  <c r="E22" i="21" s="1"/>
  <c r="L22" i="21" s="1"/>
  <c r="M22" i="21" s="1"/>
  <c r="V21" i="21"/>
  <c r="Q18" i="21"/>
  <c r="AE27" i="21"/>
  <c r="Y17" i="21"/>
  <c r="W18" i="21"/>
  <c r="U19" i="21"/>
  <c r="S20" i="21"/>
  <c r="Q21" i="21"/>
  <c r="O22" i="21"/>
  <c r="AE22" i="21"/>
  <c r="AC23" i="21"/>
  <c r="AA24" i="21"/>
  <c r="Y25" i="21"/>
  <c r="W26" i="21"/>
  <c r="U27" i="21"/>
  <c r="G21" i="21" a="1"/>
  <c r="G21" i="21" s="1"/>
  <c r="E27" i="21" a="1"/>
  <c r="E27" i="21" s="1"/>
  <c r="L27" i="21" s="1"/>
  <c r="Z17" i="21"/>
  <c r="X18" i="21"/>
  <c r="V19" i="21"/>
  <c r="R21" i="21"/>
  <c r="P22" i="21"/>
  <c r="AD23" i="21"/>
  <c r="Z25" i="21"/>
  <c r="V27" i="21"/>
  <c r="J19" i="21"/>
  <c r="AL19" i="21" s="1"/>
  <c r="J27" i="21"/>
  <c r="AL27" i="21" s="1"/>
  <c r="F27" i="21" a="1"/>
  <c r="F27" i="21" s="1"/>
  <c r="T22" i="21"/>
  <c r="AE19" i="21"/>
  <c r="AA17" i="21"/>
  <c r="Y18" i="21"/>
  <c r="W19" i="21"/>
  <c r="U20" i="21"/>
  <c r="S21" i="21"/>
  <c r="Q22" i="21"/>
  <c r="O23" i="21"/>
  <c r="AE23" i="21"/>
  <c r="AC24" i="21"/>
  <c r="AA25" i="21"/>
  <c r="Y26" i="21"/>
  <c r="W27" i="21"/>
  <c r="E17" i="21" a="1"/>
  <c r="E17" i="21" s="1"/>
  <c r="F22" i="21" a="1"/>
  <c r="F22" i="21" s="1"/>
  <c r="G27" i="21" a="1"/>
  <c r="G27" i="21" s="1"/>
  <c r="AD17" i="21"/>
  <c r="Z19" i="21"/>
  <c r="R23" i="21"/>
  <c r="AD25" i="21"/>
  <c r="Z27" i="21"/>
  <c r="E18" i="21" a="1"/>
  <c r="E18" i="21" s="1"/>
  <c r="G28" i="21" a="1"/>
  <c r="G28" i="21" s="1"/>
  <c r="F19" i="21" a="1"/>
  <c r="F19" i="21" s="1"/>
  <c r="S25" i="21"/>
  <c r="AB17" i="21"/>
  <c r="Z18" i="21"/>
  <c r="X19" i="21"/>
  <c r="V20" i="21"/>
  <c r="T21" i="21"/>
  <c r="R22" i="21"/>
  <c r="P23" i="21"/>
  <c r="AF23" i="21"/>
  <c r="AD24" i="21"/>
  <c r="AB25" i="21"/>
  <c r="Z26" i="21"/>
  <c r="X27" i="21"/>
  <c r="J20" i="21"/>
  <c r="AL20" i="21" s="1"/>
  <c r="F17" i="21" a="1"/>
  <c r="F17" i="21" s="1"/>
  <c r="G22" i="21" a="1"/>
  <c r="G22" i="21" s="1"/>
  <c r="E28" i="21" a="1"/>
  <c r="E28" i="21" s="1"/>
  <c r="Q23" i="21"/>
  <c r="F28" i="21" a="1"/>
  <c r="F28" i="21" s="1"/>
  <c r="X20" i="21"/>
  <c r="P24" i="21"/>
  <c r="AB26" i="21"/>
  <c r="F23" i="21" a="1"/>
  <c r="F23" i="21" s="1"/>
  <c r="AC20" i="21"/>
  <c r="AC17" i="21"/>
  <c r="AA18" i="21"/>
  <c r="Y19" i="21"/>
  <c r="W20" i="21"/>
  <c r="U21" i="21"/>
  <c r="S22" i="21"/>
  <c r="O24" i="21"/>
  <c r="AE24" i="21"/>
  <c r="AC25" i="21"/>
  <c r="AA26" i="21"/>
  <c r="Y27" i="21"/>
  <c r="G17" i="21" a="1"/>
  <c r="G17" i="21" s="1"/>
  <c r="E23" i="21" a="1"/>
  <c r="E23" i="21" s="1"/>
  <c r="L23" i="21" s="1"/>
  <c r="M23" i="21" s="1"/>
  <c r="AB18" i="21"/>
  <c r="AF24" i="21"/>
  <c r="J21" i="21"/>
  <c r="AL21" i="21" s="1"/>
  <c r="G24" i="21" a="1"/>
  <c r="G24" i="21" s="1"/>
  <c r="W23" i="21"/>
  <c r="G19" i="21" a="1"/>
  <c r="G19" i="21" s="1"/>
  <c r="O17" i="21"/>
  <c r="AE17" i="21"/>
  <c r="AC18" i="21"/>
  <c r="AA19" i="21"/>
  <c r="Y20" i="21"/>
  <c r="W21" i="21"/>
  <c r="U22" i="21"/>
  <c r="S23" i="21"/>
  <c r="Q24" i="21"/>
  <c r="O25" i="21"/>
  <c r="AE25" i="21"/>
  <c r="AC26" i="21"/>
  <c r="AA27" i="21"/>
  <c r="F18" i="21" a="1"/>
  <c r="F18" i="21" s="1"/>
  <c r="G23" i="21" a="1"/>
  <c r="G23" i="21" s="1"/>
  <c r="E29" i="21" a="1"/>
  <c r="E29" i="21" s="1"/>
  <c r="L29" i="21" s="1"/>
  <c r="Z21" i="21"/>
  <c r="U24" i="21"/>
  <c r="P17" i="21"/>
  <c r="AF17" i="21"/>
  <c r="AD18" i="21"/>
  <c r="AB19" i="21"/>
  <c r="Z20" i="21"/>
  <c r="X21" i="21"/>
  <c r="V22" i="21"/>
  <c r="T23" i="21"/>
  <c r="R24" i="21"/>
  <c r="P25" i="21"/>
  <c r="AF25" i="21"/>
  <c r="AD26" i="21"/>
  <c r="AB27" i="21"/>
  <c r="J22" i="21"/>
  <c r="AL22" i="21" s="1"/>
  <c r="G18" i="21" a="1"/>
  <c r="G18" i="21" s="1"/>
  <c r="E24" i="21" a="1"/>
  <c r="E24" i="21" s="1"/>
  <c r="L24" i="21" s="1"/>
  <c r="M24" i="21" s="1"/>
  <c r="F29" i="21" a="1"/>
  <c r="F29" i="21" s="1"/>
  <c r="P18" i="21"/>
  <c r="AF26" i="21"/>
  <c r="O19" i="21"/>
  <c r="O27" i="21"/>
  <c r="E25" i="21" a="1"/>
  <c r="E25" i="21" s="1"/>
  <c r="Q17" i="21"/>
  <c r="O18" i="21"/>
  <c r="AE18" i="21"/>
  <c r="AC19" i="21"/>
  <c r="AA20" i="21"/>
  <c r="Y21" i="21"/>
  <c r="W22" i="21"/>
  <c r="U23" i="21"/>
  <c r="S24" i="21"/>
  <c r="Q25" i="21"/>
  <c r="O26" i="21"/>
  <c r="AE26" i="21"/>
  <c r="AC27" i="21"/>
  <c r="E19" i="21" a="1"/>
  <c r="E19" i="21" s="1"/>
  <c r="L19" i="21" s="1"/>
  <c r="M19" i="21" s="1"/>
  <c r="F24" i="21" a="1"/>
  <c r="F24" i="21" s="1"/>
  <c r="G29" i="21" a="1"/>
  <c r="G29" i="21" s="1"/>
  <c r="R17" i="21"/>
  <c r="AF18" i="21"/>
  <c r="AD19" i="21"/>
  <c r="AB20" i="21"/>
  <c r="X22" i="21"/>
  <c r="V23" i="21"/>
  <c r="T24" i="21"/>
  <c r="R25" i="21"/>
  <c r="P26" i="21"/>
  <c r="AD27" i="21"/>
  <c r="J23" i="21"/>
  <c r="AL23" i="21" s="1"/>
  <c r="S17" i="21"/>
  <c r="Q26" i="21"/>
  <c r="G2" i="1"/>
  <c r="G4" i="21" s="1"/>
  <c r="AK7" i="21"/>
  <c r="J8" i="21"/>
  <c r="AL8" i="21" s="1"/>
  <c r="J16" i="21"/>
  <c r="J9" i="21"/>
  <c r="AL9" i="21" s="1"/>
  <c r="J28" i="21"/>
  <c r="AL28" i="21" s="1"/>
  <c r="M29" i="21"/>
  <c r="J10" i="21"/>
  <c r="AL10" i="21" s="1"/>
  <c r="J29" i="21"/>
  <c r="AL29" i="21" s="1"/>
  <c r="J11" i="21"/>
  <c r="AL11" i="21" s="1"/>
  <c r="J30" i="21"/>
  <c r="AL30" i="21" s="1"/>
  <c r="J15" i="21"/>
  <c r="AL15" i="21" s="1"/>
  <c r="J14" i="21"/>
  <c r="AL14" i="21" s="1"/>
  <c r="J13" i="21"/>
  <c r="AL13" i="21" s="1"/>
  <c r="J12" i="21"/>
  <c r="AL12" i="21" s="1"/>
  <c r="AK15" i="21"/>
  <c r="AK10" i="21"/>
  <c r="AK30" i="21"/>
  <c r="AK11" i="21"/>
  <c r="AE7" i="21"/>
  <c r="AK13" i="21"/>
  <c r="AK28" i="21"/>
  <c r="AK16" i="21"/>
  <c r="AK29" i="21"/>
  <c r="AK12" i="21"/>
  <c r="AK9" i="21"/>
  <c r="AK14" i="21"/>
  <c r="AK8" i="21"/>
  <c r="F11" i="21" a="1"/>
  <c r="F11" i="21" s="1"/>
  <c r="E30" i="21" a="1"/>
  <c r="E30" i="21" s="1"/>
  <c r="L30" i="21" s="1"/>
  <c r="E12" i="21" a="1"/>
  <c r="E12" i="21" s="1"/>
  <c r="L12" i="21" s="1"/>
  <c r="F10" i="21" a="1"/>
  <c r="F10" i="21" s="1"/>
  <c r="E11" i="21" a="1"/>
  <c r="E11" i="21" s="1"/>
  <c r="F9" i="21" a="1"/>
  <c r="F9" i="21" s="1"/>
  <c r="E10" i="21" a="1"/>
  <c r="E10" i="21" s="1"/>
  <c r="F8" i="21" a="1"/>
  <c r="F8" i="21" s="1"/>
  <c r="E9" i="21" a="1"/>
  <c r="E9" i="21" s="1"/>
  <c r="G30" i="21" a="1"/>
  <c r="G30" i="21" s="1"/>
  <c r="E14" i="21" a="1"/>
  <c r="E14" i="21" s="1"/>
  <c r="E8" i="21" a="1"/>
  <c r="E8" i="21" s="1"/>
  <c r="G7" i="21" a="1"/>
  <c r="G7" i="21" s="1"/>
  <c r="G16" i="21" a="1"/>
  <c r="G16" i="21" s="1"/>
  <c r="F30" i="21" a="1"/>
  <c r="F30" i="21" s="1"/>
  <c r="G15" i="21" a="1"/>
  <c r="G15" i="21" s="1"/>
  <c r="E7" i="21" a="1"/>
  <c r="E7" i="21" s="1"/>
  <c r="G14" i="21" a="1"/>
  <c r="G14" i="21" s="1"/>
  <c r="G13" i="21" a="1"/>
  <c r="G13" i="21" s="1"/>
  <c r="F16" i="21" a="1"/>
  <c r="F16" i="21" s="1"/>
  <c r="G12" i="21" a="1"/>
  <c r="G12" i="21" s="1"/>
  <c r="F15" i="21" a="1"/>
  <c r="F15" i="21" s="1"/>
  <c r="G11" i="21" a="1"/>
  <c r="G11" i="21" s="1"/>
  <c r="F14" i="21" a="1"/>
  <c r="F14" i="21" s="1"/>
  <c r="G10" i="21" a="1"/>
  <c r="G10" i="21" s="1"/>
  <c r="E15" i="21" a="1"/>
  <c r="E15" i="21" s="1"/>
  <c r="F13" i="21" a="1"/>
  <c r="F13" i="21" s="1"/>
  <c r="G9" i="21" a="1"/>
  <c r="G9" i="21" s="1"/>
  <c r="F12" i="21" a="1"/>
  <c r="F12" i="21" s="1"/>
  <c r="G8" i="21" a="1"/>
  <c r="G8" i="21" s="1"/>
  <c r="E16" i="21" a="1"/>
  <c r="E16" i="21" s="1"/>
  <c r="E13" i="21" a="1"/>
  <c r="E13" i="21" s="1"/>
  <c r="L13" i="21" s="1"/>
  <c r="M12" i="21"/>
  <c r="M11" i="21"/>
  <c r="J7" i="21"/>
  <c r="AL7" i="21" s="1"/>
  <c r="M10" i="21"/>
  <c r="M9" i="21"/>
  <c r="M13" i="21"/>
  <c r="M8" i="21"/>
  <c r="M30" i="21"/>
  <c r="M28" i="21"/>
  <c r="M15" i="21"/>
  <c r="M14" i="21"/>
  <c r="Y16" i="21"/>
  <c r="AE8" i="21"/>
  <c r="AA7" i="21"/>
  <c r="AC30" i="21"/>
  <c r="AF29" i="21"/>
  <c r="P29" i="21"/>
  <c r="S28" i="21"/>
  <c r="V16" i="21"/>
  <c r="Y15" i="21"/>
  <c r="AB14" i="21"/>
  <c r="AE13" i="21"/>
  <c r="O13" i="21"/>
  <c r="R12" i="21"/>
  <c r="U11" i="21"/>
  <c r="X10" i="21"/>
  <c r="AA9" i="21"/>
  <c r="AD8" i="21"/>
  <c r="AD7" i="21"/>
  <c r="AD9" i="21"/>
  <c r="X16" i="21"/>
  <c r="P8" i="21"/>
  <c r="AB7" i="21"/>
  <c r="T28" i="21"/>
  <c r="AC14" i="21"/>
  <c r="P13" i="21"/>
  <c r="O8" i="21"/>
  <c r="Z7" i="21"/>
  <c r="AB30" i="21"/>
  <c r="AE29" i="21"/>
  <c r="O29" i="21"/>
  <c r="R28" i="21"/>
  <c r="U16" i="21"/>
  <c r="X15" i="21"/>
  <c r="AA14" i="21"/>
  <c r="AD13" i="21"/>
  <c r="Q12" i="21"/>
  <c r="T11" i="21"/>
  <c r="W10" i="21"/>
  <c r="Z9" i="21"/>
  <c r="AC8" i="21"/>
  <c r="V28" i="21"/>
  <c r="AB15" i="21"/>
  <c r="X11" i="21"/>
  <c r="O30" i="21"/>
  <c r="AA15" i="21"/>
  <c r="AF8" i="21"/>
  <c r="AD30" i="21"/>
  <c r="Q29" i="21"/>
  <c r="Z15" i="21"/>
  <c r="AF13" i="21"/>
  <c r="AB9" i="21"/>
  <c r="Y7" i="21"/>
  <c r="AA30" i="21"/>
  <c r="AD29" i="21"/>
  <c r="Q28" i="21"/>
  <c r="T16" i="21"/>
  <c r="W15" i="21"/>
  <c r="Z14" i="21"/>
  <c r="AC13" i="21"/>
  <c r="AF12" i="21"/>
  <c r="P12" i="21"/>
  <c r="S11" i="21"/>
  <c r="V10" i="21"/>
  <c r="Y9" i="21"/>
  <c r="AB8" i="21"/>
  <c r="P30" i="21"/>
  <c r="AE30" i="21"/>
  <c r="U28" i="21"/>
  <c r="AC9" i="21"/>
  <c r="W16" i="21"/>
  <c r="Y10" i="21"/>
  <c r="X7" i="21"/>
  <c r="Z30" i="21"/>
  <c r="AC29" i="21"/>
  <c r="AF28" i="21"/>
  <c r="P28" i="21"/>
  <c r="S16" i="21"/>
  <c r="V15" i="21"/>
  <c r="Y14" i="21"/>
  <c r="AB13" i="21"/>
  <c r="AE12" i="21"/>
  <c r="O12" i="21"/>
  <c r="R11" i="21"/>
  <c r="U10" i="21"/>
  <c r="X9" i="21"/>
  <c r="AA8" i="21"/>
  <c r="O14" i="21"/>
  <c r="V11" i="21"/>
  <c r="W7" i="21"/>
  <c r="Y30" i="21"/>
  <c r="AB29" i="21"/>
  <c r="AE28" i="21"/>
  <c r="O28" i="21"/>
  <c r="R16" i="21"/>
  <c r="U15" i="21"/>
  <c r="X14" i="21"/>
  <c r="AA13" i="21"/>
  <c r="AD12" i="21"/>
  <c r="Q11" i="21"/>
  <c r="T10" i="21"/>
  <c r="W9" i="21"/>
  <c r="Z8" i="21"/>
  <c r="AC7" i="21"/>
  <c r="S12" i="21"/>
  <c r="V7" i="21"/>
  <c r="X30" i="21"/>
  <c r="AA29" i="21"/>
  <c r="AD28" i="21"/>
  <c r="Q16" i="21"/>
  <c r="T15" i="21"/>
  <c r="W14" i="21"/>
  <c r="Z13" i="21"/>
  <c r="AC12" i="21"/>
  <c r="AF11" i="21"/>
  <c r="P11" i="21"/>
  <c r="S10" i="21"/>
  <c r="V9" i="21"/>
  <c r="Y8" i="21"/>
  <c r="U7" i="21"/>
  <c r="W30" i="21"/>
  <c r="Z29" i="21"/>
  <c r="AC28" i="21"/>
  <c r="AF16" i="21"/>
  <c r="P16" i="21"/>
  <c r="S15" i="21"/>
  <c r="V14" i="21"/>
  <c r="Y13" i="21"/>
  <c r="AB12" i="21"/>
  <c r="AE11" i="21"/>
  <c r="O11" i="21"/>
  <c r="R10" i="21"/>
  <c r="U9" i="21"/>
  <c r="X8" i="21"/>
  <c r="T7" i="21"/>
  <c r="V30" i="21"/>
  <c r="Y29" i="21"/>
  <c r="AB28" i="21"/>
  <c r="AE16" i="21"/>
  <c r="O16" i="21"/>
  <c r="R15" i="21"/>
  <c r="U14" i="21"/>
  <c r="X13" i="21"/>
  <c r="AA12" i="21"/>
  <c r="AD11" i="21"/>
  <c r="Q10" i="21"/>
  <c r="T9" i="21"/>
  <c r="W8" i="21"/>
  <c r="S29" i="21"/>
  <c r="AA10" i="21"/>
  <c r="W11" i="21"/>
  <c r="S7" i="21"/>
  <c r="U30" i="21"/>
  <c r="X29" i="21"/>
  <c r="AA28" i="21"/>
  <c r="AD16" i="21"/>
  <c r="Q15" i="21"/>
  <c r="T14" i="21"/>
  <c r="W13" i="21"/>
  <c r="Z12" i="21"/>
  <c r="AC11" i="21"/>
  <c r="AF10" i="21"/>
  <c r="P10" i="21"/>
  <c r="S9" i="21"/>
  <c r="V8" i="21"/>
  <c r="AF30" i="21"/>
  <c r="U12" i="21"/>
  <c r="T12" i="21"/>
  <c r="O7" i="21"/>
  <c r="R7" i="21"/>
  <c r="T30" i="21"/>
  <c r="W29" i="21"/>
  <c r="Z28" i="21"/>
  <c r="AC16" i="21"/>
  <c r="AF15" i="21"/>
  <c r="P15" i="21"/>
  <c r="S14" i="21"/>
  <c r="V13" i="21"/>
  <c r="Y12" i="21"/>
  <c r="AB11" i="21"/>
  <c r="AE10" i="21"/>
  <c r="O10" i="21"/>
  <c r="R9" i="21"/>
  <c r="U8" i="21"/>
  <c r="Q13" i="21"/>
  <c r="Q7" i="21"/>
  <c r="S30" i="21"/>
  <c r="V29" i="21"/>
  <c r="Y28" i="21"/>
  <c r="AB16" i="21"/>
  <c r="AE15" i="21"/>
  <c r="O15" i="21"/>
  <c r="R14" i="21"/>
  <c r="U13" i="21"/>
  <c r="X12" i="21"/>
  <c r="AA11" i="21"/>
  <c r="AD10" i="21"/>
  <c r="Q9" i="21"/>
  <c r="T8" i="21"/>
  <c r="AE14" i="21"/>
  <c r="Q8" i="21"/>
  <c r="R29" i="21"/>
  <c r="Z10" i="21"/>
  <c r="AF7" i="21"/>
  <c r="P7" i="21"/>
  <c r="R30" i="21"/>
  <c r="U29" i="21"/>
  <c r="X28" i="21"/>
  <c r="AA16" i="21"/>
  <c r="AD15" i="21"/>
  <c r="Q14" i="21"/>
  <c r="T13" i="21"/>
  <c r="W12" i="21"/>
  <c r="Z11" i="21"/>
  <c r="AC10" i="21"/>
  <c r="AF9" i="21"/>
  <c r="P9" i="21"/>
  <c r="S8" i="21"/>
  <c r="R13" i="21"/>
  <c r="AD14" i="21"/>
  <c r="Q30" i="21"/>
  <c r="T29" i="21"/>
  <c r="W28" i="21"/>
  <c r="Z16" i="21"/>
  <c r="AC15" i="21"/>
  <c r="AF14" i="21"/>
  <c r="P14" i="21"/>
  <c r="S13" i="21"/>
  <c r="V12" i="21"/>
  <c r="Y11" i="21"/>
  <c r="AB10" i="21"/>
  <c r="AE9" i="21"/>
  <c r="O9" i="21"/>
  <c r="R8" i="21"/>
  <c r="AL16" i="21" l="1"/>
  <c r="M16" i="21"/>
  <c r="AL26" i="21"/>
  <c r="M26" i="21"/>
  <c r="AL18" i="21"/>
  <c r="M18" i="21"/>
  <c r="AL17" i="21"/>
  <c r="M17" i="21"/>
  <c r="AL25" i="21"/>
  <c r="M25" i="21"/>
  <c r="AB35" i="21" s="1"/>
  <c r="AH21" i="21"/>
  <c r="AH23" i="21"/>
  <c r="AH26" i="21"/>
  <c r="AH20" i="21"/>
  <c r="AH24" i="21"/>
  <c r="AH17" i="21"/>
  <c r="M7" i="21"/>
  <c r="AH18" i="21"/>
  <c r="AH25" i="21"/>
  <c r="AH27" i="21"/>
  <c r="AH19" i="21"/>
  <c r="AH22" i="21"/>
  <c r="O33" i="21"/>
  <c r="F7" i="21" a="1"/>
  <c r="F7" i="21" s="1"/>
  <c r="AH9" i="21"/>
  <c r="S38" i="21" a="1"/>
  <c r="S38" i="21" s="1"/>
  <c r="S31" i="21"/>
  <c r="V38" i="21" a="1"/>
  <c r="V38" i="21" s="1"/>
  <c r="V31" i="21"/>
  <c r="U38" i="21" a="1"/>
  <c r="U38" i="21" s="1"/>
  <c r="U31" i="21"/>
  <c r="W38" i="21" a="1"/>
  <c r="W38" i="21" s="1"/>
  <c r="W31" i="21"/>
  <c r="T38" i="21" a="1"/>
  <c r="T38" i="21" s="1"/>
  <c r="T31" i="21"/>
  <c r="AC31" i="21"/>
  <c r="AC38" i="21" a="1"/>
  <c r="AC38" i="21" s="1"/>
  <c r="X38" i="21" a="1"/>
  <c r="X38" i="21" s="1"/>
  <c r="X31" i="21"/>
  <c r="Z38" i="21" a="1"/>
  <c r="Z38" i="21" s="1"/>
  <c r="Z31" i="21"/>
  <c r="O38" i="21" a="1"/>
  <c r="O38" i="21" s="1"/>
  <c r="O31" i="21"/>
  <c r="P38" i="21" a="1"/>
  <c r="P38" i="21" s="1"/>
  <c r="P31" i="21"/>
  <c r="AE31" i="21"/>
  <c r="AE38" i="21" a="1"/>
  <c r="AE38" i="21" s="1"/>
  <c r="T33" i="21"/>
  <c r="V33" i="21"/>
  <c r="Z33" i="21"/>
  <c r="AA33" i="21"/>
  <c r="U33" i="21"/>
  <c r="W33" i="21"/>
  <c r="AD33" i="21"/>
  <c r="X33" i="21"/>
  <c r="AB33" i="21"/>
  <c r="AC33" i="21"/>
  <c r="AE33" i="21"/>
  <c r="Q33" i="21"/>
  <c r="R33" i="21"/>
  <c r="P33" i="21"/>
  <c r="AF33" i="21"/>
  <c r="S33" i="21"/>
  <c r="Y33" i="21"/>
  <c r="R38" i="21" a="1"/>
  <c r="R38" i="21" s="1"/>
  <c r="R31" i="21"/>
  <c r="AD31" i="21"/>
  <c r="AD38" i="21" a="1"/>
  <c r="AD38" i="21" s="1"/>
  <c r="W34" i="21"/>
  <c r="AB34" i="21"/>
  <c r="X34" i="21"/>
  <c r="Q34" i="21"/>
  <c r="Z34" i="21"/>
  <c r="AD34" i="21"/>
  <c r="AA34" i="21"/>
  <c r="AE34" i="21"/>
  <c r="P34" i="21"/>
  <c r="AF34" i="21"/>
  <c r="R34" i="21"/>
  <c r="O34" i="21"/>
  <c r="S34" i="21"/>
  <c r="T34" i="21"/>
  <c r="U34" i="21"/>
  <c r="V34" i="21"/>
  <c r="Y34" i="21"/>
  <c r="AC34" i="21"/>
  <c r="Q38" i="21" a="1"/>
  <c r="Q38" i="21" s="1"/>
  <c r="Q31" i="21"/>
  <c r="AA38" i="21" a="1"/>
  <c r="AA38" i="21" s="1"/>
  <c r="AA31" i="21"/>
  <c r="AF38" i="21" a="1"/>
  <c r="AF38" i="21" s="1"/>
  <c r="AF31" i="21"/>
  <c r="AB38" i="21" a="1"/>
  <c r="AB38" i="21" s="1"/>
  <c r="AB31" i="21"/>
  <c r="Y38" i="21" a="1"/>
  <c r="Y38" i="21" s="1"/>
  <c r="Y31" i="21"/>
  <c r="Z35" i="21"/>
  <c r="AA35" i="21"/>
  <c r="P35" i="21"/>
  <c r="AC35" i="21"/>
  <c r="AF35" i="21"/>
  <c r="AD35" i="21"/>
  <c r="AE35" i="21"/>
  <c r="Q35" i="21"/>
  <c r="R35" i="21"/>
  <c r="O35" i="21"/>
  <c r="S35" i="21"/>
  <c r="T35" i="21"/>
  <c r="U35" i="21"/>
  <c r="W35" i="21"/>
  <c r="X35" i="21"/>
  <c r="V35" i="21"/>
  <c r="Y35" i="21"/>
  <c r="AH7" i="21"/>
  <c r="AH10" i="21"/>
  <c r="AH29" i="21"/>
  <c r="AH30" i="21"/>
  <c r="AH13" i="21"/>
  <c r="AH14" i="21"/>
  <c r="AH8" i="21"/>
  <c r="AH11" i="21"/>
  <c r="AH15" i="21"/>
  <c r="AH12" i="21"/>
  <c r="AH16" i="21"/>
  <c r="AH28" i="21"/>
  <c r="G3" i="2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Thompson, Ross</author>
  </authors>
  <commentList>
    <comment ref="M27" authorId="0" shapeId="0" xr:uid="{D91114BF-AA81-4CC1-9F6F-A3E2194AA3E5}">
      <text>
        <r>
          <rPr>
            <b/>
            <sz val="9"/>
            <color indexed="81"/>
            <rFont val="Tahoma"/>
            <family val="2"/>
          </rPr>
          <t>Thompson, Ross:</t>
        </r>
        <r>
          <rPr>
            <sz val="9"/>
            <color indexed="81"/>
            <rFont val="Tahoma"/>
            <family val="2"/>
          </rPr>
          <t xml:space="preserve">
P03 Set to zero as special case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Thompson, Ross</author>
  </authors>
  <commentList>
    <comment ref="L3" authorId="0" shapeId="0" xr:uid="{74DD8B69-E4B8-43C1-A301-DEE72735F8E9}">
      <text>
        <r>
          <rPr>
            <b/>
            <sz val="9"/>
            <color indexed="81"/>
            <rFont val="Tahoma"/>
            <family val="2"/>
          </rPr>
          <t>Thompson, Ross:</t>
        </r>
        <r>
          <rPr>
            <sz val="9"/>
            <color indexed="81"/>
            <rFont val="Tahoma"/>
            <family val="2"/>
          </rPr>
          <t xml:space="preserve">
SAP Table K1</t>
        </r>
      </text>
    </comment>
    <comment ref="N3" authorId="0" shapeId="0" xr:uid="{A9E7DB10-1037-4D48-BCE7-3CCBB61EF812}">
      <text>
        <r>
          <rPr>
            <b/>
            <sz val="9"/>
            <color indexed="81"/>
            <rFont val="Tahoma"/>
            <family val="2"/>
          </rPr>
          <t>Thompson, Ross:</t>
        </r>
        <r>
          <rPr>
            <sz val="9"/>
            <color indexed="81"/>
            <rFont val="Tahoma"/>
            <family val="2"/>
          </rPr>
          <t xml:space="preserve">
SAP Table R2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<sst xmlns="http://schemas.openxmlformats.org/spreadsheetml/2006/main" count="1668" uniqueCount="226">
  <si>
    <t>E04 Jamb</t>
  </si>
  <si>
    <t>P03 Intermediate floor between dwellings (in blocks of flats)</t>
  </si>
  <si>
    <t>E05 Ground floor (normal)</t>
  </si>
  <si>
    <t>E07 Party floor between dwellings (in blocks of flats)</t>
  </si>
  <si>
    <t>P01 Ground floor</t>
  </si>
  <si>
    <t>E16 Corner (normal)</t>
  </si>
  <si>
    <t>E17 Corner (inverted – internal area greater than external area)</t>
  </si>
  <si>
    <t>E02 Other lintels (including other steel lintels)</t>
  </si>
  <si>
    <t>E15 Flat roof with parapet</t>
  </si>
  <si>
    <t>E24 Eaves (insulation at ceiling level - inverted)</t>
  </si>
  <si>
    <t>E03 Sill</t>
  </si>
  <si>
    <t>E06 Intermediate floor within a dwelling</t>
  </si>
  <si>
    <t>E11 Eaves (insulation at rafter level)</t>
  </si>
  <si>
    <t>E12 Gable (insulation at ceiling level)</t>
  </si>
  <si>
    <t>E13 Gable (insulation at rafter level)</t>
  </si>
  <si>
    <t>E14 Flat roof</t>
  </si>
  <si>
    <t>E20 Exposed floor (normal)</t>
  </si>
  <si>
    <t>E21 Exposed floor (inverted)</t>
  </si>
  <si>
    <t>E23 Balcony within or between dwellings, balcony support penetrates wall insulation</t>
  </si>
  <si>
    <t>E25 Staggered party wall between dwellings</t>
  </si>
  <si>
    <t>P02 Intermediate floor within a dwelling</t>
  </si>
  <si>
    <t>P05 Roof (insulation at rafter level)</t>
  </si>
  <si>
    <t>P08 Exposed floor (inverted)</t>
  </si>
  <si>
    <t>R01 Head of roof window</t>
  </si>
  <si>
    <t>R02 Sill of roof window</t>
  </si>
  <si>
    <t>R03 Jamb of roof window</t>
  </si>
  <si>
    <t>R04 Ridge (vaulted ceiling)</t>
  </si>
  <si>
    <t>R06 Flat ceiling</t>
  </si>
  <si>
    <t>R07 Flat ceiling (inverted)</t>
  </si>
  <si>
    <t>R09 Roof to wall (flat ceiling)</t>
  </si>
  <si>
    <t>R11 Upstands or kerbs of rooflights</t>
  </si>
  <si>
    <t>SAP Order</t>
  </si>
  <si>
    <t>-</t>
  </si>
  <si>
    <t>Ref</t>
  </si>
  <si>
    <t>Junction</t>
  </si>
  <si>
    <t>Layer</t>
  </si>
  <si>
    <t>Parent Hierarchy</t>
  </si>
  <si>
    <t>P04 Roof (insulation at ceiling level)</t>
  </si>
  <si>
    <t>Apartment</t>
  </si>
  <si>
    <t>Length (m)</t>
  </si>
  <si>
    <t>Total in Sheet (m)</t>
  </si>
  <si>
    <t>Total in Export (m)</t>
  </si>
  <si>
    <t>Heat Loss (W/K)</t>
  </si>
  <si>
    <t>THERMAL BRIDGE SCHEDULE</t>
  </si>
  <si>
    <t>Source</t>
  </si>
  <si>
    <t>Total Here</t>
  </si>
  <si>
    <t>Sharing</t>
  </si>
  <si>
    <t>Shelter Factor</t>
  </si>
  <si>
    <t>Table K1</t>
  </si>
  <si>
    <t>Edge Persistent ID</t>
  </si>
  <si>
    <t>↓</t>
  </si>
  <si>
    <t>XML Name</t>
  </si>
  <si>
    <t>OtherLintels</t>
  </si>
  <si>
    <t>Sill</t>
  </si>
  <si>
    <t>Jamb</t>
  </si>
  <si>
    <t>GroundFloorNormal</t>
  </si>
  <si>
    <t>InternalFloor</t>
  </si>
  <si>
    <t>PartyFloor</t>
  </si>
  <si>
    <t>Balcony</t>
  </si>
  <si>
    <t>BalconyBetweenDwellings</t>
  </si>
  <si>
    <t>EavesAtCeiling</t>
  </si>
  <si>
    <t>RoofUpstands</t>
  </si>
  <si>
    <t>SteelLintel</t>
  </si>
  <si>
    <t>ExposedFloorNormal</t>
  </si>
  <si>
    <t>GroundFloorInverted</t>
  </si>
  <si>
    <t>PartyWall</t>
  </si>
  <si>
    <t>CornerInverted</t>
  </si>
  <si>
    <t>CornerNormal</t>
  </si>
  <si>
    <t>FlatRoofWithParapet</t>
  </si>
  <si>
    <t>FlatRoof</t>
  </si>
  <si>
    <t>GableAtCeiling</t>
  </si>
  <si>
    <t>EavesAtRafter</t>
  </si>
  <si>
    <t>ExposedFloorInverted</t>
  </si>
  <si>
    <t>BasementFloor</t>
  </si>
  <si>
    <t>BalconyBetweenDwellingsPenetrates</t>
  </si>
  <si>
    <t>EavesAtCeilingInverted</t>
  </si>
  <si>
    <t>StaggeredPart</t>
  </si>
  <si>
    <t>GroundFloorWithPartyWall</t>
  </si>
  <si>
    <t>InternalFloorWithPartyWall</t>
  </si>
  <si>
    <t>PartyFloorWithPartyWall</t>
  </si>
  <si>
    <t>RoofAtCeilingWithPartyWall</t>
  </si>
  <si>
    <t>RoofAtRafterWithPartyWall</t>
  </si>
  <si>
    <t>GroundFloorWithPartyWallInverted</t>
  </si>
  <si>
    <t>ExposedFloorWithPartyWall</t>
  </si>
  <si>
    <t>ExposedFloorInvertedWithPartyWall</t>
  </si>
  <si>
    <t>RoofHead</t>
  </si>
  <si>
    <t>RoofSill</t>
  </si>
  <si>
    <t>RoofJamb</t>
  </si>
  <si>
    <t>RoofRidgeVaulted</t>
  </si>
  <si>
    <t>RoofRidgeInverted</t>
  </si>
  <si>
    <t>RoofFlat</t>
  </si>
  <si>
    <t>RoofFlatInverted</t>
  </si>
  <si>
    <t>RoofWallRafter</t>
  </si>
  <si>
    <t>RoofWallCeling</t>
  </si>
  <si>
    <t>RoofAllOther</t>
  </si>
  <si>
    <t>GovApprovedScheme</t>
  </si>
  <si>
    <t>IndependentlyAssessed</t>
  </si>
  <si>
    <t>TableK1Default</t>
  </si>
  <si>
    <t>NonGovApprovedScheme</t>
  </si>
  <si>
    <t>&lt;Type Source&gt;</t>
  </si>
  <si>
    <t>&lt;K1 Index&gt;</t>
  </si>
  <si>
    <t>&lt;Refernce&gt;</t>
  </si>
  <si>
    <t>GableAtRafter</t>
  </si>
  <si>
    <t>B</t>
  </si>
  <si>
    <t>E01 Steel lintel with perforated steel base plate</t>
  </si>
  <si>
    <t>#FF5733</t>
  </si>
  <si>
    <t>#FFEA00</t>
  </si>
  <si>
    <t>#FFBD33</t>
  </si>
  <si>
    <t>#FF3366</t>
  </si>
  <si>
    <t>#0000FF</t>
  </si>
  <si>
    <t>E08 Balcony within a dwelling, wall insulation continuous</t>
  </si>
  <si>
    <t>#FF8533</t>
  </si>
  <si>
    <t>E09 Balcony between dwellings, wall insulation continuous</t>
  </si>
  <si>
    <t>#FF5A36</t>
  </si>
  <si>
    <t>E10 Eaves (insulation at ceiling level)</t>
  </si>
  <si>
    <t>#E55381</t>
  </si>
  <si>
    <t>#FF3E96</t>
  </si>
  <si>
    <t>#A55EBF</t>
  </si>
  <si>
    <t>#5C5CAA</t>
  </si>
  <si>
    <t>#3A5FCD</t>
  </si>
  <si>
    <t>#5CADFF</t>
  </si>
  <si>
    <t>#33FF99</t>
  </si>
  <si>
    <t>#007BA7</t>
  </si>
  <si>
    <t xml:space="preserve">E18 Party wall between dwellings </t>
  </si>
  <si>
    <t>#22A7F0</t>
  </si>
  <si>
    <t>E19 Ground floor (inverted)</t>
  </si>
  <si>
    <t>#33FFEC</t>
  </si>
  <si>
    <t>#33D9B2</t>
  </si>
  <si>
    <t>#33FF5A</t>
  </si>
  <si>
    <t>E22 Basement floor</t>
  </si>
  <si>
    <t>#3CB371</t>
  </si>
  <si>
    <t>#33CC45</t>
  </si>
  <si>
    <t>#36B55C</t>
  </si>
  <si>
    <t>#008000</t>
  </si>
  <si>
    <t>#008B8B</t>
  </si>
  <si>
    <t>#65C6BB</t>
  </si>
  <si>
    <t>#FFD700</t>
  </si>
  <si>
    <t>#AA4600</t>
  </si>
  <si>
    <t>P06 Ground floor (inverted)</t>
  </si>
  <si>
    <t>#FFC125</t>
  </si>
  <si>
    <t>P07 Exposed floor (normal)</t>
  </si>
  <si>
    <t>#800080</t>
  </si>
  <si>
    <t>#FFA500</t>
  </si>
  <si>
    <t>#FF8C00</t>
  </si>
  <si>
    <t>#FF4500</t>
  </si>
  <si>
    <t>#FF6347</t>
  </si>
  <si>
    <t>#FF69B4</t>
  </si>
  <si>
    <t>R05 Ridge (inverted)</t>
  </si>
  <si>
    <t>#FF1493</t>
  </si>
  <si>
    <t>#FF00FF</t>
  </si>
  <si>
    <t>#EE82EE</t>
  </si>
  <si>
    <t>R08 Roof to wall (rafter)</t>
  </si>
  <si>
    <t>#BA55D3</t>
  </si>
  <si>
    <t>#FFB90F</t>
  </si>
  <si>
    <t>R10 All other roof or room-in-roof junctions</t>
  </si>
  <si>
    <t>#00FF00</t>
  </si>
  <si>
    <t>#00FFFF</t>
  </si>
  <si>
    <t>Code</t>
  </si>
  <si>
    <t>R</t>
  </si>
  <si>
    <t>G</t>
  </si>
  <si>
    <t>Full Name</t>
  </si>
  <si>
    <t>Hex Colour</t>
  </si>
  <si>
    <t>Colour</t>
  </si>
  <si>
    <t>Full ψ (W/mK)</t>
  </si>
  <si>
    <t>Adjusted ψ (W/mK)</t>
  </si>
  <si>
    <t>Default ψ (W/mK)</t>
  </si>
  <si>
    <t>ACDs ψ (W/mK)</t>
  </si>
  <si>
    <t>Notional ψ (W/mK)</t>
  </si>
  <si>
    <t>Thermal Bridge Lengths (m)</t>
  </si>
  <si>
    <t>Colours</t>
  </si>
  <si>
    <t>ψ Values</t>
  </si>
  <si>
    <t>XML Names</t>
  </si>
  <si>
    <t>Gov Scheme</t>
  </si>
  <si>
    <t>Independent</t>
  </si>
  <si>
    <t>Non Gov Scheme</t>
  </si>
  <si>
    <t>---</t>
  </si>
  <si>
    <t>Default (W/K)</t>
  </si>
  <si>
    <t>Notional (W/K)</t>
  </si>
  <si>
    <t>Actual (W/K)</t>
  </si>
  <si>
    <t>XML Formulas</t>
  </si>
  <si>
    <t xml:space="preserve"> </t>
  </si>
  <si>
    <t>P01 Ground floor [S2] [R0.83]</t>
  </si>
  <si>
    <t>P08 Exposed floor (inverted) [S3] [R1]</t>
  </si>
  <si>
    <t>P08 Exposed floor (inverted) [S2] [R0.83]</t>
  </si>
  <si>
    <t>Flat 15 TBs (ID: 12689)</t>
  </si>
  <si>
    <t>Flat 16 TBs (ID: 12692)</t>
  </si>
  <si>
    <t>Flat 17 TBs (ID: 12698)</t>
  </si>
  <si>
    <t>Flat 18 TBs (ID: 12701)</t>
  </si>
  <si>
    <t>Flat 10 TBs (ID: 12707)</t>
  </si>
  <si>
    <t>Flat 14 TBs (ID: 12710)</t>
  </si>
  <si>
    <t>Flat 12 TBs (ID: 12713)</t>
  </si>
  <si>
    <t>Flat 11 TBs (ID: 12716)</t>
  </si>
  <si>
    <t>Flat 13 TBs (ID: 12719)</t>
  </si>
  <si>
    <t>P04 Roof (insulation at ceiling level) [S2] [R1]</t>
  </si>
  <si>
    <t>P01 Ground floor [S2] [R1]</t>
  </si>
  <si>
    <t>E03 Sill [S1] [R1]</t>
  </si>
  <si>
    <t>E15 Flat roof with parapet [S1] [R1]</t>
  </si>
  <si>
    <t>E18 Party wall between dwellings [S2] [R1]</t>
  </si>
  <si>
    <t>E21 Exposed floor (inverted) [S2] [R1]</t>
  </si>
  <si>
    <t>E04 Jamb [S1] [R1]</t>
  </si>
  <si>
    <t>E24 Eaves (insulation at ceiling level - inverted) [S2] [R1]</t>
  </si>
  <si>
    <t>E17 Corner (inverted – internal area greater than external area) [S1] [R1]</t>
  </si>
  <si>
    <t>E07 Party floor between dwellings (in blocks of flats) [S2] [R1]</t>
  </si>
  <si>
    <t>E25 Staggered party wall between dwellings [S2] [R1]</t>
  </si>
  <si>
    <t>E17 Corner (inverted – internal area greater than external area) [S1] [R0.83]</t>
  </si>
  <si>
    <t>E14 Flat roof [S1] [R1]</t>
  </si>
  <si>
    <t>E16 Corner (normal) [S1] [R0.83]</t>
  </si>
  <si>
    <t>E02 Other lintels (including other steel lintels) [S1] [R1]</t>
  </si>
  <si>
    <t>E05 Ground floor (normal) [S1] [R1]</t>
  </si>
  <si>
    <t>E20 Exposed floor (normal) [S1] [R1]</t>
  </si>
  <si>
    <t>E16 Corner (normal) [S1] [R1]</t>
  </si>
  <si>
    <t>E25 Staggered party wall between dwellings [S2] [R0.83]</t>
  </si>
  <si>
    <t>E20 Exposed floor (normal) [S1] [R0.83]</t>
  </si>
  <si>
    <t>Exported: 2025-11-17 20:52:14, Model: Example Model Version 1, Edges: 712</t>
  </si>
  <si>
    <t>Flat 01 TBs (ID: 12695)</t>
  </si>
  <si>
    <t>Flat 02 TBs (ID: 12668)</t>
  </si>
  <si>
    <t>Flat 07 TBs (ID: 12677)</t>
  </si>
  <si>
    <t>Flat 08 TBs (ID: 12686)</t>
  </si>
  <si>
    <t>Flat 03 TBs (ID: 12671)</t>
  </si>
  <si>
    <t>Flat 06 TBs (ID: 12674)</t>
  </si>
  <si>
    <t>Flat 09 TBs (ID: 12680)</t>
  </si>
  <si>
    <t>Flat 05 TBs (ID: 12683)</t>
  </si>
  <si>
    <t>Flat 04 TBs (ID: 12704)</t>
  </si>
  <si>
    <t>"-"</t>
  </si>
  <si>
    <t>XML Export Helper Columns</t>
  </si>
  <si>
    <t>Total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</si>
</sst>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[&gt;0]0.00;[&lt;0]\-0.00;0"/>
    <numFmt numFmtId="166" formatCode="[&gt;0]0.0;[&lt;0]\-0.0;0.0"/>
    <numFmt numFmtId="167" formatCode="0.000"/>
  </numFmts>
  <fonts count="29" x14ac:knownFonts="1"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Arial"/>
      <family val="2"/>
    </font>
    <font>
      <sz val="9"/>
      <color rgb="FF6A662D"/>
      <name val="Arial"/>
      <family val="2"/>
    </font>
    <font>
      <sz val="9"/>
      <color rgb="FF632B1F"/>
      <name val="Arial"/>
      <family val="2"/>
    </font>
    <font>
      <sz val="9"/>
      <color rgb="FF426D2B"/>
      <name val="Arial"/>
      <family val="2"/>
    </font>
    <font>
      <sz val="9"/>
      <color rgb="FF424054"/>
      <name val="Arial"/>
      <family val="2"/>
    </font>
    <font>
      <sz val="9"/>
      <color rgb="FF2E6486"/>
      <name val="Arial"/>
      <family val="2"/>
    </font>
    <font>
      <sz val="9"/>
      <color rgb="FF2A4C2F"/>
      <name val="Arial"/>
      <family val="2"/>
    </font>
    <font>
      <sz val="9"/>
      <color rgb="FF473E38"/>
      <name val="Arial"/>
      <family val="2"/>
    </font>
    <font>
      <sz val="9"/>
      <color rgb="FF7A4E64"/>
      <name val="Arial"/>
      <family val="2"/>
    </font>
    <font>
      <sz val="10"/>
      <color theme="1"/>
      <name val="Arial"/>
      <family val="2"/>
    </font>
    <font>
      <sz val="9"/>
      <color rgb="FF586169"/>
      <name val="Arial"/>
      <family val="2"/>
    </font>
    <font>
      <sz val="9"/>
      <color rgb="FF8A1A1A"/>
      <name val="Arial"/>
      <family val="2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9"/>
      <name val="Arial"/>
      <family val="2"/>
    </font>
    <font>
      <sz val="9"/>
      <color theme="1" tint="0.34998626667073579"/>
      <name val="Arial"/>
      <family val="2"/>
      <scheme val="minor"/>
    </font>
    <font>
      <sz val="9"/>
      <color theme="1" tint="0.34998626667073579"/>
      <name val="Arial"/>
      <family val="2"/>
    </font>
    <font>
      <sz val="9"/>
      <name val="Arial"/>
      <family val="2"/>
      <scheme val="minor"/>
    </font>
    <font>
      <b/>
      <sz val="10"/>
      <name val="Arial"/>
      <family val="2"/>
      <scheme val="minor"/>
    </font>
    <font>
      <b/>
      <sz val="16"/>
      <color rgb="FF000000"/>
      <name val="Arial"/>
      <family val="2"/>
      <scheme val="minor"/>
    </font>
    <font>
      <b/>
      <sz val="16"/>
      <color theme="1"/>
      <name val="Arial"/>
      <family val="2"/>
    </font>
    <font>
      <b/>
      <sz val="9"/>
      <name val="Arial"/>
      <family val="2"/>
    </font>
    <font>
      <b/>
      <sz val="11"/>
      <name val="Arial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FF5733"/>
        <bgColor indexed="64"/>
      </patternFill>
    </fill>
    <fill>
      <patternFill patternType="solid">
        <fgColor rgb="FFFFBD33"/>
        <bgColor indexed="64"/>
      </patternFill>
    </fill>
    <fill>
      <patternFill patternType="solid">
        <fgColor rgb="FFFF3366"/>
        <bgColor indexed="64"/>
      </patternFill>
    </fill>
    <fill>
      <patternFill patternType="solid">
        <fgColor rgb="FFFF8533"/>
        <bgColor indexed="64"/>
      </patternFill>
    </fill>
    <fill>
      <patternFill patternType="solid">
        <fgColor rgb="FFFF5A36"/>
        <bgColor indexed="64"/>
      </patternFill>
    </fill>
    <fill>
      <patternFill patternType="solid">
        <fgColor rgb="FFE55381"/>
        <bgColor indexed="64"/>
      </patternFill>
    </fill>
    <fill>
      <patternFill patternType="solid">
        <fgColor rgb="FFFF3E96"/>
        <bgColor indexed="64"/>
      </patternFill>
    </fill>
    <fill>
      <patternFill patternType="solid">
        <fgColor rgb="FFA55EBF"/>
        <bgColor indexed="64"/>
      </patternFill>
    </fill>
    <fill>
      <patternFill patternType="solid">
        <fgColor rgb="FF5C5CAA"/>
        <bgColor indexed="64"/>
      </patternFill>
    </fill>
    <fill>
      <patternFill patternType="solid">
        <fgColor rgb="FF3A5FCD"/>
        <bgColor indexed="64"/>
      </patternFill>
    </fill>
    <fill>
      <patternFill patternType="solid">
        <fgColor rgb="FF5CADFF"/>
        <bgColor indexed="64"/>
      </patternFill>
    </fill>
    <fill>
      <patternFill patternType="solid">
        <fgColor rgb="FF007BA7"/>
        <bgColor indexed="64"/>
      </patternFill>
    </fill>
    <fill>
      <patternFill patternType="solid">
        <fgColor rgb="FF22A7F0"/>
        <bgColor indexed="64"/>
      </patternFill>
    </fill>
    <fill>
      <patternFill patternType="solid">
        <fgColor rgb="FF33FFEC"/>
        <bgColor indexed="64"/>
      </patternFill>
    </fill>
    <fill>
      <patternFill patternType="solid">
        <fgColor rgb="FF33D9B2"/>
        <bgColor indexed="64"/>
      </patternFill>
    </fill>
    <fill>
      <patternFill patternType="solid">
        <fgColor rgb="FF33FF5A"/>
        <bgColor indexed="64"/>
      </patternFill>
    </fill>
    <fill>
      <patternFill patternType="solid">
        <fgColor rgb="FF3CB371"/>
        <bgColor indexed="64"/>
      </patternFill>
    </fill>
    <fill>
      <patternFill patternType="solid">
        <fgColor rgb="FF33FF99"/>
        <bgColor indexed="64"/>
      </patternFill>
    </fill>
    <fill>
      <patternFill patternType="solid">
        <fgColor rgb="FF33CC45"/>
        <bgColor indexed="64"/>
      </patternFill>
    </fill>
    <fill>
      <patternFill patternType="solid">
        <fgColor rgb="FF36B55C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8B8B"/>
        <bgColor indexed="64"/>
      </patternFill>
    </fill>
    <fill>
      <patternFill patternType="solid">
        <fgColor rgb="FF65C6BB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FFC125"/>
        <bgColor indexed="64"/>
      </patternFill>
    </fill>
    <fill>
      <patternFill patternType="solid">
        <fgColor rgb="FFFFB90F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FF4500"/>
        <bgColor indexed="64"/>
      </patternFill>
    </fill>
    <fill>
      <patternFill patternType="solid">
        <fgColor rgb="FFFF6347"/>
        <bgColor indexed="64"/>
      </patternFill>
    </fill>
    <fill>
      <patternFill patternType="solid">
        <fgColor rgb="FFFF69B4"/>
        <bgColor indexed="64"/>
      </patternFill>
    </fill>
    <fill>
      <patternFill patternType="solid">
        <fgColor rgb="FFFF14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EE82EE"/>
        <bgColor indexed="64"/>
      </patternFill>
    </fill>
    <fill>
      <patternFill patternType="solid">
        <fgColor rgb="FFBA55D3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EE7C1"/>
        <bgColor indexed="64"/>
      </patternFill>
    </fill>
    <fill>
      <patternFill patternType="solid">
        <fgColor rgb="FFF2F9FD"/>
        <bgColor indexed="64"/>
      </patternFill>
    </fill>
    <fill>
      <patternFill patternType="solid">
        <fgColor rgb="FFD8F4FC"/>
        <bgColor indexed="64"/>
      </patternFill>
    </fill>
    <fill>
      <patternFill patternType="solid">
        <fgColor rgb="FFFBECA2"/>
        <bgColor indexed="64"/>
      </patternFill>
    </fill>
    <fill>
      <patternFill patternType="solid">
        <fgColor rgb="FFE1FFBF"/>
        <bgColor indexed="64"/>
      </patternFill>
    </fill>
    <fill>
      <patternFill patternType="solid">
        <fgColor rgb="FFFBC7BD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CEAF5"/>
        <bgColor indexed="64"/>
      </patternFill>
    </fill>
    <fill>
      <patternFill patternType="solid">
        <fgColor rgb="FFFBC9CE"/>
        <bgColor indexed="64"/>
      </patternFill>
    </fill>
    <fill>
      <patternFill patternType="solid">
        <fgColor rgb="FFDBDAEF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AA4600"/>
        <bgColor indexed="64"/>
      </patternFill>
    </fill>
    <fill>
      <patternFill patternType="solid">
        <fgColor rgb="FF33A1C9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</borders>
  <cellStyleXfs count="11">
    <xf numFmtId="0" fontId="0" fillId="0" borderId="0"/>
    <xf numFmtId="0" fontId="11" fillId="41" borderId="1">
      <alignment horizontal="left" vertical="center"/>
    </xf>
    <xf numFmtId="0" fontId="15" fillId="42" borderId="1">
      <alignment horizontal="left" vertical="center"/>
    </xf>
    <xf numFmtId="0" fontId="10" fillId="43" borderId="1">
      <alignment horizontal="left" vertical="center"/>
    </xf>
    <xf numFmtId="0" fontId="6" fillId="44" borderId="1">
      <alignment horizontal="left" vertical="center"/>
    </xf>
    <xf numFmtId="0" fontId="8" fillId="45" borderId="1">
      <alignment horizontal="left" vertical="center"/>
    </xf>
    <xf numFmtId="0" fontId="7" fillId="46" borderId="1">
      <alignment horizontal="left" vertical="center"/>
    </xf>
    <xf numFmtId="0" fontId="12" fillId="47" borderId="1">
      <alignment horizontal="left" vertical="center"/>
    </xf>
    <xf numFmtId="0" fontId="13" fillId="48" borderId="1">
      <alignment horizontal="left" vertical="center"/>
    </xf>
    <xf numFmtId="0" fontId="16" fillId="49" borderId="1">
      <alignment horizontal="left" vertical="center"/>
    </xf>
    <xf numFmtId="0" fontId="9" fillId="50" borderId="1">
      <alignment horizontal="left" vertical="center"/>
    </xf>
  </cellStyleXfs>
  <cellXfs count="95">
    <xf numFmtId="0" fontId="0" fillId="0" borderId="0" xfId="0"/>
    <xf numFmtId="1" fontId="14" fillId="40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right"/>
    </xf>
    <xf numFmtId="0" fontId="1" fillId="0" borderId="0" xfId="0" applyFont="1"/>
    <xf numFmtId="0" fontId="15" fillId="42" borderId="1" xfId="2" applyAlignment="1">
      <alignment vertical="center"/>
    </xf>
    <xf numFmtId="0" fontId="6" fillId="44" borderId="1" xfId="4" applyAlignment="1">
      <alignment vertical="center"/>
    </xf>
    <xf numFmtId="0" fontId="8" fillId="45" borderId="1" xfId="5" applyAlignment="1">
      <alignment vertical="center"/>
    </xf>
    <xf numFmtId="0" fontId="18" fillId="0" borderId="0" xfId="0" applyFont="1"/>
    <xf numFmtId="0" fontId="9" fillId="50" borderId="1" xfId="10">
      <alignment horizontal="left" vertical="center"/>
    </xf>
    <xf numFmtId="1" fontId="14" fillId="40" borderId="1" xfId="0" applyNumberFormat="1" applyFont="1" applyFill="1" applyBorder="1" applyAlignment="1">
      <alignment horizontal="center"/>
    </xf>
    <xf numFmtId="0" fontId="5" fillId="40" borderId="1" xfId="0" applyFont="1" applyFill="1" applyBorder="1" applyAlignment="1">
      <alignment vertical="center" wrapText="1"/>
    </xf>
    <xf numFmtId="0" fontId="5" fillId="40" borderId="1" xfId="0" applyFont="1" applyFill="1" applyBorder="1" applyAlignment="1">
      <alignment horizontal="center" vertical="center" textRotation="90" wrapText="1"/>
    </xf>
    <xf numFmtId="0" fontId="21" fillId="40" borderId="1" xfId="0" applyFont="1" applyFill="1" applyBorder="1"/>
    <xf numFmtId="0" fontId="22" fillId="40" borderId="1" xfId="0" applyFont="1" applyFill="1" applyBorder="1"/>
    <xf numFmtId="0" fontId="21" fillId="0" borderId="0" xfId="0" applyFont="1"/>
    <xf numFmtId="0" fontId="18" fillId="40" borderId="1" xfId="0" applyFont="1" applyFill="1" applyBorder="1"/>
    <xf numFmtId="0" fontId="18" fillId="0" borderId="1" xfId="0" applyFont="1" applyBorder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8" fillId="40" borderId="1" xfId="0" applyFont="1" applyFill="1" applyBorder="1" applyAlignment="1">
      <alignment horizontal="center" vertical="center"/>
    </xf>
    <xf numFmtId="0" fontId="18" fillId="0" borderId="1" xfId="0" applyFont="1" applyBorder="1"/>
    <xf numFmtId="164" fontId="18" fillId="0" borderId="0" xfId="0" applyNumberFormat="1" applyFont="1"/>
    <xf numFmtId="2" fontId="18" fillId="40" borderId="1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0" fillId="0" borderId="1" xfId="3" applyFont="1" applyFill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4" fillId="0" borderId="0" xfId="0" applyFont="1"/>
    <xf numFmtId="165" fontId="5" fillId="40" borderId="4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0" fillId="0" borderId="0" xfId="0" quotePrefix="1"/>
    <xf numFmtId="0" fontId="5" fillId="40" borderId="6" xfId="0" applyFont="1" applyFill="1" applyBorder="1" applyAlignment="1">
      <alignment horizontal="right" vertical="center"/>
    </xf>
    <xf numFmtId="0" fontId="5" fillId="40" borderId="2" xfId="0" applyFont="1" applyFill="1" applyBorder="1" applyAlignment="1">
      <alignment horizontal="right"/>
    </xf>
    <xf numFmtId="0" fontId="5" fillId="40" borderId="2" xfId="0" applyFont="1" applyFill="1" applyBorder="1" applyAlignment="1">
      <alignment horizontal="right" vertical="center"/>
    </xf>
    <xf numFmtId="0" fontId="18" fillId="40" borderId="3" xfId="0" applyFont="1" applyFill="1" applyBorder="1"/>
    <xf numFmtId="0" fontId="18" fillId="40" borderId="5" xfId="0" applyFont="1" applyFill="1" applyBorder="1"/>
    <xf numFmtId="0" fontId="17" fillId="0" borderId="0" xfId="0" applyFont="1" applyAlignment="1">
      <alignment horizontal="right"/>
    </xf>
    <xf numFmtId="166" fontId="17" fillId="40" borderId="1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40" borderId="1" xfId="0" applyFont="1" applyFill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8" fillId="2" borderId="1" xfId="0" applyFont="1" applyFill="1" applyBorder="1"/>
    <xf numFmtId="2" fontId="18" fillId="0" borderId="1" xfId="0" applyNumberFormat="1" applyFont="1" applyBorder="1" applyAlignment="1">
      <alignment horizontal="center" vertical="center"/>
    </xf>
    <xf numFmtId="0" fontId="18" fillId="51" borderId="1" xfId="0" applyFont="1" applyFill="1" applyBorder="1"/>
    <xf numFmtId="0" fontId="18" fillId="3" borderId="1" xfId="0" applyFont="1" applyFill="1" applyBorder="1"/>
    <xf numFmtId="0" fontId="18" fillId="4" borderId="1" xfId="0" applyFont="1" applyFill="1" applyBorder="1"/>
    <xf numFmtId="0" fontId="18" fillId="52" borderId="1" xfId="0" applyFont="1" applyFill="1" applyBorder="1"/>
    <xf numFmtId="2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5" borderId="1" xfId="0" applyFont="1" applyFill="1" applyBorder="1"/>
    <xf numFmtId="0" fontId="18" fillId="6" borderId="1" xfId="0" applyFont="1" applyFill="1" applyBorder="1"/>
    <xf numFmtId="0" fontId="18" fillId="7" borderId="1" xfId="0" applyFont="1" applyFill="1" applyBorder="1"/>
    <xf numFmtId="0" fontId="18" fillId="8" borderId="1" xfId="0" applyFont="1" applyFill="1" applyBorder="1"/>
    <xf numFmtId="0" fontId="18" fillId="9" borderId="1" xfId="0" applyFont="1" applyFill="1" applyBorder="1"/>
    <xf numFmtId="0" fontId="18" fillId="10" borderId="1" xfId="0" applyFont="1" applyFill="1" applyBorder="1"/>
    <xf numFmtId="0" fontId="18" fillId="11" borderId="1" xfId="0" applyFont="1" applyFill="1" applyBorder="1"/>
    <xf numFmtId="0" fontId="18" fillId="12" borderId="1" xfId="0" applyFont="1" applyFill="1" applyBorder="1"/>
    <xf numFmtId="0" fontId="18" fillId="19" borderId="1" xfId="0" applyFont="1" applyFill="1" applyBorder="1"/>
    <xf numFmtId="0" fontId="18" fillId="13" borderId="1" xfId="0" applyFont="1" applyFill="1" applyBorder="1"/>
    <xf numFmtId="0" fontId="18" fillId="14" borderId="1" xfId="0" applyFont="1" applyFill="1" applyBorder="1"/>
    <xf numFmtId="0" fontId="18" fillId="15" borderId="1" xfId="0" applyFont="1" applyFill="1" applyBorder="1"/>
    <xf numFmtId="0" fontId="18" fillId="16" borderId="1" xfId="0" applyFont="1" applyFill="1" applyBorder="1"/>
    <xf numFmtId="0" fontId="18" fillId="17" borderId="1" xfId="0" applyFont="1" applyFill="1" applyBorder="1"/>
    <xf numFmtId="0" fontId="18" fillId="18" borderId="1" xfId="0" applyFont="1" applyFill="1" applyBorder="1"/>
    <xf numFmtId="0" fontId="18" fillId="54" borderId="1" xfId="0" applyFont="1" applyFill="1" applyBorder="1"/>
    <xf numFmtId="0" fontId="18" fillId="20" borderId="1" xfId="0" applyFont="1" applyFill="1" applyBorder="1"/>
    <xf numFmtId="0" fontId="18" fillId="21" borderId="1" xfId="0" applyFont="1" applyFill="1" applyBorder="1"/>
    <xf numFmtId="0" fontId="18" fillId="22" borderId="1" xfId="0" applyFont="1" applyFill="1" applyBorder="1"/>
    <xf numFmtId="0" fontId="18" fillId="23" borderId="1" xfId="0" applyFont="1" applyFill="1" applyBorder="1"/>
    <xf numFmtId="0" fontId="18" fillId="24" borderId="1" xfId="0" applyFont="1" applyFill="1" applyBorder="1"/>
    <xf numFmtId="0" fontId="18" fillId="25" borderId="1" xfId="0" applyFont="1" applyFill="1" applyBorder="1"/>
    <xf numFmtId="0" fontId="18" fillId="53" borderId="1" xfId="0" applyFont="1" applyFill="1" applyBorder="1"/>
    <xf numFmtId="0" fontId="18" fillId="26" borderId="1" xfId="0" applyFont="1" applyFill="1" applyBorder="1"/>
    <xf numFmtId="0" fontId="18" fillId="37" borderId="1" xfId="0" applyFont="1" applyFill="1" applyBorder="1"/>
    <xf numFmtId="0" fontId="18" fillId="28" borderId="1" xfId="0" applyFont="1" applyFill="1" applyBorder="1"/>
    <xf numFmtId="0" fontId="18" fillId="29" borderId="1" xfId="0" applyFont="1" applyFill="1" applyBorder="1"/>
    <xf numFmtId="0" fontId="18" fillId="30" borderId="1" xfId="0" applyFont="1" applyFill="1" applyBorder="1"/>
    <xf numFmtId="0" fontId="18" fillId="31" borderId="1" xfId="0" applyFont="1" applyFill="1" applyBorder="1"/>
    <xf numFmtId="0" fontId="18" fillId="32" borderId="1" xfId="0" applyFont="1" applyFill="1" applyBorder="1"/>
    <xf numFmtId="0" fontId="18" fillId="33" borderId="1" xfId="0" applyFont="1" applyFill="1" applyBorder="1"/>
    <xf numFmtId="0" fontId="18" fillId="34" borderId="1" xfId="0" applyFont="1" applyFill="1" applyBorder="1"/>
    <xf numFmtId="0" fontId="18" fillId="35" borderId="1" xfId="0" applyFont="1" applyFill="1" applyBorder="1"/>
    <xf numFmtId="0" fontId="18" fillId="36" borderId="1" xfId="0" applyFont="1" applyFill="1" applyBorder="1"/>
    <xf numFmtId="0" fontId="18" fillId="27" borderId="1" xfId="0" applyFont="1" applyFill="1" applyBorder="1"/>
    <xf numFmtId="0" fontId="18" fillId="38" borderId="1" xfId="0" applyFont="1" applyFill="1" applyBorder="1"/>
    <xf numFmtId="0" fontId="18" fillId="39" borderId="1" xfId="0" applyFont="1" applyFill="1" applyBorder="1"/>
    <xf numFmtId="0" fontId="25" fillId="0" borderId="0" xfId="0" applyFont="1" applyAlignment="1">
      <alignment vertical="center"/>
    </xf>
    <xf numFmtId="2" fontId="18" fillId="0" borderId="0" xfId="0" applyNumberFormat="1" applyFont="1"/>
    <xf numFmtId="0" fontId="13" fillId="48" borderId="1" xfId="8" applyAlignment="1">
      <alignment horizontal="center" vertical="center"/>
    </xf>
    <xf numFmtId="167" fontId="20" fillId="40" borderId="1" xfId="0" applyNumberFormat="1" applyFont="1" applyFill="1" applyBorder="1" applyAlignment="1">
      <alignment horizontal="center" vertical="center"/>
    </xf>
    <xf numFmtId="2" fontId="23" fillId="40" borderId="1" xfId="0" applyNumberFormat="1" applyFont="1" applyFill="1" applyBorder="1" applyAlignment="1">
      <alignment horizontal="center" vertical="center"/>
    </xf>
    <xf numFmtId="0" fontId="26" fillId="0" borderId="0" xfId="0" applyFont="1"/>
    <xf numFmtId="167" fontId="27" fillId="55" borderId="1" xfId="0" applyNumberFormat="1" applyFont="1" applyFill="1" applyBorder="1" applyAlignment="1">
      <alignment horizontal="center" vertical="center"/>
    </xf>
    <xf numFmtId="0" fontId="28" fillId="0" borderId="0" xfId="0" applyFont="1"/>
    <xf numFmtId="0" fontId="18" fillId="40" borderId="1" xfId="0" applyFont="1" applyFill="1" applyBorder="1" applyAlignment="1">
      <alignment vertical="center" wrapText="1"/>
    </xf>
    <xf numFmtId="0" fontId="18" fillId="40" borderId="1" xfId="0" applyFont="1" applyFill="1" applyBorder="1" applyAlignment="1">
      <alignment horizontal="center" vertical="center" wrapText="1"/>
    </xf>
  </cellXfs>
  <cellStyles count="11">
    <cellStyle name="Normal" xfId="0" builtinId="0"/>
    <cellStyle name="OXBD Blue" xfId="3" xr:uid="{A069FDDA-FEA6-4AF6-94E1-B4D17406BCB2}"/>
    <cellStyle name="OXBD Brown" xfId="6" xr:uid="{E8A69F73-7539-449A-957F-3E2A434C5573}"/>
    <cellStyle name="OXBD Green" xfId="1" xr:uid="{421835BB-F20B-4D1D-9038-E64A1D9343DA}"/>
    <cellStyle name="OXBD Grey" xfId="7" xr:uid="{3015D779-F962-4C3F-BA2F-DD6C77702E07}"/>
    <cellStyle name="OXBD Light Blue" xfId="2" xr:uid="{931A4F2C-090F-4230-8A20-41BFB2419EEA}"/>
    <cellStyle name="OXBD Light Green" xfId="5" xr:uid="{8360D96A-0E3F-4C69-849A-53F0E2965EC9}"/>
    <cellStyle name="OXBD Pink" xfId="8" xr:uid="{12BE99D3-2D7B-410F-857F-87FB8B836B54}"/>
    <cellStyle name="OXBD Purple" xfId="10" xr:uid="{D0E269BF-A338-49DC-990C-9891DBFCF359}"/>
    <cellStyle name="OXBD Red" xfId="9" xr:uid="{90153EF8-DDAE-43E2-AD13-87B5D4C99BF9}"/>
    <cellStyle name="OXBD Yellow" xfId="4" xr:uid="{C68D38DB-4AA2-4635-BC78-398FBDF9A2D1}"/>
  </cellStyles>
  <dxfs count="59">
    <dxf>
      <font>
        <color rgb="FF426D2B"/>
      </font>
      <fill>
        <patternFill>
          <bgColor rgb="FFE1FFBF"/>
        </patternFill>
      </fill>
    </dxf>
    <dxf>
      <font>
        <color rgb="FF424054"/>
      </font>
      <fill>
        <patternFill>
          <bgColor rgb="FFDBDAEF"/>
        </patternFill>
      </fill>
    </dxf>
    <dxf>
      <font>
        <color rgb="FF6A662D"/>
      </font>
      <fill>
        <patternFill>
          <bgColor rgb="FFFBECA2"/>
        </patternFill>
      </fill>
    </dxf>
    <dxf>
      <font>
        <color rgb="FF2E6486"/>
      </font>
      <fill>
        <patternFill>
          <bgColor rgb="FFD8F4FC"/>
        </patternFill>
      </fill>
    </dxf>
    <dxf>
      <font>
        <color rgb="FF8A1A1A"/>
      </font>
      <fill>
        <patternFill>
          <bgColor rgb="FFFBC9CE"/>
        </patternFill>
      </fill>
    </dxf>
    <dxf>
      <font>
        <color rgb="FF473E38"/>
      </font>
      <fill>
        <patternFill>
          <bgColor rgb="FFE6E6E6"/>
        </patternFill>
      </fill>
    </dxf>
    <dxf>
      <font>
        <color rgb="FF586169"/>
      </font>
      <fill>
        <patternFill>
          <bgColor rgb="FFF2F9FD"/>
        </patternFill>
      </fill>
    </dxf>
    <dxf>
      <font>
        <color rgb="FF9C4E08"/>
      </font>
      <fill>
        <patternFill>
          <bgColor rgb="FFFCD3AE"/>
        </patternFill>
      </fill>
    </dxf>
    <dxf>
      <font>
        <color rgb="FF426D2B"/>
      </font>
      <fill>
        <patternFill>
          <bgColor rgb="FFE1FFBF"/>
        </patternFill>
      </fill>
    </dxf>
    <dxf>
      <font>
        <color rgb="FF632B1F"/>
      </font>
      <fill>
        <patternFill>
          <bgColor rgb="FFFBC7BD"/>
        </patternFill>
      </fill>
    </dxf>
    <dxf>
      <font>
        <color rgb="FF7A4E64"/>
      </font>
      <fill>
        <patternFill>
          <bgColor rgb="FFFCEAF5"/>
        </patternFill>
      </fill>
    </dxf>
    <dxf>
      <font>
        <color rgb="FF424054"/>
      </font>
      <fill>
        <patternFill>
          <bgColor rgb="FFDBDAEF"/>
        </patternFill>
      </fill>
    </dxf>
    <dxf>
      <font>
        <color rgb="FF2A4C2F"/>
      </font>
      <fill>
        <patternFill>
          <bgColor rgb="FFBEE7C1"/>
        </patternFill>
      </fill>
    </dxf>
    <dxf>
      <font>
        <color rgb="FF6A662D"/>
      </font>
      <fill>
        <patternFill>
          <bgColor rgb="FFFBECA2"/>
        </patternFill>
      </fill>
    </dxf>
    <dxf>
      <font>
        <color rgb="FF2E6486"/>
      </font>
      <fill>
        <patternFill>
          <bgColor rgb="FFD8F4FC"/>
        </patternFill>
      </fill>
    </dxf>
    <dxf>
      <fill>
        <patternFill patternType="solid">
          <fgColor rgb="FFFFD700"/>
          <bgColor rgb="FFFFD700"/>
        </patternFill>
      </fill>
    </dxf>
    <dxf>
      <fill>
        <patternFill patternType="solid">
          <fgColor rgb="FF65C6BB"/>
          <bgColor rgb="FF65C6BB"/>
        </patternFill>
      </fill>
    </dxf>
    <dxf>
      <fill>
        <patternFill patternType="solid">
          <fgColor rgb="FF008B8B"/>
          <bgColor rgb="FF008B8B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36B55C"/>
          <bgColor rgb="FF36B55C"/>
        </patternFill>
      </fill>
    </dxf>
    <dxf>
      <fill>
        <patternFill patternType="solid">
          <fgColor rgb="FF33CC45"/>
          <bgColor rgb="FF33CC45"/>
        </patternFill>
      </fill>
    </dxf>
    <dxf>
      <fill>
        <patternFill patternType="solid">
          <fgColor rgb="FF33A1C9"/>
          <bgColor rgb="FF33A1C9"/>
        </patternFill>
      </fill>
    </dxf>
    <dxf>
      <fill>
        <patternFill patternType="solid">
          <fgColor rgb="FF3CB371"/>
          <bgColor rgb="FF3CB371"/>
        </patternFill>
      </fill>
    </dxf>
    <dxf>
      <fill>
        <patternFill patternType="solid">
          <fgColor rgb="FF33FF5A"/>
          <bgColor rgb="FF33FF5A"/>
        </patternFill>
      </fill>
    </dxf>
    <dxf>
      <fill>
        <patternFill patternType="solid">
          <fgColor rgb="FF33D9B2"/>
          <bgColor rgb="FF33D9B2"/>
        </patternFill>
      </fill>
    </dxf>
    <dxf>
      <fill>
        <patternFill patternType="solid">
          <fgColor rgb="FF33FFEC"/>
          <bgColor rgb="FF33FFEC"/>
        </patternFill>
      </fill>
    </dxf>
    <dxf>
      <fill>
        <patternFill patternType="solid">
          <fgColor rgb="FF22A7F0"/>
          <bgColor rgb="FF22A7F0"/>
        </patternFill>
      </fill>
    </dxf>
    <dxf>
      <fill>
        <patternFill patternType="solid">
          <fgColor rgb="FF007BA7"/>
          <bgColor rgb="FF007BA7"/>
        </patternFill>
      </fill>
    </dxf>
    <dxf>
      <fill>
        <patternFill patternType="solid">
          <fgColor rgb="FF33FF99"/>
          <bgColor rgb="FF33FF99"/>
        </patternFill>
      </fill>
    </dxf>
    <dxf>
      <fill>
        <patternFill patternType="solid">
          <fgColor rgb="FFFF69B4"/>
          <bgColor rgb="FFFF69B4"/>
        </patternFill>
      </fill>
    </dxf>
    <dxf>
      <fill>
        <patternFill patternType="solid">
          <fgColor rgb="FF3A5FCD"/>
          <bgColor rgb="FF3A5FCD"/>
        </patternFill>
      </fill>
    </dxf>
    <dxf>
      <fill>
        <patternFill patternType="solid">
          <fgColor rgb="FF5C5CAA"/>
          <bgColor rgb="FF5C5CAA"/>
        </patternFill>
      </fill>
    </dxf>
    <dxf>
      <fill>
        <patternFill patternType="solid">
          <fgColor rgb="FFA55EBF"/>
          <bgColor rgb="FFA55EBF"/>
        </patternFill>
      </fill>
    </dxf>
    <dxf>
      <fill>
        <patternFill patternType="solid">
          <fgColor rgb="FFFF3E96"/>
          <bgColor rgb="FFFF3E96"/>
        </patternFill>
      </fill>
    </dxf>
    <dxf>
      <fill>
        <patternFill patternType="solid">
          <fgColor rgb="FFE55381"/>
          <bgColor rgb="FFE55381"/>
        </patternFill>
      </fill>
    </dxf>
    <dxf>
      <fill>
        <patternFill patternType="solid">
          <fgColor rgb="FFFF5A36"/>
          <bgColor rgb="FFFF5A36"/>
        </patternFill>
      </fill>
    </dxf>
    <dxf>
      <fill>
        <patternFill patternType="solid">
          <fgColor rgb="FFFF8533"/>
          <bgColor rgb="FFFF8533"/>
        </patternFill>
      </fill>
    </dxf>
    <dxf>
      <fill>
        <patternFill patternType="solid">
          <fgColor rgb="FF0000FF"/>
          <bgColor rgb="FF0000FF"/>
        </patternFill>
      </fill>
    </dxf>
    <dxf>
      <fill>
        <patternFill patternType="solid">
          <fgColor rgb="FFFF3366"/>
          <bgColor rgb="FFFF3366"/>
        </patternFill>
      </fill>
    </dxf>
    <dxf>
      <fill>
        <patternFill patternType="solid">
          <fgColor rgb="FFFFBD33"/>
          <bgColor rgb="FFFFBD33"/>
        </patternFill>
      </fill>
    </dxf>
    <dxf>
      <fill>
        <patternFill patternType="solid">
          <fgColor rgb="FFFFEA00"/>
          <bgColor rgb="FFFFEA00"/>
        </patternFill>
      </fill>
    </dxf>
    <dxf>
      <fill>
        <patternFill patternType="solid">
          <fgColor rgb="FFFF5733"/>
          <bgColor rgb="FFFF5733"/>
        </patternFill>
      </fill>
    </dxf>
    <dxf>
      <fill>
        <patternFill patternType="solid">
          <fgColor rgb="FFFF5733"/>
          <bgColor rgb="FFFF5733"/>
        </patternFill>
      </fill>
    </dxf>
    <dxf>
      <fill>
        <patternFill patternType="solid">
          <fgColor rgb="FFFF5733"/>
          <bgColor rgb="FFFF5733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B90F"/>
          <bgColor rgb="FFFFB90F"/>
        </patternFill>
      </fill>
    </dxf>
    <dxf>
      <fill>
        <patternFill patternType="solid">
          <fgColor rgb="FFBA55D3"/>
          <bgColor rgb="FFBA55D3"/>
        </patternFill>
      </fill>
    </dxf>
    <dxf>
      <fill>
        <patternFill patternType="solid">
          <fgColor rgb="FFEE82EE"/>
          <bgColor rgb="FFEE82EE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1493"/>
          <bgColor rgb="FFFF1493"/>
        </patternFill>
      </fill>
    </dxf>
    <dxf>
      <fill>
        <patternFill patternType="solid">
          <fgColor rgb="FF5CADFF"/>
          <bgColor rgb="FF5CADFF"/>
        </patternFill>
      </fill>
    </dxf>
    <dxf>
      <fill>
        <patternFill patternType="solid">
          <fgColor rgb="FFFF6347"/>
          <bgColor rgb="FFFF6347"/>
        </patternFill>
      </fill>
    </dxf>
    <dxf>
      <fill>
        <patternFill patternType="solid">
          <fgColor rgb="FFFF4500"/>
          <bgColor rgb="FFFF4500"/>
        </patternFill>
      </fill>
    </dxf>
    <dxf>
      <fill>
        <patternFill patternType="solid">
          <fgColor rgb="FFFF8C00"/>
          <bgColor rgb="FFFF8C00"/>
        </patternFill>
      </fill>
    </dxf>
    <dxf>
      <fill>
        <patternFill patternType="solid">
          <fgColor rgb="FFFFA500"/>
          <bgColor rgb="FFFFA500"/>
        </patternFill>
      </fill>
    </dxf>
    <dxf>
      <fill>
        <patternFill patternType="solid">
          <fgColor rgb="FF800080"/>
          <bgColor rgb="FF800080"/>
        </patternFill>
      </fill>
    </dxf>
    <dxf>
      <fill>
        <patternFill patternType="solid">
          <fgColor rgb="FFFFC125"/>
          <bgColor rgb="FFFFC125"/>
        </patternFill>
      </fill>
    </dxf>
    <dxf>
      <fill>
        <patternFill patternType="solid">
          <fgColor rgb="FFAA4600"/>
          <bgColor rgb="FFAA46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CA5AE-B224-44D9-9A49-FEEC44DF1E17}">
  <dimension ref="B2:BD42"/>
  <sheetViews>
    <sheetView showGridLines="0" tabSelected="1" workbookViewId="0">
      <selection activeCell="K32" sqref="K32"/>
    </sheetView>
  </sheetViews>
  <sheetFormatPr defaultRowHeight="13.8" x14ac:dyDescent="0.25"/>
  <cols>
    <col min="1" max="2" width="3.296875" customWidth="1"/>
    <col min="3" max="3" width="50.3984375" customWidth="1"/>
    <col min="4" max="4" width="2.296875" customWidth="1"/>
    <col min="5" max="5" width="4.796875" customWidth="1"/>
    <col min="6" max="6" width="4.69921875" customWidth="1"/>
    <col min="7" max="7" width="5.796875" customWidth="1"/>
    <col min="8" max="8" width="1.69921875" customWidth="1"/>
    <col min="9" max="9" width="4.59765625" customWidth="1"/>
    <col min="10" max="10" width="5.296875" customWidth="1"/>
    <col min="11" max="11" width="13" bestFit="1" customWidth="1"/>
    <col min="12" max="12" width="5.09765625" customWidth="1"/>
    <col min="13" max="13" width="6.69921875" customWidth="1"/>
    <col min="14" max="14" width="1.796875" customWidth="1"/>
    <col min="15" max="32" width="4.8984375" customWidth="1"/>
    <col min="33" max="33" width="1.8984375" customWidth="1"/>
    <col min="34" max="34" width="5.796875" customWidth="1"/>
    <col min="36" max="36" width="18.69921875" bestFit="1" customWidth="1"/>
    <col min="37" max="37" width="19.8984375" bestFit="1" customWidth="1"/>
    <col min="38" max="38" width="15.296875" bestFit="1" customWidth="1"/>
    <col min="39" max="39" width="2.796875" customWidth="1"/>
  </cols>
  <sheetData>
    <row r="2" spans="2:56" ht="21" x14ac:dyDescent="0.4">
      <c r="B2" s="90" t="s">
        <v>43</v>
      </c>
    </row>
    <row r="3" spans="2:56" x14ac:dyDescent="0.25">
      <c r="F3" s="2" t="s">
        <v>40</v>
      </c>
      <c r="G3" s="1">
        <f>SUM(O7:AF30)</f>
        <v>2037.1499999999983</v>
      </c>
    </row>
    <row r="4" spans="2:56" x14ac:dyDescent="0.25">
      <c r="F4" s="2" t="s">
        <v>41</v>
      </c>
      <c r="G4" s="9">
        <f>'Pasted Bridges'!G2</f>
        <v>2037.1499999999949</v>
      </c>
      <c r="O4" s="92" t="s">
        <v>168</v>
      </c>
      <c r="AJ4" s="26" t="s">
        <v>224</v>
      </c>
    </row>
    <row r="6" spans="2:56" s="7" customFormat="1" ht="63.6" customHeight="1" x14ac:dyDescent="0.25">
      <c r="B6" s="10" t="s">
        <v>33</v>
      </c>
      <c r="C6" s="10" t="s">
        <v>34</v>
      </c>
      <c r="E6" s="11" t="s">
        <v>165</v>
      </c>
      <c r="F6" s="11" t="s">
        <v>166</v>
      </c>
      <c r="G6" s="11" t="s">
        <v>167</v>
      </c>
      <c r="I6" s="11" t="s">
        <v>46</v>
      </c>
      <c r="J6" s="11" t="s">
        <v>47</v>
      </c>
      <c r="K6" s="11" t="s">
        <v>44</v>
      </c>
      <c r="L6" s="11" t="s">
        <v>163</v>
      </c>
      <c r="M6" s="11" t="s">
        <v>164</v>
      </c>
      <c r="O6" s="11" t="str" cm="1">
        <f t="array" ref="O6:AF6">TRANSPOSE(
    _xlfn._xlws.SORT(
        _xlfn.UNIQUE(
            _xlfn._xlws.FILTER(
                'Pasted Bridges'!F6:F1000,
                ('Pasted Bridges'!F6:F1000&lt;&gt;"") *
                ('Pasted Bridges'!F6:F1000&lt;&gt;0)
            )
        )
    )
)</f>
        <v>Flat 01</v>
      </c>
      <c r="P6" s="11" t="str">
        <v>Flat 02</v>
      </c>
      <c r="Q6" s="11" t="str">
        <v>Flat 03</v>
      </c>
      <c r="R6" s="11" t="str">
        <v>Flat 04</v>
      </c>
      <c r="S6" s="11" t="str">
        <v>Flat 05</v>
      </c>
      <c r="T6" s="11" t="str">
        <v>Flat 06</v>
      </c>
      <c r="U6" s="11" t="str">
        <v>Flat 07</v>
      </c>
      <c r="V6" s="11" t="str">
        <v>Flat 08</v>
      </c>
      <c r="W6" s="11" t="str">
        <v>Flat 09</v>
      </c>
      <c r="X6" s="11" t="str">
        <v>Flat 10</v>
      </c>
      <c r="Y6" s="11" t="str">
        <v>Flat 11</v>
      </c>
      <c r="Z6" s="11" t="str">
        <v>Flat 12</v>
      </c>
      <c r="AA6" s="11" t="str">
        <v>Flat 13</v>
      </c>
      <c r="AB6" s="11" t="str">
        <v>Flat 14</v>
      </c>
      <c r="AC6" s="11" t="str">
        <v>Flat 15</v>
      </c>
      <c r="AD6" s="11" t="str">
        <v>Flat 16</v>
      </c>
      <c r="AE6" s="11" t="str">
        <v>Flat 17</v>
      </c>
      <c r="AF6" s="11" t="str">
        <v>Flat 18</v>
      </c>
      <c r="AH6" s="11" t="s">
        <v>225</v>
      </c>
      <c r="AI6"/>
      <c r="AJ6" s="11" t="s">
        <v>99</v>
      </c>
      <c r="AK6" s="11" t="s">
        <v>100</v>
      </c>
      <c r="AL6" s="11" t="s">
        <v>101</v>
      </c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</row>
    <row r="7" spans="2:56" s="7" customFormat="1" x14ac:dyDescent="0.25">
      <c r="B7" s="19"/>
      <c r="C7" s="15" t="str" cm="1">
        <f t="array" ref="C7:C30">_xlfn._xlws.SORT(_xlfn.UNIQUE(_xlfn._xlws.FILTER('Pasted Bridges'!B6:B1000,('Pasted Bridges'!B6:B1000&lt;&gt;"") *('Pasted Bridges'!B6:B1000&lt;&gt;0) )))</f>
        <v>E02 Other lintels (including other steel lintels) [S1] [R1]</v>
      </c>
      <c r="E7" s="21" cm="1">
        <f t="array" ref="E7">INDEX(Data!L:L,MATCH(LEFT(C7,3),LEFT(Data!C:C,3),0))</f>
        <v>1</v>
      </c>
      <c r="F7" s="21" cm="1">
        <f t="array" ref="F7">INDEX(Data!M:M,MATCH(LEFT(C7,3),LEFT(Data!C:C,3),0))</f>
        <v>0.3</v>
      </c>
      <c r="G7" s="21" cm="1">
        <f t="array" ref="G7">INDEX(Data!N:N,MATCH(LEFT(C7,3),LEFT(Data!C:C,3),0))</f>
        <v>0.05</v>
      </c>
      <c r="I7" s="87">
        <f>IFERROR(
    VALUE(
        MID(
            C7,
            FIND("[S", C7) + 2,
            FIND("]", C7, FIND("[S", C7)) - FIND("[S", C7) - 2
        )
    ),
    "-"
)</f>
        <v>1</v>
      </c>
      <c r="J7" s="24" t="str">
        <f>IFERROR(
    MID(C7, FIND("[R", C7) + 2, FIND("]", C7, FIND("[R", C7)) - FIND("[R", C7) - 2),
    "-"
)</f>
        <v>1</v>
      </c>
      <c r="K7" s="87" t="s">
        <v>174</v>
      </c>
      <c r="L7" s="28">
        <v>1.7000000000000001E-2</v>
      </c>
      <c r="M7" s="88">
        <f>IF(I7="-","-",(L7/I7)*J7)</f>
        <v>1.7000000000000001E-2</v>
      </c>
      <c r="O7" s="27">
        <f>SUMIFS('Pasted Bridges'!$G:$G,'Pasted Bridges'!$B:$B,$C7,'Pasted Bridges'!$F:$F,O$6)</f>
        <v>6.1999999999999993</v>
      </c>
      <c r="P7" s="27">
        <f>SUMIFS('Pasted Bridges'!$G:$G,'Pasted Bridges'!$B:$B,$C7,'Pasted Bridges'!$F:$F,P$6)</f>
        <v>6.5600000000000005</v>
      </c>
      <c r="Q7" s="27">
        <f>SUMIFS('Pasted Bridges'!$G:$G,'Pasted Bridges'!$B:$B,$C7,'Pasted Bridges'!$F:$F,Q$6)</f>
        <v>4.9800000000000004</v>
      </c>
      <c r="R7" s="27">
        <f>SUMIFS('Pasted Bridges'!$G:$G,'Pasted Bridges'!$B:$B,$C7,'Pasted Bridges'!$F:$F,R$6)</f>
        <v>3.61</v>
      </c>
      <c r="S7" s="27">
        <f>SUMIFS('Pasted Bridges'!$G:$G,'Pasted Bridges'!$B:$B,$C7,'Pasted Bridges'!$F:$F,S$6)</f>
        <v>5.6499999999999995</v>
      </c>
      <c r="T7" s="27">
        <f>SUMIFS('Pasted Bridges'!$G:$G,'Pasted Bridges'!$B:$B,$C7,'Pasted Bridges'!$F:$F,T$6)</f>
        <v>4.74</v>
      </c>
      <c r="U7" s="27">
        <f>SUMIFS('Pasted Bridges'!$G:$G,'Pasted Bridges'!$B:$B,$C7,'Pasted Bridges'!$F:$F,U$6)</f>
        <v>8.01</v>
      </c>
      <c r="V7" s="27">
        <f>SUMIFS('Pasted Bridges'!$G:$G,'Pasted Bridges'!$B:$B,$C7,'Pasted Bridges'!$F:$F,V$6)</f>
        <v>6.5600000000000005</v>
      </c>
      <c r="W7" s="27">
        <f>SUMIFS('Pasted Bridges'!$G:$G,'Pasted Bridges'!$B:$B,$C7,'Pasted Bridges'!$F:$F,W$6)</f>
        <v>4.9800000000000004</v>
      </c>
      <c r="X7" s="27">
        <f>SUMIFS('Pasted Bridges'!$G:$G,'Pasted Bridges'!$B:$B,$C7,'Pasted Bridges'!$F:$F,X$6)</f>
        <v>3.61</v>
      </c>
      <c r="Y7" s="27">
        <f>SUMIFS('Pasted Bridges'!$G:$G,'Pasted Bridges'!$B:$B,$C7,'Pasted Bridges'!$F:$F,Y$6)</f>
        <v>5.6499999999999995</v>
      </c>
      <c r="Z7" s="27">
        <f>SUMIFS('Pasted Bridges'!$G:$G,'Pasted Bridges'!$B:$B,$C7,'Pasted Bridges'!$F:$F,Z$6)</f>
        <v>4.74</v>
      </c>
      <c r="AA7" s="27">
        <f>SUMIFS('Pasted Bridges'!$G:$G,'Pasted Bridges'!$B:$B,$C7,'Pasted Bridges'!$F:$F,AA$6)</f>
        <v>8.009999999999998</v>
      </c>
      <c r="AB7" s="27">
        <f>SUMIFS('Pasted Bridges'!$G:$G,'Pasted Bridges'!$B:$B,$C7,'Pasted Bridges'!$F:$F,AB$6)</f>
        <v>6.5600000000000005</v>
      </c>
      <c r="AC7" s="27">
        <f>SUMIFS('Pasted Bridges'!$G:$G,'Pasted Bridges'!$B:$B,$C7,'Pasted Bridges'!$F:$F,AC$6)</f>
        <v>4.9800000000000004</v>
      </c>
      <c r="AD7" s="27">
        <f>SUMIFS('Pasted Bridges'!$G:$G,'Pasted Bridges'!$B:$B,$C7,'Pasted Bridges'!$F:$F,AD$6)</f>
        <v>3.61</v>
      </c>
      <c r="AE7" s="27">
        <f>SUMIFS('Pasted Bridges'!$G:$G,'Pasted Bridges'!$B:$B,$C7,'Pasted Bridges'!$F:$F,AE$6)</f>
        <v>5.6499999999999995</v>
      </c>
      <c r="AF7" s="27">
        <f>SUMIFS('Pasted Bridges'!$G:$G,'Pasted Bridges'!$B:$B,$C7,'Pasted Bridges'!$F:$F,AF$6)</f>
        <v>4.74</v>
      </c>
      <c r="AH7" s="18">
        <f t="shared" ref="AH7:AH30" si="0">SUM(O7:AF7)</f>
        <v>98.840000000000018</v>
      </c>
      <c r="AI7"/>
      <c r="AJ7" s="12" t="str">
        <f t="shared" ref="AJ7:AJ30" si="1">INDEX(SchemeXML,MATCH(K7,Scheme,0))</f>
        <v>NonGovApprovedScheme</v>
      </c>
      <c r="AK7" s="13" t="str">
        <f t="shared" ref="AK7:AK30" si="2">INDEX(JunctionXML,MATCH(LEFT(C7,3),JunctionCode,0))</f>
        <v>OtherLintels</v>
      </c>
      <c r="AL7" s="13" t="str">
        <f>"Shared "&amp;I7&amp;", Shelter "&amp;J7</f>
        <v>Shared 1, Shelter 1</v>
      </c>
      <c r="AM7" s="14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</row>
    <row r="8" spans="2:56" s="7" customFormat="1" x14ac:dyDescent="0.25">
      <c r="B8" s="19"/>
      <c r="C8" s="15" t="str">
        <v>E03 Sill [S1] [R1]</v>
      </c>
      <c r="E8" s="21" cm="1">
        <f t="array" ref="E8">INDEX(Data!L:L,MATCH(LEFT(C8,3),LEFT(Data!C:C,3),0))</f>
        <v>0.1</v>
      </c>
      <c r="F8" s="21" cm="1">
        <f t="array" ref="F8">INDEX(Data!M:M,MATCH(LEFT(C8,3),LEFT(Data!C:C,3),0))</f>
        <v>0.04</v>
      </c>
      <c r="G8" s="21" cm="1">
        <f t="array" ref="G8">INDEX(Data!N:N,MATCH(LEFT(C8,3),LEFT(Data!C:C,3),0))</f>
        <v>0.05</v>
      </c>
      <c r="I8" s="87">
        <f t="shared" ref="I8:I30" si="3">IFERROR(
    VALUE(
        MID(
            C8,
            FIND("[S", C8) + 2,
            FIND("]", C8, FIND("[S", C8)) - FIND("[S", C8) - 2
        )
    ),
    "-"
)</f>
        <v>1</v>
      </c>
      <c r="J8" s="24" t="str">
        <f t="shared" ref="J8:J30" si="4">IFERROR(
    MID(C8, FIND("[R", C8) + 2, FIND("]", C8, FIND("[R", C8)) - FIND("[R", C8) - 2),
    "-"
)</f>
        <v>1</v>
      </c>
      <c r="K8" s="87" t="s">
        <v>174</v>
      </c>
      <c r="L8" s="25">
        <v>2.1999999999999999E-2</v>
      </c>
      <c r="M8" s="88">
        <f t="shared" ref="M8:M30" si="5">IF(I8="-","-",(L8/I8)*J8)</f>
        <v>2.1999999999999999E-2</v>
      </c>
      <c r="O8" s="27">
        <f>SUMIFS('Pasted Bridges'!$G:$G,'Pasted Bridges'!$B:$B,$C8,'Pasted Bridges'!$F:$F,O$6)</f>
        <v>2.2599999999999998</v>
      </c>
      <c r="P8" s="27">
        <f>SUMIFS('Pasted Bridges'!$G:$G,'Pasted Bridges'!$B:$B,$C8,'Pasted Bridges'!$F:$F,P$6)</f>
        <v>4.08</v>
      </c>
      <c r="Q8" s="27">
        <f>SUMIFS('Pasted Bridges'!$G:$G,'Pasted Bridges'!$B:$B,$C8,'Pasted Bridges'!$F:$F,Q$6)</f>
        <v>4.08</v>
      </c>
      <c r="R8" s="27">
        <f>SUMIFS('Pasted Bridges'!$G:$G,'Pasted Bridges'!$B:$B,$C8,'Pasted Bridges'!$F:$F,R$6)</f>
        <v>1.1299999999999999</v>
      </c>
      <c r="S8" s="27">
        <f>SUMIFS('Pasted Bridges'!$G:$G,'Pasted Bridges'!$B:$B,$C8,'Pasted Bridges'!$F:$F,S$6)</f>
        <v>3.17</v>
      </c>
      <c r="T8" s="27">
        <f>SUMIFS('Pasted Bridges'!$G:$G,'Pasted Bridges'!$B:$B,$C8,'Pasted Bridges'!$F:$F,T$6)</f>
        <v>2.2599999999999998</v>
      </c>
      <c r="U8" s="27">
        <f>SUMIFS('Pasted Bridges'!$G:$G,'Pasted Bridges'!$B:$B,$C8,'Pasted Bridges'!$F:$F,U$6)</f>
        <v>4.5199999999999996</v>
      </c>
      <c r="V8" s="27">
        <f>SUMIFS('Pasted Bridges'!$G:$G,'Pasted Bridges'!$B:$B,$C8,'Pasted Bridges'!$F:$F,V$6)</f>
        <v>4.08</v>
      </c>
      <c r="W8" s="27">
        <f>SUMIFS('Pasted Bridges'!$G:$G,'Pasted Bridges'!$B:$B,$C8,'Pasted Bridges'!$F:$F,W$6)</f>
        <v>4.08</v>
      </c>
      <c r="X8" s="27">
        <f>SUMIFS('Pasted Bridges'!$G:$G,'Pasted Bridges'!$B:$B,$C8,'Pasted Bridges'!$F:$F,X$6)</f>
        <v>1.1299999999999999</v>
      </c>
      <c r="Y8" s="27">
        <f>SUMIFS('Pasted Bridges'!$G:$G,'Pasted Bridges'!$B:$B,$C8,'Pasted Bridges'!$F:$F,Y$6)</f>
        <v>3.17</v>
      </c>
      <c r="Z8" s="27">
        <f>SUMIFS('Pasted Bridges'!$G:$G,'Pasted Bridges'!$B:$B,$C8,'Pasted Bridges'!$F:$F,Z$6)</f>
        <v>2.2599999999999998</v>
      </c>
      <c r="AA8" s="27">
        <f>SUMIFS('Pasted Bridges'!$G:$G,'Pasted Bridges'!$B:$B,$C8,'Pasted Bridges'!$F:$F,AA$6)</f>
        <v>4.5199999999999996</v>
      </c>
      <c r="AB8" s="27">
        <f>SUMIFS('Pasted Bridges'!$G:$G,'Pasted Bridges'!$B:$B,$C8,'Pasted Bridges'!$F:$F,AB$6)</f>
        <v>4.08</v>
      </c>
      <c r="AC8" s="27">
        <f>SUMIFS('Pasted Bridges'!$G:$G,'Pasted Bridges'!$B:$B,$C8,'Pasted Bridges'!$F:$F,AC$6)</f>
        <v>4.08</v>
      </c>
      <c r="AD8" s="27">
        <f>SUMIFS('Pasted Bridges'!$G:$G,'Pasted Bridges'!$B:$B,$C8,'Pasted Bridges'!$F:$F,AD$6)</f>
        <v>1.1299999999999999</v>
      </c>
      <c r="AE8" s="27">
        <f>SUMIFS('Pasted Bridges'!$G:$G,'Pasted Bridges'!$B:$B,$C8,'Pasted Bridges'!$F:$F,AE$6)</f>
        <v>3.17</v>
      </c>
      <c r="AF8" s="27">
        <f>SUMIFS('Pasted Bridges'!$G:$G,'Pasted Bridges'!$B:$B,$C8,'Pasted Bridges'!$F:$F,AF$6)</f>
        <v>2.2599999999999998</v>
      </c>
      <c r="AH8" s="18">
        <f t="shared" si="0"/>
        <v>55.459999999999994</v>
      </c>
      <c r="AI8"/>
      <c r="AJ8" s="12" t="str">
        <f t="shared" si="1"/>
        <v>NonGovApprovedScheme</v>
      </c>
      <c r="AK8" s="13" t="str">
        <f t="shared" si="2"/>
        <v>Sill</v>
      </c>
      <c r="AL8" s="13" t="str">
        <f t="shared" ref="AL8:AL30" si="6">"Shared "&amp;I8&amp;", Shelter "&amp;J8</f>
        <v>Shared 1, Shelter 1</v>
      </c>
      <c r="AM8" s="14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</row>
    <row r="9" spans="2:56" s="7" customFormat="1" x14ac:dyDescent="0.25">
      <c r="B9" s="19"/>
      <c r="C9" s="15" t="str">
        <v>E04 Jamb [S1] [R1]</v>
      </c>
      <c r="E9" s="21" cm="1">
        <f t="array" ref="E9">INDEX(Data!L:L,MATCH(LEFT(C9,3),LEFT(Data!C:C,3),0))</f>
        <v>0.1</v>
      </c>
      <c r="F9" s="21" cm="1">
        <f t="array" ref="F9">INDEX(Data!M:M,MATCH(LEFT(C9,3),LEFT(Data!C:C,3),0))</f>
        <v>0.05</v>
      </c>
      <c r="G9" s="21" cm="1">
        <f t="array" ref="G9">INDEX(Data!N:N,MATCH(LEFT(C9,3),LEFT(Data!C:C,3),0))</f>
        <v>0.05</v>
      </c>
      <c r="I9" s="87">
        <f t="shared" si="3"/>
        <v>1</v>
      </c>
      <c r="J9" s="24" t="str">
        <f t="shared" si="4"/>
        <v>1</v>
      </c>
      <c r="K9" s="87" t="s">
        <v>174</v>
      </c>
      <c r="L9" s="28">
        <v>1.7000000000000001E-2</v>
      </c>
      <c r="M9" s="88">
        <f t="shared" si="5"/>
        <v>1.7000000000000001E-2</v>
      </c>
      <c r="O9" s="27">
        <f>SUMIFS('Pasted Bridges'!$G:$G,'Pasted Bridges'!$B:$B,$C9,'Pasted Bridges'!$F:$F,O$6)</f>
        <v>14.7</v>
      </c>
      <c r="P9" s="27">
        <f>SUMIFS('Pasted Bridges'!$G:$G,'Pasted Bridges'!$B:$B,$C9,'Pasted Bridges'!$F:$F,P$6)</f>
        <v>16.880000000000003</v>
      </c>
      <c r="Q9" s="27">
        <f>SUMIFS('Pasted Bridges'!$G:$G,'Pasted Bridges'!$B:$B,$C9,'Pasted Bridges'!$F:$F,Q$6)</f>
        <v>16.840000000000003</v>
      </c>
      <c r="R9" s="27">
        <f>SUMIFS('Pasted Bridges'!$G:$G,'Pasted Bridges'!$B:$B,$C9,'Pasted Bridges'!$F:$F,R$6)</f>
        <v>7.379999999999999</v>
      </c>
      <c r="S9" s="27">
        <f>SUMIFS('Pasted Bridges'!$G:$G,'Pasted Bridges'!$B:$B,$C9,'Pasted Bridges'!$F:$F,S$6)</f>
        <v>13.66</v>
      </c>
      <c r="T9" s="27">
        <f>SUMIFS('Pasted Bridges'!$G:$G,'Pasted Bridges'!$B:$B,$C9,'Pasted Bridges'!$F:$F,T$6)</f>
        <v>10.5</v>
      </c>
      <c r="U9" s="27">
        <f>SUMIFS('Pasted Bridges'!$G:$G,'Pasted Bridges'!$B:$B,$C9,'Pasted Bridges'!$F:$F,U$6)</f>
        <v>21.020000000000003</v>
      </c>
      <c r="V9" s="27">
        <f>SUMIFS('Pasted Bridges'!$G:$G,'Pasted Bridges'!$B:$B,$C9,'Pasted Bridges'!$F:$F,V$6)</f>
        <v>16.82</v>
      </c>
      <c r="W9" s="27">
        <f>SUMIFS('Pasted Bridges'!$G:$G,'Pasted Bridges'!$B:$B,$C9,'Pasted Bridges'!$F:$F,W$6)</f>
        <v>16.84</v>
      </c>
      <c r="X9" s="27">
        <f>SUMIFS('Pasted Bridges'!$G:$G,'Pasted Bridges'!$B:$B,$C9,'Pasted Bridges'!$F:$F,X$6)</f>
        <v>7.379999999999999</v>
      </c>
      <c r="Y9" s="27">
        <f>SUMIFS('Pasted Bridges'!$G:$G,'Pasted Bridges'!$B:$B,$C9,'Pasted Bridges'!$F:$F,Y$6)</f>
        <v>13.66</v>
      </c>
      <c r="Z9" s="27">
        <f>SUMIFS('Pasted Bridges'!$G:$G,'Pasted Bridges'!$B:$B,$C9,'Pasted Bridges'!$F:$F,Z$6)</f>
        <v>10.5</v>
      </c>
      <c r="AA9" s="27">
        <f>SUMIFS('Pasted Bridges'!$G:$G,'Pasted Bridges'!$B:$B,$C9,'Pasted Bridges'!$F:$F,AA$6)</f>
        <v>21.020000000000003</v>
      </c>
      <c r="AB9" s="27">
        <f>SUMIFS('Pasted Bridges'!$G:$G,'Pasted Bridges'!$B:$B,$C9,'Pasted Bridges'!$F:$F,AB$6)</f>
        <v>16.82</v>
      </c>
      <c r="AC9" s="27">
        <f>SUMIFS('Pasted Bridges'!$G:$G,'Pasted Bridges'!$B:$B,$C9,'Pasted Bridges'!$F:$F,AC$6)</f>
        <v>16.840000000000003</v>
      </c>
      <c r="AD9" s="27">
        <f>SUMIFS('Pasted Bridges'!$G:$G,'Pasted Bridges'!$B:$B,$C9,'Pasted Bridges'!$F:$F,AD$6)</f>
        <v>7.379999999999999</v>
      </c>
      <c r="AE9" s="27">
        <f>SUMIFS('Pasted Bridges'!$G:$G,'Pasted Bridges'!$B:$B,$C9,'Pasted Bridges'!$F:$F,AE$6)</f>
        <v>13.66</v>
      </c>
      <c r="AF9" s="27">
        <f>SUMIFS('Pasted Bridges'!$G:$G,'Pasted Bridges'!$B:$B,$C9,'Pasted Bridges'!$F:$F,AF$6)</f>
        <v>10.5</v>
      </c>
      <c r="AH9" s="18">
        <f t="shared" si="0"/>
        <v>252.39999999999998</v>
      </c>
      <c r="AI9"/>
      <c r="AJ9" s="12" t="str">
        <f t="shared" si="1"/>
        <v>NonGovApprovedScheme</v>
      </c>
      <c r="AK9" s="13" t="str">
        <f t="shared" si="2"/>
        <v>Jamb</v>
      </c>
      <c r="AL9" s="13" t="str">
        <f t="shared" si="6"/>
        <v>Shared 1, Shelter 1</v>
      </c>
      <c r="AM9" s="14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</row>
    <row r="10" spans="2:56" s="7" customFormat="1" x14ac:dyDescent="0.25">
      <c r="B10" s="19"/>
      <c r="C10" s="15" t="str">
        <v>E05 Ground floor (normal) [S1] [R1]</v>
      </c>
      <c r="E10" s="21" cm="1">
        <f t="array" ref="E10">INDEX(Data!L:L,MATCH(LEFT(C10,3),LEFT(Data!C:C,3),0))</f>
        <v>0.32</v>
      </c>
      <c r="F10" s="21" cm="1">
        <f t="array" ref="F10">INDEX(Data!M:M,MATCH(LEFT(C10,3),LEFT(Data!C:C,3),0))</f>
        <v>0.16</v>
      </c>
      <c r="G10" s="21" cm="1">
        <f t="array" ref="G10">INDEX(Data!N:N,MATCH(LEFT(C10,3),LEFT(Data!C:C,3),0))</f>
        <v>0.16</v>
      </c>
      <c r="I10" s="87">
        <f t="shared" si="3"/>
        <v>1</v>
      </c>
      <c r="J10" s="24" t="str">
        <f t="shared" si="4"/>
        <v>1</v>
      </c>
      <c r="K10" s="87" t="s">
        <v>174</v>
      </c>
      <c r="L10" s="28">
        <v>7.3999999999999996E-2</v>
      </c>
      <c r="M10" s="88">
        <f t="shared" si="5"/>
        <v>7.3999999999999996E-2</v>
      </c>
      <c r="O10" s="27">
        <f>SUMIFS('Pasted Bridges'!$G:$G,'Pasted Bridges'!$B:$B,$C10,'Pasted Bridges'!$F:$F,O$6)</f>
        <v>15.469999999999999</v>
      </c>
      <c r="P10" s="27">
        <f>SUMIFS('Pasted Bridges'!$G:$G,'Pasted Bridges'!$B:$B,$C10,'Pasted Bridges'!$F:$F,P$6)</f>
        <v>18.78</v>
      </c>
      <c r="Q10" s="27">
        <f>SUMIFS('Pasted Bridges'!$G:$G,'Pasted Bridges'!$B:$B,$C10,'Pasted Bridges'!$F:$F,Q$6)</f>
        <v>12.4</v>
      </c>
      <c r="R10" s="27">
        <f>SUMIFS('Pasted Bridges'!$G:$G,'Pasted Bridges'!$B:$B,$C10,'Pasted Bridges'!$F:$F,R$6)</f>
        <v>4.59</v>
      </c>
      <c r="S10" s="27">
        <f>SUMIFS('Pasted Bridges'!$G:$G,'Pasted Bridges'!$B:$B,$C10,'Pasted Bridges'!$F:$F,S$6)</f>
        <v>28.799999999999997</v>
      </c>
      <c r="T10" s="27">
        <f>SUMIFS('Pasted Bridges'!$G:$G,'Pasted Bridges'!$B:$B,$C10,'Pasted Bridges'!$F:$F,T$6)</f>
        <v>13.07</v>
      </c>
      <c r="U10" s="27">
        <f>SUMIFS('Pasted Bridges'!$G:$G,'Pasted Bridges'!$B:$B,$C10,'Pasted Bridges'!$F:$F,U$6)</f>
        <v>0</v>
      </c>
      <c r="V10" s="27">
        <f>SUMIFS('Pasted Bridges'!$G:$G,'Pasted Bridges'!$B:$B,$C10,'Pasted Bridges'!$F:$F,V$6)</f>
        <v>0</v>
      </c>
      <c r="W10" s="27">
        <f>SUMIFS('Pasted Bridges'!$G:$G,'Pasted Bridges'!$B:$B,$C10,'Pasted Bridges'!$F:$F,W$6)</f>
        <v>0</v>
      </c>
      <c r="X10" s="27">
        <f>SUMIFS('Pasted Bridges'!$G:$G,'Pasted Bridges'!$B:$B,$C10,'Pasted Bridges'!$F:$F,X$6)</f>
        <v>0</v>
      </c>
      <c r="Y10" s="27">
        <f>SUMIFS('Pasted Bridges'!$G:$G,'Pasted Bridges'!$B:$B,$C10,'Pasted Bridges'!$F:$F,Y$6)</f>
        <v>0</v>
      </c>
      <c r="Z10" s="27">
        <f>SUMIFS('Pasted Bridges'!$G:$G,'Pasted Bridges'!$B:$B,$C10,'Pasted Bridges'!$F:$F,Z$6)</f>
        <v>0</v>
      </c>
      <c r="AA10" s="27">
        <f>SUMIFS('Pasted Bridges'!$G:$G,'Pasted Bridges'!$B:$B,$C10,'Pasted Bridges'!$F:$F,AA$6)</f>
        <v>0</v>
      </c>
      <c r="AB10" s="27">
        <f>SUMIFS('Pasted Bridges'!$G:$G,'Pasted Bridges'!$B:$B,$C10,'Pasted Bridges'!$F:$F,AB$6)</f>
        <v>0</v>
      </c>
      <c r="AC10" s="27">
        <f>SUMIFS('Pasted Bridges'!$G:$G,'Pasted Bridges'!$B:$B,$C10,'Pasted Bridges'!$F:$F,AC$6)</f>
        <v>0</v>
      </c>
      <c r="AD10" s="27">
        <f>SUMIFS('Pasted Bridges'!$G:$G,'Pasted Bridges'!$B:$B,$C10,'Pasted Bridges'!$F:$F,AD$6)</f>
        <v>0</v>
      </c>
      <c r="AE10" s="27">
        <f>SUMIFS('Pasted Bridges'!$G:$G,'Pasted Bridges'!$B:$B,$C10,'Pasted Bridges'!$F:$F,AE$6)</f>
        <v>0</v>
      </c>
      <c r="AF10" s="27">
        <f>SUMIFS('Pasted Bridges'!$G:$G,'Pasted Bridges'!$B:$B,$C10,'Pasted Bridges'!$F:$F,AF$6)</f>
        <v>0</v>
      </c>
      <c r="AH10" s="18">
        <f t="shared" si="0"/>
        <v>93.109999999999985</v>
      </c>
      <c r="AI10"/>
      <c r="AJ10" s="12" t="str">
        <f t="shared" si="1"/>
        <v>NonGovApprovedScheme</v>
      </c>
      <c r="AK10" s="13" t="str">
        <f t="shared" si="2"/>
        <v>GroundFloorNormal</v>
      </c>
      <c r="AL10" s="13" t="str">
        <f t="shared" si="6"/>
        <v>Shared 1, Shelter 1</v>
      </c>
      <c r="AM10" s="14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</row>
    <row r="11" spans="2:56" s="7" customFormat="1" x14ac:dyDescent="0.25">
      <c r="B11" s="19"/>
      <c r="C11" s="15" t="str">
        <v>E07 Party floor between dwellings (in blocks of flats) [S2] [R1]</v>
      </c>
      <c r="E11" s="21" cm="1">
        <f t="array" ref="E11">INDEX(Data!L:L,MATCH(LEFT(C11,3),LEFT(Data!C:C,3),0))</f>
        <v>0.28000000000000003</v>
      </c>
      <c r="F11" s="21" cm="1">
        <f t="array" ref="F11">INDEX(Data!M:M,MATCH(LEFT(C11,3),LEFT(Data!C:C,3),0))</f>
        <v>0.14000000000000001</v>
      </c>
      <c r="G11" s="21" cm="1">
        <f t="array" ref="G11">INDEX(Data!N:N,MATCH(LEFT(C11,3),LEFT(Data!C:C,3),0))</f>
        <v>7.0000000000000007E-2</v>
      </c>
      <c r="I11" s="87">
        <f t="shared" si="3"/>
        <v>2</v>
      </c>
      <c r="J11" s="24" t="str">
        <f t="shared" si="4"/>
        <v>1</v>
      </c>
      <c r="K11" s="87" t="s">
        <v>174</v>
      </c>
      <c r="L11" s="28">
        <v>7.3999999999999996E-2</v>
      </c>
      <c r="M11" s="88">
        <f t="shared" si="5"/>
        <v>3.6999999999999998E-2</v>
      </c>
      <c r="O11" s="27">
        <f>SUMIFS('Pasted Bridges'!$G:$G,'Pasted Bridges'!$B:$B,$C11,'Pasted Bridges'!$F:$F,O$6)</f>
        <v>10.29</v>
      </c>
      <c r="P11" s="27">
        <f>SUMIFS('Pasted Bridges'!$G:$G,'Pasted Bridges'!$B:$B,$C11,'Pasted Bridges'!$F:$F,P$6)</f>
        <v>17.54</v>
      </c>
      <c r="Q11" s="27">
        <f>SUMIFS('Pasted Bridges'!$G:$G,'Pasted Bridges'!$B:$B,$C11,'Pasted Bridges'!$F:$F,Q$6)</f>
        <v>12.4</v>
      </c>
      <c r="R11" s="27">
        <f>SUMIFS('Pasted Bridges'!$G:$G,'Pasted Bridges'!$B:$B,$C11,'Pasted Bridges'!$F:$F,R$6)</f>
        <v>7.2899999999999991</v>
      </c>
      <c r="S11" s="27">
        <f>SUMIFS('Pasted Bridges'!$G:$G,'Pasted Bridges'!$B:$B,$C11,'Pasted Bridges'!$F:$F,S$6)</f>
        <v>28.799999999999997</v>
      </c>
      <c r="T11" s="27">
        <f>SUMIFS('Pasted Bridges'!$G:$G,'Pasted Bridges'!$B:$B,$C11,'Pasted Bridges'!$F:$F,T$6)</f>
        <v>13.07</v>
      </c>
      <c r="U11" s="27">
        <f>SUMIFS('Pasted Bridges'!$G:$G,'Pasted Bridges'!$B:$B,$C11,'Pasted Bridges'!$F:$F,U$6)</f>
        <v>30.059999999999995</v>
      </c>
      <c r="V11" s="27">
        <f>SUMIFS('Pasted Bridges'!$G:$G,'Pasted Bridges'!$B:$B,$C11,'Pasted Bridges'!$F:$F,V$6)</f>
        <v>35.08</v>
      </c>
      <c r="W11" s="27">
        <f>SUMIFS('Pasted Bridges'!$G:$G,'Pasted Bridges'!$B:$B,$C11,'Pasted Bridges'!$F:$F,W$6)</f>
        <v>24.8</v>
      </c>
      <c r="X11" s="27">
        <f>SUMIFS('Pasted Bridges'!$G:$G,'Pasted Bridges'!$B:$B,$C11,'Pasted Bridges'!$F:$F,X$6)</f>
        <v>14.569999999999999</v>
      </c>
      <c r="Y11" s="27">
        <f>SUMIFS('Pasted Bridges'!$G:$G,'Pasted Bridges'!$B:$B,$C11,'Pasted Bridges'!$F:$F,Y$6)</f>
        <v>57.599999999999994</v>
      </c>
      <c r="Z11" s="27">
        <f>SUMIFS('Pasted Bridges'!$G:$G,'Pasted Bridges'!$B:$B,$C11,'Pasted Bridges'!$F:$F,Z$6)</f>
        <v>26.140000000000004</v>
      </c>
      <c r="AA11" s="27">
        <f>SUMIFS('Pasted Bridges'!$G:$G,'Pasted Bridges'!$B:$B,$C11,'Pasted Bridges'!$F:$F,AA$6)</f>
        <v>19.77</v>
      </c>
      <c r="AB11" s="27">
        <f>SUMIFS('Pasted Bridges'!$G:$G,'Pasted Bridges'!$B:$B,$C11,'Pasted Bridges'!$F:$F,AB$6)</f>
        <v>17.54</v>
      </c>
      <c r="AC11" s="27">
        <f>SUMIFS('Pasted Bridges'!$G:$G,'Pasted Bridges'!$B:$B,$C11,'Pasted Bridges'!$F:$F,AC$6)</f>
        <v>12.4</v>
      </c>
      <c r="AD11" s="27">
        <f>SUMIFS('Pasted Bridges'!$G:$G,'Pasted Bridges'!$B:$B,$C11,'Pasted Bridges'!$F:$F,AD$6)</f>
        <v>7.2799999999999994</v>
      </c>
      <c r="AE11" s="27">
        <f>SUMIFS('Pasted Bridges'!$G:$G,'Pasted Bridges'!$B:$B,$C11,'Pasted Bridges'!$F:$F,AE$6)</f>
        <v>28.799999999999997</v>
      </c>
      <c r="AF11" s="27">
        <f>SUMIFS('Pasted Bridges'!$G:$G,'Pasted Bridges'!$B:$B,$C11,'Pasted Bridges'!$F:$F,AF$6)</f>
        <v>13.07</v>
      </c>
      <c r="AH11" s="18">
        <f t="shared" si="0"/>
        <v>376.49999999999994</v>
      </c>
      <c r="AI11"/>
      <c r="AJ11" s="12" t="str">
        <f t="shared" si="1"/>
        <v>NonGovApprovedScheme</v>
      </c>
      <c r="AK11" s="13" t="str">
        <f t="shared" si="2"/>
        <v>PartyFloor</v>
      </c>
      <c r="AL11" s="13" t="str">
        <f t="shared" si="6"/>
        <v>Shared 2, Shelter 1</v>
      </c>
      <c r="AM11" s="14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</row>
    <row r="12" spans="2:56" s="7" customFormat="1" x14ac:dyDescent="0.25">
      <c r="B12" s="19"/>
      <c r="C12" s="15" t="str">
        <v>E14 Flat roof [S1] [R1]</v>
      </c>
      <c r="E12" s="21" cm="1">
        <f t="array" ref="E12">INDEX(Data!L:L,MATCH(LEFT(C12,3),LEFT(Data!C:C,3),0))</f>
        <v>0.16</v>
      </c>
      <c r="F12" s="21" t="str" cm="1">
        <f t="array" ref="F12">INDEX(Data!M:M,MATCH(LEFT(C12,3),LEFT(Data!C:C,3),0))</f>
        <v>-</v>
      </c>
      <c r="G12" s="21" cm="1">
        <f t="array" ref="G12">INDEX(Data!N:N,MATCH(LEFT(C12,3),LEFT(Data!C:C,3),0))</f>
        <v>0.08</v>
      </c>
      <c r="I12" s="87">
        <f t="shared" si="3"/>
        <v>1</v>
      </c>
      <c r="J12" s="24" t="str">
        <f t="shared" si="4"/>
        <v>1</v>
      </c>
      <c r="K12" s="87" t="s">
        <v>48</v>
      </c>
      <c r="L12" s="89">
        <f>E12</f>
        <v>0.16</v>
      </c>
      <c r="M12" s="88">
        <f t="shared" si="5"/>
        <v>0.16</v>
      </c>
      <c r="O12" s="27">
        <f>SUMIFS('Pasted Bridges'!$G:$G,'Pasted Bridges'!$B:$B,$C12,'Pasted Bridges'!$F:$F,O$6)</f>
        <v>5.18</v>
      </c>
      <c r="P12" s="27">
        <f>SUMIFS('Pasted Bridges'!$G:$G,'Pasted Bridges'!$B:$B,$C12,'Pasted Bridges'!$F:$F,P$6)</f>
        <v>0</v>
      </c>
      <c r="Q12" s="27">
        <f>SUMIFS('Pasted Bridges'!$G:$G,'Pasted Bridges'!$B:$B,$C12,'Pasted Bridges'!$F:$F,Q$6)</f>
        <v>0</v>
      </c>
      <c r="R12" s="27">
        <f>SUMIFS('Pasted Bridges'!$G:$G,'Pasted Bridges'!$B:$B,$C12,'Pasted Bridges'!$F:$F,R$6)</f>
        <v>0</v>
      </c>
      <c r="S12" s="27">
        <f>SUMIFS('Pasted Bridges'!$G:$G,'Pasted Bridges'!$B:$B,$C12,'Pasted Bridges'!$F:$F,S$6)</f>
        <v>0</v>
      </c>
      <c r="T12" s="27">
        <f>SUMIFS('Pasted Bridges'!$G:$G,'Pasted Bridges'!$B:$B,$C12,'Pasted Bridges'!$F:$F,T$6)</f>
        <v>0</v>
      </c>
      <c r="U12" s="27">
        <f>SUMIFS('Pasted Bridges'!$G:$G,'Pasted Bridges'!$B:$B,$C12,'Pasted Bridges'!$F:$F,U$6)</f>
        <v>0</v>
      </c>
      <c r="V12" s="27">
        <f>SUMIFS('Pasted Bridges'!$G:$G,'Pasted Bridges'!$B:$B,$C12,'Pasted Bridges'!$F:$F,V$6)</f>
        <v>0</v>
      </c>
      <c r="W12" s="27">
        <f>SUMIFS('Pasted Bridges'!$G:$G,'Pasted Bridges'!$B:$B,$C12,'Pasted Bridges'!$F:$F,W$6)</f>
        <v>0</v>
      </c>
      <c r="X12" s="27">
        <f>SUMIFS('Pasted Bridges'!$G:$G,'Pasted Bridges'!$B:$B,$C12,'Pasted Bridges'!$F:$F,X$6)</f>
        <v>0</v>
      </c>
      <c r="Y12" s="27">
        <f>SUMIFS('Pasted Bridges'!$G:$G,'Pasted Bridges'!$B:$B,$C12,'Pasted Bridges'!$F:$F,Y$6)</f>
        <v>0</v>
      </c>
      <c r="Z12" s="27">
        <f>SUMIFS('Pasted Bridges'!$G:$G,'Pasted Bridges'!$B:$B,$C12,'Pasted Bridges'!$F:$F,Z$6)</f>
        <v>0</v>
      </c>
      <c r="AA12" s="27">
        <f>SUMIFS('Pasted Bridges'!$G:$G,'Pasted Bridges'!$B:$B,$C12,'Pasted Bridges'!$F:$F,AA$6)</f>
        <v>5.18</v>
      </c>
      <c r="AB12" s="27">
        <f>SUMIFS('Pasted Bridges'!$G:$G,'Pasted Bridges'!$B:$B,$C12,'Pasted Bridges'!$F:$F,AB$6)</f>
        <v>4.3899999999999997</v>
      </c>
      <c r="AC12" s="27">
        <f>SUMIFS('Pasted Bridges'!$G:$G,'Pasted Bridges'!$B:$B,$C12,'Pasted Bridges'!$F:$F,AC$6)</f>
        <v>5.7700000000000005</v>
      </c>
      <c r="AD12" s="27">
        <f>SUMIFS('Pasted Bridges'!$G:$G,'Pasted Bridges'!$B:$B,$C12,'Pasted Bridges'!$F:$F,AD$6)</f>
        <v>4.5999999999999996</v>
      </c>
      <c r="AE12" s="27">
        <f>SUMIFS('Pasted Bridges'!$G:$G,'Pasted Bridges'!$B:$B,$C12,'Pasted Bridges'!$F:$F,AE$6)</f>
        <v>4.6400000000000006</v>
      </c>
      <c r="AF12" s="27">
        <f>SUMIFS('Pasted Bridges'!$G:$G,'Pasted Bridges'!$B:$B,$C12,'Pasted Bridges'!$F:$F,AF$6)</f>
        <v>7.4</v>
      </c>
      <c r="AH12" s="18">
        <f t="shared" si="0"/>
        <v>37.159999999999997</v>
      </c>
      <c r="AI12"/>
      <c r="AJ12" s="12" t="str">
        <f t="shared" si="1"/>
        <v>TableK1Default</v>
      </c>
      <c r="AK12" s="13" t="str">
        <f t="shared" si="2"/>
        <v>FlatRoof</v>
      </c>
      <c r="AL12" s="13" t="str">
        <f t="shared" si="6"/>
        <v>Shared 1, Shelter 1</v>
      </c>
      <c r="AM12" s="14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</row>
    <row r="13" spans="2:56" s="7" customFormat="1" x14ac:dyDescent="0.25">
      <c r="B13" s="19"/>
      <c r="C13" s="15" t="str">
        <v>E15 Flat roof with parapet [S1] [R1]</v>
      </c>
      <c r="E13" s="21" cm="1">
        <f t="array" ref="E13">INDEX(Data!L:L,MATCH(LEFT(C13,3),LEFT(Data!C:C,3),0))</f>
        <v>0.3</v>
      </c>
      <c r="F13" s="21" t="str" cm="1">
        <f t="array" ref="F13">INDEX(Data!M:M,MATCH(LEFT(C13,3),LEFT(Data!C:C,3),0))</f>
        <v>-</v>
      </c>
      <c r="G13" s="21" cm="1">
        <f t="array" ref="G13">INDEX(Data!N:N,MATCH(LEFT(C13,3),LEFT(Data!C:C,3),0))</f>
        <v>0.56000000000000005</v>
      </c>
      <c r="I13" s="87">
        <f t="shared" si="3"/>
        <v>1</v>
      </c>
      <c r="J13" s="24" t="str">
        <f t="shared" si="4"/>
        <v>1</v>
      </c>
      <c r="K13" s="87" t="s">
        <v>48</v>
      </c>
      <c r="L13" s="89">
        <f>E13</f>
        <v>0.3</v>
      </c>
      <c r="M13" s="88">
        <f t="shared" si="5"/>
        <v>0.3</v>
      </c>
      <c r="O13" s="27">
        <f>SUMIFS('Pasted Bridges'!$G:$G,'Pasted Bridges'!$B:$B,$C13,'Pasted Bridges'!$F:$F,O$6)</f>
        <v>0</v>
      </c>
      <c r="P13" s="27">
        <f>SUMIFS('Pasted Bridges'!$G:$G,'Pasted Bridges'!$B:$B,$C13,'Pasted Bridges'!$F:$F,P$6)</f>
        <v>0</v>
      </c>
      <c r="Q13" s="27">
        <f>SUMIFS('Pasted Bridges'!$G:$G,'Pasted Bridges'!$B:$B,$C13,'Pasted Bridges'!$F:$F,Q$6)</f>
        <v>0</v>
      </c>
      <c r="R13" s="27">
        <f>SUMIFS('Pasted Bridges'!$G:$G,'Pasted Bridges'!$B:$B,$C13,'Pasted Bridges'!$F:$F,R$6)</f>
        <v>0</v>
      </c>
      <c r="S13" s="27">
        <f>SUMIFS('Pasted Bridges'!$G:$G,'Pasted Bridges'!$B:$B,$C13,'Pasted Bridges'!$F:$F,S$6)</f>
        <v>0</v>
      </c>
      <c r="T13" s="27">
        <f>SUMIFS('Pasted Bridges'!$G:$G,'Pasted Bridges'!$B:$B,$C13,'Pasted Bridges'!$F:$F,T$6)</f>
        <v>0</v>
      </c>
      <c r="U13" s="27">
        <f>SUMIFS('Pasted Bridges'!$G:$G,'Pasted Bridges'!$B:$B,$C13,'Pasted Bridges'!$F:$F,U$6)</f>
        <v>0</v>
      </c>
      <c r="V13" s="27">
        <f>SUMIFS('Pasted Bridges'!$G:$G,'Pasted Bridges'!$B:$B,$C13,'Pasted Bridges'!$F:$F,V$6)</f>
        <v>0</v>
      </c>
      <c r="W13" s="27">
        <f>SUMIFS('Pasted Bridges'!$G:$G,'Pasted Bridges'!$B:$B,$C13,'Pasted Bridges'!$F:$F,W$6)</f>
        <v>0</v>
      </c>
      <c r="X13" s="27">
        <f>SUMIFS('Pasted Bridges'!$G:$G,'Pasted Bridges'!$B:$B,$C13,'Pasted Bridges'!$F:$F,X$6)</f>
        <v>0</v>
      </c>
      <c r="Y13" s="27">
        <f>SUMIFS('Pasted Bridges'!$G:$G,'Pasted Bridges'!$B:$B,$C13,'Pasted Bridges'!$F:$F,Y$6)</f>
        <v>0</v>
      </c>
      <c r="Z13" s="27">
        <f>SUMIFS('Pasted Bridges'!$G:$G,'Pasted Bridges'!$B:$B,$C13,'Pasted Bridges'!$F:$F,Z$6)</f>
        <v>0</v>
      </c>
      <c r="AA13" s="27">
        <f>SUMIFS('Pasted Bridges'!$G:$G,'Pasted Bridges'!$B:$B,$C13,'Pasted Bridges'!$F:$F,AA$6)</f>
        <v>14.59</v>
      </c>
      <c r="AB13" s="27">
        <f>SUMIFS('Pasted Bridges'!$G:$G,'Pasted Bridges'!$B:$B,$C13,'Pasted Bridges'!$F:$F,AB$6)</f>
        <v>13.15</v>
      </c>
      <c r="AC13" s="27">
        <f>SUMIFS('Pasted Bridges'!$G:$G,'Pasted Bridges'!$B:$B,$C13,'Pasted Bridges'!$F:$F,AC$6)</f>
        <v>6.63</v>
      </c>
      <c r="AD13" s="27">
        <f>SUMIFS('Pasted Bridges'!$G:$G,'Pasted Bridges'!$B:$B,$C13,'Pasted Bridges'!$F:$F,AD$6)</f>
        <v>2.69</v>
      </c>
      <c r="AE13" s="27">
        <f>SUMIFS('Pasted Bridges'!$G:$G,'Pasted Bridges'!$B:$B,$C13,'Pasted Bridges'!$F:$F,AE$6)</f>
        <v>24.159999999999997</v>
      </c>
      <c r="AF13" s="27">
        <f>SUMIFS('Pasted Bridges'!$G:$G,'Pasted Bridges'!$B:$B,$C13,'Pasted Bridges'!$F:$F,AF$6)</f>
        <v>5.67</v>
      </c>
      <c r="AH13" s="18">
        <f t="shared" si="0"/>
        <v>66.89</v>
      </c>
      <c r="AI13"/>
      <c r="AJ13" s="12" t="str">
        <f t="shared" si="1"/>
        <v>TableK1Default</v>
      </c>
      <c r="AK13" s="13" t="str">
        <f t="shared" si="2"/>
        <v>FlatRoofWithParapet</v>
      </c>
      <c r="AL13" s="13" t="str">
        <f t="shared" si="6"/>
        <v>Shared 1, Shelter 1</v>
      </c>
      <c r="AM13" s="14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</row>
    <row r="14" spans="2:56" s="7" customFormat="1" x14ac:dyDescent="0.25">
      <c r="B14" s="19"/>
      <c r="C14" s="15" t="str">
        <v>E16 Corner (normal) [S1] [R0.83]</v>
      </c>
      <c r="E14" s="21" cm="1">
        <f t="array" ref="E14">INDEX(Data!L:L,MATCH(LEFT(C14,3),LEFT(Data!C:C,3),0))</f>
        <v>0.18</v>
      </c>
      <c r="F14" s="21" cm="1">
        <f t="array" ref="F14">INDEX(Data!M:M,MATCH(LEFT(C14,3),LEFT(Data!C:C,3),0))</f>
        <v>0.09</v>
      </c>
      <c r="G14" s="21" cm="1">
        <f t="array" ref="G14">INDEX(Data!N:N,MATCH(LEFT(C14,3),LEFT(Data!C:C,3),0))</f>
        <v>0.09</v>
      </c>
      <c r="I14" s="87">
        <f t="shared" si="3"/>
        <v>1</v>
      </c>
      <c r="J14" s="24" t="str">
        <f t="shared" si="4"/>
        <v>0.83</v>
      </c>
      <c r="K14" s="87" t="s">
        <v>174</v>
      </c>
      <c r="L14" s="28">
        <v>4.5999999999999999E-2</v>
      </c>
      <c r="M14" s="88">
        <f t="shared" si="5"/>
        <v>3.8179999999999999E-2</v>
      </c>
      <c r="O14" s="27">
        <f>SUMIFS('Pasted Bridges'!$G:$G,'Pasted Bridges'!$B:$B,$C14,'Pasted Bridges'!$F:$F,O$6)</f>
        <v>2.77</v>
      </c>
      <c r="P14" s="27">
        <f>SUMIFS('Pasted Bridges'!$G:$G,'Pasted Bridges'!$B:$B,$C14,'Pasted Bridges'!$F:$F,P$6)</f>
        <v>0</v>
      </c>
      <c r="Q14" s="27">
        <f>SUMIFS('Pasted Bridges'!$G:$G,'Pasted Bridges'!$B:$B,$C14,'Pasted Bridges'!$F:$F,Q$6)</f>
        <v>0</v>
      </c>
      <c r="R14" s="27">
        <f>SUMIFS('Pasted Bridges'!$G:$G,'Pasted Bridges'!$B:$B,$C14,'Pasted Bridges'!$F:$F,R$6)</f>
        <v>0</v>
      </c>
      <c r="S14" s="27">
        <f>SUMIFS('Pasted Bridges'!$G:$G,'Pasted Bridges'!$B:$B,$C14,'Pasted Bridges'!$F:$F,S$6)</f>
        <v>0</v>
      </c>
      <c r="T14" s="27">
        <f>SUMIFS('Pasted Bridges'!$G:$G,'Pasted Bridges'!$B:$B,$C14,'Pasted Bridges'!$F:$F,T$6)</f>
        <v>0</v>
      </c>
      <c r="U14" s="27">
        <f>SUMIFS('Pasted Bridges'!$G:$G,'Pasted Bridges'!$B:$B,$C14,'Pasted Bridges'!$F:$F,U$6)</f>
        <v>0</v>
      </c>
      <c r="V14" s="27">
        <f>SUMIFS('Pasted Bridges'!$G:$G,'Pasted Bridges'!$B:$B,$C14,'Pasted Bridges'!$F:$F,V$6)</f>
        <v>0</v>
      </c>
      <c r="W14" s="27">
        <f>SUMIFS('Pasted Bridges'!$G:$G,'Pasted Bridges'!$B:$B,$C14,'Pasted Bridges'!$F:$F,W$6)</f>
        <v>0</v>
      </c>
      <c r="X14" s="27">
        <f>SUMIFS('Pasted Bridges'!$G:$G,'Pasted Bridges'!$B:$B,$C14,'Pasted Bridges'!$F:$F,X$6)</f>
        <v>0</v>
      </c>
      <c r="Y14" s="27">
        <f>SUMIFS('Pasted Bridges'!$G:$G,'Pasted Bridges'!$B:$B,$C14,'Pasted Bridges'!$F:$F,Y$6)</f>
        <v>0</v>
      </c>
      <c r="Z14" s="27">
        <f>SUMIFS('Pasted Bridges'!$G:$G,'Pasted Bridges'!$B:$B,$C14,'Pasted Bridges'!$F:$F,Z$6)</f>
        <v>0</v>
      </c>
      <c r="AA14" s="27">
        <f>SUMIFS('Pasted Bridges'!$G:$G,'Pasted Bridges'!$B:$B,$C14,'Pasted Bridges'!$F:$F,AA$6)</f>
        <v>0</v>
      </c>
      <c r="AB14" s="27">
        <f>SUMIFS('Pasted Bridges'!$G:$G,'Pasted Bridges'!$B:$B,$C14,'Pasted Bridges'!$F:$F,AB$6)</f>
        <v>0</v>
      </c>
      <c r="AC14" s="27">
        <f>SUMIFS('Pasted Bridges'!$G:$G,'Pasted Bridges'!$B:$B,$C14,'Pasted Bridges'!$F:$F,AC$6)</f>
        <v>0</v>
      </c>
      <c r="AD14" s="27">
        <f>SUMIFS('Pasted Bridges'!$G:$G,'Pasted Bridges'!$B:$B,$C14,'Pasted Bridges'!$F:$F,AD$6)</f>
        <v>0</v>
      </c>
      <c r="AE14" s="27">
        <f>SUMIFS('Pasted Bridges'!$G:$G,'Pasted Bridges'!$B:$B,$C14,'Pasted Bridges'!$F:$F,AE$6)</f>
        <v>0</v>
      </c>
      <c r="AF14" s="27">
        <f>SUMIFS('Pasted Bridges'!$G:$G,'Pasted Bridges'!$B:$B,$C14,'Pasted Bridges'!$F:$F,AF$6)</f>
        <v>0</v>
      </c>
      <c r="AH14" s="18">
        <f t="shared" si="0"/>
        <v>2.77</v>
      </c>
      <c r="AI14"/>
      <c r="AJ14" s="12" t="str">
        <f t="shared" si="1"/>
        <v>NonGovApprovedScheme</v>
      </c>
      <c r="AK14" s="13" t="str">
        <f t="shared" si="2"/>
        <v>CornerNormal</v>
      </c>
      <c r="AL14" s="13" t="str">
        <f t="shared" si="6"/>
        <v>Shared 1, Shelter 0.83</v>
      </c>
      <c r="AM14" s="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</row>
    <row r="15" spans="2:56" s="7" customFormat="1" x14ac:dyDescent="0.25">
      <c r="B15" s="19"/>
      <c r="C15" s="15" t="str">
        <v>E16 Corner (normal) [S1] [R1]</v>
      </c>
      <c r="E15" s="21" cm="1">
        <f t="array" ref="E15">INDEX(Data!L:L,MATCH(LEFT(C15,3),LEFT(Data!C:C,3),0))</f>
        <v>0.18</v>
      </c>
      <c r="F15" s="21" cm="1">
        <f t="array" ref="F15">INDEX(Data!M:M,MATCH(LEFT(C15,3),LEFT(Data!C:C,3),0))</f>
        <v>0.09</v>
      </c>
      <c r="G15" s="21" cm="1">
        <f t="array" ref="G15">INDEX(Data!N:N,MATCH(LEFT(C15,3),LEFT(Data!C:C,3),0))</f>
        <v>0.09</v>
      </c>
      <c r="I15" s="87">
        <f t="shared" si="3"/>
        <v>1</v>
      </c>
      <c r="J15" s="24" t="str">
        <f t="shared" si="4"/>
        <v>1</v>
      </c>
      <c r="K15" s="87" t="s">
        <v>174</v>
      </c>
      <c r="L15" s="28">
        <v>4.5999999999999999E-2</v>
      </c>
      <c r="M15" s="88">
        <f t="shared" si="5"/>
        <v>4.5999999999999999E-2</v>
      </c>
      <c r="O15" s="27">
        <f>SUMIFS('Pasted Bridges'!$G:$G,'Pasted Bridges'!$B:$B,$C15,'Pasted Bridges'!$F:$F,O$6)</f>
        <v>5.54</v>
      </c>
      <c r="P15" s="27">
        <f>SUMIFS('Pasted Bridges'!$G:$G,'Pasted Bridges'!$B:$B,$C15,'Pasted Bridges'!$F:$F,P$6)</f>
        <v>8.31</v>
      </c>
      <c r="Q15" s="27">
        <f>SUMIFS('Pasted Bridges'!$G:$G,'Pasted Bridges'!$B:$B,$C15,'Pasted Bridges'!$F:$F,Q$6)</f>
        <v>5.54</v>
      </c>
      <c r="R15" s="27">
        <f>SUMIFS('Pasted Bridges'!$G:$G,'Pasted Bridges'!$B:$B,$C15,'Pasted Bridges'!$F:$F,R$6)</f>
        <v>2.77</v>
      </c>
      <c r="S15" s="27">
        <f>SUMIFS('Pasted Bridges'!$G:$G,'Pasted Bridges'!$B:$B,$C15,'Pasted Bridges'!$F:$F,S$6)</f>
        <v>8.31</v>
      </c>
      <c r="T15" s="27">
        <f>SUMIFS('Pasted Bridges'!$G:$G,'Pasted Bridges'!$B:$B,$C15,'Pasted Bridges'!$F:$F,T$6)</f>
        <v>5.54</v>
      </c>
      <c r="U15" s="27">
        <f>SUMIFS('Pasted Bridges'!$G:$G,'Pasted Bridges'!$B:$B,$C15,'Pasted Bridges'!$F:$F,U$6)</f>
        <v>5.54</v>
      </c>
      <c r="V15" s="27">
        <f>SUMIFS('Pasted Bridges'!$G:$G,'Pasted Bridges'!$B:$B,$C15,'Pasted Bridges'!$F:$F,V$6)</f>
        <v>5.54</v>
      </c>
      <c r="W15" s="27">
        <f>SUMIFS('Pasted Bridges'!$G:$G,'Pasted Bridges'!$B:$B,$C15,'Pasted Bridges'!$F:$F,W$6)</f>
        <v>5.54</v>
      </c>
      <c r="X15" s="27">
        <f>SUMIFS('Pasted Bridges'!$G:$G,'Pasted Bridges'!$B:$B,$C15,'Pasted Bridges'!$F:$F,X$6)</f>
        <v>2.77</v>
      </c>
      <c r="Y15" s="27">
        <f>SUMIFS('Pasted Bridges'!$G:$G,'Pasted Bridges'!$B:$B,$C15,'Pasted Bridges'!$F:$F,Y$6)</f>
        <v>8.31</v>
      </c>
      <c r="Z15" s="27">
        <f>SUMIFS('Pasted Bridges'!$G:$G,'Pasted Bridges'!$B:$B,$C15,'Pasted Bridges'!$F:$F,Z$6)</f>
        <v>5.54</v>
      </c>
      <c r="AA15" s="27">
        <f>SUMIFS('Pasted Bridges'!$G:$G,'Pasted Bridges'!$B:$B,$C15,'Pasted Bridges'!$F:$F,AA$6)</f>
        <v>5.72</v>
      </c>
      <c r="AB15" s="27">
        <f>SUMIFS('Pasted Bridges'!$G:$G,'Pasted Bridges'!$B:$B,$C15,'Pasted Bridges'!$F:$F,AB$6)</f>
        <v>5.72</v>
      </c>
      <c r="AC15" s="27">
        <f>SUMIFS('Pasted Bridges'!$G:$G,'Pasted Bridges'!$B:$B,$C15,'Pasted Bridges'!$F:$F,AC$6)</f>
        <v>5.72</v>
      </c>
      <c r="AD15" s="27">
        <f>SUMIFS('Pasted Bridges'!$G:$G,'Pasted Bridges'!$B:$B,$C15,'Pasted Bridges'!$F:$F,AD$6)</f>
        <v>2.86</v>
      </c>
      <c r="AE15" s="27">
        <f>SUMIFS('Pasted Bridges'!$G:$G,'Pasted Bridges'!$B:$B,$C15,'Pasted Bridges'!$F:$F,AE$6)</f>
        <v>8.58</v>
      </c>
      <c r="AF15" s="27">
        <f>SUMIFS('Pasted Bridges'!$G:$G,'Pasted Bridges'!$B:$B,$C15,'Pasted Bridges'!$F:$F,AF$6)</f>
        <v>5.72</v>
      </c>
      <c r="AH15" s="18">
        <f t="shared" si="0"/>
        <v>103.57</v>
      </c>
      <c r="AI15"/>
      <c r="AJ15" s="12" t="str">
        <f t="shared" si="1"/>
        <v>NonGovApprovedScheme</v>
      </c>
      <c r="AK15" s="13" t="str">
        <f t="shared" si="2"/>
        <v>CornerNormal</v>
      </c>
      <c r="AL15" s="13" t="str">
        <f t="shared" si="6"/>
        <v>Shared 1, Shelter 1</v>
      </c>
      <c r="AM15" s="14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</row>
    <row r="16" spans="2:56" s="7" customFormat="1" x14ac:dyDescent="0.25">
      <c r="B16" s="19"/>
      <c r="C16" s="15" t="str">
        <v>E17 Corner (inverted – internal area greater than external area) [S1] [R0.83]</v>
      </c>
      <c r="E16" s="21" cm="1">
        <f t="array" ref="E16">INDEX(Data!L:L,MATCH(LEFT(C16,3),LEFT(Data!C:C,3),0))</f>
        <v>0</v>
      </c>
      <c r="F16" s="21" cm="1">
        <f t="array" ref="F16">INDEX(Data!M:M,MATCH(LEFT(C16,3),LEFT(Data!C:C,3),0))</f>
        <v>-0.09</v>
      </c>
      <c r="G16" s="21" cm="1">
        <f t="array" ref="G16">INDEX(Data!N:N,MATCH(LEFT(C16,3),LEFT(Data!C:C,3),0))</f>
        <v>-0.09</v>
      </c>
      <c r="I16" s="87">
        <f t="shared" si="3"/>
        <v>1</v>
      </c>
      <c r="J16" s="24" t="str">
        <f t="shared" si="4"/>
        <v>0.83</v>
      </c>
      <c r="K16" s="87" t="s">
        <v>174</v>
      </c>
      <c r="L16" s="28">
        <v>-8.7999999999999995E-2</v>
      </c>
      <c r="M16" s="88">
        <f t="shared" si="5"/>
        <v>-7.3039999999999994E-2</v>
      </c>
      <c r="O16" s="27">
        <f>SUMIFS('Pasted Bridges'!$G:$G,'Pasted Bridges'!$B:$B,$C16,'Pasted Bridges'!$F:$F,O$6)</f>
        <v>2.77</v>
      </c>
      <c r="P16" s="27">
        <f>SUMIFS('Pasted Bridges'!$G:$G,'Pasted Bridges'!$B:$B,$C16,'Pasted Bridges'!$F:$F,P$6)</f>
        <v>0</v>
      </c>
      <c r="Q16" s="27">
        <f>SUMIFS('Pasted Bridges'!$G:$G,'Pasted Bridges'!$B:$B,$C16,'Pasted Bridges'!$F:$F,Q$6)</f>
        <v>0</v>
      </c>
      <c r="R16" s="27">
        <f>SUMIFS('Pasted Bridges'!$G:$G,'Pasted Bridges'!$B:$B,$C16,'Pasted Bridges'!$F:$F,R$6)</f>
        <v>0</v>
      </c>
      <c r="S16" s="27">
        <f>SUMIFS('Pasted Bridges'!$G:$G,'Pasted Bridges'!$B:$B,$C16,'Pasted Bridges'!$F:$F,S$6)</f>
        <v>0</v>
      </c>
      <c r="T16" s="27">
        <f>SUMIFS('Pasted Bridges'!$G:$G,'Pasted Bridges'!$B:$B,$C16,'Pasted Bridges'!$F:$F,T$6)</f>
        <v>0</v>
      </c>
      <c r="U16" s="27">
        <f>SUMIFS('Pasted Bridges'!$G:$G,'Pasted Bridges'!$B:$B,$C16,'Pasted Bridges'!$F:$F,U$6)</f>
        <v>0</v>
      </c>
      <c r="V16" s="27">
        <f>SUMIFS('Pasted Bridges'!$G:$G,'Pasted Bridges'!$B:$B,$C16,'Pasted Bridges'!$F:$F,V$6)</f>
        <v>0</v>
      </c>
      <c r="W16" s="27">
        <f>SUMIFS('Pasted Bridges'!$G:$G,'Pasted Bridges'!$B:$B,$C16,'Pasted Bridges'!$F:$F,W$6)</f>
        <v>0</v>
      </c>
      <c r="X16" s="27">
        <f>SUMIFS('Pasted Bridges'!$G:$G,'Pasted Bridges'!$B:$B,$C16,'Pasted Bridges'!$F:$F,X$6)</f>
        <v>0</v>
      </c>
      <c r="Y16" s="27">
        <f>SUMIFS('Pasted Bridges'!$G:$G,'Pasted Bridges'!$B:$B,$C16,'Pasted Bridges'!$F:$F,Y$6)</f>
        <v>0</v>
      </c>
      <c r="Z16" s="27">
        <f>SUMIFS('Pasted Bridges'!$G:$G,'Pasted Bridges'!$B:$B,$C16,'Pasted Bridges'!$F:$F,Z$6)</f>
        <v>0</v>
      </c>
      <c r="AA16" s="27">
        <f>SUMIFS('Pasted Bridges'!$G:$G,'Pasted Bridges'!$B:$B,$C16,'Pasted Bridges'!$F:$F,AA$6)</f>
        <v>0</v>
      </c>
      <c r="AB16" s="27">
        <f>SUMIFS('Pasted Bridges'!$G:$G,'Pasted Bridges'!$B:$B,$C16,'Pasted Bridges'!$F:$F,AB$6)</f>
        <v>0</v>
      </c>
      <c r="AC16" s="27">
        <f>SUMIFS('Pasted Bridges'!$G:$G,'Pasted Bridges'!$B:$B,$C16,'Pasted Bridges'!$F:$F,AC$6)</f>
        <v>0</v>
      </c>
      <c r="AD16" s="27">
        <f>SUMIFS('Pasted Bridges'!$G:$G,'Pasted Bridges'!$B:$B,$C16,'Pasted Bridges'!$F:$F,AD$6)</f>
        <v>0</v>
      </c>
      <c r="AE16" s="27">
        <f>SUMIFS('Pasted Bridges'!$G:$G,'Pasted Bridges'!$B:$B,$C16,'Pasted Bridges'!$F:$F,AE$6)</f>
        <v>0</v>
      </c>
      <c r="AF16" s="27">
        <f>SUMIFS('Pasted Bridges'!$G:$G,'Pasted Bridges'!$B:$B,$C16,'Pasted Bridges'!$F:$F,AF$6)</f>
        <v>0</v>
      </c>
      <c r="AH16" s="18">
        <f t="shared" si="0"/>
        <v>2.77</v>
      </c>
      <c r="AI16"/>
      <c r="AJ16" s="12" t="str">
        <f t="shared" si="1"/>
        <v>NonGovApprovedScheme</v>
      </c>
      <c r="AK16" s="13" t="str">
        <f t="shared" si="2"/>
        <v>CornerInverted</v>
      </c>
      <c r="AL16" s="13" t="str">
        <f t="shared" si="6"/>
        <v>Shared 1, Shelter 0.83</v>
      </c>
      <c r="AM16" s="14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</row>
    <row r="17" spans="2:56" s="7" customFormat="1" x14ac:dyDescent="0.25">
      <c r="B17" s="19"/>
      <c r="C17" s="15" t="str">
        <v>E17 Corner (inverted – internal area greater than external area) [S1] [R1]</v>
      </c>
      <c r="E17" s="21" cm="1">
        <f t="array" ref="E17">INDEX(Data!L:L,MATCH(LEFT(C17,3),LEFT(Data!C:C,3),0))</f>
        <v>0</v>
      </c>
      <c r="F17" s="21" cm="1">
        <f t="array" ref="F17">INDEX(Data!M:M,MATCH(LEFT(C17,3),LEFT(Data!C:C,3),0))</f>
        <v>-0.09</v>
      </c>
      <c r="G17" s="21" cm="1">
        <f t="array" ref="G17">INDEX(Data!N:N,MATCH(LEFT(C17,3),LEFT(Data!C:C,3),0))</f>
        <v>-0.09</v>
      </c>
      <c r="I17" s="87">
        <f t="shared" si="3"/>
        <v>1</v>
      </c>
      <c r="J17" s="24" t="str">
        <f t="shared" ref="J17:J27" si="7">IFERROR(
    MID(C17, FIND("[R", C17) + 2, FIND("]", C17, FIND("[R", C17)) - FIND("[R", C17) - 2),
    "-"
)</f>
        <v>1</v>
      </c>
      <c r="K17" s="87" t="s">
        <v>174</v>
      </c>
      <c r="L17" s="28">
        <v>-8.7999999999999995E-2</v>
      </c>
      <c r="M17" s="88">
        <f t="shared" si="5"/>
        <v>-8.7999999999999995E-2</v>
      </c>
      <c r="O17" s="27">
        <f>SUMIFS('Pasted Bridges'!$G:$G,'Pasted Bridges'!$B:$B,$C17,'Pasted Bridges'!$F:$F,O$6)</f>
        <v>0</v>
      </c>
      <c r="P17" s="27">
        <f>SUMIFS('Pasted Bridges'!$G:$G,'Pasted Bridges'!$B:$B,$C17,'Pasted Bridges'!$F:$F,P$6)</f>
        <v>2.77</v>
      </c>
      <c r="Q17" s="27">
        <f>SUMIFS('Pasted Bridges'!$G:$G,'Pasted Bridges'!$B:$B,$C17,'Pasted Bridges'!$F:$F,Q$6)</f>
        <v>5.54</v>
      </c>
      <c r="R17" s="27">
        <f>SUMIFS('Pasted Bridges'!$G:$G,'Pasted Bridges'!$B:$B,$C17,'Pasted Bridges'!$F:$F,R$6)</f>
        <v>2.77</v>
      </c>
      <c r="S17" s="27">
        <f>SUMIFS('Pasted Bridges'!$G:$G,'Pasted Bridges'!$B:$B,$C17,'Pasted Bridges'!$F:$F,S$6)</f>
        <v>0</v>
      </c>
      <c r="T17" s="27">
        <f>SUMIFS('Pasted Bridges'!$G:$G,'Pasted Bridges'!$B:$B,$C17,'Pasted Bridges'!$F:$F,T$6)</f>
        <v>2.77</v>
      </c>
      <c r="U17" s="27">
        <f>SUMIFS('Pasted Bridges'!$G:$G,'Pasted Bridges'!$B:$B,$C17,'Pasted Bridges'!$F:$F,U$6)</f>
        <v>0</v>
      </c>
      <c r="V17" s="27">
        <f>SUMIFS('Pasted Bridges'!$G:$G,'Pasted Bridges'!$B:$B,$C17,'Pasted Bridges'!$F:$F,V$6)</f>
        <v>2.77</v>
      </c>
      <c r="W17" s="27">
        <f>SUMIFS('Pasted Bridges'!$G:$G,'Pasted Bridges'!$B:$B,$C17,'Pasted Bridges'!$F:$F,W$6)</f>
        <v>5.54</v>
      </c>
      <c r="X17" s="27">
        <f>SUMIFS('Pasted Bridges'!$G:$G,'Pasted Bridges'!$B:$B,$C17,'Pasted Bridges'!$F:$F,X$6)</f>
        <v>2.77</v>
      </c>
      <c r="Y17" s="27">
        <f>SUMIFS('Pasted Bridges'!$G:$G,'Pasted Bridges'!$B:$B,$C17,'Pasted Bridges'!$F:$F,Y$6)</f>
        <v>0</v>
      </c>
      <c r="Z17" s="27">
        <f>SUMIFS('Pasted Bridges'!$G:$G,'Pasted Bridges'!$B:$B,$C17,'Pasted Bridges'!$F:$F,Z$6)</f>
        <v>2.77</v>
      </c>
      <c r="AA17" s="27">
        <f>SUMIFS('Pasted Bridges'!$G:$G,'Pasted Bridges'!$B:$B,$C17,'Pasted Bridges'!$F:$F,AA$6)</f>
        <v>0</v>
      </c>
      <c r="AB17" s="27">
        <f>SUMIFS('Pasted Bridges'!$G:$G,'Pasted Bridges'!$B:$B,$C17,'Pasted Bridges'!$F:$F,AB$6)</f>
        <v>2.86</v>
      </c>
      <c r="AC17" s="27">
        <f>SUMIFS('Pasted Bridges'!$G:$G,'Pasted Bridges'!$B:$B,$C17,'Pasted Bridges'!$F:$F,AC$6)</f>
        <v>5.72</v>
      </c>
      <c r="AD17" s="27">
        <f>SUMIFS('Pasted Bridges'!$G:$G,'Pasted Bridges'!$B:$B,$C17,'Pasted Bridges'!$F:$F,AD$6)</f>
        <v>2.86</v>
      </c>
      <c r="AE17" s="27">
        <f>SUMIFS('Pasted Bridges'!$G:$G,'Pasted Bridges'!$B:$B,$C17,'Pasted Bridges'!$F:$F,AE$6)</f>
        <v>0</v>
      </c>
      <c r="AF17" s="27">
        <f>SUMIFS('Pasted Bridges'!$G:$G,'Pasted Bridges'!$B:$B,$C17,'Pasted Bridges'!$F:$F,AF$6)</f>
        <v>2.86</v>
      </c>
      <c r="AH17" s="18">
        <f t="shared" si="0"/>
        <v>42</v>
      </c>
      <c r="AI17"/>
      <c r="AJ17" s="12" t="str">
        <f t="shared" si="1"/>
        <v>NonGovApprovedScheme</v>
      </c>
      <c r="AK17" s="13" t="str">
        <f t="shared" si="2"/>
        <v>CornerInverted</v>
      </c>
      <c r="AL17" s="13" t="str">
        <f t="shared" si="6"/>
        <v>Shared 1, Shelter 1</v>
      </c>
      <c r="AM17" s="14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</row>
    <row r="18" spans="2:56" s="7" customFormat="1" x14ac:dyDescent="0.25">
      <c r="B18" s="19"/>
      <c r="C18" s="15" t="str">
        <v>E18 Party wall between dwellings [S2] [R1]</v>
      </c>
      <c r="E18" s="21" cm="1">
        <f t="array" ref="E18">INDEX(Data!L:L,MATCH(LEFT(C18,3),LEFT(Data!C:C,3),0))</f>
        <v>0.24</v>
      </c>
      <c r="F18" s="21" cm="1">
        <f t="array" ref="F18">INDEX(Data!M:M,MATCH(LEFT(C18,3),LEFT(Data!C:C,3),0))</f>
        <v>0.12</v>
      </c>
      <c r="G18" s="21" cm="1">
        <f t="array" ref="G18">INDEX(Data!N:N,MATCH(LEFT(C18,3),LEFT(Data!C:C,3),0))</f>
        <v>0.06</v>
      </c>
      <c r="I18" s="87">
        <f t="shared" si="3"/>
        <v>2</v>
      </c>
      <c r="J18" s="24" t="str">
        <f t="shared" si="7"/>
        <v>1</v>
      </c>
      <c r="K18" s="87" t="s">
        <v>174</v>
      </c>
      <c r="L18" s="28">
        <f>0.038*2</f>
        <v>7.5999999999999998E-2</v>
      </c>
      <c r="M18" s="88">
        <f t="shared" si="5"/>
        <v>3.7999999999999999E-2</v>
      </c>
      <c r="O18" s="27">
        <f>SUMIFS('Pasted Bridges'!$G:$G,'Pasted Bridges'!$B:$B,$C18,'Pasted Bridges'!$F:$F,O$6)</f>
        <v>0</v>
      </c>
      <c r="P18" s="27">
        <f>SUMIFS('Pasted Bridges'!$G:$G,'Pasted Bridges'!$B:$B,$C18,'Pasted Bridges'!$F:$F,P$6)</f>
        <v>2.77</v>
      </c>
      <c r="Q18" s="27">
        <f>SUMIFS('Pasted Bridges'!$G:$G,'Pasted Bridges'!$B:$B,$C18,'Pasted Bridges'!$F:$F,Q$6)</f>
        <v>5.54</v>
      </c>
      <c r="R18" s="27">
        <f>SUMIFS('Pasted Bridges'!$G:$G,'Pasted Bridges'!$B:$B,$C18,'Pasted Bridges'!$F:$F,R$6)</f>
        <v>5.46</v>
      </c>
      <c r="S18" s="27">
        <f>SUMIFS('Pasted Bridges'!$G:$G,'Pasted Bridges'!$B:$B,$C18,'Pasted Bridges'!$F:$F,S$6)</f>
        <v>0</v>
      </c>
      <c r="T18" s="27">
        <f>SUMIFS('Pasted Bridges'!$G:$G,'Pasted Bridges'!$B:$B,$C18,'Pasted Bridges'!$F:$F,T$6)</f>
        <v>0</v>
      </c>
      <c r="U18" s="27">
        <f>SUMIFS('Pasted Bridges'!$G:$G,'Pasted Bridges'!$B:$B,$C18,'Pasted Bridges'!$F:$F,U$6)</f>
        <v>2.77</v>
      </c>
      <c r="V18" s="27">
        <f>SUMIFS('Pasted Bridges'!$G:$G,'Pasted Bridges'!$B:$B,$C18,'Pasted Bridges'!$F:$F,V$6)</f>
        <v>5.54</v>
      </c>
      <c r="W18" s="27">
        <f>SUMIFS('Pasted Bridges'!$G:$G,'Pasted Bridges'!$B:$B,$C18,'Pasted Bridges'!$F:$F,W$6)</f>
        <v>5.54</v>
      </c>
      <c r="X18" s="27">
        <f>SUMIFS('Pasted Bridges'!$G:$G,'Pasted Bridges'!$B:$B,$C18,'Pasted Bridges'!$F:$F,X$6)</f>
        <v>2.77</v>
      </c>
      <c r="Y18" s="27">
        <f>SUMIFS('Pasted Bridges'!$G:$G,'Pasted Bridges'!$B:$B,$C18,'Pasted Bridges'!$F:$F,Y$6)</f>
        <v>0</v>
      </c>
      <c r="Z18" s="27">
        <f>SUMIFS('Pasted Bridges'!$G:$G,'Pasted Bridges'!$B:$B,$C18,'Pasted Bridges'!$F:$F,Z$6)</f>
        <v>0</v>
      </c>
      <c r="AA18" s="27">
        <f>SUMIFS('Pasted Bridges'!$G:$G,'Pasted Bridges'!$B:$B,$C18,'Pasted Bridges'!$F:$F,AA$6)</f>
        <v>2.86</v>
      </c>
      <c r="AB18" s="27">
        <f>SUMIFS('Pasted Bridges'!$G:$G,'Pasted Bridges'!$B:$B,$C18,'Pasted Bridges'!$F:$F,AB$6)</f>
        <v>5.72</v>
      </c>
      <c r="AC18" s="27">
        <f>SUMIFS('Pasted Bridges'!$G:$G,'Pasted Bridges'!$B:$B,$C18,'Pasted Bridges'!$F:$F,AC$6)</f>
        <v>5.72</v>
      </c>
      <c r="AD18" s="27">
        <f>SUMIFS('Pasted Bridges'!$G:$G,'Pasted Bridges'!$B:$B,$C18,'Pasted Bridges'!$F:$F,AD$6)</f>
        <v>2.86</v>
      </c>
      <c r="AE18" s="27">
        <f>SUMIFS('Pasted Bridges'!$G:$G,'Pasted Bridges'!$B:$B,$C18,'Pasted Bridges'!$F:$F,AE$6)</f>
        <v>0</v>
      </c>
      <c r="AF18" s="27">
        <f>SUMIFS('Pasted Bridges'!$G:$G,'Pasted Bridges'!$B:$B,$C18,'Pasted Bridges'!$F:$F,AF$6)</f>
        <v>0</v>
      </c>
      <c r="AH18" s="18">
        <f t="shared" si="0"/>
        <v>47.55</v>
      </c>
      <c r="AI18"/>
      <c r="AJ18" s="12" t="str">
        <f t="shared" si="1"/>
        <v>NonGovApprovedScheme</v>
      </c>
      <c r="AK18" s="13" t="str">
        <f t="shared" si="2"/>
        <v>PartyWall</v>
      </c>
      <c r="AL18" s="13" t="str">
        <f t="shared" si="6"/>
        <v>Shared 2, Shelter 1</v>
      </c>
      <c r="AM18" s="14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</row>
    <row r="19" spans="2:56" s="7" customFormat="1" x14ac:dyDescent="0.25">
      <c r="B19" s="19"/>
      <c r="C19" s="15" t="str">
        <v>E20 Exposed floor (normal) [S1] [R0.83]</v>
      </c>
      <c r="E19" s="21" cm="1">
        <f t="array" ref="E19">INDEX(Data!L:L,MATCH(LEFT(C19,3),LEFT(Data!C:C,3),0))</f>
        <v>0.32</v>
      </c>
      <c r="F19" s="21" t="str" cm="1">
        <f t="array" ref="F19">INDEX(Data!M:M,MATCH(LEFT(C19,3),LEFT(Data!C:C,3),0))</f>
        <v>-</v>
      </c>
      <c r="G19" s="21" cm="1">
        <f t="array" ref="G19">INDEX(Data!N:N,MATCH(LEFT(C19,3),LEFT(Data!C:C,3),0))</f>
        <v>0.32</v>
      </c>
      <c r="I19" s="87">
        <f t="shared" si="3"/>
        <v>1</v>
      </c>
      <c r="J19" s="24" t="str">
        <f t="shared" si="7"/>
        <v>0.83</v>
      </c>
      <c r="K19" s="87" t="s">
        <v>48</v>
      </c>
      <c r="L19" s="89">
        <f t="shared" ref="L19:L24" si="8">E19</f>
        <v>0.32</v>
      </c>
      <c r="M19" s="88">
        <f t="shared" si="5"/>
        <v>0.2656</v>
      </c>
      <c r="O19" s="27">
        <f>SUMIFS('Pasted Bridges'!$G:$G,'Pasted Bridges'!$B:$B,$C19,'Pasted Bridges'!$F:$F,O$6)</f>
        <v>0</v>
      </c>
      <c r="P19" s="27">
        <f>SUMIFS('Pasted Bridges'!$G:$G,'Pasted Bridges'!$B:$B,$C19,'Pasted Bridges'!$F:$F,P$6)</f>
        <v>0</v>
      </c>
      <c r="Q19" s="27">
        <f>SUMIFS('Pasted Bridges'!$G:$G,'Pasted Bridges'!$B:$B,$C19,'Pasted Bridges'!$F:$F,Q$6)</f>
        <v>0</v>
      </c>
      <c r="R19" s="27">
        <f>SUMIFS('Pasted Bridges'!$G:$G,'Pasted Bridges'!$B:$B,$C19,'Pasted Bridges'!$F:$F,R$6)</f>
        <v>0</v>
      </c>
      <c r="S19" s="27">
        <f>SUMIFS('Pasted Bridges'!$G:$G,'Pasted Bridges'!$B:$B,$C19,'Pasted Bridges'!$F:$F,S$6)</f>
        <v>0</v>
      </c>
      <c r="T19" s="27">
        <f>SUMIFS('Pasted Bridges'!$G:$G,'Pasted Bridges'!$B:$B,$C19,'Pasted Bridges'!$F:$F,T$6)</f>
        <v>0</v>
      </c>
      <c r="U19" s="27">
        <f>SUMIFS('Pasted Bridges'!$G:$G,'Pasted Bridges'!$B:$B,$C19,'Pasted Bridges'!$F:$F,U$6)</f>
        <v>2.31</v>
      </c>
      <c r="V19" s="27">
        <f>SUMIFS('Pasted Bridges'!$G:$G,'Pasted Bridges'!$B:$B,$C19,'Pasted Bridges'!$F:$F,V$6)</f>
        <v>0</v>
      </c>
      <c r="W19" s="27">
        <f>SUMIFS('Pasted Bridges'!$G:$G,'Pasted Bridges'!$B:$B,$C19,'Pasted Bridges'!$F:$F,W$6)</f>
        <v>0</v>
      </c>
      <c r="X19" s="27">
        <f>SUMIFS('Pasted Bridges'!$G:$G,'Pasted Bridges'!$B:$B,$C19,'Pasted Bridges'!$F:$F,X$6)</f>
        <v>0</v>
      </c>
      <c r="Y19" s="27">
        <f>SUMIFS('Pasted Bridges'!$G:$G,'Pasted Bridges'!$B:$B,$C19,'Pasted Bridges'!$F:$F,Y$6)</f>
        <v>0</v>
      </c>
      <c r="Z19" s="27">
        <f>SUMIFS('Pasted Bridges'!$G:$G,'Pasted Bridges'!$B:$B,$C19,'Pasted Bridges'!$F:$F,Z$6)</f>
        <v>0</v>
      </c>
      <c r="AA19" s="27">
        <f>SUMIFS('Pasted Bridges'!$G:$G,'Pasted Bridges'!$B:$B,$C19,'Pasted Bridges'!$F:$F,AA$6)</f>
        <v>0</v>
      </c>
      <c r="AB19" s="27">
        <f>SUMIFS('Pasted Bridges'!$G:$G,'Pasted Bridges'!$B:$B,$C19,'Pasted Bridges'!$F:$F,AB$6)</f>
        <v>0</v>
      </c>
      <c r="AC19" s="27">
        <f>SUMIFS('Pasted Bridges'!$G:$G,'Pasted Bridges'!$B:$B,$C19,'Pasted Bridges'!$F:$F,AC$6)</f>
        <v>0</v>
      </c>
      <c r="AD19" s="27">
        <f>SUMIFS('Pasted Bridges'!$G:$G,'Pasted Bridges'!$B:$B,$C19,'Pasted Bridges'!$F:$F,AD$6)</f>
        <v>0</v>
      </c>
      <c r="AE19" s="27">
        <f>SUMIFS('Pasted Bridges'!$G:$G,'Pasted Bridges'!$B:$B,$C19,'Pasted Bridges'!$F:$F,AE$6)</f>
        <v>0</v>
      </c>
      <c r="AF19" s="27">
        <f>SUMIFS('Pasted Bridges'!$G:$G,'Pasted Bridges'!$B:$B,$C19,'Pasted Bridges'!$F:$F,AF$6)</f>
        <v>0</v>
      </c>
      <c r="AH19" s="18">
        <f t="shared" si="0"/>
        <v>2.31</v>
      </c>
      <c r="AI19"/>
      <c r="AJ19" s="12" t="str">
        <f t="shared" si="1"/>
        <v>TableK1Default</v>
      </c>
      <c r="AK19" s="13" t="str">
        <f t="shared" si="2"/>
        <v>ExposedFloorNormal</v>
      </c>
      <c r="AL19" s="13" t="str">
        <f t="shared" si="6"/>
        <v>Shared 1, Shelter 0.83</v>
      </c>
      <c r="AM19" s="14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</row>
    <row r="20" spans="2:56" s="7" customFormat="1" x14ac:dyDescent="0.25">
      <c r="B20" s="19"/>
      <c r="C20" s="15" t="str">
        <v>E20 Exposed floor (normal) [S1] [R1]</v>
      </c>
      <c r="E20" s="21" cm="1">
        <f t="array" ref="E20">INDEX(Data!L:L,MATCH(LEFT(C20,3),LEFT(Data!C:C,3),0))</f>
        <v>0.32</v>
      </c>
      <c r="F20" s="21" t="str" cm="1">
        <f t="array" ref="F20">INDEX(Data!M:M,MATCH(LEFT(C20,3),LEFT(Data!C:C,3),0))</f>
        <v>-</v>
      </c>
      <c r="G20" s="21" cm="1">
        <f t="array" ref="G20">INDEX(Data!N:N,MATCH(LEFT(C20,3),LEFT(Data!C:C,3),0))</f>
        <v>0.32</v>
      </c>
      <c r="I20" s="87">
        <f t="shared" si="3"/>
        <v>1</v>
      </c>
      <c r="J20" s="24" t="str">
        <f t="shared" si="7"/>
        <v>1</v>
      </c>
      <c r="K20" s="87" t="s">
        <v>48</v>
      </c>
      <c r="L20" s="89">
        <f t="shared" si="8"/>
        <v>0.32</v>
      </c>
      <c r="M20" s="88">
        <f t="shared" si="5"/>
        <v>0.32</v>
      </c>
      <c r="O20" s="27">
        <f>SUMIFS('Pasted Bridges'!$G:$G,'Pasted Bridges'!$B:$B,$C20,'Pasted Bridges'!$F:$F,O$6)</f>
        <v>0</v>
      </c>
      <c r="P20" s="27">
        <f>SUMIFS('Pasted Bridges'!$G:$G,'Pasted Bridges'!$B:$B,$C20,'Pasted Bridges'!$F:$F,P$6)</f>
        <v>0</v>
      </c>
      <c r="Q20" s="27">
        <f>SUMIFS('Pasted Bridges'!$G:$G,'Pasted Bridges'!$B:$B,$C20,'Pasted Bridges'!$F:$F,Q$6)</f>
        <v>0</v>
      </c>
      <c r="R20" s="27">
        <f>SUMIFS('Pasted Bridges'!$G:$G,'Pasted Bridges'!$B:$B,$C20,'Pasted Bridges'!$F:$F,R$6)</f>
        <v>0</v>
      </c>
      <c r="S20" s="27">
        <f>SUMIFS('Pasted Bridges'!$G:$G,'Pasted Bridges'!$B:$B,$C20,'Pasted Bridges'!$F:$F,S$6)</f>
        <v>0</v>
      </c>
      <c r="T20" s="27">
        <f>SUMIFS('Pasted Bridges'!$G:$G,'Pasted Bridges'!$B:$B,$C20,'Pasted Bridges'!$F:$F,T$6)</f>
        <v>0</v>
      </c>
      <c r="U20" s="27">
        <f>SUMIFS('Pasted Bridges'!$G:$G,'Pasted Bridges'!$B:$B,$C20,'Pasted Bridges'!$F:$F,U$6)</f>
        <v>1.98</v>
      </c>
      <c r="V20" s="27">
        <f>SUMIFS('Pasted Bridges'!$G:$G,'Pasted Bridges'!$B:$B,$C20,'Pasted Bridges'!$F:$F,V$6)</f>
        <v>0</v>
      </c>
      <c r="W20" s="27">
        <f>SUMIFS('Pasted Bridges'!$G:$G,'Pasted Bridges'!$B:$B,$C20,'Pasted Bridges'!$F:$F,W$6)</f>
        <v>0</v>
      </c>
      <c r="X20" s="27">
        <f>SUMIFS('Pasted Bridges'!$G:$G,'Pasted Bridges'!$B:$B,$C20,'Pasted Bridges'!$F:$F,X$6)</f>
        <v>0</v>
      </c>
      <c r="Y20" s="27">
        <f>SUMIFS('Pasted Bridges'!$G:$G,'Pasted Bridges'!$B:$B,$C20,'Pasted Bridges'!$F:$F,Y$6)</f>
        <v>0</v>
      </c>
      <c r="Z20" s="27">
        <f>SUMIFS('Pasted Bridges'!$G:$G,'Pasted Bridges'!$B:$B,$C20,'Pasted Bridges'!$F:$F,Z$6)</f>
        <v>0</v>
      </c>
      <c r="AA20" s="27">
        <f>SUMIFS('Pasted Bridges'!$G:$G,'Pasted Bridges'!$B:$B,$C20,'Pasted Bridges'!$F:$F,AA$6)</f>
        <v>0</v>
      </c>
      <c r="AB20" s="27">
        <f>SUMIFS('Pasted Bridges'!$G:$G,'Pasted Bridges'!$B:$B,$C20,'Pasted Bridges'!$F:$F,AB$6)</f>
        <v>0</v>
      </c>
      <c r="AC20" s="27">
        <f>SUMIFS('Pasted Bridges'!$G:$G,'Pasted Bridges'!$B:$B,$C20,'Pasted Bridges'!$F:$F,AC$6)</f>
        <v>0</v>
      </c>
      <c r="AD20" s="27">
        <f>SUMIFS('Pasted Bridges'!$G:$G,'Pasted Bridges'!$B:$B,$C20,'Pasted Bridges'!$F:$F,AD$6)</f>
        <v>0</v>
      </c>
      <c r="AE20" s="27">
        <f>SUMIFS('Pasted Bridges'!$G:$G,'Pasted Bridges'!$B:$B,$C20,'Pasted Bridges'!$F:$F,AE$6)</f>
        <v>0</v>
      </c>
      <c r="AF20" s="27">
        <f>SUMIFS('Pasted Bridges'!$G:$G,'Pasted Bridges'!$B:$B,$C20,'Pasted Bridges'!$F:$F,AF$6)</f>
        <v>0</v>
      </c>
      <c r="AH20" s="18">
        <f t="shared" si="0"/>
        <v>1.98</v>
      </c>
      <c r="AI20"/>
      <c r="AJ20" s="12" t="str">
        <f t="shared" si="1"/>
        <v>TableK1Default</v>
      </c>
      <c r="AK20" s="13" t="str">
        <f t="shared" si="2"/>
        <v>ExposedFloorNormal</v>
      </c>
      <c r="AL20" s="13" t="str">
        <f t="shared" si="6"/>
        <v>Shared 1, Shelter 1</v>
      </c>
      <c r="AM20" s="14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</row>
    <row r="21" spans="2:56" s="7" customFormat="1" x14ac:dyDescent="0.25">
      <c r="B21" s="19"/>
      <c r="C21" s="15" t="str">
        <v>E21 Exposed floor (inverted) [S2] [R1]</v>
      </c>
      <c r="E21" s="21" cm="1">
        <f t="array" ref="E21">INDEX(Data!L:L,MATCH(LEFT(C21,3),LEFT(Data!C:C,3),0))</f>
        <v>0.32</v>
      </c>
      <c r="F21" s="21" t="str" cm="1">
        <f t="array" ref="F21">INDEX(Data!M:M,MATCH(LEFT(C21,3),LEFT(Data!C:C,3),0))</f>
        <v>-</v>
      </c>
      <c r="G21" s="21" cm="1">
        <f t="array" ref="G21">INDEX(Data!N:N,MATCH(LEFT(C21,3),LEFT(Data!C:C,3),0))</f>
        <v>0.32</v>
      </c>
      <c r="I21" s="87">
        <f t="shared" si="3"/>
        <v>2</v>
      </c>
      <c r="J21" s="24" t="str">
        <f t="shared" si="7"/>
        <v>1</v>
      </c>
      <c r="K21" s="87" t="s">
        <v>48</v>
      </c>
      <c r="L21" s="89">
        <f t="shared" si="8"/>
        <v>0.32</v>
      </c>
      <c r="M21" s="88">
        <f t="shared" si="5"/>
        <v>0.16</v>
      </c>
      <c r="O21" s="27">
        <f>SUMIFS('Pasted Bridges'!$G:$G,'Pasted Bridges'!$B:$B,$C21,'Pasted Bridges'!$F:$F,O$6)</f>
        <v>0</v>
      </c>
      <c r="P21" s="27">
        <f>SUMIFS('Pasted Bridges'!$G:$G,'Pasted Bridges'!$B:$B,$C21,'Pasted Bridges'!$F:$F,P$6)</f>
        <v>0</v>
      </c>
      <c r="Q21" s="27">
        <f>SUMIFS('Pasted Bridges'!$G:$G,'Pasted Bridges'!$B:$B,$C21,'Pasted Bridges'!$F:$F,Q$6)</f>
        <v>0</v>
      </c>
      <c r="R21" s="27">
        <f>SUMIFS('Pasted Bridges'!$G:$G,'Pasted Bridges'!$B:$B,$C21,'Pasted Bridges'!$F:$F,R$6)</f>
        <v>0</v>
      </c>
      <c r="S21" s="27">
        <f>SUMIFS('Pasted Bridges'!$G:$G,'Pasted Bridges'!$B:$B,$C21,'Pasted Bridges'!$F:$F,S$6)</f>
        <v>0</v>
      </c>
      <c r="T21" s="27">
        <f>SUMIFS('Pasted Bridges'!$G:$G,'Pasted Bridges'!$B:$B,$C21,'Pasted Bridges'!$F:$F,T$6)</f>
        <v>0</v>
      </c>
      <c r="U21" s="27">
        <f>SUMIFS('Pasted Bridges'!$G:$G,'Pasted Bridges'!$B:$B,$C21,'Pasted Bridges'!$F:$F,U$6)</f>
        <v>2.0499999999999998</v>
      </c>
      <c r="V21" s="27">
        <f>SUMIFS('Pasted Bridges'!$G:$G,'Pasted Bridges'!$B:$B,$C21,'Pasted Bridges'!$F:$F,V$6)</f>
        <v>0</v>
      </c>
      <c r="W21" s="27">
        <f>SUMIFS('Pasted Bridges'!$G:$G,'Pasted Bridges'!$B:$B,$C21,'Pasted Bridges'!$F:$F,W$6)</f>
        <v>0</v>
      </c>
      <c r="X21" s="27">
        <f>SUMIFS('Pasted Bridges'!$G:$G,'Pasted Bridges'!$B:$B,$C21,'Pasted Bridges'!$F:$F,X$6)</f>
        <v>0</v>
      </c>
      <c r="Y21" s="27">
        <f>SUMIFS('Pasted Bridges'!$G:$G,'Pasted Bridges'!$B:$B,$C21,'Pasted Bridges'!$F:$F,Y$6)</f>
        <v>0</v>
      </c>
      <c r="Z21" s="27">
        <f>SUMIFS('Pasted Bridges'!$G:$G,'Pasted Bridges'!$B:$B,$C21,'Pasted Bridges'!$F:$F,Z$6)</f>
        <v>0</v>
      </c>
      <c r="AA21" s="27">
        <f>SUMIFS('Pasted Bridges'!$G:$G,'Pasted Bridges'!$B:$B,$C21,'Pasted Bridges'!$F:$F,AA$6)</f>
        <v>0</v>
      </c>
      <c r="AB21" s="27">
        <f>SUMIFS('Pasted Bridges'!$G:$G,'Pasted Bridges'!$B:$B,$C21,'Pasted Bridges'!$F:$F,AB$6)</f>
        <v>0</v>
      </c>
      <c r="AC21" s="27">
        <f>SUMIFS('Pasted Bridges'!$G:$G,'Pasted Bridges'!$B:$B,$C21,'Pasted Bridges'!$F:$F,AC$6)</f>
        <v>0</v>
      </c>
      <c r="AD21" s="27">
        <f>SUMIFS('Pasted Bridges'!$G:$G,'Pasted Bridges'!$B:$B,$C21,'Pasted Bridges'!$F:$F,AD$6)</f>
        <v>0</v>
      </c>
      <c r="AE21" s="27">
        <f>SUMIFS('Pasted Bridges'!$G:$G,'Pasted Bridges'!$B:$B,$C21,'Pasted Bridges'!$F:$F,AE$6)</f>
        <v>0</v>
      </c>
      <c r="AF21" s="27">
        <f>SUMIFS('Pasted Bridges'!$G:$G,'Pasted Bridges'!$B:$B,$C21,'Pasted Bridges'!$F:$F,AF$6)</f>
        <v>0</v>
      </c>
      <c r="AH21" s="18">
        <f t="shared" si="0"/>
        <v>2.0499999999999998</v>
      </c>
      <c r="AI21"/>
      <c r="AJ21" s="12" t="str">
        <f t="shared" si="1"/>
        <v>TableK1Default</v>
      </c>
      <c r="AK21" s="13" t="str">
        <f t="shared" si="2"/>
        <v>ExposedFloorInverted</v>
      </c>
      <c r="AL21" s="13" t="str">
        <f t="shared" si="6"/>
        <v>Shared 2, Shelter 1</v>
      </c>
      <c r="AM21" s="14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</row>
    <row r="22" spans="2:56" s="7" customFormat="1" x14ac:dyDescent="0.25">
      <c r="B22" s="19"/>
      <c r="C22" s="15" t="str">
        <v>E24 Eaves (insulation at ceiling level - inverted) [S2] [R1]</v>
      </c>
      <c r="E22" s="21" cm="1">
        <f t="array" ref="E22">INDEX(Data!L:L,MATCH(LEFT(C22,3),LEFT(Data!C:C,3),0))</f>
        <v>0.15</v>
      </c>
      <c r="F22" s="21" t="str" cm="1">
        <f t="array" ref="F22">INDEX(Data!M:M,MATCH(LEFT(C22,3),LEFT(Data!C:C,3),0))</f>
        <v>-</v>
      </c>
      <c r="G22" s="21" cm="1">
        <f t="array" ref="G22">INDEX(Data!N:N,MATCH(LEFT(C22,3),LEFT(Data!C:C,3),0))</f>
        <v>0.24</v>
      </c>
      <c r="I22" s="87">
        <f t="shared" si="3"/>
        <v>2</v>
      </c>
      <c r="J22" s="24" t="str">
        <f t="shared" si="7"/>
        <v>1</v>
      </c>
      <c r="K22" s="87" t="s">
        <v>48</v>
      </c>
      <c r="L22" s="89">
        <f t="shared" si="8"/>
        <v>0.15</v>
      </c>
      <c r="M22" s="88">
        <f t="shared" si="5"/>
        <v>7.4999999999999997E-2</v>
      </c>
      <c r="O22" s="27">
        <f>SUMIFS('Pasted Bridges'!$G:$G,'Pasted Bridges'!$B:$B,$C22,'Pasted Bridges'!$F:$F,O$6)</f>
        <v>0</v>
      </c>
      <c r="P22" s="27">
        <f>SUMIFS('Pasted Bridges'!$G:$G,'Pasted Bridges'!$B:$B,$C22,'Pasted Bridges'!$F:$F,P$6)</f>
        <v>0</v>
      </c>
      <c r="Q22" s="27">
        <f>SUMIFS('Pasted Bridges'!$G:$G,'Pasted Bridges'!$B:$B,$C22,'Pasted Bridges'!$F:$F,Q$6)</f>
        <v>0</v>
      </c>
      <c r="R22" s="27">
        <f>SUMIFS('Pasted Bridges'!$G:$G,'Pasted Bridges'!$B:$B,$C22,'Pasted Bridges'!$F:$F,R$6)</f>
        <v>0</v>
      </c>
      <c r="S22" s="27">
        <f>SUMIFS('Pasted Bridges'!$G:$G,'Pasted Bridges'!$B:$B,$C22,'Pasted Bridges'!$F:$F,S$6)</f>
        <v>0</v>
      </c>
      <c r="T22" s="27">
        <f>SUMIFS('Pasted Bridges'!$G:$G,'Pasted Bridges'!$B:$B,$C22,'Pasted Bridges'!$F:$F,T$6)</f>
        <v>0</v>
      </c>
      <c r="U22" s="27">
        <f>SUMIFS('Pasted Bridges'!$G:$G,'Pasted Bridges'!$B:$B,$C22,'Pasted Bridges'!$F:$F,U$6)</f>
        <v>5.18</v>
      </c>
      <c r="V22" s="27">
        <f>SUMIFS('Pasted Bridges'!$G:$G,'Pasted Bridges'!$B:$B,$C22,'Pasted Bridges'!$F:$F,V$6)</f>
        <v>0</v>
      </c>
      <c r="W22" s="27">
        <f>SUMIFS('Pasted Bridges'!$G:$G,'Pasted Bridges'!$B:$B,$C22,'Pasted Bridges'!$F:$F,W$6)</f>
        <v>0</v>
      </c>
      <c r="X22" s="27">
        <f>SUMIFS('Pasted Bridges'!$G:$G,'Pasted Bridges'!$B:$B,$C22,'Pasted Bridges'!$F:$F,X$6)</f>
        <v>0</v>
      </c>
      <c r="Y22" s="27">
        <f>SUMIFS('Pasted Bridges'!$G:$G,'Pasted Bridges'!$B:$B,$C22,'Pasted Bridges'!$F:$F,Y$6)</f>
        <v>0</v>
      </c>
      <c r="Z22" s="27">
        <f>SUMIFS('Pasted Bridges'!$G:$G,'Pasted Bridges'!$B:$B,$C22,'Pasted Bridges'!$F:$F,Z$6)</f>
        <v>0</v>
      </c>
      <c r="AA22" s="27">
        <f>SUMIFS('Pasted Bridges'!$G:$G,'Pasted Bridges'!$B:$B,$C22,'Pasted Bridges'!$F:$F,AA$6)</f>
        <v>0</v>
      </c>
      <c r="AB22" s="27">
        <f>SUMIFS('Pasted Bridges'!$G:$G,'Pasted Bridges'!$B:$B,$C22,'Pasted Bridges'!$F:$F,AB$6)</f>
        <v>0</v>
      </c>
      <c r="AC22" s="27">
        <f>SUMIFS('Pasted Bridges'!$G:$G,'Pasted Bridges'!$B:$B,$C22,'Pasted Bridges'!$F:$F,AC$6)</f>
        <v>0</v>
      </c>
      <c r="AD22" s="27">
        <f>SUMIFS('Pasted Bridges'!$G:$G,'Pasted Bridges'!$B:$B,$C22,'Pasted Bridges'!$F:$F,AD$6)</f>
        <v>0</v>
      </c>
      <c r="AE22" s="27">
        <f>SUMIFS('Pasted Bridges'!$G:$G,'Pasted Bridges'!$B:$B,$C22,'Pasted Bridges'!$F:$F,AE$6)</f>
        <v>0</v>
      </c>
      <c r="AF22" s="27">
        <f>SUMIFS('Pasted Bridges'!$G:$G,'Pasted Bridges'!$B:$B,$C22,'Pasted Bridges'!$F:$F,AF$6)</f>
        <v>0</v>
      </c>
      <c r="AH22" s="18">
        <f t="shared" si="0"/>
        <v>5.18</v>
      </c>
      <c r="AI22"/>
      <c r="AJ22" s="12" t="str">
        <f t="shared" si="1"/>
        <v>TableK1Default</v>
      </c>
      <c r="AK22" s="13" t="str">
        <f t="shared" si="2"/>
        <v>EavesAtCeilingInverted</v>
      </c>
      <c r="AL22" s="13" t="str">
        <f t="shared" si="6"/>
        <v>Shared 2, Shelter 1</v>
      </c>
      <c r="AM22" s="14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</row>
    <row r="23" spans="2:56" s="7" customFormat="1" x14ac:dyDescent="0.25">
      <c r="B23" s="19"/>
      <c r="C23" s="15" t="str">
        <v>E25 Staggered party wall between dwellings [S2] [R0.83]</v>
      </c>
      <c r="E23" s="21" cm="1">
        <f t="array" ref="E23">INDEX(Data!L:L,MATCH(LEFT(C23,3),LEFT(Data!C:C,3),0))</f>
        <v>0.24</v>
      </c>
      <c r="F23" s="21" t="str" cm="1">
        <f t="array" ref="F23">INDEX(Data!M:M,MATCH(LEFT(C23,3),LEFT(Data!C:C,3),0))</f>
        <v>-</v>
      </c>
      <c r="G23" s="21" cm="1">
        <f t="array" ref="G23">INDEX(Data!N:N,MATCH(LEFT(C23,3),LEFT(Data!C:C,3),0))</f>
        <v>0.06</v>
      </c>
      <c r="I23" s="87">
        <f t="shared" si="3"/>
        <v>2</v>
      </c>
      <c r="J23" s="24" t="str">
        <f t="shared" si="7"/>
        <v>0.83</v>
      </c>
      <c r="K23" s="87" t="s">
        <v>48</v>
      </c>
      <c r="L23" s="89">
        <f t="shared" si="8"/>
        <v>0.24</v>
      </c>
      <c r="M23" s="88">
        <f t="shared" si="5"/>
        <v>9.9599999999999994E-2</v>
      </c>
      <c r="O23" s="27">
        <f>SUMIFS('Pasted Bridges'!$G:$G,'Pasted Bridges'!$B:$B,$C23,'Pasted Bridges'!$F:$F,O$6)</f>
        <v>2.77</v>
      </c>
      <c r="P23" s="27">
        <f>SUMIFS('Pasted Bridges'!$G:$G,'Pasted Bridges'!$B:$B,$C23,'Pasted Bridges'!$F:$F,P$6)</f>
        <v>0</v>
      </c>
      <c r="Q23" s="27">
        <f>SUMIFS('Pasted Bridges'!$G:$G,'Pasted Bridges'!$B:$B,$C23,'Pasted Bridges'!$F:$F,Q$6)</f>
        <v>0</v>
      </c>
      <c r="R23" s="27">
        <f>SUMIFS('Pasted Bridges'!$G:$G,'Pasted Bridges'!$B:$B,$C23,'Pasted Bridges'!$F:$F,R$6)</f>
        <v>0</v>
      </c>
      <c r="S23" s="27">
        <f>SUMIFS('Pasted Bridges'!$G:$G,'Pasted Bridges'!$B:$B,$C23,'Pasted Bridges'!$F:$F,S$6)</f>
        <v>0</v>
      </c>
      <c r="T23" s="27">
        <f>SUMIFS('Pasted Bridges'!$G:$G,'Pasted Bridges'!$B:$B,$C23,'Pasted Bridges'!$F:$F,T$6)</f>
        <v>0</v>
      </c>
      <c r="U23" s="27">
        <f>SUMIFS('Pasted Bridges'!$G:$G,'Pasted Bridges'!$B:$B,$C23,'Pasted Bridges'!$F:$F,U$6)</f>
        <v>0</v>
      </c>
      <c r="V23" s="27">
        <f>SUMIFS('Pasted Bridges'!$G:$G,'Pasted Bridges'!$B:$B,$C23,'Pasted Bridges'!$F:$F,V$6)</f>
        <v>0</v>
      </c>
      <c r="W23" s="27">
        <f>SUMIFS('Pasted Bridges'!$G:$G,'Pasted Bridges'!$B:$B,$C23,'Pasted Bridges'!$F:$F,W$6)</f>
        <v>0</v>
      </c>
      <c r="X23" s="27">
        <f>SUMIFS('Pasted Bridges'!$G:$G,'Pasted Bridges'!$B:$B,$C23,'Pasted Bridges'!$F:$F,X$6)</f>
        <v>0</v>
      </c>
      <c r="Y23" s="27">
        <f>SUMIFS('Pasted Bridges'!$G:$G,'Pasted Bridges'!$B:$B,$C23,'Pasted Bridges'!$F:$F,Y$6)</f>
        <v>0</v>
      </c>
      <c r="Z23" s="27">
        <f>SUMIFS('Pasted Bridges'!$G:$G,'Pasted Bridges'!$B:$B,$C23,'Pasted Bridges'!$F:$F,Z$6)</f>
        <v>0</v>
      </c>
      <c r="AA23" s="27">
        <f>SUMIFS('Pasted Bridges'!$G:$G,'Pasted Bridges'!$B:$B,$C23,'Pasted Bridges'!$F:$F,AA$6)</f>
        <v>0</v>
      </c>
      <c r="AB23" s="27">
        <f>SUMIFS('Pasted Bridges'!$G:$G,'Pasted Bridges'!$B:$B,$C23,'Pasted Bridges'!$F:$F,AB$6)</f>
        <v>0</v>
      </c>
      <c r="AC23" s="27">
        <f>SUMIFS('Pasted Bridges'!$G:$G,'Pasted Bridges'!$B:$B,$C23,'Pasted Bridges'!$F:$F,AC$6)</f>
        <v>0</v>
      </c>
      <c r="AD23" s="27">
        <f>SUMIFS('Pasted Bridges'!$G:$G,'Pasted Bridges'!$B:$B,$C23,'Pasted Bridges'!$F:$F,AD$6)</f>
        <v>0</v>
      </c>
      <c r="AE23" s="27">
        <f>SUMIFS('Pasted Bridges'!$G:$G,'Pasted Bridges'!$B:$B,$C23,'Pasted Bridges'!$F:$F,AE$6)</f>
        <v>0</v>
      </c>
      <c r="AF23" s="27">
        <f>SUMIFS('Pasted Bridges'!$G:$G,'Pasted Bridges'!$B:$B,$C23,'Pasted Bridges'!$F:$F,AF$6)</f>
        <v>0</v>
      </c>
      <c r="AH23" s="18">
        <f t="shared" si="0"/>
        <v>2.77</v>
      </c>
      <c r="AI23"/>
      <c r="AJ23" s="12" t="str">
        <f t="shared" si="1"/>
        <v>TableK1Default</v>
      </c>
      <c r="AK23" s="13" t="str">
        <f t="shared" si="2"/>
        <v>StaggeredPart</v>
      </c>
      <c r="AL23" s="13" t="str">
        <f t="shared" si="6"/>
        <v>Shared 2, Shelter 0.83</v>
      </c>
      <c r="AM23" s="14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</row>
    <row r="24" spans="2:56" s="7" customFormat="1" x14ac:dyDescent="0.25">
      <c r="B24" s="19"/>
      <c r="C24" s="15" t="str">
        <v>E25 Staggered party wall between dwellings [S2] [R1]</v>
      </c>
      <c r="E24" s="21" cm="1">
        <f t="array" ref="E24">INDEX(Data!L:L,MATCH(LEFT(C24,3),LEFT(Data!C:C,3),0))</f>
        <v>0.24</v>
      </c>
      <c r="F24" s="21" t="str" cm="1">
        <f t="array" ref="F24">INDEX(Data!M:M,MATCH(LEFT(C24,3),LEFT(Data!C:C,3),0))</f>
        <v>-</v>
      </c>
      <c r="G24" s="21" cm="1">
        <f t="array" ref="G24">INDEX(Data!N:N,MATCH(LEFT(C24,3),LEFT(Data!C:C,3),0))</f>
        <v>0.06</v>
      </c>
      <c r="I24" s="87">
        <f t="shared" si="3"/>
        <v>2</v>
      </c>
      <c r="J24" s="24" t="str">
        <f t="shared" si="7"/>
        <v>1</v>
      </c>
      <c r="K24" s="87" t="s">
        <v>48</v>
      </c>
      <c r="L24" s="89">
        <f t="shared" si="8"/>
        <v>0.24</v>
      </c>
      <c r="M24" s="88">
        <f t="shared" si="5"/>
        <v>0.12</v>
      </c>
      <c r="O24" s="27">
        <f>SUMIFS('Pasted Bridges'!$G:$G,'Pasted Bridges'!$B:$B,$C24,'Pasted Bridges'!$F:$F,O$6)</f>
        <v>2.77</v>
      </c>
      <c r="P24" s="27">
        <f>SUMIFS('Pasted Bridges'!$G:$G,'Pasted Bridges'!$B:$B,$C24,'Pasted Bridges'!$F:$F,P$6)</f>
        <v>2.77</v>
      </c>
      <c r="Q24" s="27">
        <f>SUMIFS('Pasted Bridges'!$G:$G,'Pasted Bridges'!$B:$B,$C24,'Pasted Bridges'!$F:$F,Q$6)</f>
        <v>0</v>
      </c>
      <c r="R24" s="27">
        <f>SUMIFS('Pasted Bridges'!$G:$G,'Pasted Bridges'!$B:$B,$C24,'Pasted Bridges'!$F:$F,R$6)</f>
        <v>2.77</v>
      </c>
      <c r="S24" s="27">
        <f>SUMIFS('Pasted Bridges'!$G:$G,'Pasted Bridges'!$B:$B,$C24,'Pasted Bridges'!$F:$F,S$6)</f>
        <v>5.54</v>
      </c>
      <c r="T24" s="27">
        <f>SUMIFS('Pasted Bridges'!$G:$G,'Pasted Bridges'!$B:$B,$C24,'Pasted Bridges'!$F:$F,T$6)</f>
        <v>5.54</v>
      </c>
      <c r="U24" s="27">
        <f>SUMIFS('Pasted Bridges'!$G:$G,'Pasted Bridges'!$B:$B,$C24,'Pasted Bridges'!$F:$F,U$6)</f>
        <v>2.77</v>
      </c>
      <c r="V24" s="27">
        <f>SUMIFS('Pasted Bridges'!$G:$G,'Pasted Bridges'!$B:$B,$C24,'Pasted Bridges'!$F:$F,V$6)</f>
        <v>0</v>
      </c>
      <c r="W24" s="27">
        <f>SUMIFS('Pasted Bridges'!$G:$G,'Pasted Bridges'!$B:$B,$C24,'Pasted Bridges'!$F:$F,W$6)</f>
        <v>0</v>
      </c>
      <c r="X24" s="27">
        <f>SUMIFS('Pasted Bridges'!$G:$G,'Pasted Bridges'!$B:$B,$C24,'Pasted Bridges'!$F:$F,X$6)</f>
        <v>2.77</v>
      </c>
      <c r="Y24" s="27">
        <f>SUMIFS('Pasted Bridges'!$G:$G,'Pasted Bridges'!$B:$B,$C24,'Pasted Bridges'!$F:$F,Y$6)</f>
        <v>5.54</v>
      </c>
      <c r="Z24" s="27">
        <f>SUMIFS('Pasted Bridges'!$G:$G,'Pasted Bridges'!$B:$B,$C24,'Pasted Bridges'!$F:$F,Z$6)</f>
        <v>5.54</v>
      </c>
      <c r="AA24" s="27">
        <f>SUMIFS('Pasted Bridges'!$G:$G,'Pasted Bridges'!$B:$B,$C24,'Pasted Bridges'!$F:$F,AA$6)</f>
        <v>2.86</v>
      </c>
      <c r="AB24" s="27">
        <f>SUMIFS('Pasted Bridges'!$G:$G,'Pasted Bridges'!$B:$B,$C24,'Pasted Bridges'!$F:$F,AB$6)</f>
        <v>0</v>
      </c>
      <c r="AC24" s="27">
        <f>SUMIFS('Pasted Bridges'!$G:$G,'Pasted Bridges'!$B:$B,$C24,'Pasted Bridges'!$F:$F,AC$6)</f>
        <v>0</v>
      </c>
      <c r="AD24" s="27">
        <f>SUMIFS('Pasted Bridges'!$G:$G,'Pasted Bridges'!$B:$B,$C24,'Pasted Bridges'!$F:$F,AD$6)</f>
        <v>2.86</v>
      </c>
      <c r="AE24" s="27">
        <f>SUMIFS('Pasted Bridges'!$G:$G,'Pasted Bridges'!$B:$B,$C24,'Pasted Bridges'!$F:$F,AE$6)</f>
        <v>5.72</v>
      </c>
      <c r="AF24" s="27">
        <f>SUMIFS('Pasted Bridges'!$G:$G,'Pasted Bridges'!$B:$B,$C24,'Pasted Bridges'!$F:$F,AF$6)</f>
        <v>5.72</v>
      </c>
      <c r="AH24" s="18">
        <f t="shared" si="0"/>
        <v>53.169999999999995</v>
      </c>
      <c r="AI24"/>
      <c r="AJ24" s="12" t="str">
        <f t="shared" si="1"/>
        <v>TableK1Default</v>
      </c>
      <c r="AK24" s="13" t="str">
        <f t="shared" si="2"/>
        <v>StaggeredPart</v>
      </c>
      <c r="AL24" s="13" t="str">
        <f t="shared" si="6"/>
        <v>Shared 2, Shelter 1</v>
      </c>
      <c r="AM24" s="1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</row>
    <row r="25" spans="2:56" s="7" customFormat="1" x14ac:dyDescent="0.25">
      <c r="B25" s="19"/>
      <c r="C25" s="15" t="str">
        <v>P01 Ground floor [S2] [R0.83]</v>
      </c>
      <c r="E25" s="21" cm="1">
        <f t="array" ref="E25">INDEX(Data!L:L,MATCH(LEFT(C25,3),LEFT(Data!C:C,3),0))</f>
        <v>0.32</v>
      </c>
      <c r="F25" s="21" t="str" cm="1">
        <f t="array" ref="F25">INDEX(Data!M:M,MATCH(LEFT(C25,3),LEFT(Data!C:C,3),0))</f>
        <v>-</v>
      </c>
      <c r="G25" s="21" cm="1">
        <f t="array" ref="G25">INDEX(Data!N:N,MATCH(LEFT(C25,3),LEFT(Data!C:C,3),0))</f>
        <v>0.08</v>
      </c>
      <c r="I25" s="87">
        <f t="shared" si="3"/>
        <v>2</v>
      </c>
      <c r="J25" s="24" t="str">
        <f t="shared" si="7"/>
        <v>0.83</v>
      </c>
      <c r="K25" s="87" t="s">
        <v>174</v>
      </c>
      <c r="L25" s="28">
        <f>0.103*2</f>
        <v>0.20599999999999999</v>
      </c>
      <c r="M25" s="88">
        <f t="shared" si="5"/>
        <v>8.5489999999999997E-2</v>
      </c>
      <c r="O25" s="27">
        <f>SUMIFS('Pasted Bridges'!$G:$G,'Pasted Bridges'!$B:$B,$C25,'Pasted Bridges'!$F:$F,O$6)</f>
        <v>4.67</v>
      </c>
      <c r="P25" s="27">
        <f>SUMIFS('Pasted Bridges'!$G:$G,'Pasted Bridges'!$B:$B,$C25,'Pasted Bridges'!$F:$F,P$6)</f>
        <v>0</v>
      </c>
      <c r="Q25" s="27">
        <f>SUMIFS('Pasted Bridges'!$G:$G,'Pasted Bridges'!$B:$B,$C25,'Pasted Bridges'!$F:$F,Q$6)</f>
        <v>0</v>
      </c>
      <c r="R25" s="27">
        <f>SUMIFS('Pasted Bridges'!$G:$G,'Pasted Bridges'!$B:$B,$C25,'Pasted Bridges'!$F:$F,R$6)</f>
        <v>0</v>
      </c>
      <c r="S25" s="27">
        <f>SUMIFS('Pasted Bridges'!$G:$G,'Pasted Bridges'!$B:$B,$C25,'Pasted Bridges'!$F:$F,S$6)</f>
        <v>0</v>
      </c>
      <c r="T25" s="27">
        <f>SUMIFS('Pasted Bridges'!$G:$G,'Pasted Bridges'!$B:$B,$C25,'Pasted Bridges'!$F:$F,T$6)</f>
        <v>0</v>
      </c>
      <c r="U25" s="27">
        <f>SUMIFS('Pasted Bridges'!$G:$G,'Pasted Bridges'!$B:$B,$C25,'Pasted Bridges'!$F:$F,U$6)</f>
        <v>0</v>
      </c>
      <c r="V25" s="27">
        <f>SUMIFS('Pasted Bridges'!$G:$G,'Pasted Bridges'!$B:$B,$C25,'Pasted Bridges'!$F:$F,V$6)</f>
        <v>0</v>
      </c>
      <c r="W25" s="27">
        <f>SUMIFS('Pasted Bridges'!$G:$G,'Pasted Bridges'!$B:$B,$C25,'Pasted Bridges'!$F:$F,W$6)</f>
        <v>0</v>
      </c>
      <c r="X25" s="27">
        <f>SUMIFS('Pasted Bridges'!$G:$G,'Pasted Bridges'!$B:$B,$C25,'Pasted Bridges'!$F:$F,X$6)</f>
        <v>0</v>
      </c>
      <c r="Y25" s="27">
        <f>SUMIFS('Pasted Bridges'!$G:$G,'Pasted Bridges'!$B:$B,$C25,'Pasted Bridges'!$F:$F,Y$6)</f>
        <v>0</v>
      </c>
      <c r="Z25" s="27">
        <f>SUMIFS('Pasted Bridges'!$G:$G,'Pasted Bridges'!$B:$B,$C25,'Pasted Bridges'!$F:$F,Z$6)</f>
        <v>0</v>
      </c>
      <c r="AA25" s="27">
        <f>SUMIFS('Pasted Bridges'!$G:$G,'Pasted Bridges'!$B:$B,$C25,'Pasted Bridges'!$F:$F,AA$6)</f>
        <v>0</v>
      </c>
      <c r="AB25" s="27">
        <f>SUMIFS('Pasted Bridges'!$G:$G,'Pasted Bridges'!$B:$B,$C25,'Pasted Bridges'!$F:$F,AB$6)</f>
        <v>0</v>
      </c>
      <c r="AC25" s="27">
        <f>SUMIFS('Pasted Bridges'!$G:$G,'Pasted Bridges'!$B:$B,$C25,'Pasted Bridges'!$F:$F,AC$6)</f>
        <v>0</v>
      </c>
      <c r="AD25" s="27">
        <f>SUMIFS('Pasted Bridges'!$G:$G,'Pasted Bridges'!$B:$B,$C25,'Pasted Bridges'!$F:$F,AD$6)</f>
        <v>0</v>
      </c>
      <c r="AE25" s="27">
        <f>SUMIFS('Pasted Bridges'!$G:$G,'Pasted Bridges'!$B:$B,$C25,'Pasted Bridges'!$F:$F,AE$6)</f>
        <v>0</v>
      </c>
      <c r="AF25" s="27">
        <f>SUMIFS('Pasted Bridges'!$G:$G,'Pasted Bridges'!$B:$B,$C25,'Pasted Bridges'!$F:$F,AF$6)</f>
        <v>0</v>
      </c>
      <c r="AH25" s="18">
        <f t="shared" si="0"/>
        <v>4.67</v>
      </c>
      <c r="AI25"/>
      <c r="AJ25" s="12" t="str">
        <f t="shared" si="1"/>
        <v>NonGovApprovedScheme</v>
      </c>
      <c r="AK25" s="13" t="str">
        <f t="shared" si="2"/>
        <v>GroundFloorWithPartyWall</v>
      </c>
      <c r="AL25" s="13" t="str">
        <f t="shared" si="6"/>
        <v>Shared 2, Shelter 0.83</v>
      </c>
      <c r="AM25" s="14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</row>
    <row r="26" spans="2:56" s="7" customFormat="1" x14ac:dyDescent="0.25">
      <c r="B26" s="19"/>
      <c r="C26" s="15" t="str">
        <v>P01 Ground floor [S2] [R1]</v>
      </c>
      <c r="E26" s="21" cm="1">
        <f t="array" ref="E26">INDEX(Data!L:L,MATCH(LEFT(C26,3),LEFT(Data!C:C,3),0))</f>
        <v>0.32</v>
      </c>
      <c r="F26" s="21" t="str" cm="1">
        <f t="array" ref="F26">INDEX(Data!M:M,MATCH(LEFT(C26,3),LEFT(Data!C:C,3),0))</f>
        <v>-</v>
      </c>
      <c r="G26" s="21" cm="1">
        <f t="array" ref="G26">INDEX(Data!N:N,MATCH(LEFT(C26,3),LEFT(Data!C:C,3),0))</f>
        <v>0.08</v>
      </c>
      <c r="I26" s="87">
        <f t="shared" si="3"/>
        <v>2</v>
      </c>
      <c r="J26" s="24" t="str">
        <f t="shared" si="7"/>
        <v>1</v>
      </c>
      <c r="K26" s="87" t="s">
        <v>174</v>
      </c>
      <c r="L26" s="28">
        <f>0.103*2</f>
        <v>0.20599999999999999</v>
      </c>
      <c r="M26" s="88">
        <f t="shared" si="5"/>
        <v>0.10299999999999999</v>
      </c>
      <c r="O26" s="27">
        <f>SUMIFS('Pasted Bridges'!$G:$G,'Pasted Bridges'!$B:$B,$C26,'Pasted Bridges'!$F:$F,O$6)</f>
        <v>11.32</v>
      </c>
      <c r="P26" s="27">
        <f>SUMIFS('Pasted Bridges'!$G:$G,'Pasted Bridges'!$B:$B,$C26,'Pasted Bridges'!$F:$F,P$6)</f>
        <v>16.3</v>
      </c>
      <c r="Q26" s="27">
        <f>SUMIFS('Pasted Bridges'!$G:$G,'Pasted Bridges'!$B:$B,$C26,'Pasted Bridges'!$F:$F,Q$6)</f>
        <v>24.179999999999996</v>
      </c>
      <c r="R26" s="27">
        <f>SUMIFS('Pasted Bridges'!$G:$G,'Pasted Bridges'!$B:$B,$C26,'Pasted Bridges'!$F:$F,R$6)</f>
        <v>24.13</v>
      </c>
      <c r="S26" s="27">
        <f>SUMIFS('Pasted Bridges'!$G:$G,'Pasted Bridges'!$B:$B,$C26,'Pasted Bridges'!$F:$F,S$6)</f>
        <v>23.77</v>
      </c>
      <c r="T26" s="27">
        <f>SUMIFS('Pasted Bridges'!$G:$G,'Pasted Bridges'!$B:$B,$C26,'Pasted Bridges'!$F:$F,T$6)</f>
        <v>25.03</v>
      </c>
      <c r="U26" s="27">
        <f>SUMIFS('Pasted Bridges'!$G:$G,'Pasted Bridges'!$B:$B,$C26,'Pasted Bridges'!$F:$F,U$6)</f>
        <v>0</v>
      </c>
      <c r="V26" s="27">
        <f>SUMIFS('Pasted Bridges'!$G:$G,'Pasted Bridges'!$B:$B,$C26,'Pasted Bridges'!$F:$F,V$6)</f>
        <v>0</v>
      </c>
      <c r="W26" s="27">
        <f>SUMIFS('Pasted Bridges'!$G:$G,'Pasted Bridges'!$B:$B,$C26,'Pasted Bridges'!$F:$F,W$6)</f>
        <v>0</v>
      </c>
      <c r="X26" s="27">
        <f>SUMIFS('Pasted Bridges'!$G:$G,'Pasted Bridges'!$B:$B,$C26,'Pasted Bridges'!$F:$F,X$6)</f>
        <v>0</v>
      </c>
      <c r="Y26" s="27">
        <f>SUMIFS('Pasted Bridges'!$G:$G,'Pasted Bridges'!$B:$B,$C26,'Pasted Bridges'!$F:$F,Y$6)</f>
        <v>0</v>
      </c>
      <c r="Z26" s="27">
        <f>SUMIFS('Pasted Bridges'!$G:$G,'Pasted Bridges'!$B:$B,$C26,'Pasted Bridges'!$F:$F,Z$6)</f>
        <v>0</v>
      </c>
      <c r="AA26" s="27">
        <f>SUMIFS('Pasted Bridges'!$G:$G,'Pasted Bridges'!$B:$B,$C26,'Pasted Bridges'!$F:$F,AA$6)</f>
        <v>0</v>
      </c>
      <c r="AB26" s="27">
        <f>SUMIFS('Pasted Bridges'!$G:$G,'Pasted Bridges'!$B:$B,$C26,'Pasted Bridges'!$F:$F,AB$6)</f>
        <v>0</v>
      </c>
      <c r="AC26" s="27">
        <f>SUMIFS('Pasted Bridges'!$G:$G,'Pasted Bridges'!$B:$B,$C26,'Pasted Bridges'!$F:$F,AC$6)</f>
        <v>0</v>
      </c>
      <c r="AD26" s="27">
        <f>SUMIFS('Pasted Bridges'!$G:$G,'Pasted Bridges'!$B:$B,$C26,'Pasted Bridges'!$F:$F,AD$6)</f>
        <v>0</v>
      </c>
      <c r="AE26" s="27">
        <f>SUMIFS('Pasted Bridges'!$G:$G,'Pasted Bridges'!$B:$B,$C26,'Pasted Bridges'!$F:$F,AE$6)</f>
        <v>0</v>
      </c>
      <c r="AF26" s="27">
        <f>SUMIFS('Pasted Bridges'!$G:$G,'Pasted Bridges'!$B:$B,$C26,'Pasted Bridges'!$F:$F,AF$6)</f>
        <v>0</v>
      </c>
      <c r="AH26" s="18">
        <f t="shared" si="0"/>
        <v>124.72999999999999</v>
      </c>
      <c r="AI26"/>
      <c r="AJ26" s="12" t="str">
        <f t="shared" si="1"/>
        <v>NonGovApprovedScheme</v>
      </c>
      <c r="AK26" s="13" t="str">
        <f t="shared" si="2"/>
        <v>GroundFloorWithPartyWall</v>
      </c>
      <c r="AL26" s="13" t="str">
        <f t="shared" si="6"/>
        <v>Shared 2, Shelter 1</v>
      </c>
      <c r="AM26" s="14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</row>
    <row r="27" spans="2:56" s="7" customFormat="1" x14ac:dyDescent="0.25">
      <c r="B27" s="19"/>
      <c r="C27" s="15" t="str">
        <v>P03 Intermediate floor between dwellings (in blocks of flats)</v>
      </c>
      <c r="E27" s="21" cm="1">
        <f t="array" ref="E27">INDEX(Data!L:L,MATCH(LEFT(C27,3),LEFT(Data!C:C,3),0))</f>
        <v>0</v>
      </c>
      <c r="F27" s="21" t="str" cm="1">
        <f t="array" ref="F27">INDEX(Data!M:M,MATCH(LEFT(C27,3),LEFT(Data!C:C,3),0))</f>
        <v>-</v>
      </c>
      <c r="G27" s="21" cm="1">
        <f t="array" ref="G27">INDEX(Data!N:N,MATCH(LEFT(C27,3),LEFT(Data!C:C,3),0))</f>
        <v>0</v>
      </c>
      <c r="I27" s="87" t="str">
        <f t="shared" si="3"/>
        <v>-</v>
      </c>
      <c r="J27" s="24" t="str">
        <f t="shared" si="7"/>
        <v>-</v>
      </c>
      <c r="K27" s="87" t="s">
        <v>48</v>
      </c>
      <c r="L27" s="89">
        <f>E27</f>
        <v>0</v>
      </c>
      <c r="M27" s="91">
        <v>0</v>
      </c>
      <c r="O27" s="27">
        <f>SUMIFS('Pasted Bridges'!$G:$G,'Pasted Bridges'!$B:$B,$C27,'Pasted Bridges'!$F:$F,O$6)</f>
        <v>11.32</v>
      </c>
      <c r="P27" s="27">
        <f>SUMIFS('Pasted Bridges'!$G:$G,'Pasted Bridges'!$B:$B,$C27,'Pasted Bridges'!$F:$F,P$6)</f>
        <v>16.3</v>
      </c>
      <c r="Q27" s="27">
        <f>SUMIFS('Pasted Bridges'!$G:$G,'Pasted Bridges'!$B:$B,$C27,'Pasted Bridges'!$F:$F,Q$6)</f>
        <v>24.18</v>
      </c>
      <c r="R27" s="27">
        <f>SUMIFS('Pasted Bridges'!$G:$G,'Pasted Bridges'!$B:$B,$C27,'Pasted Bridges'!$F:$F,R$6)</f>
        <v>24.13</v>
      </c>
      <c r="S27" s="27">
        <f>SUMIFS('Pasted Bridges'!$G:$G,'Pasted Bridges'!$B:$B,$C27,'Pasted Bridges'!$F:$F,S$6)</f>
        <v>23.77</v>
      </c>
      <c r="T27" s="27">
        <f>SUMIFS('Pasted Bridges'!$G:$G,'Pasted Bridges'!$B:$B,$C27,'Pasted Bridges'!$F:$F,T$6)</f>
        <v>25.03</v>
      </c>
      <c r="U27" s="27">
        <f>SUMIFS('Pasted Bridges'!$G:$G,'Pasted Bridges'!$B:$B,$C27,'Pasted Bridges'!$F:$F,U$6)</f>
        <v>31.54</v>
      </c>
      <c r="V27" s="27">
        <f>SUMIFS('Pasted Bridges'!$G:$G,'Pasted Bridges'!$B:$B,$C27,'Pasted Bridges'!$F:$F,V$6)</f>
        <v>33.840000000000003</v>
      </c>
      <c r="W27" s="27">
        <f>SUMIFS('Pasted Bridges'!$G:$G,'Pasted Bridges'!$B:$B,$C27,'Pasted Bridges'!$F:$F,W$6)</f>
        <v>48.36</v>
      </c>
      <c r="X27" s="27">
        <f>SUMIFS('Pasted Bridges'!$G:$G,'Pasted Bridges'!$B:$B,$C27,'Pasted Bridges'!$F:$F,X$6)</f>
        <v>48.260000000000005</v>
      </c>
      <c r="Y27" s="27">
        <f>SUMIFS('Pasted Bridges'!$G:$G,'Pasted Bridges'!$B:$B,$C27,'Pasted Bridges'!$F:$F,Y$6)</f>
        <v>47.540000000000006</v>
      </c>
      <c r="Z27" s="27">
        <f>SUMIFS('Pasted Bridges'!$G:$G,'Pasted Bridges'!$B:$B,$C27,'Pasted Bridges'!$F:$F,Z$6)</f>
        <v>50.08</v>
      </c>
      <c r="AA27" s="27">
        <f>SUMIFS('Pasted Bridges'!$G:$G,'Pasted Bridges'!$B:$B,$C27,'Pasted Bridges'!$F:$F,AA$6)</f>
        <v>16.39</v>
      </c>
      <c r="AB27" s="27">
        <f>SUMIFS('Pasted Bridges'!$G:$G,'Pasted Bridges'!$B:$B,$C27,'Pasted Bridges'!$F:$F,AB$6)</f>
        <v>17.54</v>
      </c>
      <c r="AC27" s="27">
        <f>SUMIFS('Pasted Bridges'!$G:$G,'Pasted Bridges'!$B:$B,$C27,'Pasted Bridges'!$F:$F,AC$6)</f>
        <v>24.18</v>
      </c>
      <c r="AD27" s="27">
        <f>SUMIFS('Pasted Bridges'!$G:$G,'Pasted Bridges'!$B:$B,$C27,'Pasted Bridges'!$F:$F,AD$6)</f>
        <v>24.13</v>
      </c>
      <c r="AE27" s="27">
        <f>SUMIFS('Pasted Bridges'!$G:$G,'Pasted Bridges'!$B:$B,$C27,'Pasted Bridges'!$F:$F,AE$6)</f>
        <v>38.81</v>
      </c>
      <c r="AF27" s="27">
        <f>SUMIFS('Pasted Bridges'!$G:$G,'Pasted Bridges'!$B:$B,$C27,'Pasted Bridges'!$F:$F,AF$6)</f>
        <v>25.03</v>
      </c>
      <c r="AH27" s="18">
        <f t="shared" si="0"/>
        <v>530.42999999999995</v>
      </c>
      <c r="AI27"/>
      <c r="AJ27" s="12" t="str">
        <f t="shared" si="1"/>
        <v>TableK1Default</v>
      </c>
      <c r="AK27" s="13" t="str">
        <f t="shared" si="2"/>
        <v>PartyFloorWithPartyWall</v>
      </c>
      <c r="AL27" s="13" t="str">
        <f t="shared" si="6"/>
        <v>Shared -, Shelter -</v>
      </c>
      <c r="AM27" s="14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</row>
    <row r="28" spans="2:56" s="7" customFormat="1" x14ac:dyDescent="0.25">
      <c r="B28" s="19"/>
      <c r="C28" s="15" t="str">
        <v>P04 Roof (insulation at ceiling level) [S2] [R1]</v>
      </c>
      <c r="E28" s="21" cm="1">
        <f t="array" ref="E28">INDEX(Data!L:L,MATCH(LEFT(C28,3),LEFT(Data!C:C,3),0))</f>
        <v>0.48</v>
      </c>
      <c r="F28" s="21" t="str" cm="1">
        <f t="array" ref="F28">INDEX(Data!M:M,MATCH(LEFT(C28,3),LEFT(Data!C:C,3),0))</f>
        <v>-</v>
      </c>
      <c r="G28" s="21" cm="1">
        <f t="array" ref="G28">INDEX(Data!N:N,MATCH(LEFT(C28,3),LEFT(Data!C:C,3),0))</f>
        <v>0.12</v>
      </c>
      <c r="I28" s="87">
        <f t="shared" si="3"/>
        <v>2</v>
      </c>
      <c r="J28" s="24" t="str">
        <f t="shared" si="4"/>
        <v>1</v>
      </c>
      <c r="K28" s="87" t="s">
        <v>173</v>
      </c>
      <c r="L28" s="28">
        <v>5.2299999999999999E-2</v>
      </c>
      <c r="M28" s="88">
        <f t="shared" si="5"/>
        <v>2.615E-2</v>
      </c>
      <c r="O28" s="27">
        <f>SUMIFS('Pasted Bridges'!$G:$G,'Pasted Bridges'!$B:$B,$C28,'Pasted Bridges'!$F:$F,O$6)</f>
        <v>0</v>
      </c>
      <c r="P28" s="27">
        <f>SUMIFS('Pasted Bridges'!$G:$G,'Pasted Bridges'!$B:$B,$C28,'Pasted Bridges'!$F:$F,P$6)</f>
        <v>0</v>
      </c>
      <c r="Q28" s="27">
        <f>SUMIFS('Pasted Bridges'!$G:$G,'Pasted Bridges'!$B:$B,$C28,'Pasted Bridges'!$F:$F,Q$6)</f>
        <v>0</v>
      </c>
      <c r="R28" s="27">
        <f>SUMIFS('Pasted Bridges'!$G:$G,'Pasted Bridges'!$B:$B,$C28,'Pasted Bridges'!$F:$F,R$6)</f>
        <v>0</v>
      </c>
      <c r="S28" s="27">
        <f>SUMIFS('Pasted Bridges'!$G:$G,'Pasted Bridges'!$B:$B,$C28,'Pasted Bridges'!$F:$F,S$6)</f>
        <v>0</v>
      </c>
      <c r="T28" s="27">
        <f>SUMIFS('Pasted Bridges'!$G:$G,'Pasted Bridges'!$B:$B,$C28,'Pasted Bridges'!$F:$F,T$6)</f>
        <v>0</v>
      </c>
      <c r="U28" s="27">
        <f>SUMIFS('Pasted Bridges'!$G:$G,'Pasted Bridges'!$B:$B,$C28,'Pasted Bridges'!$F:$F,U$6)</f>
        <v>0</v>
      </c>
      <c r="V28" s="27">
        <f>SUMIFS('Pasted Bridges'!$G:$G,'Pasted Bridges'!$B:$B,$C28,'Pasted Bridges'!$F:$F,V$6)</f>
        <v>0</v>
      </c>
      <c r="W28" s="27">
        <f>SUMIFS('Pasted Bridges'!$G:$G,'Pasted Bridges'!$B:$B,$C28,'Pasted Bridges'!$F:$F,W$6)</f>
        <v>0</v>
      </c>
      <c r="X28" s="27">
        <f>SUMIFS('Pasted Bridges'!$G:$G,'Pasted Bridges'!$B:$B,$C28,'Pasted Bridges'!$F:$F,X$6)</f>
        <v>0</v>
      </c>
      <c r="Y28" s="27">
        <f>SUMIFS('Pasted Bridges'!$G:$G,'Pasted Bridges'!$B:$B,$C28,'Pasted Bridges'!$F:$F,Y$6)</f>
        <v>0</v>
      </c>
      <c r="Z28" s="27">
        <f>SUMIFS('Pasted Bridges'!$G:$G,'Pasted Bridges'!$B:$B,$C28,'Pasted Bridges'!$F:$F,Z$6)</f>
        <v>0</v>
      </c>
      <c r="AA28" s="27">
        <f>SUMIFS('Pasted Bridges'!$G:$G,'Pasted Bridges'!$B:$B,$C28,'Pasted Bridges'!$F:$F,AA$6)</f>
        <v>16.39</v>
      </c>
      <c r="AB28" s="27">
        <f>SUMIFS('Pasted Bridges'!$G:$G,'Pasted Bridges'!$B:$B,$C28,'Pasted Bridges'!$F:$F,AB$6)</f>
        <v>17.54</v>
      </c>
      <c r="AC28" s="27">
        <f>SUMIFS('Pasted Bridges'!$G:$G,'Pasted Bridges'!$B:$B,$C28,'Pasted Bridges'!$F:$F,AC$6)</f>
        <v>24.18</v>
      </c>
      <c r="AD28" s="27">
        <f>SUMIFS('Pasted Bridges'!$G:$G,'Pasted Bridges'!$B:$B,$C28,'Pasted Bridges'!$F:$F,AD$6)</f>
        <v>24.13</v>
      </c>
      <c r="AE28" s="27">
        <f>SUMIFS('Pasted Bridges'!$G:$G,'Pasted Bridges'!$B:$B,$C28,'Pasted Bridges'!$F:$F,AE$6)</f>
        <v>8.73</v>
      </c>
      <c r="AF28" s="27">
        <f>SUMIFS('Pasted Bridges'!$G:$G,'Pasted Bridges'!$B:$B,$C28,'Pasted Bridges'!$F:$F,AF$6)</f>
        <v>25.03</v>
      </c>
      <c r="AH28" s="18">
        <f t="shared" si="0"/>
        <v>116</v>
      </c>
      <c r="AI28"/>
      <c r="AJ28" s="12" t="str">
        <f t="shared" si="1"/>
        <v>IndependentlyAssessed</v>
      </c>
      <c r="AK28" s="13" t="str">
        <f t="shared" si="2"/>
        <v>RoofAtCeilingWithPartyWall</v>
      </c>
      <c r="AL28" s="13" t="str">
        <f t="shared" si="6"/>
        <v>Shared 2, Shelter 1</v>
      </c>
      <c r="AM28" s="14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</row>
    <row r="29" spans="2:56" s="7" customFormat="1" x14ac:dyDescent="0.25">
      <c r="B29" s="19"/>
      <c r="C29" s="15" t="str">
        <v>P08 Exposed floor (inverted) [S2] [R0.83]</v>
      </c>
      <c r="E29" s="21" cm="1">
        <f t="array" ref="E29">INDEX(Data!L:L,MATCH(LEFT(C29,3),LEFT(Data!C:C,3),0))</f>
        <v>0.48</v>
      </c>
      <c r="F29" s="21" t="str" cm="1">
        <f t="array" ref="F29">INDEX(Data!M:M,MATCH(LEFT(C29,3),LEFT(Data!C:C,3),0))</f>
        <v>-</v>
      </c>
      <c r="G29" s="21" cm="1">
        <f t="array" ref="G29">INDEX(Data!N:N,MATCH(LEFT(C29,3),LEFT(Data!C:C,3),0))</f>
        <v>0.24</v>
      </c>
      <c r="I29" s="87">
        <f t="shared" si="3"/>
        <v>2</v>
      </c>
      <c r="J29" s="24" t="str">
        <f t="shared" si="4"/>
        <v>0.83</v>
      </c>
      <c r="K29" s="87" t="s">
        <v>48</v>
      </c>
      <c r="L29" s="89">
        <f>E29</f>
        <v>0.48</v>
      </c>
      <c r="M29" s="88">
        <f t="shared" si="5"/>
        <v>0.19919999999999999</v>
      </c>
      <c r="O29" s="27">
        <f>SUMIFS('Pasted Bridges'!$G:$G,'Pasted Bridges'!$B:$B,$C29,'Pasted Bridges'!$F:$F,O$6)</f>
        <v>4.67</v>
      </c>
      <c r="P29" s="27">
        <f>SUMIFS('Pasted Bridges'!$G:$G,'Pasted Bridges'!$B:$B,$C29,'Pasted Bridges'!$F:$F,P$6)</f>
        <v>0</v>
      </c>
      <c r="Q29" s="27">
        <f>SUMIFS('Pasted Bridges'!$G:$G,'Pasted Bridges'!$B:$B,$C29,'Pasted Bridges'!$F:$F,Q$6)</f>
        <v>0</v>
      </c>
      <c r="R29" s="27">
        <f>SUMIFS('Pasted Bridges'!$G:$G,'Pasted Bridges'!$B:$B,$C29,'Pasted Bridges'!$F:$F,R$6)</f>
        <v>0</v>
      </c>
      <c r="S29" s="27">
        <f>SUMIFS('Pasted Bridges'!$G:$G,'Pasted Bridges'!$B:$B,$C29,'Pasted Bridges'!$F:$F,S$6)</f>
        <v>0</v>
      </c>
      <c r="T29" s="27">
        <f>SUMIFS('Pasted Bridges'!$G:$G,'Pasted Bridges'!$B:$B,$C29,'Pasted Bridges'!$F:$F,T$6)</f>
        <v>0</v>
      </c>
      <c r="U29" s="27">
        <f>SUMIFS('Pasted Bridges'!$G:$G,'Pasted Bridges'!$B:$B,$C29,'Pasted Bridges'!$F:$F,U$6)</f>
        <v>6.45</v>
      </c>
      <c r="V29" s="27">
        <f>SUMIFS('Pasted Bridges'!$G:$G,'Pasted Bridges'!$B:$B,$C29,'Pasted Bridges'!$F:$F,V$6)</f>
        <v>0</v>
      </c>
      <c r="W29" s="27">
        <f>SUMIFS('Pasted Bridges'!$G:$G,'Pasted Bridges'!$B:$B,$C29,'Pasted Bridges'!$F:$F,W$6)</f>
        <v>0</v>
      </c>
      <c r="X29" s="27">
        <f>SUMIFS('Pasted Bridges'!$G:$G,'Pasted Bridges'!$B:$B,$C29,'Pasted Bridges'!$F:$F,X$6)</f>
        <v>0</v>
      </c>
      <c r="Y29" s="27">
        <f>SUMIFS('Pasted Bridges'!$G:$G,'Pasted Bridges'!$B:$B,$C29,'Pasted Bridges'!$F:$F,Y$6)</f>
        <v>0</v>
      </c>
      <c r="Z29" s="27">
        <f>SUMIFS('Pasted Bridges'!$G:$G,'Pasted Bridges'!$B:$B,$C29,'Pasted Bridges'!$F:$F,Z$6)</f>
        <v>0</v>
      </c>
      <c r="AA29" s="27">
        <f>SUMIFS('Pasted Bridges'!$G:$G,'Pasted Bridges'!$B:$B,$C29,'Pasted Bridges'!$F:$F,AA$6)</f>
        <v>0</v>
      </c>
      <c r="AB29" s="27">
        <f>SUMIFS('Pasted Bridges'!$G:$G,'Pasted Bridges'!$B:$B,$C29,'Pasted Bridges'!$F:$F,AB$6)</f>
        <v>0</v>
      </c>
      <c r="AC29" s="27">
        <f>SUMIFS('Pasted Bridges'!$G:$G,'Pasted Bridges'!$B:$B,$C29,'Pasted Bridges'!$F:$F,AC$6)</f>
        <v>0</v>
      </c>
      <c r="AD29" s="27">
        <f>SUMIFS('Pasted Bridges'!$G:$G,'Pasted Bridges'!$B:$B,$C29,'Pasted Bridges'!$F:$F,AD$6)</f>
        <v>0</v>
      </c>
      <c r="AE29" s="27">
        <f>SUMIFS('Pasted Bridges'!$G:$G,'Pasted Bridges'!$B:$B,$C29,'Pasted Bridges'!$F:$F,AE$6)</f>
        <v>0</v>
      </c>
      <c r="AF29" s="27">
        <f>SUMIFS('Pasted Bridges'!$G:$G,'Pasted Bridges'!$B:$B,$C29,'Pasted Bridges'!$F:$F,AF$6)</f>
        <v>0</v>
      </c>
      <c r="AH29" s="18">
        <f t="shared" si="0"/>
        <v>11.120000000000001</v>
      </c>
      <c r="AI29"/>
      <c r="AJ29" s="12" t="str">
        <f t="shared" si="1"/>
        <v>TableK1Default</v>
      </c>
      <c r="AK29" s="13" t="str">
        <f t="shared" si="2"/>
        <v>ExposedFloorInvertedWithPartyWall</v>
      </c>
      <c r="AL29" s="13" t="str">
        <f t="shared" si="6"/>
        <v>Shared 2, Shelter 0.83</v>
      </c>
      <c r="AM29" s="14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</row>
    <row r="30" spans="2:56" s="7" customFormat="1" x14ac:dyDescent="0.25">
      <c r="B30" s="19"/>
      <c r="C30" s="15" t="str">
        <v>P08 Exposed floor (inverted) [S3] [R1]</v>
      </c>
      <c r="E30" s="21" cm="1">
        <f t="array" ref="E30">INDEX(Data!L:L,MATCH(LEFT(C30,3),LEFT(Data!C:C,3),0))</f>
        <v>0.48</v>
      </c>
      <c r="F30" s="21" t="str" cm="1">
        <f t="array" ref="F30">INDEX(Data!M:M,MATCH(LEFT(C30,3),LEFT(Data!C:C,3),0))</f>
        <v>-</v>
      </c>
      <c r="G30" s="21" cm="1">
        <f t="array" ref="G30">INDEX(Data!N:N,MATCH(LEFT(C30,3),LEFT(Data!C:C,3),0))</f>
        <v>0.24</v>
      </c>
      <c r="I30" s="87">
        <f t="shared" si="3"/>
        <v>3</v>
      </c>
      <c r="J30" s="24" t="str">
        <f t="shared" si="4"/>
        <v>1</v>
      </c>
      <c r="K30" s="87" t="s">
        <v>48</v>
      </c>
      <c r="L30" s="89">
        <f>E30</f>
        <v>0.48</v>
      </c>
      <c r="M30" s="88">
        <f t="shared" si="5"/>
        <v>0.16</v>
      </c>
      <c r="O30" s="27">
        <f>SUMIFS('Pasted Bridges'!$G:$G,'Pasted Bridges'!$B:$B,$C30,'Pasted Bridges'!$F:$F,O$6)</f>
        <v>0</v>
      </c>
      <c r="P30" s="27">
        <f>SUMIFS('Pasted Bridges'!$G:$G,'Pasted Bridges'!$B:$B,$C30,'Pasted Bridges'!$F:$F,P$6)</f>
        <v>1.24</v>
      </c>
      <c r="Q30" s="27">
        <f>SUMIFS('Pasted Bridges'!$G:$G,'Pasted Bridges'!$B:$B,$C30,'Pasted Bridges'!$F:$F,Q$6)</f>
        <v>0</v>
      </c>
      <c r="R30" s="27">
        <f>SUMIFS('Pasted Bridges'!$G:$G,'Pasted Bridges'!$B:$B,$C30,'Pasted Bridges'!$F:$F,R$6)</f>
        <v>0</v>
      </c>
      <c r="S30" s="27">
        <f>SUMIFS('Pasted Bridges'!$G:$G,'Pasted Bridges'!$B:$B,$C30,'Pasted Bridges'!$F:$F,S$6)</f>
        <v>0</v>
      </c>
      <c r="T30" s="27">
        <f>SUMIFS('Pasted Bridges'!$G:$G,'Pasted Bridges'!$B:$B,$C30,'Pasted Bridges'!$F:$F,T$6)</f>
        <v>0</v>
      </c>
      <c r="U30" s="27">
        <f>SUMIFS('Pasted Bridges'!$G:$G,'Pasted Bridges'!$B:$B,$C30,'Pasted Bridges'!$F:$F,U$6)</f>
        <v>1.24</v>
      </c>
      <c r="V30" s="27">
        <f>SUMIFS('Pasted Bridges'!$G:$G,'Pasted Bridges'!$B:$B,$C30,'Pasted Bridges'!$F:$F,V$6)</f>
        <v>1.24</v>
      </c>
      <c r="W30" s="27">
        <f>SUMIFS('Pasted Bridges'!$G:$G,'Pasted Bridges'!$B:$B,$C30,'Pasted Bridges'!$F:$F,W$6)</f>
        <v>0</v>
      </c>
      <c r="X30" s="27">
        <f>SUMIFS('Pasted Bridges'!$G:$G,'Pasted Bridges'!$B:$B,$C30,'Pasted Bridges'!$F:$F,X$6)</f>
        <v>0</v>
      </c>
      <c r="Y30" s="27">
        <f>SUMIFS('Pasted Bridges'!$G:$G,'Pasted Bridges'!$B:$B,$C30,'Pasted Bridges'!$F:$F,Y$6)</f>
        <v>0</v>
      </c>
      <c r="Z30" s="27">
        <f>SUMIFS('Pasted Bridges'!$G:$G,'Pasted Bridges'!$B:$B,$C30,'Pasted Bridges'!$F:$F,Z$6)</f>
        <v>0</v>
      </c>
      <c r="AA30" s="27">
        <f>SUMIFS('Pasted Bridges'!$G:$G,'Pasted Bridges'!$B:$B,$C30,'Pasted Bridges'!$F:$F,AA$6)</f>
        <v>0</v>
      </c>
      <c r="AB30" s="27">
        <f>SUMIFS('Pasted Bridges'!$G:$G,'Pasted Bridges'!$B:$B,$C30,'Pasted Bridges'!$F:$F,AB$6)</f>
        <v>0</v>
      </c>
      <c r="AC30" s="27">
        <f>SUMIFS('Pasted Bridges'!$G:$G,'Pasted Bridges'!$B:$B,$C30,'Pasted Bridges'!$F:$F,AC$6)</f>
        <v>0</v>
      </c>
      <c r="AD30" s="27">
        <f>SUMIFS('Pasted Bridges'!$G:$G,'Pasted Bridges'!$B:$B,$C30,'Pasted Bridges'!$F:$F,AD$6)</f>
        <v>0</v>
      </c>
      <c r="AE30" s="27">
        <f>SUMIFS('Pasted Bridges'!$G:$G,'Pasted Bridges'!$B:$B,$C30,'Pasted Bridges'!$F:$F,AE$6)</f>
        <v>0</v>
      </c>
      <c r="AF30" s="27">
        <f>SUMIFS('Pasted Bridges'!$G:$G,'Pasted Bridges'!$B:$B,$C30,'Pasted Bridges'!$F:$F,AF$6)</f>
        <v>0</v>
      </c>
      <c r="AH30" s="18">
        <f t="shared" si="0"/>
        <v>3.7199999999999998</v>
      </c>
      <c r="AI30"/>
      <c r="AJ30" s="12" t="str">
        <f t="shared" si="1"/>
        <v>TableK1Default</v>
      </c>
      <c r="AK30" s="13" t="str">
        <f t="shared" si="2"/>
        <v>ExposedFloorInvertedWithPartyWall</v>
      </c>
      <c r="AL30" s="13" t="str">
        <f t="shared" si="6"/>
        <v>Shared 3, Shelter 1</v>
      </c>
      <c r="AM30" s="14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</row>
    <row r="31" spans="2:56" s="7" customFormat="1" x14ac:dyDescent="0.25">
      <c r="O31" s="36">
        <f>SUM(O7:O30)</f>
        <v>102.69999999999997</v>
      </c>
      <c r="P31" s="36">
        <f t="shared" ref="P31:AF31" si="9">SUM(P7:P30)</f>
        <v>114.29999999999998</v>
      </c>
      <c r="Q31" s="36">
        <f t="shared" si="9"/>
        <v>115.68</v>
      </c>
      <c r="R31" s="36">
        <f t="shared" si="9"/>
        <v>86.03</v>
      </c>
      <c r="S31" s="36">
        <f t="shared" si="9"/>
        <v>141.47</v>
      </c>
      <c r="T31" s="36">
        <f t="shared" si="9"/>
        <v>107.55000000000001</v>
      </c>
      <c r="U31" s="36">
        <f t="shared" si="9"/>
        <v>125.44</v>
      </c>
      <c r="V31" s="36">
        <f t="shared" si="9"/>
        <v>111.47</v>
      </c>
      <c r="W31" s="36">
        <f t="shared" si="9"/>
        <v>115.68</v>
      </c>
      <c r="X31" s="36">
        <f t="shared" si="9"/>
        <v>86.03</v>
      </c>
      <c r="Y31" s="36">
        <f t="shared" si="9"/>
        <v>141.47000000000003</v>
      </c>
      <c r="Z31" s="36">
        <f t="shared" si="9"/>
        <v>107.57</v>
      </c>
      <c r="AA31" s="36">
        <f t="shared" si="9"/>
        <v>117.30999999999999</v>
      </c>
      <c r="AB31" s="36">
        <f t="shared" si="9"/>
        <v>111.91999999999999</v>
      </c>
      <c r="AC31" s="36">
        <f t="shared" si="9"/>
        <v>116.22000000000003</v>
      </c>
      <c r="AD31" s="36">
        <f t="shared" si="9"/>
        <v>86.39</v>
      </c>
      <c r="AE31" s="36">
        <f t="shared" si="9"/>
        <v>141.91999999999999</v>
      </c>
      <c r="AF31" s="36">
        <f t="shared" si="9"/>
        <v>108</v>
      </c>
      <c r="AI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</row>
    <row r="32" spans="2:56" s="7" customFormat="1" x14ac:dyDescent="0.25">
      <c r="K32"/>
      <c r="M32" s="35" t="s">
        <v>42</v>
      </c>
      <c r="AI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</row>
    <row r="33" spans="9:56" s="7" customFormat="1" x14ac:dyDescent="0.25">
      <c r="I33"/>
      <c r="L33" s="33"/>
      <c r="M33" s="31" t="s">
        <v>176</v>
      </c>
      <c r="O33" s="21">
        <f>SUMPRODUCT($E$7:$E$30,O7:O30)</f>
        <v>26.740199999999994</v>
      </c>
      <c r="P33" s="21">
        <f t="shared" ref="P33:AF33" si="10">SUMPRODUCT($E$7:$E$30,P7:P30)</f>
        <v>28.2134</v>
      </c>
      <c r="Q33" s="21">
        <f t="shared" si="10"/>
        <v>24.5764</v>
      </c>
      <c r="R33" s="21">
        <f t="shared" si="10"/>
        <v>18.166399999999999</v>
      </c>
      <c r="S33" s="21">
        <f t="shared" si="10"/>
        <v>35.044799999999995</v>
      </c>
      <c r="T33" s="21">
        <f t="shared" si="10"/>
        <v>24.194400000000002</v>
      </c>
      <c r="U33" s="21">
        <f t="shared" si="10"/>
        <v>27.804600000000001</v>
      </c>
      <c r="V33" s="21">
        <f t="shared" si="10"/>
        <v>21.394399999999997</v>
      </c>
      <c r="W33" s="21">
        <f t="shared" si="10"/>
        <v>16.3428</v>
      </c>
      <c r="X33" s="21">
        <f t="shared" si="10"/>
        <v>10.3688</v>
      </c>
      <c r="Y33" s="21">
        <f t="shared" si="10"/>
        <v>26.286399999999997</v>
      </c>
      <c r="Z33" s="21">
        <f t="shared" si="10"/>
        <v>15.662000000000001</v>
      </c>
      <c r="AA33" s="21">
        <f t="shared" si="10"/>
        <v>31.574999999999996</v>
      </c>
      <c r="AB33" s="21">
        <f t="shared" si="10"/>
        <v>29.030199999999997</v>
      </c>
      <c r="AC33" s="21">
        <f t="shared" si="10"/>
        <v>27.464999999999996</v>
      </c>
      <c r="AD33" s="21">
        <f t="shared" si="10"/>
        <v>21.5124</v>
      </c>
      <c r="AE33" s="21">
        <f t="shared" si="10"/>
        <v>30.495000000000001</v>
      </c>
      <c r="AF33" s="21">
        <f t="shared" si="10"/>
        <v>26.977400000000003</v>
      </c>
      <c r="AI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</row>
    <row r="34" spans="9:56" s="7" customFormat="1" x14ac:dyDescent="0.25">
      <c r="L34" s="33"/>
      <c r="M34" s="32" t="s">
        <v>177</v>
      </c>
      <c r="O34" s="21">
        <f>SUMPRODUCT($G$7:$G$30,O7:O30)</f>
        <v>7.998899999999999</v>
      </c>
      <c r="P34" s="21">
        <f t="shared" ref="P34:AF34" si="11">SUMPRODUCT($G$7:$G$30,P7:P30)</f>
        <v>8.0411999999999999</v>
      </c>
      <c r="Q34" s="21">
        <f t="shared" si="11"/>
        <v>6.4138000000000002</v>
      </c>
      <c r="R34" s="21">
        <f t="shared" si="11"/>
        <v>4.2748999999999997</v>
      </c>
      <c r="S34" s="21">
        <f t="shared" si="11"/>
        <v>10.729899999999999</v>
      </c>
      <c r="T34" s="21">
        <f t="shared" si="11"/>
        <v>6.4652000000000012</v>
      </c>
      <c r="U34" s="21">
        <f t="shared" si="11"/>
        <v>9.7302999999999997</v>
      </c>
      <c r="V34" s="21">
        <f t="shared" si="11"/>
        <v>4.7079000000000004</v>
      </c>
      <c r="W34" s="21">
        <f t="shared" si="11"/>
        <v>3.3634000000000004</v>
      </c>
      <c r="X34" s="21">
        <f t="shared" si="11"/>
        <v>1.9582999999999999</v>
      </c>
      <c r="Y34" s="21">
        <f t="shared" si="11"/>
        <v>6.2363</v>
      </c>
      <c r="Z34" s="21">
        <f t="shared" si="11"/>
        <v>3.2865000000000006</v>
      </c>
      <c r="AA34" s="21">
        <f t="shared" si="11"/>
        <v>14.471</v>
      </c>
      <c r="AB34" s="21">
        <f t="shared" si="11"/>
        <v>13.0214</v>
      </c>
      <c r="AC34" s="21">
        <f t="shared" si="11"/>
        <v>9.5822000000000003</v>
      </c>
      <c r="AD34" s="21">
        <f t="shared" si="11"/>
        <v>6.2287999999999997</v>
      </c>
      <c r="AE34" s="21">
        <f t="shared" si="11"/>
        <v>19.203799999999998</v>
      </c>
      <c r="AF34" s="21">
        <f t="shared" si="11"/>
        <v>9.1613000000000007</v>
      </c>
      <c r="AI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</row>
    <row r="35" spans="9:56" s="7" customFormat="1" x14ac:dyDescent="0.25">
      <c r="L35" s="34"/>
      <c r="M35" s="30" t="s">
        <v>178</v>
      </c>
      <c r="O35" s="21">
        <f>SUMPRODUCT($M$7:$M$30,O7:O30)</f>
        <v>6.0213621000000002</v>
      </c>
      <c r="P35" s="21">
        <f t="shared" ref="P35:AF35" si="12">SUMPRODUCT($M$7:$M$30,P7:P30)</f>
        <v>4.9804000000000004</v>
      </c>
      <c r="Q35" s="21">
        <f t="shared" si="12"/>
        <v>4.3054799999999993</v>
      </c>
      <c r="R35" s="21">
        <f t="shared" si="12"/>
        <v>3.73001</v>
      </c>
      <c r="S35" s="21">
        <f t="shared" si="12"/>
        <v>7.0901800000000001</v>
      </c>
      <c r="T35" s="21">
        <f t="shared" si="12"/>
        <v>5.0135399999999999</v>
      </c>
      <c r="U35" s="21">
        <f t="shared" si="12"/>
        <v>5.8445459999999994</v>
      </c>
      <c r="V35" s="21">
        <f t="shared" si="12"/>
        <v>2.2051799999999995</v>
      </c>
      <c r="W35" s="21">
        <f t="shared" si="12"/>
        <v>1.3561400000000001</v>
      </c>
      <c r="X35" s="21">
        <f t="shared" si="12"/>
        <v>1.0721000000000001</v>
      </c>
      <c r="Y35" s="21">
        <f t="shared" si="12"/>
        <v>3.5762700000000001</v>
      </c>
      <c r="Z35" s="21">
        <f t="shared" si="12"/>
        <v>1.9518599999999999</v>
      </c>
      <c r="AA35" s="21">
        <f t="shared" si="12"/>
        <v>7.6738384999999987</v>
      </c>
      <c r="AB35" s="21">
        <f t="shared" si="12"/>
        <v>6.4710709999999994</v>
      </c>
      <c r="AC35" s="21">
        <f t="shared" si="12"/>
        <v>4.4411270000000007</v>
      </c>
      <c r="AD35" s="21">
        <f t="shared" si="12"/>
        <v>2.9868094999999997</v>
      </c>
      <c r="AE35" s="21">
        <f t="shared" si="12"/>
        <v>10.763379499999997</v>
      </c>
      <c r="AF35" s="21">
        <f t="shared" si="12"/>
        <v>5.0297645000000006</v>
      </c>
      <c r="AI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</row>
    <row r="36" spans="9:56" s="7" customFormat="1" x14ac:dyDescent="0.25">
      <c r="AI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</row>
    <row r="37" spans="9:56" s="7" customFormat="1" x14ac:dyDescent="0.25">
      <c r="AI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</row>
    <row r="38" spans="9:56" s="7" customFormat="1" x14ac:dyDescent="0.25">
      <c r="M38" s="35" t="s">
        <v>179</v>
      </c>
      <c r="O38" s="15" t="str" cm="1">
        <f t="array" ref="O38">_xlfn.LET(
    _xlpm.rng, ROWS(O7:O30),
    _xlpm.Ovals, O7:O30,
    _xlpm.AKvals, AJ7:AJ30,
    _xlpm.Mvals, $M7:$M30,
    _xlpm.ALvals, AK7:AK30,
    _xlpm.AMvals, AL7:AL30,
    _xlpm.Blocks,
    IF(_xlpm.Ovals=0,
        NA(),
        "&lt;ThermalBridge&gt;"&amp;CHAR(10)&amp;
        "&lt;TypeSource&gt;"&amp;_xlpm.AKvals&amp;"&lt;/TypeSource&gt;"&amp;CHAR(10)&amp;
        "&lt;Length&gt;"&amp;_xlpm.Ovals&amp;"&lt;/Length&gt;"&amp;CHAR(10)&amp;
        "&lt;PsiValue&gt;"&amp;_xlpm.Mvals&amp;"&lt;/PsiValue&gt;"&amp;CHAR(10)&amp;
        "&lt;K1Index&gt;"&amp;_xlpm.ALvals&amp;"&lt;/K1Index&gt;"&amp;CHAR(10)&amp;
        "&lt;Imported&gt;False&lt;/Imported&gt;"&amp;CHAR(10)&amp;
        "&lt;Adjusted&gt;"&amp;_xlpm.Mvals&amp;"&lt;/Adjusted&gt;"&amp;CHAR(10)&amp;
        "&lt;Reference&gt;"&amp;_xlpm.AMvals&amp;"&lt;/Reference&gt;"&amp;CHAR(10)&amp;
        "&lt;/ThermalBridge&gt;"
    ),
    _xlfn.TEXTJOIN(CHAR(10)&amp;CHAR(10), TRUE, _xlfn._xlws.FILTER(_xlpm.Blocks, NOT(ISERROR(_xlpm.Blocks))))
)</f>
        <v>&lt;ThermalBridge&gt;
&lt;TypeSource&gt;NonGovApprovedScheme&lt;/TypeSource&gt;
&lt;Length&gt;6.2&lt;/Length&gt;
&lt;PsiValue&gt;0.017&lt;/PsiValue&gt;
&lt;K1Index&gt;OtherLintels&lt;/K1Index&gt;
&lt;Imported&gt;False&lt;/Imported&gt;
&lt;Adjusted&gt;0.017&lt;/Adjusted&gt;
&lt;Reference&gt;Shared 1, Shelter 1&lt;/Reference&gt;
&lt;/ThermalBridge&gt;
&lt;ThermalBridge&gt;
&lt;TypeSource&gt;NonGovApprovedScheme&lt;/TypeSource&gt;
&lt;Length&gt;2.26&lt;/Length&gt;
&lt;PsiValue&gt;0.022&lt;/PsiValue&gt;
&lt;K1Index&gt;Sill&lt;/K1Index&gt;
&lt;Imported&gt;False&lt;/Imported&gt;
&lt;Adjusted&gt;0.022&lt;/Adjusted&gt;
&lt;Reference&gt;Shared 1, Shelter 1&lt;/Reference&gt;
&lt;/ThermalBridge&gt;
&lt;ThermalBridge&gt;
&lt;TypeSource&gt;NonGovApprovedScheme&lt;/TypeSource&gt;
&lt;Length&gt;14.7&lt;/Length&gt;
&lt;PsiValue&gt;0.017&lt;/PsiValue&gt;
&lt;K1Index&gt;Jamb&lt;/K1Index&gt;
&lt;Imported&gt;False&lt;/Imported&gt;
&lt;Adjusted&gt;0.017&lt;/Adjusted&gt;
&lt;Reference&gt;Shared 1, Shelter 1&lt;/Reference&gt;
&lt;/ThermalBridge&gt;
&lt;ThermalBridge&gt;
&lt;TypeSource&gt;NonGovApprovedScheme&lt;/TypeSource&gt;
&lt;Length&gt;15.47&lt;/Length&gt;
&lt;PsiValue&gt;0.074&lt;/PsiValue&gt;
&lt;K1Index&gt;GroundFloorNormal&lt;/K1Index&gt;
&lt;Imported&gt;False&lt;/Imported&gt;
&lt;Adjusted&gt;0.074&lt;/Adjusted&gt;
&lt;Reference&gt;Shared 1, Shelter 1&lt;/Reference&gt;
&lt;/ThermalBridge&gt;
&lt;ThermalBridge&gt;
&lt;TypeSource&gt;NonGovApprovedScheme&lt;/TypeSource&gt;
&lt;Length&gt;10.29&lt;/Length&gt;
&lt;PsiValue&gt;0.037&lt;/PsiValue&gt;
&lt;K1Index&gt;PartyFloor&lt;/K1Index&gt;
&lt;Imported&gt;False&lt;/Imported&gt;
&lt;Adjusted&gt;0.037&lt;/Adjusted&gt;
&lt;Reference&gt;Shared 2, Shelter 1&lt;/Reference&gt;
&lt;/ThermalBridge&gt;
&lt;ThermalBridge&gt;
&lt;TypeSource&gt;TableK1Default&lt;/TypeSource&gt;
&lt;Length&gt;5.18&lt;/Length&gt;
&lt;PsiValue&gt;0.16&lt;/PsiValue&gt;
&lt;K1Index&gt;FlatRoof&lt;/K1Index&gt;
&lt;Imported&gt;False&lt;/Imported&gt;
&lt;Adjusted&gt;0.16&lt;/Adjusted&gt;
&lt;Reference&gt;Shared 1, Shelter 1&lt;/Reference&gt;
&lt;/ThermalBridge&gt;
&lt;ThermalBridge&gt;
&lt;TypeSource&gt;NonGovApprovedScheme&lt;/TypeSource&gt;
&lt;Length&gt;2.77&lt;/Length&gt;
&lt;PsiValue&gt;0.03818&lt;/PsiValue&gt;
&lt;K1Index&gt;CornerNormal&lt;/K1Index&gt;
&lt;Imported&gt;False&lt;/Imported&gt;
&lt;Adjusted&gt;0.03818&lt;/Adjusted&gt;
&lt;Reference&gt;Shared 1, Shelter 0.83&lt;/Reference&gt;
&lt;/ThermalBridge&gt;
&lt;ThermalBridge&gt;
&lt;TypeSource&gt;NonGovApprovedScheme&lt;/TypeSource&gt;
&lt;Length&gt;5.54&lt;/Length&gt;
&lt;PsiValue&gt;0.046&lt;/PsiValue&gt;
&lt;K1Index&gt;CornerNormal&lt;/K1Index&gt;
&lt;Imported&gt;False&lt;/Imported&gt;
&lt;Adjusted&gt;0.046&lt;/Adjusted&gt;
&lt;Reference&gt;Shared 1, Shelter 1&lt;/Reference&gt;
&lt;/ThermalBridge&gt;
&lt;ThermalBridge&gt;
&lt;TypeSource&gt;NonGovApprovedScheme&lt;/TypeSource&gt;
&lt;Length&gt;2.77&lt;/Length&gt;
&lt;PsiValue&gt;-0.07304&lt;/PsiValue&gt;
&lt;K1Index&gt;CornerInverted&lt;/K1Index&gt;
&lt;Imported&gt;False&lt;/Imported&gt;
&lt;Adjusted&gt;-0.07304&lt;/Adjusted&gt;
&lt;Reference&gt;Shared 1, Shelter 0.83&lt;/Reference&gt;
&lt;/ThermalBridge&gt;
&lt;ThermalBridge&gt;
&lt;TypeSource&gt;TableK1Default&lt;/TypeSource&gt;
&lt;Length&gt;2.77&lt;/Length&gt;
&lt;PsiValue&gt;0.0996&lt;/PsiValue&gt;
&lt;K1Index&gt;StaggeredPart&lt;/K1Index&gt;
&lt;Imported&gt;False&lt;/Imported&gt;
&lt;Adjusted&gt;0.0996&lt;/Adjusted&gt;
&lt;Reference&gt;Shared 2, Shelter 0.83&lt;/Reference&gt;
&lt;/ThermalBridge&gt;
&lt;ThermalBridge&gt;
&lt;TypeSource&gt;TableK1Default&lt;/TypeSource&gt;
&lt;Length&gt;2.77&lt;/Length&gt;
&lt;PsiValue&gt;0.12&lt;/PsiValue&gt;
&lt;K1Index&gt;StaggeredPart&lt;/K1Index&gt;
&lt;Imported&gt;False&lt;/Imported&gt;
&lt;Adjusted&gt;0.12&lt;/Adjusted&gt;
&lt;Reference&gt;Shared 2, Shelter 1&lt;/Reference&gt;
&lt;/ThermalBridge&gt;
&lt;ThermalBridge&gt;
&lt;TypeSource&gt;NonGovApprovedScheme&lt;/TypeSource&gt;
&lt;Length&gt;4.67&lt;/Length&gt;
&lt;PsiValue&gt;0.08549&lt;/PsiValue&gt;
&lt;K1Index&gt;GroundFloorWithPartyWall&lt;/K1Index&gt;
&lt;Imported&gt;False&lt;/Imported&gt;
&lt;Adjusted&gt;0.08549&lt;/Adjusted&gt;
&lt;Reference&gt;Shared 2, Shelter 0.83&lt;/Reference&gt;
&lt;/ThermalBridge&gt;
&lt;ThermalBridge&gt;
&lt;TypeSource&gt;NonGovApprovedScheme&lt;/TypeSource&gt;
&lt;Length&gt;11.32&lt;/Length&gt;
&lt;PsiValue&gt;0.103&lt;/PsiValue&gt;
&lt;K1Index&gt;GroundFloorWithPartyWall&lt;/K1Index&gt;
&lt;Imported&gt;False&lt;/Imported&gt;
&lt;Adjusted&gt;0.103&lt;/Adjusted&gt;
&lt;Reference&gt;Shared 2, Shelter 1&lt;/Reference&gt;
&lt;/ThermalBridge&gt;
&lt;ThermalBridge&gt;
&lt;TypeSource&gt;TableK1Default&lt;/TypeSource&gt;
&lt;Length&gt;11.32&lt;/Length&gt;
&lt;PsiValue&gt;0&lt;/PsiValue&gt;
&lt;K1Index&gt;PartyFloorWithPartyWall&lt;/K1Index&gt;
&lt;Imported&gt;False&lt;/Imported&gt;
&lt;Adjusted&gt;0&lt;/Adjusted&gt;
&lt;Reference&gt;Shared -, Shelter -&lt;/Reference&gt;
&lt;/ThermalBridge&gt;
&lt;ThermalBridge&gt;
&lt;TypeSource&gt;TableK1Default&lt;/TypeSource&gt;
&lt;Length&gt;4.67&lt;/Length&gt;
&lt;PsiValue&gt;0.1992&lt;/PsiValue&gt;
&lt;K1Index&gt;ExposedFloorInvertedWithPartyWall&lt;/K1Index&gt;
&lt;Imported&gt;False&lt;/Imported&gt;
&lt;Adjusted&gt;0.1992&lt;/Adjusted&gt;
&lt;Reference&gt;Shared 2, Shelter 0.83&lt;/Reference&gt;
&lt;/ThermalBridge&gt;</v>
      </c>
      <c r="P38" s="15" t="str" cm="1">
        <f t="array" ref="P38">_xlfn.LET(
    _xlpm.rng, ROWS(P7:P30),
    _xlpm.Ovals, P7:P30,
    _xlpm.AKvals, AK7:AK30,
    _xlpm.Mvals, $M7:$M30,
    _xlpm.ALvals, AL7:AL30,
    _xlpm.AMvals, AM7:AM30,
    _xlpm.Blocks,
    IF(_xlpm.Ovals=0,
        NA(),
        "&lt;ThermalBridge&gt;"&amp;CHAR(10)&amp;
        "&lt;TypeSource&gt;"&amp;_xlpm.AKvals&amp;"&lt;/TypeSource&gt;"&amp;CHAR(10)&amp;
        "&lt;Length&gt;"&amp;_xlpm.Ovals&amp;"&lt;/Length&gt;"&amp;CHAR(10)&amp;
        "&lt;PsiValue&gt;"&amp;_xlpm.Mvals&amp;"&lt;/PsiValue&gt;"&amp;CHAR(10)&amp;
        "&lt;K1Index&gt;"&amp;_xlpm.ALvals&amp;"&lt;/K1Index&gt;"&amp;CHAR(10)&amp;
        "&lt;Imported&gt;False&lt;/Imported&gt;"&amp;CHAR(10)&amp;
        "&lt;Adjusted&gt;"&amp;_xlpm.Mvals&amp;"&lt;/Adjusted&gt;"&amp;CHAR(10)&amp;
        "&lt;Reference&gt;"&amp;_xlpm.AMvals&amp;"&lt;/Reference&gt;"&amp;CHAR(10)&amp;
        "&lt;/ThermalBridge&gt;"
    ),
    _xlfn.TEXTJOIN(CHAR(10)&amp;CHAR(10), TRUE, _xlfn._xlws.FILTER(_xlpm.Blocks, NOT(ISERROR(_xlpm.Blocks))))
)</f>
        <v>&lt;ThermalBridge&gt;
&lt;TypeSource&gt;OtherLintels&lt;/TypeSource&gt;
&lt;Length&gt;6.56&lt;/Length&gt;
&lt;PsiValue&gt;0.017&lt;/PsiValue&gt;
&lt;K1Index&gt;Shared 1, Shelter 1&lt;/K1Index&gt;
&lt;Imported&gt;False&lt;/Imported&gt;
&lt;Adjusted&gt;0.017&lt;/Adjusted&gt;
&lt;Reference&gt;&lt;/Reference&gt;
&lt;/ThermalBridge&gt;
&lt;ThermalBridge&gt;
&lt;TypeSource&gt;Sill&lt;/TypeSource&gt;
&lt;Length&gt;4.08&lt;/Length&gt;
&lt;PsiValue&gt;0.022&lt;/PsiValue&gt;
&lt;K1Index&gt;Shared 1, Shelter 1&lt;/K1Index&gt;
&lt;Imported&gt;False&lt;/Imported&gt;
&lt;Adjusted&gt;0.022&lt;/Adjusted&gt;
&lt;Reference&gt;&lt;/Reference&gt;
&lt;/ThermalBridge&gt;
&lt;ThermalBridge&gt;
&lt;TypeSource&gt;Jamb&lt;/TypeSource&gt;
&lt;Length&gt;16.88&lt;/Length&gt;
&lt;PsiValue&gt;0.017&lt;/PsiValue&gt;
&lt;K1Index&gt;Shared 1, Shelter 1&lt;/K1Index&gt;
&lt;Imported&gt;False&lt;/Imported&gt;
&lt;Adjusted&gt;0.017&lt;/Adjusted&gt;
&lt;Reference&gt;&lt;/Reference&gt;
&lt;/ThermalBridge&gt;
&lt;ThermalBridge&gt;
&lt;TypeSource&gt;GroundFloorNormal&lt;/TypeSource&gt;
&lt;Length&gt;18.78&lt;/Length&gt;
&lt;PsiValue&gt;0.074&lt;/PsiValue&gt;
&lt;K1Index&gt;Shared 1, Shelter 1&lt;/K1Index&gt;
&lt;Imported&gt;False&lt;/Imported&gt;
&lt;Adjusted&gt;0.074&lt;/Adjusted&gt;
&lt;Reference&gt;&lt;/Reference&gt;
&lt;/ThermalBridge&gt;
&lt;ThermalBridge&gt;
&lt;TypeSource&gt;PartyFloor&lt;/TypeSource&gt;
&lt;Length&gt;17.54&lt;/Length&gt;
&lt;PsiValue&gt;0.037&lt;/PsiValue&gt;
&lt;K1Index&gt;Shared 2, Shelter 1&lt;/K1Index&gt;
&lt;Imported&gt;False&lt;/Imported&gt;
&lt;Adjusted&gt;0.037&lt;/Adjusted&gt;
&lt;Reference&gt;&lt;/Reference&gt;
&lt;/ThermalBridge&gt;
&lt;ThermalBridge&gt;
&lt;TypeSource&gt;CornerNormal&lt;/TypeSource&gt;
&lt;Length&gt;8.31&lt;/Length&gt;
&lt;PsiValue&gt;0.046&lt;/PsiValue&gt;
&lt;K1Index&gt;Shared 1, Shelter 1&lt;/K1Index&gt;
&lt;Imported&gt;False&lt;/Imported&gt;
&lt;Adjusted&gt;0.046&lt;/Adjusted&gt;
&lt;Reference&gt;&lt;/Reference&gt;
&lt;/ThermalBridge&gt;
&lt;ThermalBridge&gt;
&lt;TypeSource&gt;CornerInverted&lt;/TypeSource&gt;
&lt;Length&gt;2.77&lt;/Length&gt;
&lt;PsiValue&gt;-0.088&lt;/PsiValue&gt;
&lt;K1Index&gt;Shared 1, Shelter 1&lt;/K1Index&gt;
&lt;Imported&gt;False&lt;/Imported&gt;
&lt;Adjusted&gt;-0.088&lt;/Adjusted&gt;
&lt;Reference&gt;&lt;/Reference&gt;
&lt;/ThermalBridge&gt;
&lt;ThermalBridge&gt;
&lt;TypeSource&gt;PartyWall&lt;/TypeSource&gt;
&lt;Length&gt;2.77&lt;/Length&gt;
&lt;PsiValue&gt;0.038&lt;/PsiValue&gt;
&lt;K1Index&gt;Shared 2, Shelter 1&lt;/K1Index&gt;
&lt;Imported&gt;False&lt;/Imported&gt;
&lt;Adjusted&gt;0.038&lt;/Adjusted&gt;
&lt;Reference&gt;&lt;/Reference&gt;
&lt;/ThermalBridge&gt;
&lt;ThermalBridge&gt;
&lt;TypeSource&gt;StaggeredPart&lt;/TypeSource&gt;
&lt;Length&gt;2.77&lt;/Length&gt;
&lt;PsiValue&gt;0.12&lt;/PsiValue&gt;
&lt;K1Index&gt;Shared 2, Shelter 1&lt;/K1Index&gt;
&lt;Imported&gt;False&lt;/Imported&gt;
&lt;Adjusted&gt;0.12&lt;/Adjusted&gt;
&lt;Reference&gt;&lt;/Reference&gt;
&lt;/ThermalBridge&gt;
&lt;ThermalBridge&gt;
&lt;TypeSource&gt;GroundFloorWithPartyWall&lt;/TypeSource&gt;
&lt;Length&gt;16.3&lt;/Length&gt;
&lt;PsiValue&gt;0.103&lt;/PsiValue&gt;
&lt;K1Index&gt;Shared 2, Shelter 1&lt;/K1Index&gt;
&lt;Imported&gt;False&lt;/Imported&gt;
&lt;Adjusted&gt;0.103&lt;/Adjusted&gt;
&lt;Reference&gt;&lt;/Reference&gt;
&lt;/ThermalBridge&gt;
&lt;ThermalBridge&gt;
&lt;TypeSource&gt;PartyFloorWithPartyWall&lt;/TypeSource&gt;
&lt;Length&gt;16.3&lt;/Length&gt;
&lt;PsiValue&gt;0&lt;/PsiValue&gt;
&lt;K1Index&gt;Shared -, Shelter -&lt;/K1Index&gt;
&lt;Imported&gt;False&lt;/Imported&gt;
&lt;Adjusted&gt;0&lt;/Adjusted&gt;
&lt;Reference&gt;&lt;/Reference&gt;
&lt;/ThermalBridge&gt;
&lt;ThermalBridge&gt;
&lt;TypeSource&gt;ExposedFloorInvertedWithPartyWall&lt;/TypeSource&gt;
&lt;Length&gt;1.24&lt;/Length&gt;
&lt;PsiValue&gt;0.16&lt;/PsiValue&gt;
&lt;K1Index&gt;Shared 3, Shelter 1&lt;/K1Index&gt;
&lt;Imported&gt;False&lt;/Imported&gt;
&lt;Adjusted&gt;0.16&lt;/Adjusted&gt;
&lt;Reference&gt;&lt;/Reference&gt;
&lt;/ThermalBridge&gt;</v>
      </c>
      <c r="Q38" s="15" t="str" cm="1">
        <f t="array" ref="Q38">_xlfn.LET(
    _xlpm.rng, ROWS(Q7:Q30),
    _xlpm.Ovals, Q7:Q30,
    _xlpm.AKvals, AL7:AL30,
    _xlpm.Mvals, $M7:$M30,
    _xlpm.ALvals, AM7:AM30,
    _xlpm.AMvals, AN7:AN30,
    _xlpm.Blocks,
    IF(_xlpm.Ovals=0,
        NA(),
        "&lt;ThermalBridge&gt;"&amp;CHAR(10)&amp;
        "&lt;TypeSource&gt;"&amp;_xlpm.AKvals&amp;"&lt;/TypeSource&gt;"&amp;CHAR(10)&amp;
        "&lt;Length&gt;"&amp;_xlpm.Ovals&amp;"&lt;/Length&gt;"&amp;CHAR(10)&amp;
        "&lt;PsiValue&gt;"&amp;_xlpm.Mvals&amp;"&lt;/PsiValue&gt;"&amp;CHAR(10)&amp;
        "&lt;K1Index&gt;"&amp;_xlpm.ALvals&amp;"&lt;/K1Index&gt;"&amp;CHAR(10)&amp;
        "&lt;Imported&gt;False&lt;/Imported&gt;"&amp;CHAR(10)&amp;
        "&lt;Adjusted&gt;"&amp;_xlpm.Mvals&amp;"&lt;/Adjusted&gt;"&amp;CHAR(10)&amp;
        "&lt;Reference&gt;"&amp;_xlpm.AMvals&amp;"&lt;/Reference&gt;"&amp;CHAR(10)&amp;
        "&lt;/ThermalBridge&gt;"
    ),
    _xlfn.TEXTJOIN(CHAR(10)&amp;CHAR(10), TRUE, _xlfn._xlws.FILTER(_xlpm.Blocks, NOT(ISERROR(_xlpm.Blocks))))
)</f>
        <v>&lt;ThermalBridge&gt;
&lt;TypeSource&gt;Shared 1, Shelter 1&lt;/TypeSource&gt;
&lt;Length&gt;4.98&lt;/Length&gt;
&lt;PsiValue&gt;0.017&lt;/PsiValue&gt;
&lt;K1Index&gt;&lt;/K1Index&gt;
&lt;Imported&gt;False&lt;/Imported&gt;
&lt;Adjusted&gt;0.017&lt;/Adjusted&gt;
&lt;Reference&gt;&lt;/Reference&gt;
&lt;/ThermalBridge&gt;
&lt;ThermalBridge&gt;
&lt;TypeSource&gt;Shared 1, Shelter 1&lt;/TypeSource&gt;
&lt;Length&gt;4.08&lt;/Length&gt;
&lt;PsiValue&gt;0.022&lt;/PsiValue&gt;
&lt;K1Index&gt;&lt;/K1Index&gt;
&lt;Imported&gt;False&lt;/Imported&gt;
&lt;Adjusted&gt;0.022&lt;/Adjusted&gt;
&lt;Reference&gt;&lt;/Reference&gt;
&lt;/ThermalBridge&gt;
&lt;ThermalBridge&gt;
&lt;TypeSource&gt;Shared 1, Shelter 1&lt;/TypeSource&gt;
&lt;Length&gt;16.84&lt;/Length&gt;
&lt;PsiValue&gt;0.017&lt;/PsiValue&gt;
&lt;K1Index&gt;&lt;/K1Index&gt;
&lt;Imported&gt;False&lt;/Imported&gt;
&lt;Adjusted&gt;0.017&lt;/Adjusted&gt;
&lt;Reference&gt;&lt;/Reference&gt;
&lt;/ThermalBridge&gt;
&lt;ThermalBridge&gt;
&lt;TypeSource&gt;Shared 1, Shelter 1&lt;/TypeSource&gt;
&lt;Length&gt;12.4&lt;/Length&gt;
&lt;PsiValue&gt;0.074&lt;/PsiValue&gt;
&lt;K1Index&gt;&lt;/K1Index&gt;
&lt;Imported&gt;False&lt;/Imported&gt;
&lt;Adjusted&gt;0.074&lt;/Adjusted&gt;
&lt;Reference&gt;&lt;/Reference&gt;
&lt;/ThermalBridge&gt;
&lt;ThermalBridge&gt;
&lt;TypeSource&gt;Shared 2, Shelter 1&lt;/TypeSource&gt;
&lt;Length&gt;12.4&lt;/Length&gt;
&lt;PsiValue&gt;0.037&lt;/PsiValue&gt;
&lt;K1Index&gt;&lt;/K1Index&gt;
&lt;Imported&gt;False&lt;/Imported&gt;
&lt;Adjusted&gt;0.037&lt;/Adjusted&gt;
&lt;Reference&gt;&lt;/Reference&gt;
&lt;/ThermalBridge&gt;
&lt;ThermalBridge&gt;
&lt;TypeSource&gt;Shared 1, Shelter 1&lt;/TypeSource&gt;
&lt;Length&gt;5.54&lt;/Length&gt;
&lt;PsiValue&gt;0.046&lt;/PsiValue&gt;
&lt;K1Index&gt;&lt;/K1Index&gt;
&lt;Imported&gt;False&lt;/Imported&gt;
&lt;Adjusted&gt;0.046&lt;/Adjusted&gt;
&lt;Reference&gt;&lt;/Reference&gt;
&lt;/ThermalBridge&gt;
&lt;ThermalBridge&gt;
&lt;TypeSource&gt;Shared 1, Shelter 1&lt;/TypeSource&gt;
&lt;Length&gt;5.54&lt;/Length&gt;
&lt;PsiValue&gt;-0.088&lt;/PsiValue&gt;
&lt;K1Index&gt;&lt;/K1Index&gt;
&lt;Imported&gt;False&lt;/Imported&gt;
&lt;Adjusted&gt;-0.088&lt;/Adjusted&gt;
&lt;Reference&gt;&lt;/Reference&gt;
&lt;/ThermalBridge&gt;
&lt;ThermalBridge&gt;
&lt;TypeSource&gt;Shared 2, Shelter 1&lt;/TypeSource&gt;
&lt;Length&gt;5.54&lt;/Length&gt;
&lt;PsiValue&gt;0.038&lt;/PsiValue&gt;
&lt;K1Index&gt;&lt;/K1Index&gt;
&lt;Imported&gt;False&lt;/Imported&gt;
&lt;Adjusted&gt;0.038&lt;/Adjusted&gt;
&lt;Reference&gt;&lt;/Reference&gt;
&lt;/ThermalBridge&gt;
&lt;ThermalBridge&gt;
&lt;TypeSource&gt;Shared 2, Shelter 1&lt;/TypeSource&gt;
&lt;Length&gt;24.18&lt;/Length&gt;
&lt;PsiValue&gt;0.103&lt;/PsiValue&gt;
&lt;K1Index&gt;&lt;/K1Index&gt;
&lt;Imported&gt;False&lt;/Imported&gt;
&lt;Adjusted&gt;0.103&lt;/Adjusted&gt;
&lt;Reference&gt;&lt;/Reference&gt;
&lt;/ThermalBridge&gt;
&lt;ThermalBridge&gt;
&lt;TypeSource&gt;Shared -, Shelter -&lt;/TypeSource&gt;
&lt;Length&gt;24.18&lt;/Length&gt;
&lt;PsiValue&gt;0&lt;/PsiValue&gt;
&lt;K1Index&gt;&lt;/K1Index&gt;
&lt;Imported&gt;False&lt;/Imported&gt;
&lt;Adjusted&gt;0&lt;/Adjusted&gt;
&lt;Reference&gt;&lt;/Reference&gt;
&lt;/ThermalBridge&gt;</v>
      </c>
      <c r="R38" s="15" t="str" cm="1">
        <f t="array" ref="R38">_xlfn.LET(
    _xlpm.rng, ROWS(R7:R30),
    _xlpm.Ovals, R7:R30,
    _xlpm.AKvals, AM7:AM30,
    _xlpm.Mvals, $M7:$M30,
    _xlpm.ALvals, AN7:AN30,
    _xlpm.AMvals, AO7:AO30,
    _xlpm.Blocks,
    IF(_xlpm.Ovals=0,
        NA(),
        "&lt;ThermalBridge&gt;"&amp;CHAR(10)&amp;
        "&lt;TypeSource&gt;"&amp;_xlpm.AKvals&amp;"&lt;/TypeSource&gt;"&amp;CHAR(10)&amp;
        "&lt;Length&gt;"&amp;_xlpm.Ovals&amp;"&lt;/Length&gt;"&amp;CHAR(10)&amp;
        "&lt;PsiValue&gt;"&amp;_xlpm.Mvals&amp;"&lt;/PsiValue&gt;"&amp;CHAR(10)&amp;
        "&lt;K1Index&gt;"&amp;_xlpm.ALvals&amp;"&lt;/K1Index&gt;"&amp;CHAR(10)&amp;
        "&lt;Imported&gt;False&lt;/Imported&gt;"&amp;CHAR(10)&amp;
        "&lt;Adjusted&gt;"&amp;_xlpm.Mvals&amp;"&lt;/Adjusted&gt;"&amp;CHAR(10)&amp;
        "&lt;Reference&gt;"&amp;_xlpm.AMvals&amp;"&lt;/Reference&gt;"&amp;CHAR(10)&amp;
        "&lt;/ThermalBridge&gt;"
    ),
    _xlfn.TEXTJOIN(CHAR(10)&amp;CHAR(10), TRUE, _xlfn._xlws.FILTER(_xlpm.Blocks, NOT(ISERROR(_xlpm.Blocks))))
)</f>
        <v>&lt;ThermalBridge&gt;
&lt;TypeSource&gt;&lt;/TypeSource&gt;
&lt;Length&gt;3.61&lt;/Length&gt;
&lt;PsiValue&gt;0.017&lt;/PsiValue&gt;
&lt;K1Index&gt;&lt;/K1Index&gt;
&lt;Imported&gt;False&lt;/Imported&gt;
&lt;Adjusted&gt;0.017&lt;/Adjusted&gt;
&lt;Reference&gt;&lt;/Reference&gt;
&lt;/ThermalBridge&gt;
&lt;ThermalBridge&gt;
&lt;TypeSource&gt;&lt;/TypeSource&gt;
&lt;Length&gt;1.13&lt;/Length&gt;
&lt;PsiValue&gt;0.022&lt;/PsiValue&gt;
&lt;K1Index&gt;&lt;/K1Index&gt;
&lt;Imported&gt;False&lt;/Imported&gt;
&lt;Adjusted&gt;0.022&lt;/Adjusted&gt;
&lt;Reference&gt;&lt;/Reference&gt;
&lt;/ThermalBridge&gt;
&lt;ThermalBridge&gt;
&lt;TypeSource&gt;&lt;/TypeSource&gt;
&lt;Length&gt;7.38&lt;/Length&gt;
&lt;PsiValue&gt;0.017&lt;/PsiValue&gt;
&lt;K1Index&gt;&lt;/K1Index&gt;
&lt;Imported&gt;False&lt;/Imported&gt;
&lt;Adjusted&gt;0.017&lt;/Adjusted&gt;
&lt;Reference&gt;&lt;/Reference&gt;
&lt;/ThermalBridge&gt;
&lt;ThermalBridge&gt;
&lt;TypeSource&gt;&lt;/TypeSource&gt;
&lt;Length&gt;4.59&lt;/Length&gt;
&lt;PsiValue&gt;0.074&lt;/PsiValue&gt;
&lt;K1Index&gt;&lt;/K1Index&gt;
&lt;Imported&gt;False&lt;/Imported&gt;
&lt;Adjusted&gt;0.074&lt;/Adjusted&gt;
&lt;Reference&gt;&lt;/Reference&gt;
&lt;/ThermalBridge&gt;
&lt;ThermalBridge&gt;
&lt;TypeSource&gt;&lt;/TypeSource&gt;
&lt;Length&gt;7.29&lt;/Length&gt;
&lt;PsiValue&gt;0.037&lt;/PsiValue&gt;
&lt;K1Index&gt;&lt;/K1Index&gt;
&lt;Imported&gt;False&lt;/Imported&gt;
&lt;Adjusted&gt;0.037&lt;/Adjusted&gt;
&lt;Reference&gt;&lt;/Reference&gt;
&lt;/ThermalBridge&gt;
&lt;ThermalBridge&gt;
&lt;TypeSource&gt;&lt;/TypeSource&gt;
&lt;Length&gt;2.77&lt;/Length&gt;
&lt;PsiValue&gt;0.046&lt;/PsiValue&gt;
&lt;K1Index&gt;&lt;/K1Index&gt;
&lt;Imported&gt;False&lt;/Imported&gt;
&lt;Adjusted&gt;0.046&lt;/Adjusted&gt;
&lt;Reference&gt;&lt;/Reference&gt;
&lt;/ThermalBridge&gt;
&lt;ThermalBridge&gt;
&lt;TypeSource&gt;&lt;/TypeSource&gt;
&lt;Length&gt;2.77&lt;/Length&gt;
&lt;PsiValue&gt;-0.088&lt;/PsiValue&gt;
&lt;K1Index&gt;&lt;/K1Index&gt;
&lt;Imported&gt;False&lt;/Imported&gt;
&lt;Adjusted&gt;-0.088&lt;/Adjusted&gt;
&lt;Reference&gt;&lt;/Reference&gt;
&lt;/ThermalBridge&gt;
&lt;ThermalBridge&gt;
&lt;TypeSource&gt;&lt;/TypeSource&gt;
&lt;Length&gt;5.46&lt;/Length&gt;
&lt;PsiValue&gt;0.038&lt;/PsiValue&gt;
&lt;K1Index&gt;&lt;/K1Index&gt;
&lt;Imported&gt;False&lt;/Imported&gt;
&lt;Adjusted&gt;0.038&lt;/Adjusted&gt;
&lt;Reference&gt;&lt;/Reference&gt;
&lt;/ThermalBridge&gt;
&lt;ThermalBridge&gt;
&lt;TypeSource&gt;&lt;/TypeSource&gt;
&lt;Length&gt;2.77&lt;/Length&gt;
&lt;PsiValue&gt;0.12&lt;/PsiValue&gt;
&lt;K1Index&gt;&lt;/K1Index&gt;
&lt;Imported&gt;False&lt;/Imported&gt;
&lt;Adjusted&gt;0.12&lt;/Adjusted&gt;
&lt;Reference&gt;&lt;/Reference&gt;
&lt;/ThermalBridge&gt;
&lt;ThermalBridge&gt;
&lt;TypeSource&gt;&lt;/TypeSource&gt;
&lt;Length&gt;24.13&lt;/Length&gt;
&lt;PsiValue&gt;0.103&lt;/PsiValue&gt;
&lt;K1Index&gt;&lt;/K1Index&gt;
&lt;Imported&gt;False&lt;/Imported&gt;
&lt;Adjusted&gt;0.103&lt;/Adjusted&gt;
&lt;Reference&gt;&lt;/Reference&gt;
&lt;/ThermalBridge&gt;
&lt;ThermalBridge&gt;
&lt;TypeSource&gt;&lt;/TypeSource&gt;
&lt;Length&gt;24.13&lt;/Length&gt;
&lt;PsiValue&gt;0&lt;/PsiValue&gt;
&lt;K1Index&gt;&lt;/K1Index&gt;
&lt;Imported&gt;False&lt;/Imported&gt;
&lt;Adjusted&gt;0&lt;/Adjusted&gt;
&lt;Reference&gt;&lt;/Reference&gt;
&lt;/ThermalBridge&gt;</v>
      </c>
      <c r="S38" s="15" t="str" cm="1">
        <f t="array" ref="S38">_xlfn.LET(
    _xlpm.rng, ROWS(S7:S30),
    _xlpm.Ovals, S7:S30,
    _xlpm.AKvals, AN7:AN30,
    _xlpm.Mvals, $M7:$M30,
    _xlpm.ALvals, AO7:AO30,
    _xlpm.AMvals, AP7:AP30,
    _xlpm.Blocks,
    IF(_xlpm.Ovals=0,
        NA(),
        "&lt;ThermalBridge&gt;"&amp;CHAR(10)&amp;
        "&lt;TypeSource&gt;"&amp;_xlpm.AKvals&amp;"&lt;/TypeSource&gt;"&amp;CHAR(10)&amp;
        "&lt;Length&gt;"&amp;_xlpm.Ovals&amp;"&lt;/Length&gt;"&amp;CHAR(10)&amp;
        "&lt;PsiValue&gt;"&amp;_xlpm.Mvals&amp;"&lt;/PsiValue&gt;"&amp;CHAR(10)&amp;
        "&lt;K1Index&gt;"&amp;_xlpm.ALvals&amp;"&lt;/K1Index&gt;"&amp;CHAR(10)&amp;
        "&lt;Imported&gt;False&lt;/Imported&gt;"&amp;CHAR(10)&amp;
        "&lt;Adjusted&gt;"&amp;_xlpm.Mvals&amp;"&lt;/Adjusted&gt;"&amp;CHAR(10)&amp;
        "&lt;Reference&gt;"&amp;_xlpm.AMvals&amp;"&lt;/Reference&gt;"&amp;CHAR(10)&amp;
        "&lt;/ThermalBridge&gt;"
    ),
    _xlfn.TEXTJOIN(CHAR(10)&amp;CHAR(10), TRUE, _xlfn._xlws.FILTER(_xlpm.Blocks, NOT(ISERROR(_xlpm.Blocks))))
)</f>
        <v>&lt;ThermalBridge&gt;
&lt;TypeSource&gt;&lt;/TypeSource&gt;
&lt;Length&gt;5.65&lt;/Length&gt;
&lt;PsiValue&gt;0.017&lt;/PsiValue&gt;
&lt;K1Index&gt;&lt;/K1Index&gt;
&lt;Imported&gt;False&lt;/Imported&gt;
&lt;Adjusted&gt;0.017&lt;/Adjusted&gt;
&lt;Reference&gt;&lt;/Reference&gt;
&lt;/ThermalBridge&gt;
&lt;ThermalBridge&gt;
&lt;TypeSource&gt;&lt;/TypeSource&gt;
&lt;Length&gt;3.17&lt;/Length&gt;
&lt;PsiValue&gt;0.022&lt;/PsiValue&gt;
&lt;K1Index&gt;&lt;/K1Index&gt;
&lt;Imported&gt;False&lt;/Imported&gt;
&lt;Adjusted&gt;0.022&lt;/Adjusted&gt;
&lt;Reference&gt;&lt;/Reference&gt;
&lt;/ThermalBridge&gt;
&lt;ThermalBridge&gt;
&lt;TypeSource&gt;&lt;/TypeSource&gt;
&lt;Length&gt;13.66&lt;/Length&gt;
&lt;PsiValue&gt;0.017&lt;/PsiValue&gt;
&lt;K1Index&gt;&lt;/K1Index&gt;
&lt;Imported&gt;False&lt;/Imported&gt;
&lt;Adjusted&gt;0.017&lt;/Adjusted&gt;
&lt;Reference&gt;&lt;/Reference&gt;
&lt;/ThermalBridge&gt;
&lt;ThermalBridge&gt;
&lt;TypeSource&gt;&lt;/TypeSource&gt;
&lt;Length&gt;28.8&lt;/Length&gt;
&lt;PsiValue&gt;0.074&lt;/PsiValue&gt;
&lt;K1Index&gt;&lt;/K1Index&gt;
&lt;Imported&gt;False&lt;/Imported&gt;
&lt;Adjusted&gt;0.074&lt;/Adjusted&gt;
&lt;Reference&gt;&lt;/Reference&gt;
&lt;/ThermalBridge&gt;
&lt;ThermalBridge&gt;
&lt;TypeSource&gt;&lt;/TypeSource&gt;
&lt;Length&gt;28.8&lt;/Length&gt;
&lt;PsiValue&gt;0.037&lt;/PsiValue&gt;
&lt;K1Index&gt;&lt;/K1Index&gt;
&lt;Imported&gt;False&lt;/Imported&gt;
&lt;Adjusted&gt;0.037&lt;/Adjusted&gt;
&lt;Reference&gt;&lt;/Reference&gt;
&lt;/ThermalBridge&gt;
&lt;ThermalBridge&gt;
&lt;TypeSource&gt;&lt;/TypeSource&gt;
&lt;Length&gt;8.31&lt;/Length&gt;
&lt;PsiValue&gt;0.046&lt;/PsiValue&gt;
&lt;K1Index&gt;&lt;/K1Index&gt;
&lt;Imported&gt;False&lt;/Imported&gt;
&lt;Adjusted&gt;0.046&lt;/Adjusted&gt;
&lt;Reference&gt;&lt;/Reference&gt;
&lt;/ThermalBridge&gt;
&lt;ThermalBridge&gt;
&lt;TypeSource&gt;&lt;/TypeSource&gt;
&lt;Length&gt;5.54&lt;/Length&gt;
&lt;PsiValue&gt;0.12&lt;/PsiValue&gt;
&lt;K1Index&gt;&lt;/K1Index&gt;
&lt;Imported&gt;False&lt;/Imported&gt;
&lt;Adjusted&gt;0.12&lt;/Adjusted&gt;
&lt;Reference&gt;&lt;/Reference&gt;
&lt;/ThermalBridge&gt;
&lt;ThermalBridge&gt;
&lt;TypeSource&gt;&lt;/TypeSource&gt;
&lt;Length&gt;23.77&lt;/Length&gt;
&lt;PsiValue&gt;0.103&lt;/PsiValue&gt;
&lt;K1Index&gt;&lt;/K1Index&gt;
&lt;Imported&gt;False&lt;/Imported&gt;
&lt;Adjusted&gt;0.103&lt;/Adjusted&gt;
&lt;Reference&gt;&lt;/Reference&gt;
&lt;/ThermalBridge&gt;
&lt;ThermalBridge&gt;
&lt;TypeSource&gt;&lt;/TypeSource&gt;
&lt;Length&gt;23.77&lt;/Length&gt;
&lt;PsiValue&gt;0&lt;/PsiValue&gt;
&lt;K1Index&gt;&lt;/K1Index&gt;
&lt;Imported&gt;False&lt;/Imported&gt;
&lt;Adjusted&gt;0&lt;/Adjusted&gt;
&lt;Reference&gt;&lt;/Reference&gt;
&lt;/ThermalBridge&gt;</v>
      </c>
      <c r="T38" s="15" t="str" cm="1">
        <f t="array" ref="T38">_xlfn.LET(
    _xlpm.rng, ROWS(T7:T30),
    _xlpm.Ovals, T7:T30,
    _xlpm.AKvals, AO7:AO30,
    _xlpm.Mvals, $M7:$M30,
    _xlpm.ALvals, AP7:AP30,
    _xlpm.AMvals, AQ7:AQ30,
    _xlpm.Blocks,
    IF(_xlpm.Ovals=0,
        NA(),
        "&lt;ThermalBridge&gt;"&amp;CHAR(10)&amp;
        "&lt;TypeSource&gt;"&amp;_xlpm.AKvals&amp;"&lt;/TypeSource&gt;"&amp;CHAR(10)&amp;
        "&lt;Length&gt;"&amp;_xlpm.Ovals&amp;"&lt;/Length&gt;"&amp;CHAR(10)&amp;
        "&lt;PsiValue&gt;"&amp;_xlpm.Mvals&amp;"&lt;/PsiValue&gt;"&amp;CHAR(10)&amp;
        "&lt;K1Index&gt;"&amp;_xlpm.ALvals&amp;"&lt;/K1Index&gt;"&amp;CHAR(10)&amp;
        "&lt;Imported&gt;False&lt;/Imported&gt;"&amp;CHAR(10)&amp;
        "&lt;Adjusted&gt;"&amp;_xlpm.Mvals&amp;"&lt;/Adjusted&gt;"&amp;CHAR(10)&amp;
        "&lt;Reference&gt;"&amp;_xlpm.AMvals&amp;"&lt;/Reference&gt;"&amp;CHAR(10)&amp;
        "&lt;/ThermalBridge&gt;"
    ),
    _xlfn.TEXTJOIN(CHAR(10)&amp;CHAR(10), TRUE, _xlfn._xlws.FILTER(_xlpm.Blocks, NOT(ISERROR(_xlpm.Blocks))))
)</f>
        <v>&lt;ThermalBridge&gt;
&lt;TypeSource&gt;&lt;/TypeSource&gt;
&lt;Length&gt;4.74&lt;/Length&gt;
&lt;PsiValue&gt;0.017&lt;/PsiValue&gt;
&lt;K1Index&gt;&lt;/K1Index&gt;
&lt;Imported&gt;False&lt;/Imported&gt;
&lt;Adjusted&gt;0.017&lt;/Adjusted&gt;
&lt;Reference&gt;&lt;/Reference&gt;
&lt;/ThermalBridge&gt;
&lt;ThermalBridge&gt;
&lt;TypeSource&gt;&lt;/TypeSource&gt;
&lt;Length&gt;2.26&lt;/Length&gt;
&lt;PsiValue&gt;0.022&lt;/PsiValue&gt;
&lt;K1Index&gt;&lt;/K1Index&gt;
&lt;Imported&gt;False&lt;/Imported&gt;
&lt;Adjusted&gt;0.022&lt;/Adjusted&gt;
&lt;Reference&gt;&lt;/Reference&gt;
&lt;/ThermalBridge&gt;
&lt;ThermalBridge&gt;
&lt;TypeSource&gt;&lt;/TypeSource&gt;
&lt;Length&gt;10.5&lt;/Length&gt;
&lt;PsiValue&gt;0.017&lt;/PsiValue&gt;
&lt;K1Index&gt;&lt;/K1Index&gt;
&lt;Imported&gt;False&lt;/Imported&gt;
&lt;Adjusted&gt;0.017&lt;/Adjusted&gt;
&lt;Reference&gt;&lt;/Reference&gt;
&lt;/ThermalBridge&gt;
&lt;ThermalBridge&gt;
&lt;TypeSource&gt;&lt;/TypeSource&gt;
&lt;Length&gt;13.07&lt;/Length&gt;
&lt;PsiValue&gt;0.074&lt;/PsiValue&gt;
&lt;K1Index&gt;&lt;/K1Index&gt;
&lt;Imported&gt;False&lt;/Imported&gt;
&lt;Adjusted&gt;0.074&lt;/Adjusted&gt;
&lt;Reference&gt;&lt;/Reference&gt;
&lt;/ThermalBridge&gt;
&lt;ThermalBridge&gt;
&lt;TypeSource&gt;&lt;/TypeSource&gt;
&lt;Length&gt;13.07&lt;/Length&gt;
&lt;PsiValue&gt;0.037&lt;/PsiValue&gt;
&lt;K1Index&gt;&lt;/K1Index&gt;
&lt;Imported&gt;False&lt;/Imported&gt;
&lt;Adjusted&gt;0.037&lt;/Adjusted&gt;
&lt;Reference&gt;&lt;/Reference&gt;
&lt;/ThermalBridge&gt;
&lt;ThermalBridge&gt;
&lt;TypeSource&gt;&lt;/TypeSource&gt;
&lt;Length&gt;5.54&lt;/Length&gt;
&lt;PsiValue&gt;0.046&lt;/PsiValue&gt;
&lt;K1Index&gt;&lt;/K1Index&gt;
&lt;Imported&gt;False&lt;/Imported&gt;
&lt;Adjusted&gt;0.046&lt;/Adjusted&gt;
&lt;Reference&gt;&lt;/Reference&gt;
&lt;/ThermalBridge&gt;
&lt;ThermalBridge&gt;
&lt;TypeSource&gt;&lt;/TypeSource&gt;
&lt;Length&gt;2.77&lt;/Length&gt;
&lt;PsiValue&gt;-0.088&lt;/PsiValue&gt;
&lt;K1Index&gt;&lt;/K1Index&gt;
&lt;Imported&gt;False&lt;/Imported&gt;
&lt;Adjusted&gt;-0.088&lt;/Adjusted&gt;
&lt;Reference&gt;&lt;/Reference&gt;
&lt;/ThermalBridge&gt;
&lt;ThermalBridge&gt;
&lt;TypeSource&gt;&lt;/TypeSource&gt;
&lt;Length&gt;5.54&lt;/Length&gt;
&lt;PsiValue&gt;0.12&lt;/PsiValue&gt;
&lt;K1Index&gt;&lt;/K1Index&gt;
&lt;Imported&gt;False&lt;/Imported&gt;
&lt;Adjusted&gt;0.12&lt;/Adjusted&gt;
&lt;Reference&gt;&lt;/Reference&gt;
&lt;/ThermalBridge&gt;
&lt;ThermalBridge&gt;
&lt;TypeSource&gt;&lt;/TypeSource&gt;
&lt;Length&gt;25.03&lt;/Length&gt;
&lt;PsiValue&gt;0.103&lt;/PsiValue&gt;
&lt;K1Index&gt;&lt;/K1Index&gt;
&lt;Imported&gt;False&lt;/Imported&gt;
&lt;Adjusted&gt;0.103&lt;/Adjusted&gt;
&lt;Reference&gt;&lt;/Reference&gt;
&lt;/ThermalBridge&gt;
&lt;ThermalBridge&gt;
&lt;TypeSource&gt;&lt;/TypeSource&gt;
&lt;Length&gt;25.03&lt;/Length&gt;
&lt;PsiValue&gt;0&lt;/PsiValue&gt;
&lt;K1Index&gt;&lt;/K1Index&gt;
&lt;Imported&gt;False&lt;/Imported&gt;
&lt;Adjusted&gt;0&lt;/Adjusted&gt;
&lt;Reference&gt;&lt;/Reference&gt;
&lt;/ThermalBridge&gt;</v>
      </c>
      <c r="U38" s="15" t="str" cm="1">
        <f t="array" ref="U38">_xlfn.LET(
    _xlpm.rng, ROWS(U7:U30),
    _xlpm.Ovals, U7:U30,
    _xlpm.AKvals, AP7:AP30,
    _xlpm.Mvals, $M7:$M30,
    _xlpm.ALvals, AQ7:AQ30,
    _xlpm.AMvals, AR7:AR30,
    _xlpm.Blocks,
    IF(_xlpm.Ovals=0,
        NA(),
        "&lt;ThermalBridge&gt;"&amp;CHAR(10)&amp;
        "&lt;TypeSource&gt;"&amp;_xlpm.AKvals&amp;"&lt;/TypeSource&gt;"&amp;CHAR(10)&amp;
        "&lt;Length&gt;"&amp;_xlpm.Ovals&amp;"&lt;/Length&gt;"&amp;CHAR(10)&amp;
        "&lt;PsiValue&gt;"&amp;_xlpm.Mvals&amp;"&lt;/PsiValue&gt;"&amp;CHAR(10)&amp;
        "&lt;K1Index&gt;"&amp;_xlpm.ALvals&amp;"&lt;/K1Index&gt;"&amp;CHAR(10)&amp;
        "&lt;Imported&gt;False&lt;/Imported&gt;"&amp;CHAR(10)&amp;
        "&lt;Adjusted&gt;"&amp;_xlpm.Mvals&amp;"&lt;/Adjusted&gt;"&amp;CHAR(10)&amp;
        "&lt;Reference&gt;"&amp;_xlpm.AMvals&amp;"&lt;/Reference&gt;"&amp;CHAR(10)&amp;
        "&lt;/ThermalBridge&gt;"
    ),
    _xlfn.TEXTJOIN(CHAR(10)&amp;CHAR(10), TRUE, _xlfn._xlws.FILTER(_xlpm.Blocks, NOT(ISERROR(_xlpm.Blocks))))
)</f>
        <v>&lt;ThermalBridge&gt;
&lt;TypeSource&gt;&lt;/TypeSource&gt;
&lt;Length&gt;8.01&lt;/Length&gt;
&lt;PsiValue&gt;0.017&lt;/PsiValue&gt;
&lt;K1Index&gt;&lt;/K1Index&gt;
&lt;Imported&gt;False&lt;/Imported&gt;
&lt;Adjusted&gt;0.017&lt;/Adjusted&gt;
&lt;Reference&gt;&lt;/Reference&gt;
&lt;/ThermalBridge&gt;
&lt;ThermalBridge&gt;
&lt;TypeSource&gt;&lt;/TypeSource&gt;
&lt;Length&gt;4.52&lt;/Length&gt;
&lt;PsiValue&gt;0.022&lt;/PsiValue&gt;
&lt;K1Index&gt;&lt;/K1Index&gt;
&lt;Imported&gt;False&lt;/Imported&gt;
&lt;Adjusted&gt;0.022&lt;/Adjusted&gt;
&lt;Reference&gt;&lt;/Reference&gt;
&lt;/ThermalBridge&gt;
&lt;ThermalBridge&gt;
&lt;TypeSource&gt;&lt;/TypeSource&gt;
&lt;Length&gt;21.02&lt;/Length&gt;
&lt;PsiValue&gt;0.017&lt;/PsiValue&gt;
&lt;K1Index&gt;&lt;/K1Index&gt;
&lt;Imported&gt;False&lt;/Imported&gt;
&lt;Adjusted&gt;0.017&lt;/Adjusted&gt;
&lt;Reference&gt;&lt;/Reference&gt;
&lt;/ThermalBridge&gt;
&lt;ThermalBridge&gt;
&lt;TypeSource&gt;&lt;/TypeSource&gt;
&lt;Length&gt;30.06&lt;/Length&gt;
&lt;PsiValue&gt;0.037&lt;/PsiValue&gt;
&lt;K1Index&gt;&lt;/K1Index&gt;
&lt;Imported&gt;False&lt;/Imported&gt;
&lt;Adjusted&gt;0.037&lt;/Adjusted&gt;
&lt;Reference&gt;&lt;/Reference&gt;
&lt;/ThermalBridge&gt;
&lt;ThermalBridge&gt;
&lt;TypeSource&gt;&lt;/TypeSource&gt;
&lt;Length&gt;5.54&lt;/Length&gt;
&lt;PsiValue&gt;0.046&lt;/PsiValue&gt;
&lt;K1Index&gt;&lt;/K1Index&gt;
&lt;Imported&gt;False&lt;/Imported&gt;
&lt;Adjusted&gt;0.046&lt;/Adjusted&gt;
&lt;Reference&gt;&lt;/Reference&gt;
&lt;/ThermalBridge&gt;
&lt;ThermalBridge&gt;
&lt;TypeSource&gt;&lt;/TypeSource&gt;
&lt;Length&gt;2.77&lt;/Length&gt;
&lt;PsiValue&gt;0.038&lt;/PsiValue&gt;
&lt;K1Index&gt;&lt;/K1Index&gt;
&lt;Imported&gt;False&lt;/Imported&gt;
&lt;Adjusted&gt;0.038&lt;/Adjusted&gt;
&lt;Reference&gt;&lt;/Reference&gt;
&lt;/ThermalBridge&gt;
&lt;ThermalBridge&gt;
&lt;TypeSource&gt;&lt;/TypeSource&gt;
&lt;Length&gt;2.31&lt;/Length&gt;
&lt;PsiValue&gt;0.2656&lt;/PsiValue&gt;
&lt;K1Index&gt;&lt;/K1Index&gt;
&lt;Imported&gt;False&lt;/Imported&gt;
&lt;Adjusted&gt;0.2656&lt;/Adjusted&gt;
&lt;Reference&gt;&lt;/Reference&gt;
&lt;/ThermalBridge&gt;
&lt;ThermalBridge&gt;
&lt;TypeSource&gt;&lt;/TypeSource&gt;
&lt;Length&gt;1.98&lt;/Length&gt;
&lt;PsiValue&gt;0.32&lt;/PsiValue&gt;
&lt;K1Index&gt;&lt;/K1Index&gt;
&lt;Imported&gt;False&lt;/Imported&gt;
&lt;Adjusted&gt;0.32&lt;/Adjusted&gt;
&lt;Reference&gt;&lt;/Reference&gt;
&lt;/ThermalBridge&gt;
&lt;ThermalBridge&gt;
&lt;TypeSource&gt;&lt;/TypeSource&gt;
&lt;Length&gt;2.05&lt;/Length&gt;
&lt;PsiValue&gt;0.16&lt;/PsiValue&gt;
&lt;K1Index&gt;&lt;/K1Index&gt;
&lt;Imported&gt;False&lt;/Imported&gt;
&lt;Adjusted&gt;0.16&lt;/Adjusted&gt;
&lt;Reference&gt;&lt;/Reference&gt;
&lt;/ThermalBridge&gt;
&lt;ThermalBridge&gt;
&lt;TypeSource&gt;&lt;/TypeSource&gt;
&lt;Length&gt;5.18&lt;/Length&gt;
&lt;PsiValue&gt;0.075&lt;/PsiValue&gt;
&lt;K1Index&gt;&lt;/K1Index&gt;
&lt;Imported&gt;False&lt;/Imported&gt;
&lt;Adjusted&gt;0.075&lt;/Adjusted&gt;
&lt;Reference&gt;&lt;/Reference&gt;
&lt;/ThermalBridge&gt;
&lt;ThermalBridge&gt;
&lt;TypeSource&gt;&lt;/TypeSource&gt;
&lt;Length&gt;2.77&lt;/Length&gt;
&lt;PsiValue&gt;0.12&lt;/PsiValue&gt;
&lt;K1Index&gt;&lt;/K1Index&gt;
&lt;Imported&gt;False&lt;/Imported&gt;
&lt;Adjusted&gt;0.12&lt;/Adjusted&gt;
&lt;Reference&gt;&lt;/Reference&gt;
&lt;/ThermalBridge&gt;
&lt;ThermalBridge&gt;
&lt;TypeSource&gt;&lt;/TypeSource&gt;
&lt;Length&gt;31.54&lt;/Length&gt;
&lt;PsiValue&gt;0&lt;/PsiValue&gt;
&lt;K1Index&gt;&lt;/K1Index&gt;
&lt;Imported&gt;False&lt;/Imported&gt;
&lt;Adjusted&gt;0&lt;/Adjusted&gt;
&lt;Reference&gt;&lt;/Reference&gt;
&lt;/ThermalBridge&gt;
&lt;ThermalBridge&gt;
&lt;TypeSource&gt;&lt;/TypeSource&gt;
&lt;Length&gt;6.45&lt;/Length&gt;
&lt;PsiValue&gt;0.1992&lt;/PsiValue&gt;
&lt;K1Index&gt;&lt;/K1Index&gt;
&lt;Imported&gt;False&lt;/Imported&gt;
&lt;Adjusted&gt;0.1992&lt;/Adjusted&gt;
&lt;Reference&gt;&lt;/Reference&gt;
&lt;/ThermalBridge&gt;
&lt;ThermalBridge&gt;
&lt;TypeSource&gt;&lt;/TypeSource&gt;
&lt;Length&gt;1.24&lt;/Length&gt;
&lt;PsiValue&gt;0.16&lt;/PsiValue&gt;
&lt;K1Index&gt;&lt;/K1Index&gt;
&lt;Imported&gt;False&lt;/Imported&gt;
&lt;Adjusted&gt;0.16&lt;/Adjusted&gt;
&lt;Reference&gt;&lt;/Reference&gt;
&lt;/ThermalBridge&gt;</v>
      </c>
      <c r="V38" s="15" t="str" cm="1">
        <f t="array" ref="V38">_xlfn.LET(
    _xlpm.rng, ROWS(V7:V30),
    _xlpm.Ovals, V7:V30,
    _xlpm.AKvals, AQ7:AQ30,
    _xlpm.Mvals, $M7:$M30,
    _xlpm.ALvals, AR7:AR30,
    _xlpm.AMvals, AS7:AS30,
    _xlpm.Blocks,
    IF(_xlpm.Ovals=0,
        NA(),
        "&lt;ThermalBridge&gt;"&amp;CHAR(10)&amp;
        "&lt;TypeSource&gt;"&amp;_xlpm.AKvals&amp;"&lt;/TypeSource&gt;"&amp;CHAR(10)&amp;
        "&lt;Length&gt;"&amp;_xlpm.Ovals&amp;"&lt;/Length&gt;"&amp;CHAR(10)&amp;
        "&lt;PsiValue&gt;"&amp;_xlpm.Mvals&amp;"&lt;/PsiValue&gt;"&amp;CHAR(10)&amp;
        "&lt;K1Index&gt;"&amp;_xlpm.ALvals&amp;"&lt;/K1Index&gt;"&amp;CHAR(10)&amp;
        "&lt;Imported&gt;False&lt;/Imported&gt;"&amp;CHAR(10)&amp;
        "&lt;Adjusted&gt;"&amp;_xlpm.Mvals&amp;"&lt;/Adjusted&gt;"&amp;CHAR(10)&amp;
        "&lt;Reference&gt;"&amp;_xlpm.AMvals&amp;"&lt;/Reference&gt;"&amp;CHAR(10)&amp;
        "&lt;/ThermalBridge&gt;"
    ),
    _xlfn.TEXTJOIN(CHAR(10)&amp;CHAR(10), TRUE, _xlfn._xlws.FILTER(_xlpm.Blocks, NOT(ISERROR(_xlpm.Blocks))))
)</f>
        <v>&lt;ThermalBridge&gt;
&lt;TypeSource&gt;&lt;/TypeSource&gt;
&lt;Length&gt;6.56&lt;/Length&gt;
&lt;PsiValue&gt;0.017&lt;/PsiValue&gt;
&lt;K1Index&gt;&lt;/K1Index&gt;
&lt;Imported&gt;False&lt;/Imported&gt;
&lt;Adjusted&gt;0.017&lt;/Adjusted&gt;
&lt;Reference&gt;&lt;/Reference&gt;
&lt;/ThermalBridge&gt;
&lt;ThermalBridge&gt;
&lt;TypeSource&gt;&lt;/TypeSource&gt;
&lt;Length&gt;4.08&lt;/Length&gt;
&lt;PsiValue&gt;0.022&lt;/PsiValue&gt;
&lt;K1Index&gt;&lt;/K1Index&gt;
&lt;Imported&gt;False&lt;/Imported&gt;
&lt;Adjusted&gt;0.022&lt;/Adjusted&gt;
&lt;Reference&gt;&lt;/Reference&gt;
&lt;/ThermalBridge&gt;
&lt;ThermalBridge&gt;
&lt;TypeSource&gt;&lt;/TypeSource&gt;
&lt;Length&gt;16.82&lt;/Length&gt;
&lt;PsiValue&gt;0.017&lt;/PsiValue&gt;
&lt;K1Index&gt;&lt;/K1Index&gt;
&lt;Imported&gt;False&lt;/Imported&gt;
&lt;Adjusted&gt;0.017&lt;/Adjusted&gt;
&lt;Reference&gt;&lt;/Reference&gt;
&lt;/ThermalBridge&gt;
&lt;ThermalBridge&gt;
&lt;TypeSource&gt;&lt;/TypeSource&gt;
&lt;Length&gt;35.08&lt;/Length&gt;
&lt;PsiValue&gt;0.037&lt;/PsiValue&gt;
&lt;K1Index&gt;&lt;/K1Index&gt;
&lt;Imported&gt;False&lt;/Imported&gt;
&lt;Adjusted&gt;0.037&lt;/Adjusted&gt;
&lt;Reference&gt;&lt;/Reference&gt;
&lt;/ThermalBridge&gt;
&lt;ThermalBridge&gt;
&lt;TypeSource&gt;&lt;/TypeSource&gt;
&lt;Length&gt;5.54&lt;/Length&gt;
&lt;PsiValue&gt;0.046&lt;/PsiValue&gt;
&lt;K1Index&gt;&lt;/K1Index&gt;
&lt;Imported&gt;False&lt;/Imported&gt;
&lt;Adjusted&gt;0.046&lt;/Adjusted&gt;
&lt;Reference&gt;&lt;/Reference&gt;
&lt;/ThermalBridge&gt;
&lt;ThermalBridge&gt;
&lt;TypeSource&gt;&lt;/TypeSource&gt;
&lt;Length&gt;2.77&lt;/Length&gt;
&lt;PsiValue&gt;-0.088&lt;/PsiValue&gt;
&lt;K1Index&gt;&lt;/K1Index&gt;
&lt;Imported&gt;False&lt;/Imported&gt;
&lt;Adjusted&gt;-0.088&lt;/Adjusted&gt;
&lt;Reference&gt;&lt;/Reference&gt;
&lt;/ThermalBridge&gt;
&lt;ThermalBridge&gt;
&lt;TypeSource&gt;&lt;/TypeSource&gt;
&lt;Length&gt;5.54&lt;/Length&gt;
&lt;PsiValue&gt;0.038&lt;/PsiValue&gt;
&lt;K1Index&gt;&lt;/K1Index&gt;
&lt;Imported&gt;False&lt;/Imported&gt;
&lt;Adjusted&gt;0.038&lt;/Adjusted&gt;
&lt;Reference&gt;&lt;/Reference&gt;
&lt;/ThermalBridge&gt;
&lt;ThermalBridge&gt;
&lt;TypeSource&gt;&lt;/TypeSource&gt;
&lt;Length&gt;33.84&lt;/Length&gt;
&lt;PsiValue&gt;0&lt;/PsiValue&gt;
&lt;K1Index&gt;&lt;/K1Index&gt;
&lt;Imported&gt;False&lt;/Imported&gt;
&lt;Adjusted&gt;0&lt;/Adjusted&gt;
&lt;Reference&gt;&lt;/Reference&gt;
&lt;/ThermalBridge&gt;
&lt;ThermalBridge&gt;
&lt;TypeSource&gt;&lt;/TypeSource&gt;
&lt;Length&gt;1.24&lt;/Length&gt;
&lt;PsiValue&gt;0.16&lt;/PsiValue&gt;
&lt;K1Index&gt;&lt;/K1Index&gt;
&lt;Imported&gt;False&lt;/Imported&gt;
&lt;Adjusted&gt;0.16&lt;/Adjusted&gt;
&lt;Reference&gt;&lt;/Reference&gt;
&lt;/ThermalBridge&gt;</v>
      </c>
      <c r="W38" s="15" t="str" cm="1">
        <f t="array" ref="W38">_xlfn.LET(
    _xlpm.rng, ROWS(W7:W30),
    _xlpm.Ovals, W7:W30,
    _xlpm.AKvals, AR7:AR30,
    _xlpm.Mvals, $M7:$M30,
    _xlpm.ALvals, AS7:AS30,
    _xlpm.AMvals, AT7:AT30,
    _xlpm.Blocks,
    IF(_xlpm.Ovals=0,
        NA(),
        "&lt;ThermalBridge&gt;"&amp;CHAR(10)&amp;
        "&lt;TypeSource&gt;"&amp;_xlpm.AKvals&amp;"&lt;/TypeSource&gt;"&amp;CHAR(10)&amp;
        "&lt;Length&gt;"&amp;_xlpm.Ovals&amp;"&lt;/Length&gt;"&amp;CHAR(10)&amp;
        "&lt;PsiValue&gt;"&amp;_xlpm.Mvals&amp;"&lt;/PsiValue&gt;"&amp;CHAR(10)&amp;
        "&lt;K1Index&gt;"&amp;_xlpm.ALvals&amp;"&lt;/K1Index&gt;"&amp;CHAR(10)&amp;
        "&lt;Imported&gt;False&lt;/Imported&gt;"&amp;CHAR(10)&amp;
        "&lt;Adjusted&gt;"&amp;_xlpm.Mvals&amp;"&lt;/Adjusted&gt;"&amp;CHAR(10)&amp;
        "&lt;Reference&gt;"&amp;_xlpm.AMvals&amp;"&lt;/Reference&gt;"&amp;CHAR(10)&amp;
        "&lt;/ThermalBridge&gt;"
    ),
    _xlfn.TEXTJOIN(CHAR(10)&amp;CHAR(10), TRUE, _xlfn._xlws.FILTER(_xlpm.Blocks, NOT(ISERROR(_xlpm.Blocks))))
)</f>
        <v>&lt;ThermalBridge&gt;
&lt;TypeSource&gt;&lt;/TypeSource&gt;
&lt;Length&gt;4.98&lt;/Length&gt;
&lt;PsiValue&gt;0.017&lt;/PsiValue&gt;
&lt;K1Index&gt;&lt;/K1Index&gt;
&lt;Imported&gt;False&lt;/Imported&gt;
&lt;Adjusted&gt;0.017&lt;/Adjusted&gt;
&lt;Reference&gt;&lt;/Reference&gt;
&lt;/ThermalBridge&gt;
&lt;ThermalBridge&gt;
&lt;TypeSource&gt;&lt;/TypeSource&gt;
&lt;Length&gt;4.08&lt;/Length&gt;
&lt;PsiValue&gt;0.022&lt;/PsiValue&gt;
&lt;K1Index&gt;&lt;/K1Index&gt;
&lt;Imported&gt;False&lt;/Imported&gt;
&lt;Adjusted&gt;0.022&lt;/Adjusted&gt;
&lt;Reference&gt;&lt;/Reference&gt;
&lt;/ThermalBridge&gt;
&lt;ThermalBridge&gt;
&lt;TypeSource&gt;&lt;/TypeSource&gt;
&lt;Length&gt;16.84&lt;/Length&gt;
&lt;PsiValue&gt;0.017&lt;/PsiValue&gt;
&lt;K1Index&gt;&lt;/K1Index&gt;
&lt;Imported&gt;False&lt;/Imported&gt;
&lt;Adjusted&gt;0.017&lt;/Adjusted&gt;
&lt;Reference&gt;&lt;/Reference&gt;
&lt;/ThermalBridge&gt;
&lt;ThermalBridge&gt;
&lt;TypeSource&gt;&lt;/TypeSource&gt;
&lt;Length&gt;24.8&lt;/Length&gt;
&lt;PsiValue&gt;0.037&lt;/PsiValue&gt;
&lt;K1Index&gt;&lt;/K1Index&gt;
&lt;Imported&gt;False&lt;/Imported&gt;
&lt;Adjusted&gt;0.037&lt;/Adjusted&gt;
&lt;Reference&gt;&lt;/Reference&gt;
&lt;/ThermalBridge&gt;
&lt;ThermalBridge&gt;
&lt;TypeSource&gt;&lt;/TypeSource&gt;
&lt;Length&gt;5.54&lt;/Length&gt;
&lt;PsiValue&gt;0.046&lt;/PsiValue&gt;
&lt;K1Index&gt;&lt;/K1Index&gt;
&lt;Imported&gt;False&lt;/Imported&gt;
&lt;Adjusted&gt;0.046&lt;/Adjusted&gt;
&lt;Reference&gt;&lt;/Reference&gt;
&lt;/ThermalBridge&gt;
&lt;ThermalBridge&gt;
&lt;TypeSource&gt;&lt;/TypeSource&gt;
&lt;Length&gt;5.54&lt;/Length&gt;
&lt;PsiValue&gt;-0.088&lt;/PsiValue&gt;
&lt;K1Index&gt;&lt;/K1Index&gt;
&lt;Imported&gt;False&lt;/Imported&gt;
&lt;Adjusted&gt;-0.088&lt;/Adjusted&gt;
&lt;Reference&gt;&lt;/Reference&gt;
&lt;/ThermalBridge&gt;
&lt;ThermalBridge&gt;
&lt;TypeSource&gt;&lt;/TypeSource&gt;
&lt;Length&gt;5.54&lt;/Length&gt;
&lt;PsiValue&gt;0.038&lt;/PsiValue&gt;
&lt;K1Index&gt;&lt;/K1Index&gt;
&lt;Imported&gt;False&lt;/Imported&gt;
&lt;Adjusted&gt;0.038&lt;/Adjusted&gt;
&lt;Reference&gt;&lt;/Reference&gt;
&lt;/ThermalBridge&gt;
&lt;ThermalBridge&gt;
&lt;TypeSource&gt;&lt;/TypeSource&gt;
&lt;Length&gt;48.36&lt;/Length&gt;
&lt;PsiValue&gt;0&lt;/PsiValue&gt;
&lt;K1Index&gt;&lt;/K1Index&gt;
&lt;Imported&gt;False&lt;/Imported&gt;
&lt;Adjusted&gt;0&lt;/Adjusted&gt;
&lt;Reference&gt;&lt;/Reference&gt;
&lt;/ThermalBridge&gt;</v>
      </c>
      <c r="X38" s="15" t="str" cm="1">
        <f t="array" ref="X38">_xlfn.LET(
    _xlpm.rng, ROWS(X7:X30),
    _xlpm.Ovals, X7:X30,
    _xlpm.AKvals, AS7:AS30,
    _xlpm.Mvals, $M7:$M30,
    _xlpm.ALvals, AT7:AT30,
    _xlpm.AMvals, AU7:AU30,
    _xlpm.Blocks,
    IF(_xlpm.Ovals=0,
        NA(),
        "&lt;ThermalBridge&gt;"&amp;CHAR(10)&amp;
        "&lt;TypeSource&gt;"&amp;_xlpm.AKvals&amp;"&lt;/TypeSource&gt;"&amp;CHAR(10)&amp;
        "&lt;Length&gt;"&amp;_xlpm.Ovals&amp;"&lt;/Length&gt;"&amp;CHAR(10)&amp;
        "&lt;PsiValue&gt;"&amp;_xlpm.Mvals&amp;"&lt;/PsiValue&gt;"&amp;CHAR(10)&amp;
        "&lt;K1Index&gt;"&amp;_xlpm.ALvals&amp;"&lt;/K1Index&gt;"&amp;CHAR(10)&amp;
        "&lt;Imported&gt;False&lt;/Imported&gt;"&amp;CHAR(10)&amp;
        "&lt;Adjusted&gt;"&amp;_xlpm.Mvals&amp;"&lt;/Adjusted&gt;"&amp;CHAR(10)&amp;
        "&lt;Reference&gt;"&amp;_xlpm.AMvals&amp;"&lt;/Reference&gt;"&amp;CHAR(10)&amp;
        "&lt;/ThermalBridge&gt;"
    ),
    _xlfn.TEXTJOIN(CHAR(10)&amp;CHAR(10), TRUE, _xlfn._xlws.FILTER(_xlpm.Blocks, NOT(ISERROR(_xlpm.Blocks))))
)</f>
        <v>&lt;ThermalBridge&gt;
&lt;TypeSource&gt;&lt;/TypeSource&gt;
&lt;Length&gt;3.61&lt;/Length&gt;
&lt;PsiValue&gt;0.017&lt;/PsiValue&gt;
&lt;K1Index&gt;&lt;/K1Index&gt;
&lt;Imported&gt;False&lt;/Imported&gt;
&lt;Adjusted&gt;0.017&lt;/Adjusted&gt;
&lt;Reference&gt;&lt;/Reference&gt;
&lt;/ThermalBridge&gt;
&lt;ThermalBridge&gt;
&lt;TypeSource&gt;&lt;/TypeSource&gt;
&lt;Length&gt;1.13&lt;/Length&gt;
&lt;PsiValue&gt;0.022&lt;/PsiValue&gt;
&lt;K1Index&gt;&lt;/K1Index&gt;
&lt;Imported&gt;False&lt;/Imported&gt;
&lt;Adjusted&gt;0.022&lt;/Adjusted&gt;
&lt;Reference&gt;&lt;/Reference&gt;
&lt;/ThermalBridge&gt;
&lt;ThermalBridge&gt;
&lt;TypeSource&gt;&lt;/TypeSource&gt;
&lt;Length&gt;7.38&lt;/Length&gt;
&lt;PsiValue&gt;0.017&lt;/PsiValue&gt;
&lt;K1Index&gt;&lt;/K1Index&gt;
&lt;Imported&gt;False&lt;/Imported&gt;
&lt;Adjusted&gt;0.017&lt;/Adjusted&gt;
&lt;Reference&gt;&lt;/Reference&gt;
&lt;/ThermalBridge&gt;
&lt;ThermalBridge&gt;
&lt;TypeSource&gt;&lt;/TypeSource&gt;
&lt;Length&gt;14.57&lt;/Length&gt;
&lt;PsiValue&gt;0.037&lt;/PsiValue&gt;
&lt;K1Index&gt;&lt;/K1Index&gt;
&lt;Imported&gt;False&lt;/Imported&gt;
&lt;Adjusted&gt;0.037&lt;/Adjusted&gt;
&lt;Reference&gt;&lt;/Reference&gt;
&lt;/ThermalBridge&gt;
&lt;ThermalBridge&gt;
&lt;TypeSource&gt;&lt;/TypeSource&gt;
&lt;Length&gt;2.77&lt;/Length&gt;
&lt;PsiValue&gt;0.046&lt;/PsiValue&gt;
&lt;K1Index&gt;&lt;/K1Index&gt;
&lt;Imported&gt;False&lt;/Imported&gt;
&lt;Adjusted&gt;0.046&lt;/Adjusted&gt;
&lt;Reference&gt;&lt;/Reference&gt;
&lt;/ThermalBridge&gt;
&lt;ThermalBridge&gt;
&lt;TypeSource&gt;&lt;/TypeSource&gt;
&lt;Length&gt;2.77&lt;/Length&gt;
&lt;PsiValue&gt;-0.088&lt;/PsiValue&gt;
&lt;K1Index&gt;&lt;/K1Index&gt;
&lt;Imported&gt;False&lt;/Imported&gt;
&lt;Adjusted&gt;-0.088&lt;/Adjusted&gt;
&lt;Reference&gt;&lt;/Reference&gt;
&lt;/ThermalBridge&gt;
&lt;ThermalBridge&gt;
&lt;TypeSource&gt;&lt;/TypeSource&gt;
&lt;Length&gt;2.77&lt;/Length&gt;
&lt;PsiValue&gt;0.038&lt;/PsiValue&gt;
&lt;K1Index&gt;&lt;/K1Index&gt;
&lt;Imported&gt;False&lt;/Imported&gt;
&lt;Adjusted&gt;0.038&lt;/Adjusted&gt;
&lt;Reference&gt;&lt;/Reference&gt;
&lt;/ThermalBridge&gt;
&lt;ThermalBridge&gt;
&lt;TypeSource&gt;&lt;/TypeSource&gt;
&lt;Length&gt;2.77&lt;/Length&gt;
&lt;PsiValue&gt;0.12&lt;/PsiValue&gt;
&lt;K1Index&gt;&lt;/K1Index&gt;
&lt;Imported&gt;False&lt;/Imported&gt;
&lt;Adjusted&gt;0.12&lt;/Adjusted&gt;
&lt;Reference&gt;&lt;/Reference&gt;
&lt;/ThermalBridge&gt;
&lt;ThermalBridge&gt;
&lt;TypeSource&gt;&lt;/TypeSource&gt;
&lt;Length&gt;48.26&lt;/Length&gt;
&lt;PsiValue&gt;0&lt;/PsiValue&gt;
&lt;K1Index&gt;&lt;/K1Index&gt;
&lt;Imported&gt;False&lt;/Imported&gt;
&lt;Adjusted&gt;0&lt;/Adjusted&gt;
&lt;Reference&gt;&lt;/Reference&gt;
&lt;/ThermalBridge&gt;</v>
      </c>
      <c r="Y38" s="15" t="str" cm="1">
        <f t="array" ref="Y38">_xlfn.LET(
    _xlpm.rng, ROWS(Y7:Y30),
    _xlpm.Ovals, Y7:Y30,
    _xlpm.AKvals, AT7:AT30,
    _xlpm.Mvals, $M7:$M30,
    _xlpm.ALvals, AU7:AU30,
    _xlpm.AMvals, AV7:AV30,
    _xlpm.Blocks,
    IF(_xlpm.Ovals=0,
        NA(),
        "&lt;ThermalBridge&gt;"&amp;CHAR(10)&amp;
        "&lt;TypeSource&gt;"&amp;_xlpm.AKvals&amp;"&lt;/TypeSource&gt;"&amp;CHAR(10)&amp;
        "&lt;Length&gt;"&amp;_xlpm.Ovals&amp;"&lt;/Length&gt;"&amp;CHAR(10)&amp;
        "&lt;PsiValue&gt;"&amp;_xlpm.Mvals&amp;"&lt;/PsiValue&gt;"&amp;CHAR(10)&amp;
        "&lt;K1Index&gt;"&amp;_xlpm.ALvals&amp;"&lt;/K1Index&gt;"&amp;CHAR(10)&amp;
        "&lt;Imported&gt;False&lt;/Imported&gt;"&amp;CHAR(10)&amp;
        "&lt;Adjusted&gt;"&amp;_xlpm.Mvals&amp;"&lt;/Adjusted&gt;"&amp;CHAR(10)&amp;
        "&lt;Reference&gt;"&amp;_xlpm.AMvals&amp;"&lt;/Reference&gt;"&amp;CHAR(10)&amp;
        "&lt;/ThermalBridge&gt;"
    ),
    _xlfn.TEXTJOIN(CHAR(10)&amp;CHAR(10), TRUE, _xlfn._xlws.FILTER(_xlpm.Blocks, NOT(ISERROR(_xlpm.Blocks))))
)</f>
        <v>&lt;ThermalBridge&gt;
&lt;TypeSource&gt;&lt;/TypeSource&gt;
&lt;Length&gt;5.65&lt;/Length&gt;
&lt;PsiValue&gt;0.017&lt;/PsiValue&gt;
&lt;K1Index&gt;&lt;/K1Index&gt;
&lt;Imported&gt;False&lt;/Imported&gt;
&lt;Adjusted&gt;0.017&lt;/Adjusted&gt;
&lt;Reference&gt;&lt;/Reference&gt;
&lt;/ThermalBridge&gt;
&lt;ThermalBridge&gt;
&lt;TypeSource&gt;&lt;/TypeSource&gt;
&lt;Length&gt;3.17&lt;/Length&gt;
&lt;PsiValue&gt;0.022&lt;/PsiValue&gt;
&lt;K1Index&gt;&lt;/K1Index&gt;
&lt;Imported&gt;False&lt;/Imported&gt;
&lt;Adjusted&gt;0.022&lt;/Adjusted&gt;
&lt;Reference&gt;&lt;/Reference&gt;
&lt;/ThermalBridge&gt;
&lt;ThermalBridge&gt;
&lt;TypeSource&gt;&lt;/TypeSource&gt;
&lt;Length&gt;13.66&lt;/Length&gt;
&lt;PsiValue&gt;0.017&lt;/PsiValue&gt;
&lt;K1Index&gt;&lt;/K1Index&gt;
&lt;Imported&gt;False&lt;/Imported&gt;
&lt;Adjusted&gt;0.017&lt;/Adjusted&gt;
&lt;Reference&gt;&lt;/Reference&gt;
&lt;/ThermalBridge&gt;
&lt;ThermalBridge&gt;
&lt;TypeSource&gt;&lt;/TypeSource&gt;
&lt;Length&gt;57.6&lt;/Length&gt;
&lt;PsiValue&gt;0.037&lt;/PsiValue&gt;
&lt;K1Index&gt;&lt;/K1Index&gt;
&lt;Imported&gt;False&lt;/Imported&gt;
&lt;Adjusted&gt;0.037&lt;/Adjusted&gt;
&lt;Reference&gt;&lt;/Reference&gt;
&lt;/ThermalBridge&gt;
&lt;ThermalBridge&gt;
&lt;TypeSource&gt;&lt;/TypeSource&gt;
&lt;Length&gt;8.31&lt;/Length&gt;
&lt;PsiValue&gt;0.046&lt;/PsiValue&gt;
&lt;K1Index&gt;&lt;/K1Index&gt;
&lt;Imported&gt;False&lt;/Imported&gt;
&lt;Adjusted&gt;0.046&lt;/Adjusted&gt;
&lt;Reference&gt;&lt;/Reference&gt;
&lt;/ThermalBridge&gt;
&lt;ThermalBridge&gt;
&lt;TypeSource&gt;&lt;/TypeSource&gt;
&lt;Length&gt;5.54&lt;/Length&gt;
&lt;PsiValue&gt;0.12&lt;/PsiValue&gt;
&lt;K1Index&gt;&lt;/K1Index&gt;
&lt;Imported&gt;False&lt;/Imported&gt;
&lt;Adjusted&gt;0.12&lt;/Adjusted&gt;
&lt;Reference&gt;&lt;/Reference&gt;
&lt;/ThermalBridge&gt;
&lt;ThermalBridge&gt;
&lt;TypeSource&gt;&lt;/TypeSource&gt;
&lt;Length&gt;47.54&lt;/Length&gt;
&lt;PsiValue&gt;0&lt;/PsiValue&gt;
&lt;K1Index&gt;&lt;/K1Index&gt;
&lt;Imported&gt;False&lt;/Imported&gt;
&lt;Adjusted&gt;0&lt;/Adjusted&gt;
&lt;Reference&gt;&lt;/Reference&gt;
&lt;/ThermalBridge&gt;</v>
      </c>
      <c r="Z38" s="15" t="str" cm="1">
        <f t="array" ref="Z38">_xlfn.LET(
    _xlpm.rng, ROWS(Z7:Z30),
    _xlpm.Ovals, Z7:Z30,
    _xlpm.AKvals, AU7:AU30,
    _xlpm.Mvals, $M7:$M30,
    _xlpm.ALvals, AV7:AV30,
    _xlpm.AMvals, AW7:AW30,
    _xlpm.Blocks,
    IF(_xlpm.Ovals=0,
        NA(),
        "&lt;ThermalBridge&gt;"&amp;CHAR(10)&amp;
        "&lt;TypeSource&gt;"&amp;_xlpm.AKvals&amp;"&lt;/TypeSource&gt;"&amp;CHAR(10)&amp;
        "&lt;Length&gt;"&amp;_xlpm.Ovals&amp;"&lt;/Length&gt;"&amp;CHAR(10)&amp;
        "&lt;PsiValue&gt;"&amp;_xlpm.Mvals&amp;"&lt;/PsiValue&gt;"&amp;CHAR(10)&amp;
        "&lt;K1Index&gt;"&amp;_xlpm.ALvals&amp;"&lt;/K1Index&gt;"&amp;CHAR(10)&amp;
        "&lt;Imported&gt;False&lt;/Imported&gt;"&amp;CHAR(10)&amp;
        "&lt;Adjusted&gt;"&amp;_xlpm.Mvals&amp;"&lt;/Adjusted&gt;"&amp;CHAR(10)&amp;
        "&lt;Reference&gt;"&amp;_xlpm.AMvals&amp;"&lt;/Reference&gt;"&amp;CHAR(10)&amp;
        "&lt;/ThermalBridge&gt;"
    ),
    _xlfn.TEXTJOIN(CHAR(10)&amp;CHAR(10), TRUE, _xlfn._xlws.FILTER(_xlpm.Blocks, NOT(ISERROR(_xlpm.Blocks))))
)</f>
        <v>&lt;ThermalBridge&gt;
&lt;TypeSource&gt;&lt;/TypeSource&gt;
&lt;Length&gt;4.74&lt;/Length&gt;
&lt;PsiValue&gt;0.017&lt;/PsiValue&gt;
&lt;K1Index&gt;&lt;/K1Index&gt;
&lt;Imported&gt;False&lt;/Imported&gt;
&lt;Adjusted&gt;0.017&lt;/Adjusted&gt;
&lt;Reference&gt;&lt;/Reference&gt;
&lt;/ThermalBridge&gt;
&lt;ThermalBridge&gt;
&lt;TypeSource&gt;&lt;/TypeSource&gt;
&lt;Length&gt;2.26&lt;/Length&gt;
&lt;PsiValue&gt;0.022&lt;/PsiValue&gt;
&lt;K1Index&gt;&lt;/K1Index&gt;
&lt;Imported&gt;False&lt;/Imported&gt;
&lt;Adjusted&gt;0.022&lt;/Adjusted&gt;
&lt;Reference&gt;&lt;/Reference&gt;
&lt;/ThermalBridge&gt;
&lt;ThermalBridge&gt;
&lt;TypeSource&gt;&lt;/TypeSource&gt;
&lt;Length&gt;10.5&lt;/Length&gt;
&lt;PsiValue&gt;0.017&lt;/PsiValue&gt;
&lt;K1Index&gt;&lt;/K1Index&gt;
&lt;Imported&gt;False&lt;/Imported&gt;
&lt;Adjusted&gt;0.017&lt;/Adjusted&gt;
&lt;Reference&gt;&lt;/Reference&gt;
&lt;/ThermalBridge&gt;
&lt;ThermalBridge&gt;
&lt;TypeSource&gt;&lt;/TypeSource&gt;
&lt;Length&gt;26.14&lt;/Length&gt;
&lt;PsiValue&gt;0.037&lt;/PsiValue&gt;
&lt;K1Index&gt;&lt;/K1Index&gt;
&lt;Imported&gt;False&lt;/Imported&gt;
&lt;Adjusted&gt;0.037&lt;/Adjusted&gt;
&lt;Reference&gt;&lt;/Reference&gt;
&lt;/ThermalBridge&gt;
&lt;ThermalBridge&gt;
&lt;TypeSource&gt;&lt;/TypeSource&gt;
&lt;Length&gt;5.54&lt;/Length&gt;
&lt;PsiValue&gt;0.046&lt;/PsiValue&gt;
&lt;K1Index&gt;&lt;/K1Index&gt;
&lt;Imported&gt;False&lt;/Imported&gt;
&lt;Adjusted&gt;0.046&lt;/Adjusted&gt;
&lt;Reference&gt;&lt;/Reference&gt;
&lt;/ThermalBridge&gt;
&lt;ThermalBridge&gt;
&lt;TypeSource&gt;&lt;/TypeSource&gt;
&lt;Length&gt;2.77&lt;/Length&gt;
&lt;PsiValue&gt;-0.088&lt;/PsiValue&gt;
&lt;K1Index&gt;&lt;/K1Index&gt;
&lt;Imported&gt;False&lt;/Imported&gt;
&lt;Adjusted&gt;-0.088&lt;/Adjusted&gt;
&lt;Reference&gt;&lt;/Reference&gt;
&lt;/ThermalBridge&gt;
&lt;ThermalBridge&gt;
&lt;TypeSource&gt;&lt;/TypeSource&gt;
&lt;Length&gt;5.54&lt;/Length&gt;
&lt;PsiValue&gt;0.12&lt;/PsiValue&gt;
&lt;K1Index&gt;&lt;/K1Index&gt;
&lt;Imported&gt;False&lt;/Imported&gt;
&lt;Adjusted&gt;0.12&lt;/Adjusted&gt;
&lt;Reference&gt;&lt;/Reference&gt;
&lt;/ThermalBridge&gt;
&lt;ThermalBridge&gt;
&lt;TypeSource&gt;&lt;/TypeSource&gt;
&lt;Length&gt;50.08&lt;/Length&gt;
&lt;PsiValue&gt;0&lt;/PsiValue&gt;
&lt;K1Index&gt;&lt;/K1Index&gt;
&lt;Imported&gt;False&lt;/Imported&gt;
&lt;Adjusted&gt;0&lt;/Adjusted&gt;
&lt;Reference&gt;&lt;/Reference&gt;
&lt;/ThermalBridge&gt;</v>
      </c>
      <c r="AA38" s="15" t="str" cm="1">
        <f t="array" ref="AA38">_xlfn.LET(
    _xlpm.rng, ROWS(AA7:AA30),
    _xlpm.Ovals, AA7:AA30,
    _xlpm.AKvals, AV7:AV30,
    _xlpm.Mvals, $M7:$M30,
    _xlpm.ALvals, AW7:AW30,
    _xlpm.AMvals, AX7:AX30,
    _xlpm.Blocks,
    IF(_xlpm.Ovals=0,
        NA(),
        "&lt;ThermalBridge&gt;"&amp;CHAR(10)&amp;
        "&lt;TypeSource&gt;"&amp;_xlpm.AKvals&amp;"&lt;/TypeSource&gt;"&amp;CHAR(10)&amp;
        "&lt;Length&gt;"&amp;_xlpm.Ovals&amp;"&lt;/Length&gt;"&amp;CHAR(10)&amp;
        "&lt;PsiValue&gt;"&amp;_xlpm.Mvals&amp;"&lt;/PsiValue&gt;"&amp;CHAR(10)&amp;
        "&lt;K1Index&gt;"&amp;_xlpm.ALvals&amp;"&lt;/K1Index&gt;"&amp;CHAR(10)&amp;
        "&lt;Imported&gt;False&lt;/Imported&gt;"&amp;CHAR(10)&amp;
        "&lt;Adjusted&gt;"&amp;_xlpm.Mvals&amp;"&lt;/Adjusted&gt;"&amp;CHAR(10)&amp;
        "&lt;Reference&gt;"&amp;_xlpm.AMvals&amp;"&lt;/Reference&gt;"&amp;CHAR(10)&amp;
        "&lt;/ThermalBridge&gt;"
    ),
    _xlfn.TEXTJOIN(CHAR(10)&amp;CHAR(10), TRUE, _xlfn._xlws.FILTER(_xlpm.Blocks, NOT(ISERROR(_xlpm.Blocks))))
)</f>
        <v>&lt;ThermalBridge&gt;
&lt;TypeSource&gt;&lt;/TypeSource&gt;
&lt;Length&gt;8.01&lt;/Length&gt;
&lt;PsiValue&gt;0.017&lt;/PsiValue&gt;
&lt;K1Index&gt;&lt;/K1Index&gt;
&lt;Imported&gt;False&lt;/Imported&gt;
&lt;Adjusted&gt;0.017&lt;/Adjusted&gt;
&lt;Reference&gt;&lt;/Reference&gt;
&lt;/ThermalBridge&gt;
&lt;ThermalBridge&gt;
&lt;TypeSource&gt;&lt;/TypeSource&gt;
&lt;Length&gt;4.52&lt;/Length&gt;
&lt;PsiValue&gt;0.022&lt;/PsiValue&gt;
&lt;K1Index&gt;&lt;/K1Index&gt;
&lt;Imported&gt;False&lt;/Imported&gt;
&lt;Adjusted&gt;0.022&lt;/Adjusted&gt;
&lt;Reference&gt;&lt;/Reference&gt;
&lt;/ThermalBridge&gt;
&lt;ThermalBridge&gt;
&lt;TypeSource&gt;&lt;/TypeSource&gt;
&lt;Length&gt;21.02&lt;/Length&gt;
&lt;PsiValue&gt;0.017&lt;/PsiValue&gt;
&lt;K1Index&gt;&lt;/K1Index&gt;
&lt;Imported&gt;False&lt;/Imported&gt;
&lt;Adjusted&gt;0.017&lt;/Adjusted&gt;
&lt;Reference&gt;&lt;/Reference&gt;
&lt;/ThermalBridge&gt;
&lt;ThermalBridge&gt;
&lt;TypeSource&gt;&lt;/TypeSource&gt;
&lt;Length&gt;19.77&lt;/Length&gt;
&lt;PsiValue&gt;0.037&lt;/PsiValue&gt;
&lt;K1Index&gt;&lt;/K1Index&gt;
&lt;Imported&gt;False&lt;/Imported&gt;
&lt;Adjusted&gt;0.037&lt;/Adjusted&gt;
&lt;Reference&gt;&lt;/Reference&gt;
&lt;/ThermalBridge&gt;
&lt;ThermalBridge&gt;
&lt;TypeSource&gt;&lt;/TypeSource&gt;
&lt;Length&gt;5.18&lt;/Length&gt;
&lt;PsiValue&gt;0.16&lt;/PsiValue&gt;
&lt;K1Index&gt;&lt;/K1Index&gt;
&lt;Imported&gt;False&lt;/Imported&gt;
&lt;Adjusted&gt;0.16&lt;/Adjusted&gt;
&lt;Reference&gt;&lt;/Reference&gt;
&lt;/ThermalBridge&gt;
&lt;ThermalBridge&gt;
&lt;TypeSource&gt;&lt;/TypeSource&gt;
&lt;Length&gt;14.59&lt;/Length&gt;
&lt;PsiValue&gt;0.3&lt;/PsiValue&gt;
&lt;K1Index&gt;&lt;/K1Index&gt;
&lt;Imported&gt;False&lt;/Imported&gt;
&lt;Adjusted&gt;0.3&lt;/Adjusted&gt;
&lt;Reference&gt;&lt;/Reference&gt;
&lt;/ThermalBridge&gt;
&lt;ThermalBridge&gt;
&lt;TypeSource&gt;&lt;/TypeSource&gt;
&lt;Length&gt;5.72&lt;/Length&gt;
&lt;PsiValue&gt;0.046&lt;/PsiValue&gt;
&lt;K1Index&gt;&lt;/K1Index&gt;
&lt;Imported&gt;False&lt;/Imported&gt;
&lt;Adjusted&gt;0.046&lt;/Adjusted&gt;
&lt;Reference&gt;&lt;/Reference&gt;
&lt;/ThermalBridge&gt;
&lt;ThermalBridge&gt;
&lt;TypeSource&gt;&lt;/TypeSource&gt;
&lt;Length&gt;2.86&lt;/Length&gt;
&lt;PsiValue&gt;0.038&lt;/PsiValue&gt;
&lt;K1Index&gt;&lt;/K1Index&gt;
&lt;Imported&gt;False&lt;/Imported&gt;
&lt;Adjusted&gt;0.038&lt;/Adjusted&gt;
&lt;Reference&gt;&lt;/Reference&gt;
&lt;/ThermalBridge&gt;
&lt;ThermalBridge&gt;
&lt;TypeSource&gt;&lt;/TypeSource&gt;
&lt;Length&gt;2.86&lt;/Length&gt;
&lt;PsiValue&gt;0.12&lt;/PsiValue&gt;
&lt;K1Index&gt;&lt;/K1Index&gt;
&lt;Imported&gt;False&lt;/Imported&gt;
&lt;Adjusted&gt;0.12&lt;/Adjusted&gt;
&lt;Reference&gt;&lt;/Reference&gt;
&lt;/ThermalBridge&gt;
&lt;ThermalBridge&gt;
&lt;TypeSource&gt;&lt;/TypeSource&gt;
&lt;Length&gt;16.39&lt;/Length&gt;
&lt;PsiValue&gt;0&lt;/PsiValue&gt;
&lt;K1Index&gt;&lt;/K1Index&gt;
&lt;Imported&gt;False&lt;/Imported&gt;
&lt;Adjusted&gt;0&lt;/Adjusted&gt;
&lt;Reference&gt;&lt;/Reference&gt;
&lt;/ThermalBridge&gt;
&lt;ThermalBridge&gt;
&lt;TypeSource&gt;&lt;/TypeSource&gt;
&lt;Length&gt;16.39&lt;/Length&gt;
&lt;PsiValue&gt;0.02615&lt;/PsiValue&gt;
&lt;K1Index&gt;&lt;/K1Index&gt;
&lt;Imported&gt;False&lt;/Imported&gt;
&lt;Adjusted&gt;0.02615&lt;/Adjusted&gt;
&lt;Reference&gt;&lt;/Reference&gt;
&lt;/ThermalBridge&gt;</v>
      </c>
      <c r="AB38" s="15" t="str" cm="1">
        <f t="array" ref="AB38">_xlfn.LET(
    _xlpm.rng, ROWS(AB7:AB30),
    _xlpm.Ovals, AB7:AB30,
    _xlpm.AKvals, AW7:AW30,
    _xlpm.Mvals, $M7:$M30,
    _xlpm.ALvals, AX7:AX30,
    _xlpm.AMvals, AY7:AY30,
    _xlpm.Blocks,
    IF(_xlpm.Ovals=0,
        NA(),
        "&lt;ThermalBridge&gt;"&amp;CHAR(10)&amp;
        "&lt;TypeSource&gt;"&amp;_xlpm.AKvals&amp;"&lt;/TypeSource&gt;"&amp;CHAR(10)&amp;
        "&lt;Length&gt;"&amp;_xlpm.Ovals&amp;"&lt;/Length&gt;"&amp;CHAR(10)&amp;
        "&lt;PsiValue&gt;"&amp;_xlpm.Mvals&amp;"&lt;/PsiValue&gt;"&amp;CHAR(10)&amp;
        "&lt;K1Index&gt;"&amp;_xlpm.ALvals&amp;"&lt;/K1Index&gt;"&amp;CHAR(10)&amp;
        "&lt;Imported&gt;False&lt;/Imported&gt;"&amp;CHAR(10)&amp;
        "&lt;Adjusted&gt;"&amp;_xlpm.Mvals&amp;"&lt;/Adjusted&gt;"&amp;CHAR(10)&amp;
        "&lt;Reference&gt;"&amp;_xlpm.AMvals&amp;"&lt;/Reference&gt;"&amp;CHAR(10)&amp;
        "&lt;/ThermalBridge&gt;"
    ),
    _xlfn.TEXTJOIN(CHAR(10)&amp;CHAR(10), TRUE, _xlfn._xlws.FILTER(_xlpm.Blocks, NOT(ISERROR(_xlpm.Blocks))))
)</f>
        <v>&lt;ThermalBridge&gt;
&lt;TypeSource&gt;&lt;/TypeSource&gt;
&lt;Length&gt;6.56&lt;/Length&gt;
&lt;PsiValue&gt;0.017&lt;/PsiValue&gt;
&lt;K1Index&gt;&lt;/K1Index&gt;
&lt;Imported&gt;False&lt;/Imported&gt;
&lt;Adjusted&gt;0.017&lt;/Adjusted&gt;
&lt;Reference&gt;&lt;/Reference&gt;
&lt;/ThermalBridge&gt;
&lt;ThermalBridge&gt;
&lt;TypeSource&gt;&lt;/TypeSource&gt;
&lt;Length&gt;4.08&lt;/Length&gt;
&lt;PsiValue&gt;0.022&lt;/PsiValue&gt;
&lt;K1Index&gt;&lt;/K1Index&gt;
&lt;Imported&gt;False&lt;/Imported&gt;
&lt;Adjusted&gt;0.022&lt;/Adjusted&gt;
&lt;Reference&gt;&lt;/Reference&gt;
&lt;/ThermalBridge&gt;
&lt;ThermalBridge&gt;
&lt;TypeSource&gt;&lt;/TypeSource&gt;
&lt;Length&gt;16.82&lt;/Length&gt;
&lt;PsiValue&gt;0.017&lt;/PsiValue&gt;
&lt;K1Index&gt;&lt;/K1Index&gt;
&lt;Imported&gt;False&lt;/Imported&gt;
&lt;Adjusted&gt;0.017&lt;/Adjusted&gt;
&lt;Reference&gt;&lt;/Reference&gt;
&lt;/ThermalBridge&gt;
&lt;ThermalBridge&gt;
&lt;TypeSource&gt;&lt;/TypeSource&gt;
&lt;Length&gt;17.54&lt;/Length&gt;
&lt;PsiValue&gt;0.037&lt;/PsiValue&gt;
&lt;K1Index&gt;&lt;/K1Index&gt;
&lt;Imported&gt;False&lt;/Imported&gt;
&lt;Adjusted&gt;0.037&lt;/Adjusted&gt;
&lt;Reference&gt;&lt;/Reference&gt;
&lt;/ThermalBridge&gt;
&lt;ThermalBridge&gt;
&lt;TypeSource&gt;&lt;/TypeSource&gt;
&lt;Length&gt;4.39&lt;/Length&gt;
&lt;PsiValue&gt;0.16&lt;/PsiValue&gt;
&lt;K1Index&gt;&lt;/K1Index&gt;
&lt;Imported&gt;False&lt;/Imported&gt;
&lt;Adjusted&gt;0.16&lt;/Adjusted&gt;
&lt;Reference&gt;&lt;/Reference&gt;
&lt;/ThermalBridge&gt;
&lt;ThermalBridge&gt;
&lt;TypeSource&gt;&lt;/TypeSource&gt;
&lt;Length&gt;13.15&lt;/Length&gt;
&lt;PsiValue&gt;0.3&lt;/PsiValue&gt;
&lt;K1Index&gt;&lt;/K1Index&gt;
&lt;Imported&gt;False&lt;/Imported&gt;
&lt;Adjusted&gt;0.3&lt;/Adjusted&gt;
&lt;Reference&gt;&lt;/Reference&gt;
&lt;/ThermalBridge&gt;
&lt;ThermalBridge&gt;
&lt;TypeSource&gt;&lt;/TypeSource&gt;
&lt;Length&gt;5.72&lt;/Length&gt;
&lt;PsiValue&gt;0.046&lt;/PsiValue&gt;
&lt;K1Index&gt;&lt;/K1Index&gt;
&lt;Imported&gt;False&lt;/Imported&gt;
&lt;Adjusted&gt;0.046&lt;/Adjusted&gt;
&lt;Reference&gt;&lt;/Reference&gt;
&lt;/ThermalBridge&gt;
&lt;ThermalBridge&gt;
&lt;TypeSource&gt;&lt;/TypeSource&gt;
&lt;Length&gt;2.86&lt;/Length&gt;
&lt;PsiValue&gt;-0.088&lt;/PsiValue&gt;
&lt;K1Index&gt;&lt;/K1Index&gt;
&lt;Imported&gt;False&lt;/Imported&gt;
&lt;Adjusted&gt;-0.088&lt;/Adjusted&gt;
&lt;Reference&gt;&lt;/Reference&gt;
&lt;/ThermalBridge&gt;
&lt;ThermalBridge&gt;
&lt;TypeSource&gt;&lt;/TypeSource&gt;
&lt;Length&gt;5.72&lt;/Length&gt;
&lt;PsiValue&gt;0.038&lt;/PsiValue&gt;
&lt;K1Index&gt;&lt;/K1Index&gt;
&lt;Imported&gt;False&lt;/Imported&gt;
&lt;Adjusted&gt;0.038&lt;/Adjusted&gt;
&lt;Reference&gt;&lt;/Reference&gt;
&lt;/ThermalBridge&gt;
&lt;ThermalBridge&gt;
&lt;TypeSource&gt;&lt;/TypeSource&gt;
&lt;Length&gt;17.54&lt;/Length&gt;
&lt;PsiValue&gt;0&lt;/PsiValue&gt;
&lt;K1Index&gt;&lt;/K1Index&gt;
&lt;Imported&gt;False&lt;/Imported&gt;
&lt;Adjusted&gt;0&lt;/Adjusted&gt;
&lt;Reference&gt;&lt;/Reference&gt;
&lt;/ThermalBridge&gt;
&lt;ThermalBridge&gt;
&lt;TypeSource&gt;&lt;/TypeSource&gt;
&lt;Length&gt;17.54&lt;/Length&gt;
&lt;PsiValue&gt;0.02615&lt;/PsiValue&gt;
&lt;K1Index&gt;&lt;/K1Index&gt;
&lt;Imported&gt;False&lt;/Imported&gt;
&lt;Adjusted&gt;0.02615&lt;/Adjusted&gt;
&lt;Reference&gt;&lt;/Reference&gt;
&lt;/ThermalBridge&gt;</v>
      </c>
      <c r="AC38" s="15" t="str" cm="1">
        <f t="array" ref="AC38">_xlfn.LET(
    _xlpm.rng, ROWS(AC7:AC30),
    _xlpm.Ovals, AC7:AC30,
    _xlpm.AKvals, AX7:AX30,
    _xlpm.Mvals, $M7:$M30,
    _xlpm.ALvals, AY7:AY30,
    _xlpm.AMvals, AZ7:AZ30,
    _xlpm.Blocks,
    IF(_xlpm.Ovals=0,
        NA(),
        "&lt;ThermalBridge&gt;"&amp;CHAR(10)&amp;
        "&lt;TypeSource&gt;"&amp;_xlpm.AKvals&amp;"&lt;/TypeSource&gt;"&amp;CHAR(10)&amp;
        "&lt;Length&gt;"&amp;_xlpm.Ovals&amp;"&lt;/Length&gt;"&amp;CHAR(10)&amp;
        "&lt;PsiValue&gt;"&amp;_xlpm.Mvals&amp;"&lt;/PsiValue&gt;"&amp;CHAR(10)&amp;
        "&lt;K1Index&gt;"&amp;_xlpm.ALvals&amp;"&lt;/K1Index&gt;"&amp;CHAR(10)&amp;
        "&lt;Imported&gt;False&lt;/Imported&gt;"&amp;CHAR(10)&amp;
        "&lt;Adjusted&gt;"&amp;_xlpm.Mvals&amp;"&lt;/Adjusted&gt;"&amp;CHAR(10)&amp;
        "&lt;Reference&gt;"&amp;_xlpm.AMvals&amp;"&lt;/Reference&gt;"&amp;CHAR(10)&amp;
        "&lt;/ThermalBridge&gt;"
    ),
    _xlfn.TEXTJOIN(CHAR(10)&amp;CHAR(10), TRUE, _xlfn._xlws.FILTER(_xlpm.Blocks, NOT(ISERROR(_xlpm.Blocks))))
)</f>
        <v>&lt;ThermalBridge&gt;
&lt;TypeSource&gt;&lt;/TypeSource&gt;
&lt;Length&gt;4.98&lt;/Length&gt;
&lt;PsiValue&gt;0.017&lt;/PsiValue&gt;
&lt;K1Index&gt;&lt;/K1Index&gt;
&lt;Imported&gt;False&lt;/Imported&gt;
&lt;Adjusted&gt;0.017&lt;/Adjusted&gt;
&lt;Reference&gt;&lt;/Reference&gt;
&lt;/ThermalBridge&gt;
&lt;ThermalBridge&gt;
&lt;TypeSource&gt;&lt;/TypeSource&gt;
&lt;Length&gt;4.08&lt;/Length&gt;
&lt;PsiValue&gt;0.022&lt;/PsiValue&gt;
&lt;K1Index&gt;&lt;/K1Index&gt;
&lt;Imported&gt;False&lt;/Imported&gt;
&lt;Adjusted&gt;0.022&lt;/Adjusted&gt;
&lt;Reference&gt;&lt;/Reference&gt;
&lt;/ThermalBridge&gt;
&lt;ThermalBridge&gt;
&lt;TypeSource&gt;&lt;/TypeSource&gt;
&lt;Length&gt;16.84&lt;/Length&gt;
&lt;PsiValue&gt;0.017&lt;/PsiValue&gt;
&lt;K1Index&gt;&lt;/K1Index&gt;
&lt;Imported&gt;False&lt;/Imported&gt;
&lt;Adjusted&gt;0.017&lt;/Adjusted&gt;
&lt;Reference&gt;&lt;/Reference&gt;
&lt;/ThermalBridge&gt;
&lt;ThermalBridge&gt;
&lt;TypeSource&gt;&lt;/TypeSource&gt;
&lt;Length&gt;12.4&lt;/Length&gt;
&lt;PsiValue&gt;0.037&lt;/PsiValue&gt;
&lt;K1Index&gt;&lt;/K1Index&gt;
&lt;Imported&gt;False&lt;/Imported&gt;
&lt;Adjusted&gt;0.037&lt;/Adjusted&gt;
&lt;Reference&gt;&lt;/Reference&gt;
&lt;/ThermalBridge&gt;
&lt;ThermalBridge&gt;
&lt;TypeSource&gt;&lt;/TypeSource&gt;
&lt;Length&gt;5.77&lt;/Length&gt;
&lt;PsiValue&gt;0.16&lt;/PsiValue&gt;
&lt;K1Index&gt;&lt;/K1Index&gt;
&lt;Imported&gt;False&lt;/Imported&gt;
&lt;Adjusted&gt;0.16&lt;/Adjusted&gt;
&lt;Reference&gt;&lt;/Reference&gt;
&lt;/ThermalBridge&gt;
&lt;ThermalBridge&gt;
&lt;TypeSource&gt;&lt;/TypeSource&gt;
&lt;Length&gt;6.63&lt;/Length&gt;
&lt;PsiValue&gt;0.3&lt;/PsiValue&gt;
&lt;K1Index&gt;&lt;/K1Index&gt;
&lt;Imported&gt;False&lt;/Imported&gt;
&lt;Adjusted&gt;0.3&lt;/Adjusted&gt;
&lt;Reference&gt;&lt;/Reference&gt;
&lt;/ThermalBridge&gt;
&lt;ThermalBridge&gt;
&lt;TypeSource&gt;&lt;/TypeSource&gt;
&lt;Length&gt;5.72&lt;/Length&gt;
&lt;PsiValue&gt;0.046&lt;/PsiValue&gt;
&lt;K1Index&gt;&lt;/K1Index&gt;
&lt;Imported&gt;False&lt;/Imported&gt;
&lt;Adjusted&gt;0.046&lt;/Adjusted&gt;
&lt;Reference&gt;&lt;/Reference&gt;
&lt;/ThermalBridge&gt;
&lt;ThermalBridge&gt;
&lt;TypeSource&gt;&lt;/TypeSource&gt;
&lt;Length&gt;5.72&lt;/Length&gt;
&lt;PsiValue&gt;-0.088&lt;/PsiValue&gt;
&lt;K1Index&gt;&lt;/K1Index&gt;
&lt;Imported&gt;False&lt;/Imported&gt;
&lt;Adjusted&gt;-0.088&lt;/Adjusted&gt;
&lt;Reference&gt;&lt;/Reference&gt;
&lt;/ThermalBridge&gt;
&lt;ThermalBridge&gt;
&lt;TypeSource&gt;&lt;/TypeSource&gt;
&lt;Length&gt;5.72&lt;/Length&gt;
&lt;PsiValue&gt;0.038&lt;/PsiValue&gt;
&lt;K1Index&gt;&lt;/K1Index&gt;
&lt;Imported&gt;False&lt;/Imported&gt;
&lt;Adjusted&gt;0.038&lt;/Adjusted&gt;
&lt;Reference&gt;&lt;/Reference&gt;
&lt;/ThermalBridge&gt;
&lt;ThermalBridge&gt;
&lt;TypeSource&gt;&lt;/TypeSource&gt;
&lt;Length&gt;24.18&lt;/Length&gt;
&lt;PsiValue&gt;0&lt;/PsiValue&gt;
&lt;K1Index&gt;&lt;/K1Index&gt;
&lt;Imported&gt;False&lt;/Imported&gt;
&lt;Adjusted&gt;0&lt;/Adjusted&gt;
&lt;Reference&gt;&lt;/Reference&gt;
&lt;/ThermalBridge&gt;
&lt;ThermalBridge&gt;
&lt;TypeSource&gt;&lt;/TypeSource&gt;
&lt;Length&gt;24.18&lt;/Length&gt;
&lt;PsiValue&gt;0.02615&lt;/PsiValue&gt;
&lt;K1Index&gt;&lt;/K1Index&gt;
&lt;Imported&gt;False&lt;/Imported&gt;
&lt;Adjusted&gt;0.02615&lt;/Adjusted&gt;
&lt;Reference&gt;&lt;/Reference&gt;
&lt;/ThermalBridge&gt;</v>
      </c>
      <c r="AD38" s="15" t="str" cm="1">
        <f t="array" ref="AD38">_xlfn.LET(
    _xlpm.rng, ROWS(AD7:AD30),
    _xlpm.Ovals, AD7:AD30,
    _xlpm.AKvals, AY7:AY30,
    _xlpm.Mvals, $M7:$M30,
    _xlpm.ALvals, AZ7:AZ30,
    _xlpm.AMvals, BA7:BA30,
    _xlpm.Blocks,
    IF(_xlpm.Ovals=0,
        NA(),
        "&lt;ThermalBridge&gt;"&amp;CHAR(10)&amp;
        "&lt;TypeSource&gt;"&amp;_xlpm.AKvals&amp;"&lt;/TypeSource&gt;"&amp;CHAR(10)&amp;
        "&lt;Length&gt;"&amp;_xlpm.Ovals&amp;"&lt;/Length&gt;"&amp;CHAR(10)&amp;
        "&lt;PsiValue&gt;"&amp;_xlpm.Mvals&amp;"&lt;/PsiValue&gt;"&amp;CHAR(10)&amp;
        "&lt;K1Index&gt;"&amp;_xlpm.ALvals&amp;"&lt;/K1Index&gt;"&amp;CHAR(10)&amp;
        "&lt;Imported&gt;False&lt;/Imported&gt;"&amp;CHAR(10)&amp;
        "&lt;Adjusted&gt;"&amp;_xlpm.Mvals&amp;"&lt;/Adjusted&gt;"&amp;CHAR(10)&amp;
        "&lt;Reference&gt;"&amp;_xlpm.AMvals&amp;"&lt;/Reference&gt;"&amp;CHAR(10)&amp;
        "&lt;/ThermalBridge&gt;"
    ),
    _xlfn.TEXTJOIN(CHAR(10)&amp;CHAR(10), TRUE, _xlfn._xlws.FILTER(_xlpm.Blocks, NOT(ISERROR(_xlpm.Blocks))))
)</f>
        <v>&lt;ThermalBridge&gt;
&lt;TypeSource&gt;&lt;/TypeSource&gt;
&lt;Length&gt;3.61&lt;/Length&gt;
&lt;PsiValue&gt;0.017&lt;/PsiValue&gt;
&lt;K1Index&gt;&lt;/K1Index&gt;
&lt;Imported&gt;False&lt;/Imported&gt;
&lt;Adjusted&gt;0.017&lt;/Adjusted&gt;
&lt;Reference&gt;&lt;/Reference&gt;
&lt;/ThermalBridge&gt;
&lt;ThermalBridge&gt;
&lt;TypeSource&gt;&lt;/TypeSource&gt;
&lt;Length&gt;1.13&lt;/Length&gt;
&lt;PsiValue&gt;0.022&lt;/PsiValue&gt;
&lt;K1Index&gt;&lt;/K1Index&gt;
&lt;Imported&gt;False&lt;/Imported&gt;
&lt;Adjusted&gt;0.022&lt;/Adjusted&gt;
&lt;Reference&gt;&lt;/Reference&gt;
&lt;/ThermalBridge&gt;
&lt;ThermalBridge&gt;
&lt;TypeSource&gt;&lt;/TypeSource&gt;
&lt;Length&gt;7.38&lt;/Length&gt;
&lt;PsiValue&gt;0.017&lt;/PsiValue&gt;
&lt;K1Index&gt;&lt;/K1Index&gt;
&lt;Imported&gt;False&lt;/Imported&gt;
&lt;Adjusted&gt;0.017&lt;/Adjusted&gt;
&lt;Reference&gt;&lt;/Reference&gt;
&lt;/ThermalBridge&gt;
&lt;ThermalBridge&gt;
&lt;TypeSource&gt;&lt;/TypeSource&gt;
&lt;Length&gt;7.28&lt;/Length&gt;
&lt;PsiValue&gt;0.037&lt;/PsiValue&gt;
&lt;K1Index&gt;&lt;/K1Index&gt;
&lt;Imported&gt;False&lt;/Imported&gt;
&lt;Adjusted&gt;0.037&lt;/Adjusted&gt;
&lt;Reference&gt;&lt;/Reference&gt;
&lt;/ThermalBridge&gt;
&lt;ThermalBridge&gt;
&lt;TypeSource&gt;&lt;/TypeSource&gt;
&lt;Length&gt;4.6&lt;/Length&gt;
&lt;PsiValue&gt;0.16&lt;/PsiValue&gt;
&lt;K1Index&gt;&lt;/K1Index&gt;
&lt;Imported&gt;False&lt;/Imported&gt;
&lt;Adjusted&gt;0.16&lt;/Adjusted&gt;
&lt;Reference&gt;&lt;/Reference&gt;
&lt;/ThermalBridge&gt;
&lt;ThermalBridge&gt;
&lt;TypeSource&gt;&lt;/TypeSource&gt;
&lt;Length&gt;2.69&lt;/Length&gt;
&lt;PsiValue&gt;0.3&lt;/PsiValue&gt;
&lt;K1Index&gt;&lt;/K1Index&gt;
&lt;Imported&gt;False&lt;/Imported&gt;
&lt;Adjusted&gt;0.3&lt;/Adjusted&gt;
&lt;Reference&gt;&lt;/Reference&gt;
&lt;/ThermalBridge&gt;
&lt;ThermalBridge&gt;
&lt;TypeSource&gt;&lt;/TypeSource&gt;
&lt;Length&gt;2.86&lt;/Length&gt;
&lt;PsiValue&gt;0.046&lt;/PsiValue&gt;
&lt;K1Index&gt;&lt;/K1Index&gt;
&lt;Imported&gt;False&lt;/Imported&gt;
&lt;Adjusted&gt;0.046&lt;/Adjusted&gt;
&lt;Reference&gt;&lt;/Reference&gt;
&lt;/ThermalBridge&gt;
&lt;ThermalBridge&gt;
&lt;TypeSource&gt;&lt;/TypeSource&gt;
&lt;Length&gt;2.86&lt;/Length&gt;
&lt;PsiValue&gt;-0.088&lt;/PsiValue&gt;
&lt;K1Index&gt;&lt;/K1Index&gt;
&lt;Imported&gt;False&lt;/Imported&gt;
&lt;Adjusted&gt;-0.088&lt;/Adjusted&gt;
&lt;Reference&gt;&lt;/Reference&gt;
&lt;/ThermalBridge&gt;
&lt;ThermalBridge&gt;
&lt;TypeSource&gt;&lt;/TypeSource&gt;
&lt;Length&gt;2.86&lt;/Length&gt;
&lt;PsiValue&gt;0.038&lt;/PsiValue&gt;
&lt;K1Index&gt;&lt;/K1Index&gt;
&lt;Imported&gt;False&lt;/Imported&gt;
&lt;Adjusted&gt;0.038&lt;/Adjusted&gt;
&lt;Reference&gt;&lt;/Reference&gt;
&lt;/ThermalBridge&gt;
&lt;ThermalBridge&gt;
&lt;TypeSource&gt;&lt;/TypeSource&gt;
&lt;Length&gt;2.86&lt;/Length&gt;
&lt;PsiValue&gt;0.12&lt;/PsiValue&gt;
&lt;K1Index&gt;&lt;/K1Index&gt;
&lt;Imported&gt;False&lt;/Imported&gt;
&lt;Adjusted&gt;0.12&lt;/Adjusted&gt;
&lt;Reference&gt;&lt;/Reference&gt;
&lt;/ThermalBridge&gt;
&lt;ThermalBridge&gt;
&lt;TypeSource&gt;&lt;/TypeSource&gt;
&lt;Length&gt;24.13&lt;/Length&gt;
&lt;PsiValue&gt;0&lt;/PsiValue&gt;
&lt;K1Index&gt;&lt;/K1Index&gt;
&lt;Imported&gt;False&lt;/Imported&gt;
&lt;Adjusted&gt;0&lt;/Adjusted&gt;
&lt;Reference&gt;&lt;/Reference&gt;
&lt;/ThermalBridge&gt;
&lt;ThermalBridge&gt;
&lt;TypeSource&gt;&lt;/TypeSource&gt;
&lt;Length&gt;24.13&lt;/Length&gt;
&lt;PsiValue&gt;0.02615&lt;/PsiValue&gt;
&lt;K1Index&gt;&lt;/K1Index&gt;
&lt;Imported&gt;False&lt;/Imported&gt;
&lt;Adjusted&gt;0.02615&lt;/Adjusted&gt;
&lt;Reference&gt;&lt;/Reference&gt;
&lt;/ThermalBridge&gt;</v>
      </c>
      <c r="AE38" s="15" t="str" cm="1">
        <f t="array" ref="AE38">_xlfn.LET(
    _xlpm.rng, ROWS(AE7:AE30),
    _xlpm.Ovals, AE7:AE30,
    _xlpm.AKvals, AZ7:AZ30,
    _xlpm.Mvals, $M7:$M30,
    _xlpm.ALvals, BA7:BA30,
    _xlpm.AMvals, BB7:BB30,
    _xlpm.Blocks,
    IF(_xlpm.Ovals=0,
        NA(),
        "&lt;ThermalBridge&gt;"&amp;CHAR(10)&amp;
        "&lt;TypeSource&gt;"&amp;_xlpm.AKvals&amp;"&lt;/TypeSource&gt;"&amp;CHAR(10)&amp;
        "&lt;Length&gt;"&amp;_xlpm.Ovals&amp;"&lt;/Length&gt;"&amp;CHAR(10)&amp;
        "&lt;PsiValue&gt;"&amp;_xlpm.Mvals&amp;"&lt;/PsiValue&gt;"&amp;CHAR(10)&amp;
        "&lt;K1Index&gt;"&amp;_xlpm.ALvals&amp;"&lt;/K1Index&gt;"&amp;CHAR(10)&amp;
        "&lt;Imported&gt;False&lt;/Imported&gt;"&amp;CHAR(10)&amp;
        "&lt;Adjusted&gt;"&amp;_xlpm.Mvals&amp;"&lt;/Adjusted&gt;"&amp;CHAR(10)&amp;
        "&lt;Reference&gt;"&amp;_xlpm.AMvals&amp;"&lt;/Reference&gt;"&amp;CHAR(10)&amp;
        "&lt;/ThermalBridge&gt;"
    ),
    _xlfn.TEXTJOIN(CHAR(10)&amp;CHAR(10), TRUE, _xlfn._xlws.FILTER(_xlpm.Blocks, NOT(ISERROR(_xlpm.Blocks))))
)</f>
        <v>&lt;ThermalBridge&gt;
&lt;TypeSource&gt;&lt;/TypeSource&gt;
&lt;Length&gt;5.65&lt;/Length&gt;
&lt;PsiValue&gt;0.017&lt;/PsiValue&gt;
&lt;K1Index&gt;&lt;/K1Index&gt;
&lt;Imported&gt;False&lt;/Imported&gt;
&lt;Adjusted&gt;0.017&lt;/Adjusted&gt;
&lt;Reference&gt;&lt;/Reference&gt;
&lt;/ThermalBridge&gt;
&lt;ThermalBridge&gt;
&lt;TypeSource&gt;&lt;/TypeSource&gt;
&lt;Length&gt;3.17&lt;/Length&gt;
&lt;PsiValue&gt;0.022&lt;/PsiValue&gt;
&lt;K1Index&gt;&lt;/K1Index&gt;
&lt;Imported&gt;False&lt;/Imported&gt;
&lt;Adjusted&gt;0.022&lt;/Adjusted&gt;
&lt;Reference&gt;&lt;/Reference&gt;
&lt;/ThermalBridge&gt;
&lt;ThermalBridge&gt;
&lt;TypeSource&gt;&lt;/TypeSource&gt;
&lt;Length&gt;13.66&lt;/Length&gt;
&lt;PsiValue&gt;0.017&lt;/PsiValue&gt;
&lt;K1Index&gt;&lt;/K1Index&gt;
&lt;Imported&gt;False&lt;/Imported&gt;
&lt;Adjusted&gt;0.017&lt;/Adjusted&gt;
&lt;Reference&gt;&lt;/Reference&gt;
&lt;/ThermalBridge&gt;
&lt;ThermalBridge&gt;
&lt;TypeSource&gt;&lt;/TypeSource&gt;
&lt;Length&gt;28.8&lt;/Length&gt;
&lt;PsiValue&gt;0.037&lt;/PsiValue&gt;
&lt;K1Index&gt;&lt;/K1Index&gt;
&lt;Imported&gt;False&lt;/Imported&gt;
&lt;Adjusted&gt;0.037&lt;/Adjusted&gt;
&lt;Reference&gt;&lt;/Reference&gt;
&lt;/ThermalBridge&gt;
&lt;ThermalBridge&gt;
&lt;TypeSource&gt;&lt;/TypeSource&gt;
&lt;Length&gt;4.64&lt;/Length&gt;
&lt;PsiValue&gt;0.16&lt;/PsiValue&gt;
&lt;K1Index&gt;&lt;/K1Index&gt;
&lt;Imported&gt;False&lt;/Imported&gt;
&lt;Adjusted&gt;0.16&lt;/Adjusted&gt;
&lt;Reference&gt;&lt;/Reference&gt;
&lt;/ThermalBridge&gt;
&lt;ThermalBridge&gt;
&lt;TypeSource&gt;&lt;/TypeSource&gt;
&lt;Length&gt;24.16&lt;/Length&gt;
&lt;PsiValue&gt;0.3&lt;/PsiValue&gt;
&lt;K1Index&gt;&lt;/K1Index&gt;
&lt;Imported&gt;False&lt;/Imported&gt;
&lt;Adjusted&gt;0.3&lt;/Adjusted&gt;
&lt;Reference&gt;&lt;/Reference&gt;
&lt;/ThermalBridge&gt;
&lt;ThermalBridge&gt;
&lt;TypeSource&gt;&lt;/TypeSource&gt;
&lt;Length&gt;8.58&lt;/Length&gt;
&lt;PsiValue&gt;0.046&lt;/PsiValue&gt;
&lt;K1Index&gt;&lt;/K1Index&gt;
&lt;Imported&gt;False&lt;/Imported&gt;
&lt;Adjusted&gt;0.046&lt;/Adjusted&gt;
&lt;Reference&gt;&lt;/Reference&gt;
&lt;/ThermalBridge&gt;
&lt;ThermalBridge&gt;
&lt;TypeSource&gt;&lt;/TypeSource&gt;
&lt;Length&gt;5.72&lt;/Length&gt;
&lt;PsiValue&gt;0.12&lt;/PsiValue&gt;
&lt;K1Index&gt;&lt;/K1Index&gt;
&lt;Imported&gt;False&lt;/Imported&gt;
&lt;Adjusted&gt;0.12&lt;/Adjusted&gt;
&lt;Reference&gt;&lt;/Reference&gt;
&lt;/ThermalBridge&gt;
&lt;ThermalBridge&gt;
&lt;TypeSource&gt;&lt;/TypeSource&gt;
&lt;Length&gt;38.81&lt;/Length&gt;
&lt;PsiValue&gt;0&lt;/PsiValue&gt;
&lt;K1Index&gt;&lt;/K1Index&gt;
&lt;Imported&gt;False&lt;/Imported&gt;
&lt;Adjusted&gt;0&lt;/Adjusted&gt;
&lt;Reference&gt;&lt;/Reference&gt;
&lt;/ThermalBridge&gt;
&lt;ThermalBridge&gt;
&lt;TypeSource&gt;&lt;/TypeSource&gt;
&lt;Length&gt;8.73&lt;/Length&gt;
&lt;PsiValue&gt;0.02615&lt;/PsiValue&gt;
&lt;K1Index&gt;&lt;/K1Index&gt;
&lt;Imported&gt;False&lt;/Imported&gt;
&lt;Adjusted&gt;0.02615&lt;/Adjusted&gt;
&lt;Reference&gt;&lt;/Reference&gt;
&lt;/ThermalBridge&gt;</v>
      </c>
      <c r="AF38" s="15" t="str" cm="1">
        <f t="array" ref="AF38">_xlfn.LET(
    _xlpm.rng, ROWS(AF7:AF30),
    _xlpm.Ovals, AF7:AF30,
    _xlpm.AKvals, BA7:BA30,
    _xlpm.Mvals, $M7:$M30,
    _xlpm.ALvals, BB7:BB30,
    _xlpm.AMvals, BC7:BC30,
    _xlpm.Blocks,
    IF(_xlpm.Ovals=0,
        NA(),
        "&lt;ThermalBridge&gt;"&amp;CHAR(10)&amp;
        "&lt;TypeSource&gt;"&amp;_xlpm.AKvals&amp;"&lt;/TypeSource&gt;"&amp;CHAR(10)&amp;
        "&lt;Length&gt;"&amp;_xlpm.Ovals&amp;"&lt;/Length&gt;"&amp;CHAR(10)&amp;
        "&lt;PsiValue&gt;"&amp;_xlpm.Mvals&amp;"&lt;/PsiValue&gt;"&amp;CHAR(10)&amp;
        "&lt;K1Index&gt;"&amp;_xlpm.ALvals&amp;"&lt;/K1Index&gt;"&amp;CHAR(10)&amp;
        "&lt;Imported&gt;False&lt;/Imported&gt;"&amp;CHAR(10)&amp;
        "&lt;Adjusted&gt;"&amp;_xlpm.Mvals&amp;"&lt;/Adjusted&gt;"&amp;CHAR(10)&amp;
        "&lt;Reference&gt;"&amp;_xlpm.AMvals&amp;"&lt;/Reference&gt;"&amp;CHAR(10)&amp;
        "&lt;/ThermalBridge&gt;"
    ),
    _xlfn.TEXTJOIN(CHAR(10)&amp;CHAR(10), TRUE, _xlfn._xlws.FILTER(_xlpm.Blocks, NOT(ISERROR(_xlpm.Blocks))))
)</f>
        <v>&lt;ThermalBridge&gt;
&lt;TypeSource&gt;&lt;/TypeSource&gt;
&lt;Length&gt;4.74&lt;/Length&gt;
&lt;PsiValue&gt;0.017&lt;/PsiValue&gt;
&lt;K1Index&gt;&lt;/K1Index&gt;
&lt;Imported&gt;False&lt;/Imported&gt;
&lt;Adjusted&gt;0.017&lt;/Adjusted&gt;
&lt;Reference&gt;&lt;/Reference&gt;
&lt;/ThermalBridge&gt;
&lt;ThermalBridge&gt;
&lt;TypeSource&gt;&lt;/TypeSource&gt;
&lt;Length&gt;2.26&lt;/Length&gt;
&lt;PsiValue&gt;0.022&lt;/PsiValue&gt;
&lt;K1Index&gt;&lt;/K1Index&gt;
&lt;Imported&gt;False&lt;/Imported&gt;
&lt;Adjusted&gt;0.022&lt;/Adjusted&gt;
&lt;Reference&gt;&lt;/Reference&gt;
&lt;/ThermalBridge&gt;
&lt;ThermalBridge&gt;
&lt;TypeSource&gt;&lt;/TypeSource&gt;
&lt;Length&gt;10.5&lt;/Length&gt;
&lt;PsiValue&gt;0.017&lt;/PsiValue&gt;
&lt;K1Index&gt;&lt;/K1Index&gt;
&lt;Imported&gt;False&lt;/Imported&gt;
&lt;Adjusted&gt;0.017&lt;/Adjusted&gt;
&lt;Reference&gt;&lt;/Reference&gt;
&lt;/ThermalBridge&gt;
&lt;ThermalBridge&gt;
&lt;TypeSource&gt;&lt;/TypeSource&gt;
&lt;Length&gt;13.07&lt;/Length&gt;
&lt;PsiValue&gt;0.037&lt;/PsiValue&gt;
&lt;K1Index&gt;&lt;/K1Index&gt;
&lt;Imported&gt;False&lt;/Imported&gt;
&lt;Adjusted&gt;0.037&lt;/Adjusted&gt;
&lt;Reference&gt;&lt;/Reference&gt;
&lt;/ThermalBridge&gt;
&lt;ThermalBridge&gt;
&lt;TypeSource&gt;&lt;/TypeSource&gt;
&lt;Length&gt;7.4&lt;/Length&gt;
&lt;PsiValue&gt;0.16&lt;/PsiValue&gt;
&lt;K1Index&gt;&lt;/K1Index&gt;
&lt;Imported&gt;False&lt;/Imported&gt;
&lt;Adjusted&gt;0.16&lt;/Adjusted&gt;
&lt;Reference&gt;&lt;/Reference&gt;
&lt;/ThermalBridge&gt;
&lt;ThermalBridge&gt;
&lt;TypeSource&gt;&lt;/TypeSource&gt;
&lt;Length&gt;5.67&lt;/Length&gt;
&lt;PsiValue&gt;0.3&lt;/PsiValue&gt;
&lt;K1Index&gt;&lt;/K1Index&gt;
&lt;Imported&gt;False&lt;/Imported&gt;
&lt;Adjusted&gt;0.3&lt;/Adjusted&gt;
&lt;Reference&gt;&lt;/Reference&gt;
&lt;/ThermalBridge&gt;
&lt;ThermalBridge&gt;
&lt;TypeSource&gt;&lt;/TypeSource&gt;
&lt;Length&gt;5.72&lt;/Length&gt;
&lt;PsiValue&gt;0.046&lt;/PsiValue&gt;
&lt;K1Index&gt;&lt;/K1Index&gt;
&lt;Imported&gt;False&lt;/Imported&gt;
&lt;Adjusted&gt;0.046&lt;/Adjusted&gt;
&lt;Reference&gt;&lt;/Reference&gt;
&lt;/ThermalBridge&gt;
&lt;ThermalBridge&gt;
&lt;TypeSource&gt;&lt;/TypeSource&gt;
&lt;Length&gt;2.86&lt;/Length&gt;
&lt;PsiValue&gt;-0.088&lt;/PsiValue&gt;
&lt;K1Index&gt;&lt;/K1Index&gt;
&lt;Imported&gt;False&lt;/Imported&gt;
&lt;Adjusted&gt;-0.088&lt;/Adjusted&gt;
&lt;Reference&gt;&lt;/Reference&gt;
&lt;/ThermalBridge&gt;
&lt;ThermalBridge&gt;
&lt;TypeSource&gt;&lt;/TypeSource&gt;
&lt;Length&gt;5.72&lt;/Length&gt;
&lt;PsiValue&gt;0.12&lt;/PsiValue&gt;
&lt;K1Index&gt;&lt;/K1Index&gt;
&lt;Imported&gt;False&lt;/Imported&gt;
&lt;Adjusted&gt;0.12&lt;/Adjusted&gt;
&lt;Reference&gt;&lt;/Reference&gt;
&lt;/ThermalBridge&gt;
&lt;ThermalBridge&gt;
&lt;TypeSource&gt;&lt;/TypeSource&gt;
&lt;Length&gt;25.03&lt;/Length&gt;
&lt;PsiValue&gt;0&lt;/PsiValue&gt;
&lt;K1Index&gt;&lt;/K1Index&gt;
&lt;Imported&gt;False&lt;/Imported&gt;
&lt;Adjusted&gt;0&lt;/Adjusted&gt;
&lt;Reference&gt;&lt;/Reference&gt;
&lt;/ThermalBridge&gt;
&lt;ThermalBridge&gt;
&lt;TypeSource&gt;&lt;/TypeSource&gt;
&lt;Length&gt;25.03&lt;/Length&gt;
&lt;PsiValue&gt;0.02615&lt;/PsiValue&gt;
&lt;K1Index&gt;&lt;/K1Index&gt;
&lt;Imported&gt;False&lt;/Imported&gt;
&lt;Adjusted&gt;0.02615&lt;/Adjusted&gt;
&lt;Reference&gt;&lt;/Reference&gt;
&lt;/ThermalBridge&gt;</v>
      </c>
      <c r="AG38" s="7" t="s">
        <v>180</v>
      </c>
      <c r="AH38" s="7" t="s">
        <v>180</v>
      </c>
      <c r="AI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</row>
    <row r="39" spans="9:56" s="7" customFormat="1" x14ac:dyDescent="0.25"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I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</row>
    <row r="40" spans="9:56" s="7" customFormat="1" x14ac:dyDescent="0.25">
      <c r="AI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</row>
    <row r="41" spans="9:56" s="7" customFormat="1" x14ac:dyDescent="0.25"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I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</row>
    <row r="42" spans="9:56" s="7" customFormat="1" x14ac:dyDescent="0.25">
      <c r="AI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</row>
  </sheetData>
  <conditionalFormatting sqref="B7:B30">
    <cfRule type="expression" dxfId="58" priority="67">
      <formula>LEFT($C7,3)="P05"</formula>
    </cfRule>
    <cfRule type="expression" dxfId="57" priority="68">
      <formula>LEFT($C7,3)="P06"</formula>
    </cfRule>
    <cfRule type="expression" dxfId="56" priority="69">
      <formula>LEFT($C7,3)="P07"</formula>
    </cfRule>
    <cfRule type="expression" dxfId="55" priority="70">
      <formula>LEFT($C7,3)="P08"</formula>
    </cfRule>
    <cfRule type="expression" dxfId="54" priority="71">
      <formula>LEFT($C7,3)="R01"</formula>
    </cfRule>
    <cfRule type="expression" dxfId="53" priority="72">
      <formula>LEFT($C7,3)="R02"</formula>
    </cfRule>
    <cfRule type="expression" dxfId="52" priority="73">
      <formula>LEFT($C7,3)="R03"</formula>
    </cfRule>
    <cfRule type="expression" dxfId="51" priority="52">
      <formula>LEFT($C7,3)="E15"</formula>
    </cfRule>
    <cfRule type="expression" dxfId="50" priority="75">
      <formula>LEFT($C7,3)="R05"</formula>
    </cfRule>
    <cfRule type="expression" dxfId="49" priority="76">
      <formula>LEFT($C7,3)="R06"</formula>
    </cfRule>
    <cfRule type="expression" dxfId="48" priority="77">
      <formula>LEFT($C7,3)="R07"</formula>
    </cfRule>
    <cfRule type="expression" dxfId="47" priority="78">
      <formula>LEFT($C7,3)="R08"</formula>
    </cfRule>
    <cfRule type="expression" dxfId="46" priority="79">
      <formula>LEFT($C7,3)="R09"</formula>
    </cfRule>
    <cfRule type="expression" dxfId="45" priority="80">
      <formula>LEFT($C7,3)="R10"</formula>
    </cfRule>
    <cfRule type="expression" dxfId="44" priority="81">
      <formula>LEFT($C7,3)="R11"</formula>
    </cfRule>
    <cfRule type="expression" dxfId="43" priority="38">
      <formula>LEFT($C7,3)="E01"</formula>
    </cfRule>
    <cfRule type="expression" dxfId="42" priority="39">
      <formula>LEFT($C7,3)="E02"</formula>
    </cfRule>
    <cfRule type="expression" dxfId="41" priority="40">
      <formula>LEFT($C7,3)="E03"</formula>
    </cfRule>
    <cfRule type="expression" dxfId="40" priority="41">
      <formula>LEFT($C7,3)="E04"</formula>
    </cfRule>
    <cfRule type="expression" dxfId="39" priority="42">
      <formula>LEFT($C7,3)="E05"</formula>
    </cfRule>
    <cfRule type="expression" dxfId="38" priority="43">
      <formula>LEFT($C7,3)="E06"</formula>
    </cfRule>
    <cfRule type="expression" dxfId="37" priority="44">
      <formula>LEFT($C7,3)="E07"</formula>
    </cfRule>
    <cfRule type="expression" dxfId="36" priority="45">
      <formula>LEFT($C7,3)="E08"</formula>
    </cfRule>
    <cfRule type="expression" dxfId="35" priority="46">
      <formula>LEFT($C7,3)="E09"</formula>
    </cfRule>
    <cfRule type="expression" dxfId="34" priority="47">
      <formula>LEFT($C7,3)="E10"</formula>
    </cfRule>
    <cfRule type="expression" dxfId="33" priority="48">
      <formula>LEFT($C7,3)="E11"</formula>
    </cfRule>
    <cfRule type="expression" dxfId="32" priority="49">
      <formula>LEFT($C7,3)="E12"</formula>
    </cfRule>
    <cfRule type="expression" dxfId="31" priority="50">
      <formula>LEFT($C7,3)="E13"</formula>
    </cfRule>
    <cfRule type="expression" dxfId="30" priority="51">
      <formula>LEFT($C7,3)="E14"</formula>
    </cfRule>
    <cfRule type="expression" dxfId="29" priority="74">
      <formula>LEFT($C7,3)="R04"</formula>
    </cfRule>
    <cfRule type="expression" dxfId="28" priority="53">
      <formula>LEFT($C7,3)="E16"</formula>
    </cfRule>
    <cfRule type="expression" dxfId="27" priority="54">
      <formula>LEFT($C7,3)="E17"</formula>
    </cfRule>
    <cfRule type="expression" dxfId="26" priority="55">
      <formula>LEFT($C7,3)="E18"</formula>
    </cfRule>
    <cfRule type="expression" dxfId="25" priority="56">
      <formula>LEFT($C7,3)="E19"</formula>
    </cfRule>
    <cfRule type="expression" dxfId="24" priority="57">
      <formula>LEFT($C7,3)="E20"</formula>
    </cfRule>
    <cfRule type="expression" dxfId="23" priority="58">
      <formula>LEFT($C7,3)="E21"</formula>
    </cfRule>
    <cfRule type="expression" dxfId="22" priority="59">
      <formula>LEFT($C7,3)="E22"</formula>
    </cfRule>
    <cfRule type="expression" dxfId="21" priority="60">
      <formula>LEFT($C7,3)="E23"</formula>
    </cfRule>
    <cfRule type="expression" dxfId="20" priority="61">
      <formula>LEFT($C7,3)="E24"</formula>
    </cfRule>
    <cfRule type="expression" dxfId="19" priority="62">
      <formula>LEFT($C7,3)="E25"</formula>
    </cfRule>
    <cfRule type="expression" dxfId="18" priority="63">
      <formula>LEFT($C7,3)="P01"</formula>
    </cfRule>
    <cfRule type="expression" dxfId="17" priority="64">
      <formula>LEFT($C7,3)="P02"</formula>
    </cfRule>
    <cfRule type="expression" dxfId="16" priority="65">
      <formula>LEFT($C7,3)="P03"</formula>
    </cfRule>
    <cfRule type="expression" dxfId="15" priority="66">
      <formula>LEFT($C7,3)="P04"</formula>
    </cfRule>
  </conditionalFormatting>
  <conditionalFormatting sqref="I7:I30">
    <cfRule type="cellIs" dxfId="14" priority="1" operator="equal">
      <formula>0</formula>
    </cfRule>
    <cfRule type="cellIs" dxfId="13" priority="2" operator="equal">
      <formula>1</formula>
    </cfRule>
    <cfRule type="cellIs" dxfId="12" priority="3" operator="equal">
      <formula>2</formula>
    </cfRule>
    <cfRule type="cellIs" dxfId="11" priority="4" operator="equal">
      <formula>3</formula>
    </cfRule>
    <cfRule type="cellIs" dxfId="10" priority="5" operator="equal">
      <formula>4</formula>
    </cfRule>
    <cfRule type="cellIs" dxfId="9" priority="6" operator="equal">
      <formula>5</formula>
    </cfRule>
    <cfRule type="cellIs" dxfId="8" priority="7" operator="equal">
      <formula>6</formula>
    </cfRule>
    <cfRule type="cellIs" dxfId="7" priority="9" operator="equal">
      <formula>8</formula>
    </cfRule>
    <cfRule type="cellIs" dxfId="6" priority="10" operator="equal">
      <formula>9</formula>
    </cfRule>
    <cfRule type="cellIs" dxfId="5" priority="11" operator="equal">
      <formula>10</formula>
    </cfRule>
    <cfRule type="cellIs" dxfId="4" priority="8" operator="equal">
      <formula>7</formula>
    </cfRule>
  </conditionalFormatting>
  <conditionalFormatting sqref="K7:K30">
    <cfRule type="cellIs" dxfId="3" priority="23" operator="equal">
      <formula>"Non Gov Scheme"</formula>
    </cfRule>
    <cfRule type="cellIs" dxfId="2" priority="24" operator="equal">
      <formula>"Table K1"</formula>
    </cfRule>
    <cfRule type="cellIs" dxfId="1" priority="25" operator="equal">
      <formula>"Gov Scheme"</formula>
    </cfRule>
    <cfRule type="cellIs" dxfId="0" priority="26" operator="equal">
      <formula>"Independent"</formula>
    </cfRule>
  </conditionalFormatting>
  <dataValidations disablePrompts="1" count="1">
    <dataValidation type="list" allowBlank="1" showInputMessage="1" showErrorMessage="1" sqref="K7:K30" xr:uid="{104EBAE4-8049-48A9-B86B-3473D03C61B8}">
      <formula1>Scheme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BB040-BFF5-446D-8A24-992A00CF81FC}">
  <sheetPr>
    <tabColor theme="0" tint="-0.499984740745262"/>
  </sheetPr>
  <dimension ref="B2:J764"/>
  <sheetViews>
    <sheetView showGridLines="0" workbookViewId="0">
      <selection activeCell="J7" sqref="J7"/>
    </sheetView>
  </sheetViews>
  <sheetFormatPr defaultRowHeight="11.4" x14ac:dyDescent="0.2"/>
  <cols>
    <col min="1" max="1" width="8.796875" style="7"/>
    <col min="2" max="2" width="40.3984375" style="7" customWidth="1"/>
    <col min="3" max="3" width="6.8984375" style="7" customWidth="1"/>
    <col min="4" max="4" width="8" style="7" customWidth="1"/>
    <col min="5" max="5" width="28.5" style="7" customWidth="1"/>
    <col min="6" max="7" width="8.796875" style="17"/>
    <col min="8" max="16384" width="8.796875" style="7"/>
  </cols>
  <sheetData>
    <row r="2" spans="2:10" ht="21" x14ac:dyDescent="0.25">
      <c r="B2" s="85" t="s">
        <v>50</v>
      </c>
      <c r="F2" s="18" t="s">
        <v>45</v>
      </c>
      <c r="G2" s="18">
        <f>SUM(G6:G856)</f>
        <v>2037.1499999999949</v>
      </c>
      <c r="I2"/>
      <c r="J2"/>
    </row>
    <row r="3" spans="2:10" ht="13.8" x14ac:dyDescent="0.25">
      <c r="B3" s="22" t="s">
        <v>213</v>
      </c>
      <c r="I3"/>
      <c r="J3"/>
    </row>
    <row r="4" spans="2:10" ht="13.8" x14ac:dyDescent="0.25">
      <c r="I4"/>
      <c r="J4"/>
    </row>
    <row r="5" spans="2:10" ht="13.8" x14ac:dyDescent="0.25">
      <c r="B5" s="15" t="s">
        <v>35</v>
      </c>
      <c r="C5" s="15" t="s">
        <v>49</v>
      </c>
      <c r="D5" s="15" t="s">
        <v>39</v>
      </c>
      <c r="E5" s="15" t="s">
        <v>36</v>
      </c>
      <c r="F5" s="18" t="s">
        <v>38</v>
      </c>
      <c r="G5" s="18" t="s">
        <v>39</v>
      </c>
      <c r="I5"/>
      <c r="J5"/>
    </row>
    <row r="6" spans="2:10" ht="13.8" x14ac:dyDescent="0.25">
      <c r="B6" s="16" t="s">
        <v>181</v>
      </c>
      <c r="C6" s="16">
        <v>10657</v>
      </c>
      <c r="D6" s="16">
        <v>1.95</v>
      </c>
      <c r="E6" s="16" t="s">
        <v>214</v>
      </c>
      <c r="F6" s="18" t="str">
        <f>LEFT(E6,7)</f>
        <v>Flat 01</v>
      </c>
      <c r="G6" s="18">
        <f>D6</f>
        <v>1.95</v>
      </c>
      <c r="I6"/>
      <c r="J6"/>
    </row>
    <row r="7" spans="2:10" ht="13.8" x14ac:dyDescent="0.25">
      <c r="B7" s="16" t="s">
        <v>181</v>
      </c>
      <c r="C7" s="16">
        <v>10659</v>
      </c>
      <c r="D7" s="16">
        <v>2.72</v>
      </c>
      <c r="E7" s="16" t="s">
        <v>214</v>
      </c>
      <c r="F7" s="18" t="str">
        <f t="shared" ref="F7:F70" si="0">LEFT(E7,7)</f>
        <v>Flat 01</v>
      </c>
      <c r="G7" s="18">
        <f t="shared" ref="G7:G70" si="1">D7</f>
        <v>2.72</v>
      </c>
      <c r="I7"/>
      <c r="J7"/>
    </row>
    <row r="8" spans="2:10" ht="13.8" x14ac:dyDescent="0.25">
      <c r="B8" s="16" t="s">
        <v>182</v>
      </c>
      <c r="C8" s="16">
        <v>10347</v>
      </c>
      <c r="D8" s="16">
        <v>1.24</v>
      </c>
      <c r="E8" s="16" t="s">
        <v>215</v>
      </c>
      <c r="F8" s="18" t="str">
        <f t="shared" si="0"/>
        <v>Flat 02</v>
      </c>
      <c r="G8" s="18">
        <f t="shared" si="1"/>
        <v>1.24</v>
      </c>
      <c r="I8"/>
      <c r="J8"/>
    </row>
    <row r="9" spans="2:10" ht="13.8" x14ac:dyDescent="0.25">
      <c r="B9" s="16" t="s">
        <v>182</v>
      </c>
      <c r="C9" s="16">
        <v>11335</v>
      </c>
      <c r="D9" s="16">
        <v>1.24</v>
      </c>
      <c r="E9" s="16" t="s">
        <v>216</v>
      </c>
      <c r="F9" s="18" t="str">
        <f t="shared" si="0"/>
        <v>Flat 07</v>
      </c>
      <c r="G9" s="18">
        <f t="shared" si="1"/>
        <v>1.24</v>
      </c>
      <c r="I9"/>
      <c r="J9"/>
    </row>
    <row r="10" spans="2:10" ht="13.8" x14ac:dyDescent="0.25">
      <c r="B10" s="16" t="s">
        <v>182</v>
      </c>
      <c r="C10" s="16">
        <v>11184</v>
      </c>
      <c r="D10" s="16">
        <v>1.24</v>
      </c>
      <c r="E10" s="16" t="s">
        <v>217</v>
      </c>
      <c r="F10" s="18" t="str">
        <f t="shared" si="0"/>
        <v>Flat 08</v>
      </c>
      <c r="G10" s="18">
        <f t="shared" si="1"/>
        <v>1.24</v>
      </c>
      <c r="I10"/>
      <c r="J10"/>
    </row>
    <row r="11" spans="2:10" x14ac:dyDescent="0.2">
      <c r="B11" s="16" t="s">
        <v>183</v>
      </c>
      <c r="C11" s="16">
        <v>11362</v>
      </c>
      <c r="D11" s="16">
        <v>1.48</v>
      </c>
      <c r="E11" s="16" t="s">
        <v>216</v>
      </c>
      <c r="F11" s="18" t="str">
        <f t="shared" si="0"/>
        <v>Flat 07</v>
      </c>
      <c r="G11" s="18">
        <f t="shared" si="1"/>
        <v>1.48</v>
      </c>
    </row>
    <row r="12" spans="2:10" x14ac:dyDescent="0.2">
      <c r="B12" s="16" t="s">
        <v>183</v>
      </c>
      <c r="C12" s="16">
        <v>11364</v>
      </c>
      <c r="D12" s="16">
        <v>2.25</v>
      </c>
      <c r="E12" s="16" t="s">
        <v>216</v>
      </c>
      <c r="F12" s="18" t="str">
        <f t="shared" si="0"/>
        <v>Flat 07</v>
      </c>
      <c r="G12" s="18">
        <f t="shared" si="1"/>
        <v>2.25</v>
      </c>
    </row>
    <row r="13" spans="2:10" x14ac:dyDescent="0.2">
      <c r="B13" s="16" t="s">
        <v>183</v>
      </c>
      <c r="C13" s="16">
        <v>11368</v>
      </c>
      <c r="D13" s="16">
        <v>2.72</v>
      </c>
      <c r="E13" s="16" t="s">
        <v>216</v>
      </c>
      <c r="F13" s="18" t="str">
        <f t="shared" si="0"/>
        <v>Flat 07</v>
      </c>
      <c r="G13" s="18">
        <f t="shared" si="1"/>
        <v>2.72</v>
      </c>
    </row>
    <row r="14" spans="2:10" x14ac:dyDescent="0.2">
      <c r="B14" s="16" t="s">
        <v>183</v>
      </c>
      <c r="C14" s="16">
        <v>10668</v>
      </c>
      <c r="D14" s="16">
        <v>1.95</v>
      </c>
      <c r="E14" s="16" t="s">
        <v>214</v>
      </c>
      <c r="F14" s="18" t="str">
        <f t="shared" si="0"/>
        <v>Flat 01</v>
      </c>
      <c r="G14" s="18">
        <f t="shared" si="1"/>
        <v>1.95</v>
      </c>
    </row>
    <row r="15" spans="2:10" x14ac:dyDescent="0.2">
      <c r="B15" s="16" t="s">
        <v>183</v>
      </c>
      <c r="C15" s="16">
        <v>10670</v>
      </c>
      <c r="D15" s="16">
        <v>2.72</v>
      </c>
      <c r="E15" s="16" t="s">
        <v>214</v>
      </c>
      <c r="F15" s="18" t="str">
        <f t="shared" si="0"/>
        <v>Flat 01</v>
      </c>
      <c r="G15" s="18">
        <f t="shared" si="1"/>
        <v>2.72</v>
      </c>
    </row>
    <row r="16" spans="2:10" x14ac:dyDescent="0.2">
      <c r="B16" s="16" t="s">
        <v>1</v>
      </c>
      <c r="C16" s="16">
        <v>10358</v>
      </c>
      <c r="D16" s="16">
        <v>7.48</v>
      </c>
      <c r="E16" s="16" t="s">
        <v>215</v>
      </c>
      <c r="F16" s="18" t="str">
        <f t="shared" si="0"/>
        <v>Flat 02</v>
      </c>
      <c r="G16" s="18">
        <f t="shared" si="1"/>
        <v>7.48</v>
      </c>
    </row>
    <row r="17" spans="2:7" x14ac:dyDescent="0.2">
      <c r="B17" s="16" t="s">
        <v>1</v>
      </c>
      <c r="C17" s="16">
        <v>10356</v>
      </c>
      <c r="D17" s="16">
        <v>8.82</v>
      </c>
      <c r="E17" s="16" t="s">
        <v>215</v>
      </c>
      <c r="F17" s="18" t="str">
        <f t="shared" si="0"/>
        <v>Flat 02</v>
      </c>
      <c r="G17" s="18">
        <f t="shared" si="1"/>
        <v>8.82</v>
      </c>
    </row>
    <row r="18" spans="2:7" x14ac:dyDescent="0.2">
      <c r="B18" s="16" t="s">
        <v>1</v>
      </c>
      <c r="C18" s="16">
        <v>10460</v>
      </c>
      <c r="D18" s="16">
        <v>0.96</v>
      </c>
      <c r="E18" s="16" t="s">
        <v>218</v>
      </c>
      <c r="F18" s="18" t="str">
        <f t="shared" si="0"/>
        <v>Flat 03</v>
      </c>
      <c r="G18" s="18">
        <f t="shared" si="1"/>
        <v>0.96</v>
      </c>
    </row>
    <row r="19" spans="2:7" x14ac:dyDescent="0.2">
      <c r="B19" s="16" t="s">
        <v>1</v>
      </c>
      <c r="C19" s="16">
        <v>10458</v>
      </c>
      <c r="D19" s="16">
        <v>1.92</v>
      </c>
      <c r="E19" s="16" t="s">
        <v>218</v>
      </c>
      <c r="F19" s="18" t="str">
        <f t="shared" si="0"/>
        <v>Flat 03</v>
      </c>
      <c r="G19" s="18">
        <f t="shared" si="1"/>
        <v>1.92</v>
      </c>
    </row>
    <row r="20" spans="2:7" x14ac:dyDescent="0.2">
      <c r="B20" s="16" t="s">
        <v>1</v>
      </c>
      <c r="C20" s="16">
        <v>10450</v>
      </c>
      <c r="D20" s="16">
        <v>7.64</v>
      </c>
      <c r="E20" s="16" t="s">
        <v>218</v>
      </c>
      <c r="F20" s="18" t="str">
        <f t="shared" si="0"/>
        <v>Flat 03</v>
      </c>
      <c r="G20" s="18">
        <f t="shared" si="1"/>
        <v>7.64</v>
      </c>
    </row>
    <row r="21" spans="2:7" x14ac:dyDescent="0.2">
      <c r="B21" s="16" t="s">
        <v>1</v>
      </c>
      <c r="C21" s="16">
        <v>10456</v>
      </c>
      <c r="D21" s="16">
        <v>2.41</v>
      </c>
      <c r="E21" s="16" t="s">
        <v>218</v>
      </c>
      <c r="F21" s="18" t="str">
        <f t="shared" si="0"/>
        <v>Flat 03</v>
      </c>
      <c r="G21" s="18">
        <f t="shared" si="1"/>
        <v>2.41</v>
      </c>
    </row>
    <row r="22" spans="2:7" x14ac:dyDescent="0.2">
      <c r="B22" s="16" t="s">
        <v>1</v>
      </c>
      <c r="C22" s="16">
        <v>10462</v>
      </c>
      <c r="D22" s="16">
        <v>7.85</v>
      </c>
      <c r="E22" s="16" t="s">
        <v>218</v>
      </c>
      <c r="F22" s="18" t="str">
        <f t="shared" si="0"/>
        <v>Flat 03</v>
      </c>
      <c r="G22" s="18">
        <f t="shared" si="1"/>
        <v>7.85</v>
      </c>
    </row>
    <row r="23" spans="2:7" x14ac:dyDescent="0.2">
      <c r="B23" s="16" t="s">
        <v>1</v>
      </c>
      <c r="C23" s="16">
        <v>10454</v>
      </c>
      <c r="D23" s="16">
        <v>1.06</v>
      </c>
      <c r="E23" s="16" t="s">
        <v>218</v>
      </c>
      <c r="F23" s="18" t="str">
        <f t="shared" si="0"/>
        <v>Flat 03</v>
      </c>
      <c r="G23" s="18">
        <f t="shared" si="1"/>
        <v>1.06</v>
      </c>
    </row>
    <row r="24" spans="2:7" x14ac:dyDescent="0.2">
      <c r="B24" s="16" t="s">
        <v>1</v>
      </c>
      <c r="C24" s="16">
        <v>10452</v>
      </c>
      <c r="D24" s="16">
        <v>2.34</v>
      </c>
      <c r="E24" s="16" t="s">
        <v>218</v>
      </c>
      <c r="F24" s="18" t="str">
        <f t="shared" si="0"/>
        <v>Flat 03</v>
      </c>
      <c r="G24" s="18">
        <f t="shared" si="1"/>
        <v>2.34</v>
      </c>
    </row>
    <row r="25" spans="2:7" x14ac:dyDescent="0.2">
      <c r="B25" s="16" t="s">
        <v>1</v>
      </c>
      <c r="C25" s="16">
        <v>10587</v>
      </c>
      <c r="D25" s="16">
        <v>0.63</v>
      </c>
      <c r="E25" s="16" t="s">
        <v>219</v>
      </c>
      <c r="F25" s="18" t="str">
        <f t="shared" si="0"/>
        <v>Flat 06</v>
      </c>
      <c r="G25" s="18">
        <f t="shared" si="1"/>
        <v>0.63</v>
      </c>
    </row>
    <row r="26" spans="2:7" x14ac:dyDescent="0.2">
      <c r="B26" s="16" t="s">
        <v>1</v>
      </c>
      <c r="C26" s="16">
        <v>10589</v>
      </c>
      <c r="D26" s="16">
        <v>3.22</v>
      </c>
      <c r="E26" s="16" t="s">
        <v>219</v>
      </c>
      <c r="F26" s="18" t="str">
        <f t="shared" si="0"/>
        <v>Flat 06</v>
      </c>
      <c r="G26" s="18">
        <f t="shared" si="1"/>
        <v>3.22</v>
      </c>
    </row>
    <row r="27" spans="2:7" x14ac:dyDescent="0.2">
      <c r="B27" s="16" t="s">
        <v>1</v>
      </c>
      <c r="C27" s="16">
        <v>10597</v>
      </c>
      <c r="D27" s="16">
        <v>2.42</v>
      </c>
      <c r="E27" s="16" t="s">
        <v>219</v>
      </c>
      <c r="F27" s="18" t="str">
        <f t="shared" si="0"/>
        <v>Flat 06</v>
      </c>
      <c r="G27" s="18">
        <f t="shared" si="1"/>
        <v>2.42</v>
      </c>
    </row>
    <row r="28" spans="2:7" x14ac:dyDescent="0.2">
      <c r="B28" s="16" t="s">
        <v>1</v>
      </c>
      <c r="C28" s="16">
        <v>10591</v>
      </c>
      <c r="D28" s="16">
        <v>1.42</v>
      </c>
      <c r="E28" s="16" t="s">
        <v>219</v>
      </c>
      <c r="F28" s="18" t="str">
        <f t="shared" si="0"/>
        <v>Flat 06</v>
      </c>
      <c r="G28" s="18">
        <f t="shared" si="1"/>
        <v>1.42</v>
      </c>
    </row>
    <row r="29" spans="2:7" x14ac:dyDescent="0.2">
      <c r="B29" s="16" t="s">
        <v>1</v>
      </c>
      <c r="C29" s="16">
        <v>10595</v>
      </c>
      <c r="D29" s="16">
        <v>2.78</v>
      </c>
      <c r="E29" s="16" t="s">
        <v>219</v>
      </c>
      <c r="F29" s="18" t="str">
        <f t="shared" si="0"/>
        <v>Flat 06</v>
      </c>
      <c r="G29" s="18">
        <f t="shared" si="1"/>
        <v>2.78</v>
      </c>
    </row>
    <row r="30" spans="2:7" x14ac:dyDescent="0.2">
      <c r="B30" s="16" t="s">
        <v>1</v>
      </c>
      <c r="C30" s="16">
        <v>10593</v>
      </c>
      <c r="D30" s="16">
        <v>2.2799999999999998</v>
      </c>
      <c r="E30" s="16" t="s">
        <v>219</v>
      </c>
      <c r="F30" s="18" t="str">
        <f t="shared" si="0"/>
        <v>Flat 06</v>
      </c>
      <c r="G30" s="18">
        <f t="shared" si="1"/>
        <v>2.2799999999999998</v>
      </c>
    </row>
    <row r="31" spans="2:7" x14ac:dyDescent="0.2">
      <c r="B31" s="16" t="s">
        <v>1</v>
      </c>
      <c r="C31" s="16">
        <v>10583</v>
      </c>
      <c r="D31" s="16">
        <v>6.61</v>
      </c>
      <c r="E31" s="16" t="s">
        <v>219</v>
      </c>
      <c r="F31" s="18" t="str">
        <f t="shared" si="0"/>
        <v>Flat 06</v>
      </c>
      <c r="G31" s="18">
        <f t="shared" si="1"/>
        <v>6.61</v>
      </c>
    </row>
    <row r="32" spans="2:7" x14ac:dyDescent="0.2">
      <c r="B32" s="16" t="s">
        <v>1</v>
      </c>
      <c r="C32" s="16">
        <v>10585</v>
      </c>
      <c r="D32" s="16">
        <v>5.67</v>
      </c>
      <c r="E32" s="16" t="s">
        <v>219</v>
      </c>
      <c r="F32" s="18" t="str">
        <f t="shared" si="0"/>
        <v>Flat 06</v>
      </c>
      <c r="G32" s="18">
        <f t="shared" si="1"/>
        <v>5.67</v>
      </c>
    </row>
    <row r="33" spans="2:7" x14ac:dyDescent="0.2">
      <c r="B33" s="16" t="s">
        <v>1</v>
      </c>
      <c r="C33" s="16">
        <v>11359</v>
      </c>
      <c r="D33" s="16">
        <v>9.3699999999999992</v>
      </c>
      <c r="E33" s="16" t="s">
        <v>216</v>
      </c>
      <c r="F33" s="18" t="str">
        <f t="shared" si="0"/>
        <v>Flat 07</v>
      </c>
      <c r="G33" s="18">
        <f t="shared" si="1"/>
        <v>9.3699999999999992</v>
      </c>
    </row>
    <row r="34" spans="2:7" x14ac:dyDescent="0.2">
      <c r="B34" s="16" t="s">
        <v>1</v>
      </c>
      <c r="C34" s="16">
        <v>11356</v>
      </c>
      <c r="D34" s="16">
        <v>5.78</v>
      </c>
      <c r="E34" s="16" t="s">
        <v>216</v>
      </c>
      <c r="F34" s="18" t="str">
        <f t="shared" si="0"/>
        <v>Flat 07</v>
      </c>
      <c r="G34" s="18">
        <f t="shared" si="1"/>
        <v>5.78</v>
      </c>
    </row>
    <row r="35" spans="2:7" x14ac:dyDescent="0.2">
      <c r="B35" s="16" t="s">
        <v>1</v>
      </c>
      <c r="C35" s="16">
        <v>11361</v>
      </c>
      <c r="D35" s="16">
        <v>7.02</v>
      </c>
      <c r="E35" s="16" t="s">
        <v>216</v>
      </c>
      <c r="F35" s="18" t="str">
        <f t="shared" si="0"/>
        <v>Flat 07</v>
      </c>
      <c r="G35" s="18">
        <f t="shared" si="1"/>
        <v>7.02</v>
      </c>
    </row>
    <row r="36" spans="2:7" x14ac:dyDescent="0.2">
      <c r="B36" s="16" t="s">
        <v>1</v>
      </c>
      <c r="C36" s="16">
        <v>11358</v>
      </c>
      <c r="D36" s="16">
        <v>9.3699999999999992</v>
      </c>
      <c r="E36" s="16" t="s">
        <v>216</v>
      </c>
      <c r="F36" s="18" t="str">
        <f t="shared" si="0"/>
        <v>Flat 07</v>
      </c>
      <c r="G36" s="18">
        <f t="shared" si="1"/>
        <v>9.3699999999999992</v>
      </c>
    </row>
    <row r="37" spans="2:7" x14ac:dyDescent="0.2">
      <c r="B37" s="16" t="s">
        <v>1</v>
      </c>
      <c r="C37" s="16">
        <v>10746</v>
      </c>
      <c r="D37" s="16">
        <v>1.92</v>
      </c>
      <c r="E37" s="16" t="s">
        <v>220</v>
      </c>
      <c r="F37" s="18" t="str">
        <f t="shared" si="0"/>
        <v>Flat 09</v>
      </c>
      <c r="G37" s="18">
        <f t="shared" si="1"/>
        <v>1.92</v>
      </c>
    </row>
    <row r="38" spans="2:7" x14ac:dyDescent="0.2">
      <c r="B38" s="16" t="s">
        <v>1</v>
      </c>
      <c r="C38" s="16">
        <v>10754</v>
      </c>
      <c r="D38" s="16">
        <v>7.64</v>
      </c>
      <c r="E38" s="16" t="s">
        <v>220</v>
      </c>
      <c r="F38" s="18" t="str">
        <f t="shared" si="0"/>
        <v>Flat 09</v>
      </c>
      <c r="G38" s="18">
        <f t="shared" si="1"/>
        <v>7.64</v>
      </c>
    </row>
    <row r="39" spans="2:7" x14ac:dyDescent="0.2">
      <c r="B39" s="16" t="s">
        <v>1</v>
      </c>
      <c r="C39" s="16">
        <v>10759</v>
      </c>
      <c r="D39" s="16">
        <v>1.92</v>
      </c>
      <c r="E39" s="16" t="s">
        <v>220</v>
      </c>
      <c r="F39" s="18" t="str">
        <f t="shared" si="0"/>
        <v>Flat 09</v>
      </c>
      <c r="G39" s="18">
        <f t="shared" si="1"/>
        <v>1.92</v>
      </c>
    </row>
    <row r="40" spans="2:7" x14ac:dyDescent="0.2">
      <c r="B40" s="16" t="s">
        <v>1</v>
      </c>
      <c r="C40" s="16">
        <v>10767</v>
      </c>
      <c r="D40" s="16">
        <v>7.64</v>
      </c>
      <c r="E40" s="16" t="s">
        <v>220</v>
      </c>
      <c r="F40" s="18" t="str">
        <f t="shared" si="0"/>
        <v>Flat 09</v>
      </c>
      <c r="G40" s="18">
        <f t="shared" si="1"/>
        <v>7.64</v>
      </c>
    </row>
    <row r="41" spans="2:7" x14ac:dyDescent="0.2">
      <c r="B41" s="16" t="s">
        <v>1</v>
      </c>
      <c r="C41" s="16">
        <v>10765</v>
      </c>
      <c r="D41" s="16">
        <v>2.34</v>
      </c>
      <c r="E41" s="16" t="s">
        <v>220</v>
      </c>
      <c r="F41" s="18" t="str">
        <f t="shared" si="0"/>
        <v>Flat 09</v>
      </c>
      <c r="G41" s="18">
        <f t="shared" si="1"/>
        <v>2.34</v>
      </c>
    </row>
    <row r="42" spans="2:7" x14ac:dyDescent="0.2">
      <c r="B42" s="16" t="s">
        <v>1</v>
      </c>
      <c r="C42" s="16">
        <v>10763</v>
      </c>
      <c r="D42" s="16">
        <v>1.06</v>
      </c>
      <c r="E42" s="16" t="s">
        <v>220</v>
      </c>
      <c r="F42" s="18" t="str">
        <f t="shared" si="0"/>
        <v>Flat 09</v>
      </c>
      <c r="G42" s="18">
        <f t="shared" si="1"/>
        <v>1.06</v>
      </c>
    </row>
    <row r="43" spans="2:7" x14ac:dyDescent="0.2">
      <c r="B43" s="16" t="s">
        <v>1</v>
      </c>
      <c r="C43" s="16">
        <v>10761</v>
      </c>
      <c r="D43" s="16">
        <v>2.41</v>
      </c>
      <c r="E43" s="16" t="s">
        <v>220</v>
      </c>
      <c r="F43" s="18" t="str">
        <f t="shared" si="0"/>
        <v>Flat 09</v>
      </c>
      <c r="G43" s="18">
        <f t="shared" si="1"/>
        <v>2.41</v>
      </c>
    </row>
    <row r="44" spans="2:7" x14ac:dyDescent="0.2">
      <c r="B44" s="16" t="s">
        <v>1</v>
      </c>
      <c r="C44" s="16">
        <v>10756</v>
      </c>
      <c r="D44" s="16">
        <v>0.96</v>
      </c>
      <c r="E44" s="16" t="s">
        <v>220</v>
      </c>
      <c r="F44" s="18" t="str">
        <f t="shared" si="0"/>
        <v>Flat 09</v>
      </c>
      <c r="G44" s="18">
        <f t="shared" si="1"/>
        <v>0.96</v>
      </c>
    </row>
    <row r="45" spans="2:7" x14ac:dyDescent="0.2">
      <c r="B45" s="16" t="s">
        <v>1</v>
      </c>
      <c r="C45" s="16">
        <v>10768</v>
      </c>
      <c r="D45" s="16">
        <v>7.85</v>
      </c>
      <c r="E45" s="16" t="s">
        <v>220</v>
      </c>
      <c r="F45" s="18" t="str">
        <f t="shared" si="0"/>
        <v>Flat 09</v>
      </c>
      <c r="G45" s="18">
        <f t="shared" si="1"/>
        <v>7.85</v>
      </c>
    </row>
    <row r="46" spans="2:7" x14ac:dyDescent="0.2">
      <c r="B46" s="16" t="s">
        <v>1</v>
      </c>
      <c r="C46" s="16">
        <v>10748</v>
      </c>
      <c r="D46" s="16">
        <v>2.41</v>
      </c>
      <c r="E46" s="16" t="s">
        <v>220</v>
      </c>
      <c r="F46" s="18" t="str">
        <f t="shared" si="0"/>
        <v>Flat 09</v>
      </c>
      <c r="G46" s="18">
        <f t="shared" si="1"/>
        <v>2.41</v>
      </c>
    </row>
    <row r="47" spans="2:7" x14ac:dyDescent="0.2">
      <c r="B47" s="16" t="s">
        <v>1</v>
      </c>
      <c r="C47" s="16">
        <v>10755</v>
      </c>
      <c r="D47" s="16">
        <v>7.85</v>
      </c>
      <c r="E47" s="16" t="s">
        <v>220</v>
      </c>
      <c r="F47" s="18" t="str">
        <f t="shared" si="0"/>
        <v>Flat 09</v>
      </c>
      <c r="G47" s="18">
        <f t="shared" si="1"/>
        <v>7.85</v>
      </c>
    </row>
    <row r="48" spans="2:7" x14ac:dyDescent="0.2">
      <c r="B48" s="16" t="s">
        <v>1</v>
      </c>
      <c r="C48" s="16">
        <v>10750</v>
      </c>
      <c r="D48" s="16">
        <v>1.06</v>
      </c>
      <c r="E48" s="16" t="s">
        <v>220</v>
      </c>
      <c r="F48" s="18" t="str">
        <f t="shared" si="0"/>
        <v>Flat 09</v>
      </c>
      <c r="G48" s="18">
        <f t="shared" si="1"/>
        <v>1.06</v>
      </c>
    </row>
    <row r="49" spans="2:7" x14ac:dyDescent="0.2">
      <c r="B49" s="16" t="s">
        <v>1</v>
      </c>
      <c r="C49" s="16">
        <v>10743</v>
      </c>
      <c r="D49" s="16">
        <v>0.96</v>
      </c>
      <c r="E49" s="16" t="s">
        <v>220</v>
      </c>
      <c r="F49" s="18" t="str">
        <f t="shared" si="0"/>
        <v>Flat 09</v>
      </c>
      <c r="G49" s="18">
        <f t="shared" si="1"/>
        <v>0.96</v>
      </c>
    </row>
    <row r="50" spans="2:7" x14ac:dyDescent="0.2">
      <c r="B50" s="16" t="s">
        <v>1</v>
      </c>
      <c r="C50" s="16">
        <v>10752</v>
      </c>
      <c r="D50" s="16">
        <v>2.34</v>
      </c>
      <c r="E50" s="16" t="s">
        <v>220</v>
      </c>
      <c r="F50" s="18" t="str">
        <f t="shared" si="0"/>
        <v>Flat 09</v>
      </c>
      <c r="G50" s="18">
        <f t="shared" si="1"/>
        <v>2.34</v>
      </c>
    </row>
    <row r="51" spans="2:7" x14ac:dyDescent="0.2">
      <c r="B51" s="16" t="s">
        <v>1</v>
      </c>
      <c r="C51" s="16">
        <v>11589</v>
      </c>
      <c r="D51" s="16">
        <v>4.5</v>
      </c>
      <c r="E51" s="16" t="s">
        <v>221</v>
      </c>
      <c r="F51" s="18" t="str">
        <f t="shared" si="0"/>
        <v>Flat 05</v>
      </c>
      <c r="G51" s="18">
        <f t="shared" si="1"/>
        <v>4.5</v>
      </c>
    </row>
    <row r="52" spans="2:7" x14ac:dyDescent="0.2">
      <c r="B52" s="16" t="s">
        <v>1</v>
      </c>
      <c r="C52" s="16">
        <v>11585</v>
      </c>
      <c r="D52" s="16">
        <v>2.13</v>
      </c>
      <c r="E52" s="16" t="s">
        <v>221</v>
      </c>
      <c r="F52" s="18" t="str">
        <f t="shared" si="0"/>
        <v>Flat 05</v>
      </c>
      <c r="G52" s="18">
        <f t="shared" si="1"/>
        <v>2.13</v>
      </c>
    </row>
    <row r="53" spans="2:7" x14ac:dyDescent="0.2">
      <c r="B53" s="16" t="s">
        <v>1</v>
      </c>
      <c r="C53" s="16">
        <v>11591</v>
      </c>
      <c r="D53" s="16">
        <v>6.91</v>
      </c>
      <c r="E53" s="16" t="s">
        <v>221</v>
      </c>
      <c r="F53" s="18" t="str">
        <f t="shared" si="0"/>
        <v>Flat 05</v>
      </c>
      <c r="G53" s="18">
        <f t="shared" si="1"/>
        <v>6.91</v>
      </c>
    </row>
    <row r="54" spans="2:7" x14ac:dyDescent="0.2">
      <c r="B54" s="16" t="s">
        <v>1</v>
      </c>
      <c r="C54" s="16">
        <v>11583</v>
      </c>
      <c r="D54" s="16">
        <v>8.73</v>
      </c>
      <c r="E54" s="16" t="s">
        <v>221</v>
      </c>
      <c r="F54" s="18" t="str">
        <f t="shared" si="0"/>
        <v>Flat 05</v>
      </c>
      <c r="G54" s="18">
        <f t="shared" si="1"/>
        <v>8.73</v>
      </c>
    </row>
    <row r="55" spans="2:7" x14ac:dyDescent="0.2">
      <c r="B55" s="16" t="s">
        <v>1</v>
      </c>
      <c r="C55" s="16">
        <v>11587</v>
      </c>
      <c r="D55" s="16">
        <v>1.5</v>
      </c>
      <c r="E55" s="16" t="s">
        <v>221</v>
      </c>
      <c r="F55" s="18" t="str">
        <f t="shared" si="0"/>
        <v>Flat 05</v>
      </c>
      <c r="G55" s="18">
        <f t="shared" si="1"/>
        <v>1.5</v>
      </c>
    </row>
    <row r="56" spans="2:7" x14ac:dyDescent="0.2">
      <c r="B56" s="16" t="s">
        <v>1</v>
      </c>
      <c r="C56" s="16">
        <v>11183</v>
      </c>
      <c r="D56" s="16">
        <v>8.7200000000000006</v>
      </c>
      <c r="E56" s="16" t="s">
        <v>217</v>
      </c>
      <c r="F56" s="18" t="str">
        <f t="shared" si="0"/>
        <v>Flat 08</v>
      </c>
      <c r="G56" s="18">
        <f t="shared" si="1"/>
        <v>8.7200000000000006</v>
      </c>
    </row>
    <row r="57" spans="2:7" x14ac:dyDescent="0.2">
      <c r="B57" s="16" t="s">
        <v>1</v>
      </c>
      <c r="C57" s="16">
        <v>11181</v>
      </c>
      <c r="D57" s="16">
        <v>8.82</v>
      </c>
      <c r="E57" s="16" t="s">
        <v>217</v>
      </c>
      <c r="F57" s="18" t="str">
        <f t="shared" si="0"/>
        <v>Flat 08</v>
      </c>
      <c r="G57" s="18">
        <f t="shared" si="1"/>
        <v>8.82</v>
      </c>
    </row>
    <row r="58" spans="2:7" x14ac:dyDescent="0.2">
      <c r="B58" s="16" t="s">
        <v>1</v>
      </c>
      <c r="C58" s="16">
        <v>11179</v>
      </c>
      <c r="D58" s="16">
        <v>7.48</v>
      </c>
      <c r="E58" s="16" t="s">
        <v>217</v>
      </c>
      <c r="F58" s="18" t="str">
        <f t="shared" si="0"/>
        <v>Flat 08</v>
      </c>
      <c r="G58" s="18">
        <f t="shared" si="1"/>
        <v>7.48</v>
      </c>
    </row>
    <row r="59" spans="2:7" x14ac:dyDescent="0.2">
      <c r="B59" s="16" t="s">
        <v>1</v>
      </c>
      <c r="C59" s="16">
        <v>11177</v>
      </c>
      <c r="D59" s="16">
        <v>8.82</v>
      </c>
      <c r="E59" s="16" t="s">
        <v>217</v>
      </c>
      <c r="F59" s="18" t="str">
        <f t="shared" si="0"/>
        <v>Flat 08</v>
      </c>
      <c r="G59" s="18">
        <f t="shared" si="1"/>
        <v>8.82</v>
      </c>
    </row>
    <row r="60" spans="2:7" x14ac:dyDescent="0.2">
      <c r="B60" s="16" t="s">
        <v>1</v>
      </c>
      <c r="C60" s="16">
        <v>11256</v>
      </c>
      <c r="D60" s="16">
        <v>7.64</v>
      </c>
      <c r="E60" s="16" t="s">
        <v>184</v>
      </c>
      <c r="F60" s="18" t="str">
        <f t="shared" si="0"/>
        <v>Flat 15</v>
      </c>
      <c r="G60" s="18">
        <f t="shared" si="1"/>
        <v>7.64</v>
      </c>
    </row>
    <row r="61" spans="2:7" x14ac:dyDescent="0.2">
      <c r="B61" s="16" t="s">
        <v>1</v>
      </c>
      <c r="C61" s="16">
        <v>11262</v>
      </c>
      <c r="D61" s="16">
        <v>2.41</v>
      </c>
      <c r="E61" s="16" t="s">
        <v>184</v>
      </c>
      <c r="F61" s="18" t="str">
        <f t="shared" si="0"/>
        <v>Flat 15</v>
      </c>
      <c r="G61" s="18">
        <f t="shared" si="1"/>
        <v>2.41</v>
      </c>
    </row>
    <row r="62" spans="2:7" x14ac:dyDescent="0.2">
      <c r="B62" s="16" t="s">
        <v>1</v>
      </c>
      <c r="C62" s="16">
        <v>11266</v>
      </c>
      <c r="D62" s="16">
        <v>0.96</v>
      </c>
      <c r="E62" s="16" t="s">
        <v>184</v>
      </c>
      <c r="F62" s="18" t="str">
        <f t="shared" si="0"/>
        <v>Flat 15</v>
      </c>
      <c r="G62" s="18">
        <f t="shared" si="1"/>
        <v>0.96</v>
      </c>
    </row>
    <row r="63" spans="2:7" x14ac:dyDescent="0.2">
      <c r="B63" s="16" t="s">
        <v>1</v>
      </c>
      <c r="C63" s="16">
        <v>11264</v>
      </c>
      <c r="D63" s="16">
        <v>1.92</v>
      </c>
      <c r="E63" s="16" t="s">
        <v>184</v>
      </c>
      <c r="F63" s="18" t="str">
        <f t="shared" si="0"/>
        <v>Flat 15</v>
      </c>
      <c r="G63" s="18">
        <f t="shared" si="1"/>
        <v>1.92</v>
      </c>
    </row>
    <row r="64" spans="2:7" x14ac:dyDescent="0.2">
      <c r="B64" s="16" t="s">
        <v>1</v>
      </c>
      <c r="C64" s="16">
        <v>11268</v>
      </c>
      <c r="D64" s="16">
        <v>7.85</v>
      </c>
      <c r="E64" s="16" t="s">
        <v>184</v>
      </c>
      <c r="F64" s="18" t="str">
        <f t="shared" si="0"/>
        <v>Flat 15</v>
      </c>
      <c r="G64" s="18">
        <f t="shared" si="1"/>
        <v>7.85</v>
      </c>
    </row>
    <row r="65" spans="2:7" x14ac:dyDescent="0.2">
      <c r="B65" s="16" t="s">
        <v>1</v>
      </c>
      <c r="C65" s="16">
        <v>11260</v>
      </c>
      <c r="D65" s="16">
        <v>1.06</v>
      </c>
      <c r="E65" s="16" t="s">
        <v>184</v>
      </c>
      <c r="F65" s="18" t="str">
        <f t="shared" si="0"/>
        <v>Flat 15</v>
      </c>
      <c r="G65" s="18">
        <f t="shared" si="1"/>
        <v>1.06</v>
      </c>
    </row>
    <row r="66" spans="2:7" x14ac:dyDescent="0.2">
      <c r="B66" s="16" t="s">
        <v>1</v>
      </c>
      <c r="C66" s="16">
        <v>11258</v>
      </c>
      <c r="D66" s="16">
        <v>2.34</v>
      </c>
      <c r="E66" s="16" t="s">
        <v>184</v>
      </c>
      <c r="F66" s="18" t="str">
        <f t="shared" si="0"/>
        <v>Flat 15</v>
      </c>
      <c r="G66" s="18">
        <f t="shared" si="1"/>
        <v>2.34</v>
      </c>
    </row>
    <row r="67" spans="2:7" x14ac:dyDescent="0.2">
      <c r="B67" s="16" t="s">
        <v>1</v>
      </c>
      <c r="C67" s="16">
        <v>10799</v>
      </c>
      <c r="D67" s="16">
        <v>1.03</v>
      </c>
      <c r="E67" s="16" t="s">
        <v>185</v>
      </c>
      <c r="F67" s="18" t="str">
        <f t="shared" si="0"/>
        <v>Flat 16</v>
      </c>
      <c r="G67" s="18">
        <f t="shared" si="1"/>
        <v>1.03</v>
      </c>
    </row>
    <row r="68" spans="2:7" x14ac:dyDescent="0.2">
      <c r="B68" s="16" t="s">
        <v>1</v>
      </c>
      <c r="C68" s="16">
        <v>10797</v>
      </c>
      <c r="D68" s="16">
        <v>7.85</v>
      </c>
      <c r="E68" s="16" t="s">
        <v>185</v>
      </c>
      <c r="F68" s="18" t="str">
        <f t="shared" si="0"/>
        <v>Flat 16</v>
      </c>
      <c r="G68" s="18">
        <f t="shared" si="1"/>
        <v>7.85</v>
      </c>
    </row>
    <row r="69" spans="2:7" x14ac:dyDescent="0.2">
      <c r="B69" s="16" t="s">
        <v>1</v>
      </c>
      <c r="C69" s="16">
        <v>10805</v>
      </c>
      <c r="D69" s="16">
        <v>8.42</v>
      </c>
      <c r="E69" s="16" t="s">
        <v>185</v>
      </c>
      <c r="F69" s="18" t="str">
        <f t="shared" si="0"/>
        <v>Flat 16</v>
      </c>
      <c r="G69" s="18">
        <f t="shared" si="1"/>
        <v>8.42</v>
      </c>
    </row>
    <row r="70" spans="2:7" x14ac:dyDescent="0.2">
      <c r="B70" s="16" t="s">
        <v>1</v>
      </c>
      <c r="C70" s="16">
        <v>10801</v>
      </c>
      <c r="D70" s="16">
        <v>1.92</v>
      </c>
      <c r="E70" s="16" t="s">
        <v>185</v>
      </c>
      <c r="F70" s="18" t="str">
        <f t="shared" si="0"/>
        <v>Flat 16</v>
      </c>
      <c r="G70" s="18">
        <f t="shared" si="1"/>
        <v>1.92</v>
      </c>
    </row>
    <row r="71" spans="2:7" x14ac:dyDescent="0.2">
      <c r="B71" s="16" t="s">
        <v>1</v>
      </c>
      <c r="C71" s="16">
        <v>10803</v>
      </c>
      <c r="D71" s="16">
        <v>4.91</v>
      </c>
      <c r="E71" s="16" t="s">
        <v>185</v>
      </c>
      <c r="F71" s="18" t="str">
        <f t="shared" ref="F71:F134" si="2">LEFT(E71,7)</f>
        <v>Flat 16</v>
      </c>
      <c r="G71" s="18">
        <f t="shared" ref="G71:G134" si="3">D71</f>
        <v>4.91</v>
      </c>
    </row>
    <row r="72" spans="2:7" x14ac:dyDescent="0.2">
      <c r="B72" s="16" t="s">
        <v>1</v>
      </c>
      <c r="C72" s="16">
        <v>10664</v>
      </c>
      <c r="D72" s="16">
        <v>1.02</v>
      </c>
      <c r="E72" s="16" t="s">
        <v>214</v>
      </c>
      <c r="F72" s="18" t="str">
        <f t="shared" si="2"/>
        <v>Flat 01</v>
      </c>
      <c r="G72" s="18">
        <f t="shared" si="3"/>
        <v>1.02</v>
      </c>
    </row>
    <row r="73" spans="2:7" x14ac:dyDescent="0.2">
      <c r="B73" s="16" t="s">
        <v>1</v>
      </c>
      <c r="C73" s="16">
        <v>10666</v>
      </c>
      <c r="D73" s="16">
        <v>2.5099999999999998</v>
      </c>
      <c r="E73" s="16" t="s">
        <v>214</v>
      </c>
      <c r="F73" s="18" t="str">
        <f t="shared" si="2"/>
        <v>Flat 01</v>
      </c>
      <c r="G73" s="18">
        <f t="shared" si="3"/>
        <v>2.5099999999999998</v>
      </c>
    </row>
    <row r="74" spans="2:7" x14ac:dyDescent="0.2">
      <c r="B74" s="16" t="s">
        <v>1</v>
      </c>
      <c r="C74" s="16">
        <v>10660</v>
      </c>
      <c r="D74" s="16">
        <v>6</v>
      </c>
      <c r="E74" s="16" t="s">
        <v>214</v>
      </c>
      <c r="F74" s="18" t="str">
        <f t="shared" si="2"/>
        <v>Flat 01</v>
      </c>
      <c r="G74" s="18">
        <f t="shared" si="3"/>
        <v>6</v>
      </c>
    </row>
    <row r="75" spans="2:7" x14ac:dyDescent="0.2">
      <c r="B75" s="16" t="s">
        <v>1</v>
      </c>
      <c r="C75" s="16">
        <v>10662</v>
      </c>
      <c r="D75" s="16">
        <v>1.79</v>
      </c>
      <c r="E75" s="16" t="s">
        <v>214</v>
      </c>
      <c r="F75" s="18" t="str">
        <f t="shared" si="2"/>
        <v>Flat 01</v>
      </c>
      <c r="G75" s="18">
        <f t="shared" si="3"/>
        <v>1.79</v>
      </c>
    </row>
    <row r="76" spans="2:7" x14ac:dyDescent="0.2">
      <c r="B76" s="16" t="s">
        <v>1</v>
      </c>
      <c r="C76" s="16">
        <v>11017</v>
      </c>
      <c r="D76" s="16">
        <v>2.13</v>
      </c>
      <c r="E76" s="16" t="s">
        <v>186</v>
      </c>
      <c r="F76" s="18" t="str">
        <f t="shared" si="2"/>
        <v>Flat 17</v>
      </c>
      <c r="G76" s="18">
        <f t="shared" si="3"/>
        <v>2.13</v>
      </c>
    </row>
    <row r="77" spans="2:7" x14ac:dyDescent="0.2">
      <c r="B77" s="16" t="s">
        <v>1</v>
      </c>
      <c r="C77" s="16">
        <v>11021</v>
      </c>
      <c r="D77" s="16">
        <v>4.5</v>
      </c>
      <c r="E77" s="16" t="s">
        <v>186</v>
      </c>
      <c r="F77" s="18" t="str">
        <f t="shared" si="2"/>
        <v>Flat 17</v>
      </c>
      <c r="G77" s="18">
        <f t="shared" si="3"/>
        <v>4.5</v>
      </c>
    </row>
    <row r="78" spans="2:7" x14ac:dyDescent="0.2">
      <c r="B78" s="16" t="s">
        <v>1</v>
      </c>
      <c r="C78" s="16">
        <v>11019</v>
      </c>
      <c r="D78" s="16">
        <v>1.5</v>
      </c>
      <c r="E78" s="16" t="s">
        <v>186</v>
      </c>
      <c r="F78" s="18" t="str">
        <f t="shared" si="2"/>
        <v>Flat 17</v>
      </c>
      <c r="G78" s="18">
        <f t="shared" si="3"/>
        <v>1.5</v>
      </c>
    </row>
    <row r="79" spans="2:7" x14ac:dyDescent="0.2">
      <c r="B79" s="16" t="s">
        <v>1</v>
      </c>
      <c r="C79" s="16">
        <v>11015</v>
      </c>
      <c r="D79" s="16">
        <v>8.73</v>
      </c>
      <c r="E79" s="16" t="s">
        <v>186</v>
      </c>
      <c r="F79" s="18" t="str">
        <f t="shared" si="2"/>
        <v>Flat 17</v>
      </c>
      <c r="G79" s="18">
        <f t="shared" si="3"/>
        <v>8.73</v>
      </c>
    </row>
    <row r="80" spans="2:7" x14ac:dyDescent="0.2">
      <c r="B80" s="16" t="s">
        <v>1</v>
      </c>
      <c r="C80" s="16">
        <v>11023</v>
      </c>
      <c r="D80" s="16">
        <v>6.91</v>
      </c>
      <c r="E80" s="16" t="s">
        <v>186</v>
      </c>
      <c r="F80" s="18" t="str">
        <f t="shared" si="2"/>
        <v>Flat 17</v>
      </c>
      <c r="G80" s="18">
        <f t="shared" si="3"/>
        <v>6.91</v>
      </c>
    </row>
    <row r="81" spans="2:7" x14ac:dyDescent="0.2">
      <c r="B81" s="16" t="s">
        <v>1</v>
      </c>
      <c r="C81" s="16">
        <v>11030</v>
      </c>
      <c r="D81" s="16">
        <v>4.5</v>
      </c>
      <c r="E81" s="16" t="s">
        <v>186</v>
      </c>
      <c r="F81" s="18" t="str">
        <f t="shared" si="2"/>
        <v>Flat 17</v>
      </c>
      <c r="G81" s="18">
        <f t="shared" si="3"/>
        <v>4.5</v>
      </c>
    </row>
    <row r="82" spans="2:7" x14ac:dyDescent="0.2">
      <c r="B82" s="16" t="s">
        <v>1</v>
      </c>
      <c r="C82" s="16">
        <v>11026</v>
      </c>
      <c r="D82" s="16">
        <v>2.13</v>
      </c>
      <c r="E82" s="16" t="s">
        <v>186</v>
      </c>
      <c r="F82" s="18" t="str">
        <f t="shared" si="2"/>
        <v>Flat 17</v>
      </c>
      <c r="G82" s="18">
        <f t="shared" si="3"/>
        <v>2.13</v>
      </c>
    </row>
    <row r="83" spans="2:7" x14ac:dyDescent="0.2">
      <c r="B83" s="16" t="s">
        <v>1</v>
      </c>
      <c r="C83" s="16">
        <v>11028</v>
      </c>
      <c r="D83" s="16">
        <v>1.5</v>
      </c>
      <c r="E83" s="16" t="s">
        <v>186</v>
      </c>
      <c r="F83" s="18" t="str">
        <f t="shared" si="2"/>
        <v>Flat 17</v>
      </c>
      <c r="G83" s="18">
        <f t="shared" si="3"/>
        <v>1.5</v>
      </c>
    </row>
    <row r="84" spans="2:7" x14ac:dyDescent="0.2">
      <c r="B84" s="16" t="s">
        <v>1</v>
      </c>
      <c r="C84" s="16">
        <v>11032</v>
      </c>
      <c r="D84" s="16">
        <v>6.91</v>
      </c>
      <c r="E84" s="16" t="s">
        <v>186</v>
      </c>
      <c r="F84" s="18" t="str">
        <f t="shared" si="2"/>
        <v>Flat 17</v>
      </c>
      <c r="G84" s="18">
        <f t="shared" si="3"/>
        <v>6.91</v>
      </c>
    </row>
    <row r="85" spans="2:7" x14ac:dyDescent="0.2">
      <c r="B85" s="16" t="s">
        <v>1</v>
      </c>
      <c r="C85" s="16">
        <v>10882</v>
      </c>
      <c r="D85" s="16">
        <v>1.42</v>
      </c>
      <c r="E85" s="16" t="s">
        <v>187</v>
      </c>
      <c r="F85" s="18" t="str">
        <f t="shared" si="2"/>
        <v>Flat 18</v>
      </c>
      <c r="G85" s="18">
        <f t="shared" si="3"/>
        <v>1.42</v>
      </c>
    </row>
    <row r="86" spans="2:7" x14ac:dyDescent="0.2">
      <c r="B86" s="16" t="s">
        <v>1</v>
      </c>
      <c r="C86" s="16">
        <v>10878</v>
      </c>
      <c r="D86" s="16">
        <v>0.63</v>
      </c>
      <c r="E86" s="16" t="s">
        <v>187</v>
      </c>
      <c r="F86" s="18" t="str">
        <f t="shared" si="2"/>
        <v>Flat 18</v>
      </c>
      <c r="G86" s="18">
        <f t="shared" si="3"/>
        <v>0.63</v>
      </c>
    </row>
    <row r="87" spans="2:7" x14ac:dyDescent="0.2">
      <c r="B87" s="16" t="s">
        <v>1</v>
      </c>
      <c r="C87" s="16">
        <v>10884</v>
      </c>
      <c r="D87" s="16">
        <v>2.2799999999999998</v>
      </c>
      <c r="E87" s="16" t="s">
        <v>187</v>
      </c>
      <c r="F87" s="18" t="str">
        <f t="shared" si="2"/>
        <v>Flat 18</v>
      </c>
      <c r="G87" s="18">
        <f t="shared" si="3"/>
        <v>2.2799999999999998</v>
      </c>
    </row>
    <row r="88" spans="2:7" x14ac:dyDescent="0.2">
      <c r="B88" s="16" t="s">
        <v>1</v>
      </c>
      <c r="C88" s="16">
        <v>10876</v>
      </c>
      <c r="D88" s="16">
        <v>5.67</v>
      </c>
      <c r="E88" s="16" t="s">
        <v>187</v>
      </c>
      <c r="F88" s="18" t="str">
        <f t="shared" si="2"/>
        <v>Flat 18</v>
      </c>
      <c r="G88" s="18">
        <f t="shared" si="3"/>
        <v>5.67</v>
      </c>
    </row>
    <row r="89" spans="2:7" x14ac:dyDescent="0.2">
      <c r="B89" s="16" t="s">
        <v>1</v>
      </c>
      <c r="C89" s="16">
        <v>10888</v>
      </c>
      <c r="D89" s="16">
        <v>2.42</v>
      </c>
      <c r="E89" s="16" t="s">
        <v>187</v>
      </c>
      <c r="F89" s="18" t="str">
        <f t="shared" si="2"/>
        <v>Flat 18</v>
      </c>
      <c r="G89" s="18">
        <f t="shared" si="3"/>
        <v>2.42</v>
      </c>
    </row>
    <row r="90" spans="2:7" x14ac:dyDescent="0.2">
      <c r="B90" s="16" t="s">
        <v>1</v>
      </c>
      <c r="C90" s="16">
        <v>10880</v>
      </c>
      <c r="D90" s="16">
        <v>3.22</v>
      </c>
      <c r="E90" s="16" t="s">
        <v>187</v>
      </c>
      <c r="F90" s="18" t="str">
        <f t="shared" si="2"/>
        <v>Flat 18</v>
      </c>
      <c r="G90" s="18">
        <f t="shared" si="3"/>
        <v>3.22</v>
      </c>
    </row>
    <row r="91" spans="2:7" x14ac:dyDescent="0.2">
      <c r="B91" s="16" t="s">
        <v>1</v>
      </c>
      <c r="C91" s="16">
        <v>10874</v>
      </c>
      <c r="D91" s="16">
        <v>6.61</v>
      </c>
      <c r="E91" s="16" t="s">
        <v>187</v>
      </c>
      <c r="F91" s="18" t="str">
        <f t="shared" si="2"/>
        <v>Flat 18</v>
      </c>
      <c r="G91" s="18">
        <f t="shared" si="3"/>
        <v>6.61</v>
      </c>
    </row>
    <row r="92" spans="2:7" x14ac:dyDescent="0.2">
      <c r="B92" s="16" t="s">
        <v>1</v>
      </c>
      <c r="C92" s="16">
        <v>10886</v>
      </c>
      <c r="D92" s="16">
        <v>2.78</v>
      </c>
      <c r="E92" s="16" t="s">
        <v>187</v>
      </c>
      <c r="F92" s="18" t="str">
        <f t="shared" si="2"/>
        <v>Flat 18</v>
      </c>
      <c r="G92" s="18">
        <f t="shared" si="3"/>
        <v>2.78</v>
      </c>
    </row>
    <row r="93" spans="2:7" x14ac:dyDescent="0.2">
      <c r="B93" s="16" t="s">
        <v>1</v>
      </c>
      <c r="C93" s="16">
        <v>10502</v>
      </c>
      <c r="D93" s="16">
        <v>1.03</v>
      </c>
      <c r="E93" s="16" t="s">
        <v>222</v>
      </c>
      <c r="F93" s="18" t="str">
        <f t="shared" si="2"/>
        <v>Flat 04</v>
      </c>
      <c r="G93" s="18">
        <f t="shared" si="3"/>
        <v>1.03</v>
      </c>
    </row>
    <row r="94" spans="2:7" x14ac:dyDescent="0.2">
      <c r="B94" s="16" t="s">
        <v>1</v>
      </c>
      <c r="C94" s="16">
        <v>10508</v>
      </c>
      <c r="D94" s="16">
        <v>8.42</v>
      </c>
      <c r="E94" s="16" t="s">
        <v>222</v>
      </c>
      <c r="F94" s="18" t="str">
        <f t="shared" si="2"/>
        <v>Flat 04</v>
      </c>
      <c r="G94" s="18">
        <f t="shared" si="3"/>
        <v>8.42</v>
      </c>
    </row>
    <row r="95" spans="2:7" x14ac:dyDescent="0.2">
      <c r="B95" s="16" t="s">
        <v>1</v>
      </c>
      <c r="C95" s="16">
        <v>10500</v>
      </c>
      <c r="D95" s="16">
        <v>7.85</v>
      </c>
      <c r="E95" s="16" t="s">
        <v>222</v>
      </c>
      <c r="F95" s="18" t="str">
        <f t="shared" si="2"/>
        <v>Flat 04</v>
      </c>
      <c r="G95" s="18">
        <f t="shared" si="3"/>
        <v>7.85</v>
      </c>
    </row>
    <row r="96" spans="2:7" x14ac:dyDescent="0.2">
      <c r="B96" s="16" t="s">
        <v>1</v>
      </c>
      <c r="C96" s="16">
        <v>10504</v>
      </c>
      <c r="D96" s="16">
        <v>1.92</v>
      </c>
      <c r="E96" s="16" t="s">
        <v>222</v>
      </c>
      <c r="F96" s="18" t="str">
        <f t="shared" si="2"/>
        <v>Flat 04</v>
      </c>
      <c r="G96" s="18">
        <f t="shared" si="3"/>
        <v>1.92</v>
      </c>
    </row>
    <row r="97" spans="2:7" x14ac:dyDescent="0.2">
      <c r="B97" s="16" t="s">
        <v>1</v>
      </c>
      <c r="C97" s="16">
        <v>10506</v>
      </c>
      <c r="D97" s="16">
        <v>4.91</v>
      </c>
      <c r="E97" s="16" t="s">
        <v>222</v>
      </c>
      <c r="F97" s="18" t="str">
        <f t="shared" si="2"/>
        <v>Flat 04</v>
      </c>
      <c r="G97" s="18">
        <f t="shared" si="3"/>
        <v>4.91</v>
      </c>
    </row>
    <row r="98" spans="2:7" x14ac:dyDescent="0.2">
      <c r="B98" s="16" t="s">
        <v>1</v>
      </c>
      <c r="C98" s="16">
        <v>10936</v>
      </c>
      <c r="D98" s="16">
        <v>4.91</v>
      </c>
      <c r="E98" s="16" t="s">
        <v>188</v>
      </c>
      <c r="F98" s="18" t="str">
        <f t="shared" si="2"/>
        <v>Flat 10</v>
      </c>
      <c r="G98" s="18">
        <f t="shared" si="3"/>
        <v>4.91</v>
      </c>
    </row>
    <row r="99" spans="2:7" x14ac:dyDescent="0.2">
      <c r="B99" s="16" t="s">
        <v>1</v>
      </c>
      <c r="C99" s="16">
        <v>10947</v>
      </c>
      <c r="D99" s="16">
        <v>1.92</v>
      </c>
      <c r="E99" s="16" t="s">
        <v>188</v>
      </c>
      <c r="F99" s="18" t="str">
        <f t="shared" si="2"/>
        <v>Flat 10</v>
      </c>
      <c r="G99" s="18">
        <f t="shared" si="3"/>
        <v>1.92</v>
      </c>
    </row>
    <row r="100" spans="2:7" x14ac:dyDescent="0.2">
      <c r="B100" s="16" t="s">
        <v>1</v>
      </c>
      <c r="C100" s="16">
        <v>10951</v>
      </c>
      <c r="D100" s="16">
        <v>7.85</v>
      </c>
      <c r="E100" s="16" t="s">
        <v>188</v>
      </c>
      <c r="F100" s="18" t="str">
        <f t="shared" si="2"/>
        <v>Flat 10</v>
      </c>
      <c r="G100" s="18">
        <f t="shared" si="3"/>
        <v>7.85</v>
      </c>
    </row>
    <row r="101" spans="2:7" x14ac:dyDescent="0.2">
      <c r="B101" s="16" t="s">
        <v>1</v>
      </c>
      <c r="C101" s="16">
        <v>10945</v>
      </c>
      <c r="D101" s="16">
        <v>4.91</v>
      </c>
      <c r="E101" s="16" t="s">
        <v>188</v>
      </c>
      <c r="F101" s="18" t="str">
        <f t="shared" si="2"/>
        <v>Flat 10</v>
      </c>
      <c r="G101" s="18">
        <f t="shared" si="3"/>
        <v>4.91</v>
      </c>
    </row>
    <row r="102" spans="2:7" x14ac:dyDescent="0.2">
      <c r="B102" s="16" t="s">
        <v>1</v>
      </c>
      <c r="C102" s="16">
        <v>10943</v>
      </c>
      <c r="D102" s="16">
        <v>8.42</v>
      </c>
      <c r="E102" s="16" t="s">
        <v>188</v>
      </c>
      <c r="F102" s="18" t="str">
        <f t="shared" si="2"/>
        <v>Flat 10</v>
      </c>
      <c r="G102" s="18">
        <f t="shared" si="3"/>
        <v>8.42</v>
      </c>
    </row>
    <row r="103" spans="2:7" x14ac:dyDescent="0.2">
      <c r="B103" s="16" t="s">
        <v>1</v>
      </c>
      <c r="C103" s="16">
        <v>10934</v>
      </c>
      <c r="D103" s="16">
        <v>8.42</v>
      </c>
      <c r="E103" s="16" t="s">
        <v>188</v>
      </c>
      <c r="F103" s="18" t="str">
        <f t="shared" si="2"/>
        <v>Flat 10</v>
      </c>
      <c r="G103" s="18">
        <f t="shared" si="3"/>
        <v>8.42</v>
      </c>
    </row>
    <row r="104" spans="2:7" x14ac:dyDescent="0.2">
      <c r="B104" s="16" t="s">
        <v>1</v>
      </c>
      <c r="C104" s="16">
        <v>10942</v>
      </c>
      <c r="D104" s="16">
        <v>7.85</v>
      </c>
      <c r="E104" s="16" t="s">
        <v>188</v>
      </c>
      <c r="F104" s="18" t="str">
        <f t="shared" si="2"/>
        <v>Flat 10</v>
      </c>
      <c r="G104" s="18">
        <f t="shared" si="3"/>
        <v>7.85</v>
      </c>
    </row>
    <row r="105" spans="2:7" x14ac:dyDescent="0.2">
      <c r="B105" s="16" t="s">
        <v>1</v>
      </c>
      <c r="C105" s="16">
        <v>10949</v>
      </c>
      <c r="D105" s="16">
        <v>1.03</v>
      </c>
      <c r="E105" s="16" t="s">
        <v>188</v>
      </c>
      <c r="F105" s="18" t="str">
        <f t="shared" si="2"/>
        <v>Flat 10</v>
      </c>
      <c r="G105" s="18">
        <f t="shared" si="3"/>
        <v>1.03</v>
      </c>
    </row>
    <row r="106" spans="2:7" x14ac:dyDescent="0.2">
      <c r="B106" s="16" t="s">
        <v>1</v>
      </c>
      <c r="C106" s="16">
        <v>10938</v>
      </c>
      <c r="D106" s="16">
        <v>1.92</v>
      </c>
      <c r="E106" s="16" t="s">
        <v>188</v>
      </c>
      <c r="F106" s="18" t="str">
        <f t="shared" si="2"/>
        <v>Flat 10</v>
      </c>
      <c r="G106" s="18">
        <f t="shared" si="3"/>
        <v>1.92</v>
      </c>
    </row>
    <row r="107" spans="2:7" x14ac:dyDescent="0.2">
      <c r="B107" s="16" t="s">
        <v>1</v>
      </c>
      <c r="C107" s="16">
        <v>10940</v>
      </c>
      <c r="D107" s="16">
        <v>1.03</v>
      </c>
      <c r="E107" s="16" t="s">
        <v>188</v>
      </c>
      <c r="F107" s="18" t="str">
        <f t="shared" si="2"/>
        <v>Flat 10</v>
      </c>
      <c r="G107" s="18">
        <f t="shared" si="3"/>
        <v>1.03</v>
      </c>
    </row>
    <row r="108" spans="2:7" x14ac:dyDescent="0.2">
      <c r="B108" s="16" t="s">
        <v>1</v>
      </c>
      <c r="C108" s="16">
        <v>11656</v>
      </c>
      <c r="D108" s="16">
        <v>8.82</v>
      </c>
      <c r="E108" s="16" t="s">
        <v>189</v>
      </c>
      <c r="F108" s="18" t="str">
        <f t="shared" si="2"/>
        <v>Flat 14</v>
      </c>
      <c r="G108" s="18">
        <f t="shared" si="3"/>
        <v>8.82</v>
      </c>
    </row>
    <row r="109" spans="2:7" x14ac:dyDescent="0.2">
      <c r="B109" s="16" t="s">
        <v>1</v>
      </c>
      <c r="C109" s="16">
        <v>11660</v>
      </c>
      <c r="D109" s="16">
        <v>8.7200000000000006</v>
      </c>
      <c r="E109" s="16" t="s">
        <v>189</v>
      </c>
      <c r="F109" s="18" t="str">
        <f t="shared" si="2"/>
        <v>Flat 14</v>
      </c>
      <c r="G109" s="18">
        <f t="shared" si="3"/>
        <v>8.7200000000000006</v>
      </c>
    </row>
    <row r="110" spans="2:7" x14ac:dyDescent="0.2">
      <c r="B110" s="16" t="s">
        <v>1</v>
      </c>
      <c r="C110" s="16">
        <v>11103</v>
      </c>
      <c r="D110" s="16">
        <v>2.29</v>
      </c>
      <c r="E110" s="16" t="s">
        <v>190</v>
      </c>
      <c r="F110" s="18" t="str">
        <f t="shared" si="2"/>
        <v>Flat 12</v>
      </c>
      <c r="G110" s="18">
        <f t="shared" si="3"/>
        <v>2.29</v>
      </c>
    </row>
    <row r="111" spans="2:7" x14ac:dyDescent="0.2">
      <c r="B111" s="16" t="s">
        <v>1</v>
      </c>
      <c r="C111" s="16">
        <v>11105</v>
      </c>
      <c r="D111" s="16">
        <v>1.44</v>
      </c>
      <c r="E111" s="16" t="s">
        <v>190</v>
      </c>
      <c r="F111" s="18" t="str">
        <f t="shared" si="2"/>
        <v>Flat 12</v>
      </c>
      <c r="G111" s="18">
        <f t="shared" si="3"/>
        <v>1.44</v>
      </c>
    </row>
    <row r="112" spans="2:7" x14ac:dyDescent="0.2">
      <c r="B112" s="16" t="s">
        <v>1</v>
      </c>
      <c r="C112" s="16">
        <v>11111</v>
      </c>
      <c r="D112" s="16">
        <v>5.67</v>
      </c>
      <c r="E112" s="16" t="s">
        <v>190</v>
      </c>
      <c r="F112" s="18" t="str">
        <f t="shared" si="2"/>
        <v>Flat 12</v>
      </c>
      <c r="G112" s="18">
        <f t="shared" si="3"/>
        <v>5.67</v>
      </c>
    </row>
    <row r="113" spans="2:7" x14ac:dyDescent="0.2">
      <c r="B113" s="16" t="s">
        <v>1</v>
      </c>
      <c r="C113" s="16">
        <v>11107</v>
      </c>
      <c r="D113" s="16">
        <v>3.22</v>
      </c>
      <c r="E113" s="16" t="s">
        <v>190</v>
      </c>
      <c r="F113" s="18" t="str">
        <f t="shared" si="2"/>
        <v>Flat 12</v>
      </c>
      <c r="G113" s="18">
        <f t="shared" si="3"/>
        <v>3.22</v>
      </c>
    </row>
    <row r="114" spans="2:7" x14ac:dyDescent="0.2">
      <c r="B114" s="16" t="s">
        <v>1</v>
      </c>
      <c r="C114" s="16">
        <v>11099</v>
      </c>
      <c r="D114" s="16">
        <v>2.42</v>
      </c>
      <c r="E114" s="16" t="s">
        <v>190</v>
      </c>
      <c r="F114" s="18" t="str">
        <f t="shared" si="2"/>
        <v>Flat 12</v>
      </c>
      <c r="G114" s="18">
        <f t="shared" si="3"/>
        <v>2.42</v>
      </c>
    </row>
    <row r="115" spans="2:7" x14ac:dyDescent="0.2">
      <c r="B115" s="16" t="s">
        <v>1</v>
      </c>
      <c r="C115" s="16">
        <v>11088</v>
      </c>
      <c r="D115" s="16">
        <v>2.29</v>
      </c>
      <c r="E115" s="16" t="s">
        <v>190</v>
      </c>
      <c r="F115" s="18" t="str">
        <f t="shared" si="2"/>
        <v>Flat 12</v>
      </c>
      <c r="G115" s="18">
        <f t="shared" si="3"/>
        <v>2.29</v>
      </c>
    </row>
    <row r="116" spans="2:7" x14ac:dyDescent="0.2">
      <c r="B116" s="16" t="s">
        <v>1</v>
      </c>
      <c r="C116" s="16">
        <v>11086</v>
      </c>
      <c r="D116" s="16">
        <v>2.77</v>
      </c>
      <c r="E116" s="16" t="s">
        <v>190</v>
      </c>
      <c r="F116" s="18" t="str">
        <f t="shared" si="2"/>
        <v>Flat 12</v>
      </c>
      <c r="G116" s="18">
        <f t="shared" si="3"/>
        <v>2.77</v>
      </c>
    </row>
    <row r="117" spans="2:7" x14ac:dyDescent="0.2">
      <c r="B117" s="16" t="s">
        <v>1</v>
      </c>
      <c r="C117" s="16">
        <v>11090</v>
      </c>
      <c r="D117" s="16">
        <v>1.44</v>
      </c>
      <c r="E117" s="16" t="s">
        <v>190</v>
      </c>
      <c r="F117" s="18" t="str">
        <f t="shared" si="2"/>
        <v>Flat 12</v>
      </c>
      <c r="G117" s="18">
        <f t="shared" si="3"/>
        <v>1.44</v>
      </c>
    </row>
    <row r="118" spans="2:7" x14ac:dyDescent="0.2">
      <c r="B118" s="16" t="s">
        <v>1</v>
      </c>
      <c r="C118" s="16">
        <v>11101</v>
      </c>
      <c r="D118" s="16">
        <v>2.77</v>
      </c>
      <c r="E118" s="16" t="s">
        <v>190</v>
      </c>
      <c r="F118" s="18" t="str">
        <f t="shared" si="2"/>
        <v>Flat 12</v>
      </c>
      <c r="G118" s="18">
        <f t="shared" si="3"/>
        <v>2.77</v>
      </c>
    </row>
    <row r="119" spans="2:7" x14ac:dyDescent="0.2">
      <c r="B119" s="16" t="s">
        <v>1</v>
      </c>
      <c r="C119" s="16">
        <v>11096</v>
      </c>
      <c r="D119" s="16">
        <v>5.67</v>
      </c>
      <c r="E119" s="16" t="s">
        <v>190</v>
      </c>
      <c r="F119" s="18" t="str">
        <f t="shared" si="2"/>
        <v>Flat 12</v>
      </c>
      <c r="G119" s="18">
        <f t="shared" si="3"/>
        <v>5.67</v>
      </c>
    </row>
    <row r="120" spans="2:7" x14ac:dyDescent="0.2">
      <c r="B120" s="16" t="s">
        <v>1</v>
      </c>
      <c r="C120" s="16">
        <v>11113</v>
      </c>
      <c r="D120" s="16">
        <v>6.61</v>
      </c>
      <c r="E120" s="16" t="s">
        <v>190</v>
      </c>
      <c r="F120" s="18" t="str">
        <f t="shared" si="2"/>
        <v>Flat 12</v>
      </c>
      <c r="G120" s="18">
        <f t="shared" si="3"/>
        <v>6.61</v>
      </c>
    </row>
    <row r="121" spans="2:7" x14ac:dyDescent="0.2">
      <c r="B121" s="16" t="s">
        <v>1</v>
      </c>
      <c r="C121" s="16">
        <v>11109</v>
      </c>
      <c r="D121" s="16">
        <v>0.62</v>
      </c>
      <c r="E121" s="16" t="s">
        <v>190</v>
      </c>
      <c r="F121" s="18" t="str">
        <f t="shared" si="2"/>
        <v>Flat 12</v>
      </c>
      <c r="G121" s="18">
        <f t="shared" si="3"/>
        <v>0.62</v>
      </c>
    </row>
    <row r="122" spans="2:7" x14ac:dyDescent="0.2">
      <c r="B122" s="16" t="s">
        <v>1</v>
      </c>
      <c r="C122" s="16">
        <v>11092</v>
      </c>
      <c r="D122" s="16">
        <v>3.22</v>
      </c>
      <c r="E122" s="16" t="s">
        <v>190</v>
      </c>
      <c r="F122" s="18" t="str">
        <f t="shared" si="2"/>
        <v>Flat 12</v>
      </c>
      <c r="G122" s="18">
        <f t="shared" si="3"/>
        <v>3.22</v>
      </c>
    </row>
    <row r="123" spans="2:7" x14ac:dyDescent="0.2">
      <c r="B123" s="16" t="s">
        <v>1</v>
      </c>
      <c r="C123" s="16">
        <v>11084</v>
      </c>
      <c r="D123" s="16">
        <v>2.42</v>
      </c>
      <c r="E123" s="16" t="s">
        <v>190</v>
      </c>
      <c r="F123" s="18" t="str">
        <f t="shared" si="2"/>
        <v>Flat 12</v>
      </c>
      <c r="G123" s="18">
        <f t="shared" si="3"/>
        <v>2.42</v>
      </c>
    </row>
    <row r="124" spans="2:7" x14ac:dyDescent="0.2">
      <c r="B124" s="16" t="s">
        <v>1</v>
      </c>
      <c r="C124" s="16">
        <v>11098</v>
      </c>
      <c r="D124" s="16">
        <v>6.61</v>
      </c>
      <c r="E124" s="16" t="s">
        <v>190</v>
      </c>
      <c r="F124" s="18" t="str">
        <f t="shared" si="2"/>
        <v>Flat 12</v>
      </c>
      <c r="G124" s="18">
        <f t="shared" si="3"/>
        <v>6.61</v>
      </c>
    </row>
    <row r="125" spans="2:7" x14ac:dyDescent="0.2">
      <c r="B125" s="16" t="s">
        <v>1</v>
      </c>
      <c r="C125" s="16">
        <v>11094</v>
      </c>
      <c r="D125" s="16">
        <v>0.62</v>
      </c>
      <c r="E125" s="16" t="s">
        <v>190</v>
      </c>
      <c r="F125" s="18" t="str">
        <f t="shared" si="2"/>
        <v>Flat 12</v>
      </c>
      <c r="G125" s="18">
        <f t="shared" si="3"/>
        <v>0.62</v>
      </c>
    </row>
    <row r="126" spans="2:7" x14ac:dyDescent="0.2">
      <c r="B126" s="16" t="s">
        <v>1</v>
      </c>
      <c r="C126" s="16">
        <v>11439</v>
      </c>
      <c r="D126" s="16">
        <v>1.5</v>
      </c>
      <c r="E126" s="16" t="s">
        <v>191</v>
      </c>
      <c r="F126" s="18" t="str">
        <f t="shared" si="2"/>
        <v>Flat 11</v>
      </c>
      <c r="G126" s="18">
        <f t="shared" si="3"/>
        <v>1.5</v>
      </c>
    </row>
    <row r="127" spans="2:7" x14ac:dyDescent="0.2">
      <c r="B127" s="16" t="s">
        <v>1</v>
      </c>
      <c r="C127" s="16">
        <v>11443</v>
      </c>
      <c r="D127" s="16">
        <v>8.73</v>
      </c>
      <c r="E127" s="16" t="s">
        <v>191</v>
      </c>
      <c r="F127" s="18" t="str">
        <f t="shared" si="2"/>
        <v>Flat 11</v>
      </c>
      <c r="G127" s="18">
        <f t="shared" si="3"/>
        <v>8.73</v>
      </c>
    </row>
    <row r="128" spans="2:7" x14ac:dyDescent="0.2">
      <c r="B128" s="16" t="s">
        <v>1</v>
      </c>
      <c r="C128" s="16">
        <v>11435</v>
      </c>
      <c r="D128" s="16">
        <v>6.91</v>
      </c>
      <c r="E128" s="16" t="s">
        <v>191</v>
      </c>
      <c r="F128" s="18" t="str">
        <f t="shared" si="2"/>
        <v>Flat 11</v>
      </c>
      <c r="G128" s="18">
        <f t="shared" si="3"/>
        <v>6.91</v>
      </c>
    </row>
    <row r="129" spans="2:7" x14ac:dyDescent="0.2">
      <c r="B129" s="16" t="s">
        <v>1</v>
      </c>
      <c r="C129" s="16">
        <v>11441</v>
      </c>
      <c r="D129" s="16">
        <v>2.13</v>
      </c>
      <c r="E129" s="16" t="s">
        <v>191</v>
      </c>
      <c r="F129" s="18" t="str">
        <f t="shared" si="2"/>
        <v>Flat 11</v>
      </c>
      <c r="G129" s="18">
        <f t="shared" si="3"/>
        <v>2.13</v>
      </c>
    </row>
    <row r="130" spans="2:7" x14ac:dyDescent="0.2">
      <c r="B130" s="16" t="s">
        <v>1</v>
      </c>
      <c r="C130" s="16">
        <v>11437</v>
      </c>
      <c r="D130" s="16">
        <v>4.5</v>
      </c>
      <c r="E130" s="16" t="s">
        <v>191</v>
      </c>
      <c r="F130" s="18" t="str">
        <f t="shared" si="2"/>
        <v>Flat 11</v>
      </c>
      <c r="G130" s="18">
        <f t="shared" si="3"/>
        <v>4.5</v>
      </c>
    </row>
    <row r="131" spans="2:7" x14ac:dyDescent="0.2">
      <c r="B131" s="16" t="s">
        <v>1</v>
      </c>
      <c r="C131" s="16">
        <v>11430</v>
      </c>
      <c r="D131" s="16">
        <v>1.5</v>
      </c>
      <c r="E131" s="16" t="s">
        <v>191</v>
      </c>
      <c r="F131" s="18" t="str">
        <f t="shared" si="2"/>
        <v>Flat 11</v>
      </c>
      <c r="G131" s="18">
        <f t="shared" si="3"/>
        <v>1.5</v>
      </c>
    </row>
    <row r="132" spans="2:7" x14ac:dyDescent="0.2">
      <c r="B132" s="16" t="s">
        <v>1</v>
      </c>
      <c r="C132" s="16">
        <v>11428</v>
      </c>
      <c r="D132" s="16">
        <v>4.5</v>
      </c>
      <c r="E132" s="16" t="s">
        <v>191</v>
      </c>
      <c r="F132" s="18" t="str">
        <f t="shared" si="2"/>
        <v>Flat 11</v>
      </c>
      <c r="G132" s="18">
        <f t="shared" si="3"/>
        <v>4.5</v>
      </c>
    </row>
    <row r="133" spans="2:7" x14ac:dyDescent="0.2">
      <c r="B133" s="16" t="s">
        <v>1</v>
      </c>
      <c r="C133" s="16">
        <v>11426</v>
      </c>
      <c r="D133" s="16">
        <v>6.91</v>
      </c>
      <c r="E133" s="16" t="s">
        <v>191</v>
      </c>
      <c r="F133" s="18" t="str">
        <f t="shared" si="2"/>
        <v>Flat 11</v>
      </c>
      <c r="G133" s="18">
        <f t="shared" si="3"/>
        <v>6.91</v>
      </c>
    </row>
    <row r="134" spans="2:7" x14ac:dyDescent="0.2">
      <c r="B134" s="16" t="s">
        <v>1</v>
      </c>
      <c r="C134" s="16">
        <v>11432</v>
      </c>
      <c r="D134" s="16">
        <v>2.13</v>
      </c>
      <c r="E134" s="16" t="s">
        <v>191</v>
      </c>
      <c r="F134" s="18" t="str">
        <f t="shared" si="2"/>
        <v>Flat 11</v>
      </c>
      <c r="G134" s="18">
        <f t="shared" si="3"/>
        <v>2.13</v>
      </c>
    </row>
    <row r="135" spans="2:7" x14ac:dyDescent="0.2">
      <c r="B135" s="16" t="s">
        <v>1</v>
      </c>
      <c r="C135" s="16">
        <v>11434</v>
      </c>
      <c r="D135" s="16">
        <v>8.73</v>
      </c>
      <c r="E135" s="16" t="s">
        <v>191</v>
      </c>
      <c r="F135" s="18" t="str">
        <f t="shared" ref="F135:F198" si="4">LEFT(E135,7)</f>
        <v>Flat 11</v>
      </c>
      <c r="G135" s="18">
        <f t="shared" ref="G135:G198" si="5">D135</f>
        <v>8.73</v>
      </c>
    </row>
    <row r="136" spans="2:7" x14ac:dyDescent="0.2">
      <c r="B136" s="16" t="s">
        <v>1</v>
      </c>
      <c r="C136" s="16">
        <v>11513</v>
      </c>
      <c r="D136" s="16">
        <v>7.02</v>
      </c>
      <c r="E136" s="16" t="s">
        <v>192</v>
      </c>
      <c r="F136" s="18" t="str">
        <f t="shared" si="4"/>
        <v>Flat 13</v>
      </c>
      <c r="G136" s="18">
        <f t="shared" si="5"/>
        <v>7.02</v>
      </c>
    </row>
    <row r="137" spans="2:7" x14ac:dyDescent="0.2">
      <c r="B137" s="16" t="s">
        <v>1</v>
      </c>
      <c r="C137" s="16">
        <v>11515</v>
      </c>
      <c r="D137" s="16">
        <v>9.3699999999999992</v>
      </c>
      <c r="E137" s="16" t="s">
        <v>192</v>
      </c>
      <c r="F137" s="18" t="str">
        <f t="shared" si="4"/>
        <v>Flat 13</v>
      </c>
      <c r="G137" s="18">
        <f t="shared" si="5"/>
        <v>9.3699999999999992</v>
      </c>
    </row>
    <row r="138" spans="2:7" x14ac:dyDescent="0.2">
      <c r="B138" s="16" t="s">
        <v>193</v>
      </c>
      <c r="C138" s="16">
        <v>11273</v>
      </c>
      <c r="D138" s="16">
        <v>1.06</v>
      </c>
      <c r="E138" s="16" t="s">
        <v>184</v>
      </c>
      <c r="F138" s="18" t="str">
        <f t="shared" si="4"/>
        <v>Flat 15</v>
      </c>
      <c r="G138" s="18">
        <f t="shared" si="5"/>
        <v>1.06</v>
      </c>
    </row>
    <row r="139" spans="2:7" x14ac:dyDescent="0.2">
      <c r="B139" s="16" t="s">
        <v>193</v>
      </c>
      <c r="C139" s="16">
        <v>11277</v>
      </c>
      <c r="D139" s="16">
        <v>1.92</v>
      </c>
      <c r="E139" s="16" t="s">
        <v>184</v>
      </c>
      <c r="F139" s="18" t="str">
        <f t="shared" si="4"/>
        <v>Flat 15</v>
      </c>
      <c r="G139" s="18">
        <f t="shared" si="5"/>
        <v>1.92</v>
      </c>
    </row>
    <row r="140" spans="2:7" x14ac:dyDescent="0.2">
      <c r="B140" s="16" t="s">
        <v>193</v>
      </c>
      <c r="C140" s="16">
        <v>11269</v>
      </c>
      <c r="D140" s="16">
        <v>7.64</v>
      </c>
      <c r="E140" s="16" t="s">
        <v>184</v>
      </c>
      <c r="F140" s="18" t="str">
        <f t="shared" si="4"/>
        <v>Flat 15</v>
      </c>
      <c r="G140" s="18">
        <f t="shared" si="5"/>
        <v>7.64</v>
      </c>
    </row>
    <row r="141" spans="2:7" x14ac:dyDescent="0.2">
      <c r="B141" s="16" t="s">
        <v>193</v>
      </c>
      <c r="C141" s="16">
        <v>11275</v>
      </c>
      <c r="D141" s="16">
        <v>2.41</v>
      </c>
      <c r="E141" s="16" t="s">
        <v>184</v>
      </c>
      <c r="F141" s="18" t="str">
        <f t="shared" si="4"/>
        <v>Flat 15</v>
      </c>
      <c r="G141" s="18">
        <f t="shared" si="5"/>
        <v>2.41</v>
      </c>
    </row>
    <row r="142" spans="2:7" x14ac:dyDescent="0.2">
      <c r="B142" s="16" t="s">
        <v>193</v>
      </c>
      <c r="C142" s="16">
        <v>11271</v>
      </c>
      <c r="D142" s="16">
        <v>2.34</v>
      </c>
      <c r="E142" s="16" t="s">
        <v>184</v>
      </c>
      <c r="F142" s="18" t="str">
        <f t="shared" si="4"/>
        <v>Flat 15</v>
      </c>
      <c r="G142" s="18">
        <f t="shared" si="5"/>
        <v>2.34</v>
      </c>
    </row>
    <row r="143" spans="2:7" x14ac:dyDescent="0.2">
      <c r="B143" s="16" t="s">
        <v>193</v>
      </c>
      <c r="C143" s="16">
        <v>11281</v>
      </c>
      <c r="D143" s="16">
        <v>7.85</v>
      </c>
      <c r="E143" s="16" t="s">
        <v>184</v>
      </c>
      <c r="F143" s="18" t="str">
        <f t="shared" si="4"/>
        <v>Flat 15</v>
      </c>
      <c r="G143" s="18">
        <f t="shared" si="5"/>
        <v>7.85</v>
      </c>
    </row>
    <row r="144" spans="2:7" x14ac:dyDescent="0.2">
      <c r="B144" s="16" t="s">
        <v>193</v>
      </c>
      <c r="C144" s="16">
        <v>11279</v>
      </c>
      <c r="D144" s="16">
        <v>0.96</v>
      </c>
      <c r="E144" s="16" t="s">
        <v>184</v>
      </c>
      <c r="F144" s="18" t="str">
        <f t="shared" si="4"/>
        <v>Flat 15</v>
      </c>
      <c r="G144" s="18">
        <f t="shared" si="5"/>
        <v>0.96</v>
      </c>
    </row>
    <row r="145" spans="2:7" x14ac:dyDescent="0.2">
      <c r="B145" s="16" t="s">
        <v>193</v>
      </c>
      <c r="C145" s="16">
        <v>10806</v>
      </c>
      <c r="D145" s="16">
        <v>7.85</v>
      </c>
      <c r="E145" s="16" t="s">
        <v>185</v>
      </c>
      <c r="F145" s="18" t="str">
        <f t="shared" si="4"/>
        <v>Flat 16</v>
      </c>
      <c r="G145" s="18">
        <f t="shared" si="5"/>
        <v>7.85</v>
      </c>
    </row>
    <row r="146" spans="2:7" x14ac:dyDescent="0.2">
      <c r="B146" s="16" t="s">
        <v>193</v>
      </c>
      <c r="C146" s="16">
        <v>10808</v>
      </c>
      <c r="D146" s="16">
        <v>1.03</v>
      </c>
      <c r="E146" s="16" t="s">
        <v>185</v>
      </c>
      <c r="F146" s="18" t="str">
        <f t="shared" si="4"/>
        <v>Flat 16</v>
      </c>
      <c r="G146" s="18">
        <f t="shared" si="5"/>
        <v>1.03</v>
      </c>
    </row>
    <row r="147" spans="2:7" x14ac:dyDescent="0.2">
      <c r="B147" s="16" t="s">
        <v>193</v>
      </c>
      <c r="C147" s="16">
        <v>10814</v>
      </c>
      <c r="D147" s="16">
        <v>8.42</v>
      </c>
      <c r="E147" s="16" t="s">
        <v>185</v>
      </c>
      <c r="F147" s="18" t="str">
        <f t="shared" si="4"/>
        <v>Flat 16</v>
      </c>
      <c r="G147" s="18">
        <f t="shared" si="5"/>
        <v>8.42</v>
      </c>
    </row>
    <row r="148" spans="2:7" x14ac:dyDescent="0.2">
      <c r="B148" s="16" t="s">
        <v>193</v>
      </c>
      <c r="C148" s="16">
        <v>10810</v>
      </c>
      <c r="D148" s="16">
        <v>1.92</v>
      </c>
      <c r="E148" s="16" t="s">
        <v>185</v>
      </c>
      <c r="F148" s="18" t="str">
        <f t="shared" si="4"/>
        <v>Flat 16</v>
      </c>
      <c r="G148" s="18">
        <f t="shared" si="5"/>
        <v>1.92</v>
      </c>
    </row>
    <row r="149" spans="2:7" x14ac:dyDescent="0.2">
      <c r="B149" s="16" t="s">
        <v>193</v>
      </c>
      <c r="C149" s="16">
        <v>10812</v>
      </c>
      <c r="D149" s="16">
        <v>4.91</v>
      </c>
      <c r="E149" s="16" t="s">
        <v>185</v>
      </c>
      <c r="F149" s="18" t="str">
        <f t="shared" si="4"/>
        <v>Flat 16</v>
      </c>
      <c r="G149" s="18">
        <f t="shared" si="5"/>
        <v>4.91</v>
      </c>
    </row>
    <row r="150" spans="2:7" x14ac:dyDescent="0.2">
      <c r="B150" s="16" t="s">
        <v>193</v>
      </c>
      <c r="C150" s="16">
        <v>11024</v>
      </c>
      <c r="D150" s="16">
        <v>8.73</v>
      </c>
      <c r="E150" s="16" t="s">
        <v>186</v>
      </c>
      <c r="F150" s="18" t="str">
        <f t="shared" si="4"/>
        <v>Flat 17</v>
      </c>
      <c r="G150" s="18">
        <f t="shared" si="5"/>
        <v>8.73</v>
      </c>
    </row>
    <row r="151" spans="2:7" x14ac:dyDescent="0.2">
      <c r="B151" s="16" t="s">
        <v>193</v>
      </c>
      <c r="C151" s="16">
        <v>10899</v>
      </c>
      <c r="D151" s="16">
        <v>2.2799999999999998</v>
      </c>
      <c r="E151" s="16" t="s">
        <v>187</v>
      </c>
      <c r="F151" s="18" t="str">
        <f t="shared" si="4"/>
        <v>Flat 18</v>
      </c>
      <c r="G151" s="18">
        <f t="shared" si="5"/>
        <v>2.2799999999999998</v>
      </c>
    </row>
    <row r="152" spans="2:7" x14ac:dyDescent="0.2">
      <c r="B152" s="16" t="s">
        <v>193</v>
      </c>
      <c r="C152" s="16">
        <v>10891</v>
      </c>
      <c r="D152" s="16">
        <v>5.67</v>
      </c>
      <c r="E152" s="16" t="s">
        <v>187</v>
      </c>
      <c r="F152" s="18" t="str">
        <f t="shared" si="4"/>
        <v>Flat 18</v>
      </c>
      <c r="G152" s="18">
        <f t="shared" si="5"/>
        <v>5.67</v>
      </c>
    </row>
    <row r="153" spans="2:7" x14ac:dyDescent="0.2">
      <c r="B153" s="16" t="s">
        <v>193</v>
      </c>
      <c r="C153" s="16">
        <v>10897</v>
      </c>
      <c r="D153" s="16">
        <v>1.42</v>
      </c>
      <c r="E153" s="16" t="s">
        <v>187</v>
      </c>
      <c r="F153" s="18" t="str">
        <f t="shared" si="4"/>
        <v>Flat 18</v>
      </c>
      <c r="G153" s="18">
        <f t="shared" si="5"/>
        <v>1.42</v>
      </c>
    </row>
    <row r="154" spans="2:7" x14ac:dyDescent="0.2">
      <c r="B154" s="16" t="s">
        <v>193</v>
      </c>
      <c r="C154" s="16">
        <v>10895</v>
      </c>
      <c r="D154" s="16">
        <v>3.22</v>
      </c>
      <c r="E154" s="16" t="s">
        <v>187</v>
      </c>
      <c r="F154" s="18" t="str">
        <f t="shared" si="4"/>
        <v>Flat 18</v>
      </c>
      <c r="G154" s="18">
        <f t="shared" si="5"/>
        <v>3.22</v>
      </c>
    </row>
    <row r="155" spans="2:7" x14ac:dyDescent="0.2">
      <c r="B155" s="16" t="s">
        <v>193</v>
      </c>
      <c r="C155" s="16">
        <v>10903</v>
      </c>
      <c r="D155" s="16">
        <v>2.42</v>
      </c>
      <c r="E155" s="16" t="s">
        <v>187</v>
      </c>
      <c r="F155" s="18" t="str">
        <f t="shared" si="4"/>
        <v>Flat 18</v>
      </c>
      <c r="G155" s="18">
        <f t="shared" si="5"/>
        <v>2.42</v>
      </c>
    </row>
    <row r="156" spans="2:7" x14ac:dyDescent="0.2">
      <c r="B156" s="16" t="s">
        <v>193</v>
      </c>
      <c r="C156" s="16">
        <v>10893</v>
      </c>
      <c r="D156" s="16">
        <v>0.63</v>
      </c>
      <c r="E156" s="16" t="s">
        <v>187</v>
      </c>
      <c r="F156" s="18" t="str">
        <f t="shared" si="4"/>
        <v>Flat 18</v>
      </c>
      <c r="G156" s="18">
        <f t="shared" si="5"/>
        <v>0.63</v>
      </c>
    </row>
    <row r="157" spans="2:7" x14ac:dyDescent="0.2">
      <c r="B157" s="16" t="s">
        <v>193</v>
      </c>
      <c r="C157" s="16">
        <v>10901</v>
      </c>
      <c r="D157" s="16">
        <v>2.78</v>
      </c>
      <c r="E157" s="16" t="s">
        <v>187</v>
      </c>
      <c r="F157" s="18" t="str">
        <f t="shared" si="4"/>
        <v>Flat 18</v>
      </c>
      <c r="G157" s="18">
        <f t="shared" si="5"/>
        <v>2.78</v>
      </c>
    </row>
    <row r="158" spans="2:7" x14ac:dyDescent="0.2">
      <c r="B158" s="16" t="s">
        <v>193</v>
      </c>
      <c r="C158" s="16">
        <v>10889</v>
      </c>
      <c r="D158" s="16">
        <v>6.61</v>
      </c>
      <c r="E158" s="16" t="s">
        <v>187</v>
      </c>
      <c r="F158" s="18" t="str">
        <f t="shared" si="4"/>
        <v>Flat 18</v>
      </c>
      <c r="G158" s="18">
        <f t="shared" si="5"/>
        <v>6.61</v>
      </c>
    </row>
    <row r="159" spans="2:7" x14ac:dyDescent="0.2">
      <c r="B159" s="16" t="s">
        <v>193</v>
      </c>
      <c r="C159" s="16">
        <v>11658</v>
      </c>
      <c r="D159" s="16">
        <v>8.82</v>
      </c>
      <c r="E159" s="16" t="s">
        <v>189</v>
      </c>
      <c r="F159" s="18" t="str">
        <f t="shared" si="4"/>
        <v>Flat 14</v>
      </c>
      <c r="G159" s="18">
        <f t="shared" si="5"/>
        <v>8.82</v>
      </c>
    </row>
    <row r="160" spans="2:7" x14ac:dyDescent="0.2">
      <c r="B160" s="16" t="s">
        <v>193</v>
      </c>
      <c r="C160" s="16">
        <v>11661</v>
      </c>
      <c r="D160" s="16">
        <v>8.7200000000000006</v>
      </c>
      <c r="E160" s="16" t="s">
        <v>189</v>
      </c>
      <c r="F160" s="18" t="str">
        <f t="shared" si="4"/>
        <v>Flat 14</v>
      </c>
      <c r="G160" s="18">
        <f t="shared" si="5"/>
        <v>8.7200000000000006</v>
      </c>
    </row>
    <row r="161" spans="2:7" x14ac:dyDescent="0.2">
      <c r="B161" s="16" t="s">
        <v>193</v>
      </c>
      <c r="C161" s="16">
        <v>11516</v>
      </c>
      <c r="D161" s="16">
        <v>9.3699999999999992</v>
      </c>
      <c r="E161" s="16" t="s">
        <v>192</v>
      </c>
      <c r="F161" s="18" t="str">
        <f t="shared" si="4"/>
        <v>Flat 13</v>
      </c>
      <c r="G161" s="18">
        <f t="shared" si="5"/>
        <v>9.3699999999999992</v>
      </c>
    </row>
    <row r="162" spans="2:7" x14ac:dyDescent="0.2">
      <c r="B162" s="16" t="s">
        <v>193</v>
      </c>
      <c r="C162" s="16">
        <v>11518</v>
      </c>
      <c r="D162" s="16">
        <v>7.02</v>
      </c>
      <c r="E162" s="16" t="s">
        <v>192</v>
      </c>
      <c r="F162" s="18" t="str">
        <f t="shared" si="4"/>
        <v>Flat 13</v>
      </c>
      <c r="G162" s="18">
        <f t="shared" si="5"/>
        <v>7.02</v>
      </c>
    </row>
    <row r="163" spans="2:7" x14ac:dyDescent="0.2">
      <c r="B163" s="16" t="s">
        <v>194</v>
      </c>
      <c r="C163" s="16">
        <v>10355</v>
      </c>
      <c r="D163" s="16">
        <v>7.48</v>
      </c>
      <c r="E163" s="16" t="s">
        <v>215</v>
      </c>
      <c r="F163" s="18" t="str">
        <f t="shared" si="4"/>
        <v>Flat 02</v>
      </c>
      <c r="G163" s="18">
        <f t="shared" si="5"/>
        <v>7.48</v>
      </c>
    </row>
    <row r="164" spans="2:7" x14ac:dyDescent="0.2">
      <c r="B164" s="16" t="s">
        <v>194</v>
      </c>
      <c r="C164" s="16">
        <v>10353</v>
      </c>
      <c r="D164" s="16">
        <v>8.82</v>
      </c>
      <c r="E164" s="16" t="s">
        <v>215</v>
      </c>
      <c r="F164" s="18" t="str">
        <f t="shared" si="4"/>
        <v>Flat 02</v>
      </c>
      <c r="G164" s="18">
        <f t="shared" si="5"/>
        <v>8.82</v>
      </c>
    </row>
    <row r="165" spans="2:7" x14ac:dyDescent="0.2">
      <c r="B165" s="16" t="s">
        <v>194</v>
      </c>
      <c r="C165" s="16">
        <v>10447</v>
      </c>
      <c r="D165" s="16">
        <v>0.96</v>
      </c>
      <c r="E165" s="16" t="s">
        <v>218</v>
      </c>
      <c r="F165" s="18" t="str">
        <f t="shared" si="4"/>
        <v>Flat 03</v>
      </c>
      <c r="G165" s="18">
        <f t="shared" si="5"/>
        <v>0.96</v>
      </c>
    </row>
    <row r="166" spans="2:7" x14ac:dyDescent="0.2">
      <c r="B166" s="16" t="s">
        <v>194</v>
      </c>
      <c r="C166" s="16">
        <v>10445</v>
      </c>
      <c r="D166" s="16">
        <v>1.92</v>
      </c>
      <c r="E166" s="16" t="s">
        <v>218</v>
      </c>
      <c r="F166" s="18" t="str">
        <f t="shared" si="4"/>
        <v>Flat 03</v>
      </c>
      <c r="G166" s="18">
        <f t="shared" si="5"/>
        <v>1.92</v>
      </c>
    </row>
    <row r="167" spans="2:7" x14ac:dyDescent="0.2">
      <c r="B167" s="16" t="s">
        <v>194</v>
      </c>
      <c r="C167" s="16">
        <v>10437</v>
      </c>
      <c r="D167" s="16">
        <v>7.64</v>
      </c>
      <c r="E167" s="16" t="s">
        <v>218</v>
      </c>
      <c r="F167" s="18" t="str">
        <f t="shared" si="4"/>
        <v>Flat 03</v>
      </c>
      <c r="G167" s="18">
        <f t="shared" si="5"/>
        <v>7.64</v>
      </c>
    </row>
    <row r="168" spans="2:7" x14ac:dyDescent="0.2">
      <c r="B168" s="16" t="s">
        <v>194</v>
      </c>
      <c r="C168" s="16">
        <v>10449</v>
      </c>
      <c r="D168" s="16">
        <v>7.85</v>
      </c>
      <c r="E168" s="16" t="s">
        <v>218</v>
      </c>
      <c r="F168" s="18" t="str">
        <f t="shared" si="4"/>
        <v>Flat 03</v>
      </c>
      <c r="G168" s="18">
        <f t="shared" si="5"/>
        <v>7.85</v>
      </c>
    </row>
    <row r="169" spans="2:7" x14ac:dyDescent="0.2">
      <c r="B169" s="16" t="s">
        <v>194</v>
      </c>
      <c r="C169" s="16">
        <v>10441</v>
      </c>
      <c r="D169" s="16">
        <v>1.06</v>
      </c>
      <c r="E169" s="16" t="s">
        <v>218</v>
      </c>
      <c r="F169" s="18" t="str">
        <f t="shared" si="4"/>
        <v>Flat 03</v>
      </c>
      <c r="G169" s="18">
        <f t="shared" si="5"/>
        <v>1.06</v>
      </c>
    </row>
    <row r="170" spans="2:7" x14ac:dyDescent="0.2">
      <c r="B170" s="16" t="s">
        <v>194</v>
      </c>
      <c r="C170" s="16">
        <v>10439</v>
      </c>
      <c r="D170" s="16">
        <v>2.34</v>
      </c>
      <c r="E170" s="16" t="s">
        <v>218</v>
      </c>
      <c r="F170" s="18" t="str">
        <f t="shared" si="4"/>
        <v>Flat 03</v>
      </c>
      <c r="G170" s="18">
        <f t="shared" si="5"/>
        <v>2.34</v>
      </c>
    </row>
    <row r="171" spans="2:7" x14ac:dyDescent="0.2">
      <c r="B171" s="16" t="s">
        <v>194</v>
      </c>
      <c r="C171" s="16">
        <v>10443</v>
      </c>
      <c r="D171" s="16">
        <v>2.41</v>
      </c>
      <c r="E171" s="16" t="s">
        <v>218</v>
      </c>
      <c r="F171" s="18" t="str">
        <f t="shared" si="4"/>
        <v>Flat 03</v>
      </c>
      <c r="G171" s="18">
        <f t="shared" si="5"/>
        <v>2.41</v>
      </c>
    </row>
    <row r="172" spans="2:7" x14ac:dyDescent="0.2">
      <c r="B172" s="16" t="s">
        <v>194</v>
      </c>
      <c r="C172" s="16">
        <v>10582</v>
      </c>
      <c r="D172" s="16">
        <v>2.42</v>
      </c>
      <c r="E172" s="16" t="s">
        <v>219</v>
      </c>
      <c r="F172" s="18" t="str">
        <f t="shared" si="4"/>
        <v>Flat 06</v>
      </c>
      <c r="G172" s="18">
        <f t="shared" si="5"/>
        <v>2.42</v>
      </c>
    </row>
    <row r="173" spans="2:7" x14ac:dyDescent="0.2">
      <c r="B173" s="16" t="s">
        <v>194</v>
      </c>
      <c r="C173" s="16">
        <v>10572</v>
      </c>
      <c r="D173" s="16">
        <v>0.63</v>
      </c>
      <c r="E173" s="16" t="s">
        <v>219</v>
      </c>
      <c r="F173" s="18" t="str">
        <f t="shared" si="4"/>
        <v>Flat 06</v>
      </c>
      <c r="G173" s="18">
        <f t="shared" si="5"/>
        <v>0.63</v>
      </c>
    </row>
    <row r="174" spans="2:7" x14ac:dyDescent="0.2">
      <c r="B174" s="16" t="s">
        <v>194</v>
      </c>
      <c r="C174" s="16">
        <v>10574</v>
      </c>
      <c r="D174" s="16">
        <v>3.22</v>
      </c>
      <c r="E174" s="16" t="s">
        <v>219</v>
      </c>
      <c r="F174" s="18" t="str">
        <f t="shared" si="4"/>
        <v>Flat 06</v>
      </c>
      <c r="G174" s="18">
        <f t="shared" si="5"/>
        <v>3.22</v>
      </c>
    </row>
    <row r="175" spans="2:7" x14ac:dyDescent="0.2">
      <c r="B175" s="16" t="s">
        <v>194</v>
      </c>
      <c r="C175" s="16">
        <v>10576</v>
      </c>
      <c r="D175" s="16">
        <v>1.42</v>
      </c>
      <c r="E175" s="16" t="s">
        <v>219</v>
      </c>
      <c r="F175" s="18" t="str">
        <f t="shared" si="4"/>
        <v>Flat 06</v>
      </c>
      <c r="G175" s="18">
        <f t="shared" si="5"/>
        <v>1.42</v>
      </c>
    </row>
    <row r="176" spans="2:7" x14ac:dyDescent="0.2">
      <c r="B176" s="16" t="s">
        <v>194</v>
      </c>
      <c r="C176" s="16">
        <v>10578</v>
      </c>
      <c r="D176" s="16">
        <v>2.2799999999999998</v>
      </c>
      <c r="E176" s="16" t="s">
        <v>219</v>
      </c>
      <c r="F176" s="18" t="str">
        <f t="shared" si="4"/>
        <v>Flat 06</v>
      </c>
      <c r="G176" s="18">
        <f t="shared" si="5"/>
        <v>2.2799999999999998</v>
      </c>
    </row>
    <row r="177" spans="2:7" x14ac:dyDescent="0.2">
      <c r="B177" s="16" t="s">
        <v>194</v>
      </c>
      <c r="C177" s="16">
        <v>10568</v>
      </c>
      <c r="D177" s="16">
        <v>6.61</v>
      </c>
      <c r="E177" s="16" t="s">
        <v>219</v>
      </c>
      <c r="F177" s="18" t="str">
        <f t="shared" si="4"/>
        <v>Flat 06</v>
      </c>
      <c r="G177" s="18">
        <f t="shared" si="5"/>
        <v>6.61</v>
      </c>
    </row>
    <row r="178" spans="2:7" x14ac:dyDescent="0.2">
      <c r="B178" s="16" t="s">
        <v>194</v>
      </c>
      <c r="C178" s="16">
        <v>10580</v>
      </c>
      <c r="D178" s="16">
        <v>2.78</v>
      </c>
      <c r="E178" s="16" t="s">
        <v>219</v>
      </c>
      <c r="F178" s="18" t="str">
        <f t="shared" si="4"/>
        <v>Flat 06</v>
      </c>
      <c r="G178" s="18">
        <f t="shared" si="5"/>
        <v>2.78</v>
      </c>
    </row>
    <row r="179" spans="2:7" x14ac:dyDescent="0.2">
      <c r="B179" s="16" t="s">
        <v>194</v>
      </c>
      <c r="C179" s="16">
        <v>10570</v>
      </c>
      <c r="D179" s="16">
        <v>5.67</v>
      </c>
      <c r="E179" s="16" t="s">
        <v>219</v>
      </c>
      <c r="F179" s="18" t="str">
        <f t="shared" si="4"/>
        <v>Flat 06</v>
      </c>
      <c r="G179" s="18">
        <f t="shared" si="5"/>
        <v>5.67</v>
      </c>
    </row>
    <row r="180" spans="2:7" x14ac:dyDescent="0.2">
      <c r="B180" s="16" t="s">
        <v>194</v>
      </c>
      <c r="C180" s="16">
        <v>11574</v>
      </c>
      <c r="D180" s="16">
        <v>8.73</v>
      </c>
      <c r="E180" s="16" t="s">
        <v>221</v>
      </c>
      <c r="F180" s="18" t="str">
        <f t="shared" si="4"/>
        <v>Flat 05</v>
      </c>
      <c r="G180" s="18">
        <f t="shared" si="5"/>
        <v>8.73</v>
      </c>
    </row>
    <row r="181" spans="2:7" x14ac:dyDescent="0.2">
      <c r="B181" s="16" t="s">
        <v>194</v>
      </c>
      <c r="C181" s="16">
        <v>11576</v>
      </c>
      <c r="D181" s="16">
        <v>2.13</v>
      </c>
      <c r="E181" s="16" t="s">
        <v>221</v>
      </c>
      <c r="F181" s="18" t="str">
        <f t="shared" si="4"/>
        <v>Flat 05</v>
      </c>
      <c r="G181" s="18">
        <f t="shared" si="5"/>
        <v>2.13</v>
      </c>
    </row>
    <row r="182" spans="2:7" x14ac:dyDescent="0.2">
      <c r="B182" s="16" t="s">
        <v>194</v>
      </c>
      <c r="C182" s="16">
        <v>11578</v>
      </c>
      <c r="D182" s="16">
        <v>1.5</v>
      </c>
      <c r="E182" s="16" t="s">
        <v>221</v>
      </c>
      <c r="F182" s="18" t="str">
        <f t="shared" si="4"/>
        <v>Flat 05</v>
      </c>
      <c r="G182" s="18">
        <f t="shared" si="5"/>
        <v>1.5</v>
      </c>
    </row>
    <row r="183" spans="2:7" x14ac:dyDescent="0.2">
      <c r="B183" s="16" t="s">
        <v>194</v>
      </c>
      <c r="C183" s="16">
        <v>11580</v>
      </c>
      <c r="D183" s="16">
        <v>4.5</v>
      </c>
      <c r="E183" s="16" t="s">
        <v>221</v>
      </c>
      <c r="F183" s="18" t="str">
        <f t="shared" si="4"/>
        <v>Flat 05</v>
      </c>
      <c r="G183" s="18">
        <f t="shared" si="5"/>
        <v>4.5</v>
      </c>
    </row>
    <row r="184" spans="2:7" x14ac:dyDescent="0.2">
      <c r="B184" s="16" t="s">
        <v>194</v>
      </c>
      <c r="C184" s="16">
        <v>11582</v>
      </c>
      <c r="D184" s="16">
        <v>6.91</v>
      </c>
      <c r="E184" s="16" t="s">
        <v>221</v>
      </c>
      <c r="F184" s="18" t="str">
        <f t="shared" si="4"/>
        <v>Flat 05</v>
      </c>
      <c r="G184" s="18">
        <f t="shared" si="5"/>
        <v>6.91</v>
      </c>
    </row>
    <row r="185" spans="2:7" x14ac:dyDescent="0.2">
      <c r="B185" s="16" t="s">
        <v>194</v>
      </c>
      <c r="C185" s="16">
        <v>10653</v>
      </c>
      <c r="D185" s="16">
        <v>1.02</v>
      </c>
      <c r="E185" s="16" t="s">
        <v>214</v>
      </c>
      <c r="F185" s="18" t="str">
        <f t="shared" si="4"/>
        <v>Flat 01</v>
      </c>
      <c r="G185" s="18">
        <f t="shared" si="5"/>
        <v>1.02</v>
      </c>
    </row>
    <row r="186" spans="2:7" x14ac:dyDescent="0.2">
      <c r="B186" s="16" t="s">
        <v>194</v>
      </c>
      <c r="C186" s="16">
        <v>10655</v>
      </c>
      <c r="D186" s="16">
        <v>2.5099999999999998</v>
      </c>
      <c r="E186" s="16" t="s">
        <v>214</v>
      </c>
      <c r="F186" s="18" t="str">
        <f t="shared" si="4"/>
        <v>Flat 01</v>
      </c>
      <c r="G186" s="18">
        <f t="shared" si="5"/>
        <v>2.5099999999999998</v>
      </c>
    </row>
    <row r="187" spans="2:7" x14ac:dyDescent="0.2">
      <c r="B187" s="16" t="s">
        <v>194</v>
      </c>
      <c r="C187" s="16">
        <v>10649</v>
      </c>
      <c r="D187" s="16">
        <v>6</v>
      </c>
      <c r="E187" s="16" t="s">
        <v>214</v>
      </c>
      <c r="F187" s="18" t="str">
        <f t="shared" si="4"/>
        <v>Flat 01</v>
      </c>
      <c r="G187" s="18">
        <f t="shared" si="5"/>
        <v>6</v>
      </c>
    </row>
    <row r="188" spans="2:7" x14ac:dyDescent="0.2">
      <c r="B188" s="16" t="s">
        <v>194</v>
      </c>
      <c r="C188" s="16">
        <v>10651</v>
      </c>
      <c r="D188" s="16">
        <v>1.79</v>
      </c>
      <c r="E188" s="16" t="s">
        <v>214</v>
      </c>
      <c r="F188" s="18" t="str">
        <f t="shared" si="4"/>
        <v>Flat 01</v>
      </c>
      <c r="G188" s="18">
        <f t="shared" si="5"/>
        <v>1.79</v>
      </c>
    </row>
    <row r="189" spans="2:7" x14ac:dyDescent="0.2">
      <c r="B189" s="16" t="s">
        <v>194</v>
      </c>
      <c r="C189" s="16">
        <v>10493</v>
      </c>
      <c r="D189" s="16">
        <v>1.03</v>
      </c>
      <c r="E189" s="16" t="s">
        <v>222</v>
      </c>
      <c r="F189" s="18" t="str">
        <f t="shared" si="4"/>
        <v>Flat 04</v>
      </c>
      <c r="G189" s="18">
        <f t="shared" si="5"/>
        <v>1.03</v>
      </c>
    </row>
    <row r="190" spans="2:7" x14ac:dyDescent="0.2">
      <c r="B190" s="16" t="s">
        <v>194</v>
      </c>
      <c r="C190" s="16">
        <v>10499</v>
      </c>
      <c r="D190" s="16">
        <v>8.42</v>
      </c>
      <c r="E190" s="16" t="s">
        <v>222</v>
      </c>
      <c r="F190" s="18" t="str">
        <f t="shared" si="4"/>
        <v>Flat 04</v>
      </c>
      <c r="G190" s="18">
        <f t="shared" si="5"/>
        <v>8.42</v>
      </c>
    </row>
    <row r="191" spans="2:7" x14ac:dyDescent="0.2">
      <c r="B191" s="16" t="s">
        <v>194</v>
      </c>
      <c r="C191" s="16">
        <v>10491</v>
      </c>
      <c r="D191" s="16">
        <v>7.85</v>
      </c>
      <c r="E191" s="16" t="s">
        <v>222</v>
      </c>
      <c r="F191" s="18" t="str">
        <f t="shared" si="4"/>
        <v>Flat 04</v>
      </c>
      <c r="G191" s="18">
        <f t="shared" si="5"/>
        <v>7.85</v>
      </c>
    </row>
    <row r="192" spans="2:7" x14ac:dyDescent="0.2">
      <c r="B192" s="16" t="s">
        <v>194</v>
      </c>
      <c r="C192" s="16">
        <v>10495</v>
      </c>
      <c r="D192" s="16">
        <v>1.92</v>
      </c>
      <c r="E192" s="16" t="s">
        <v>222</v>
      </c>
      <c r="F192" s="18" t="str">
        <f t="shared" si="4"/>
        <v>Flat 04</v>
      </c>
      <c r="G192" s="18">
        <f t="shared" si="5"/>
        <v>1.92</v>
      </c>
    </row>
    <row r="193" spans="2:7" x14ac:dyDescent="0.2">
      <c r="B193" s="16" t="s">
        <v>194</v>
      </c>
      <c r="C193" s="16">
        <v>10497</v>
      </c>
      <c r="D193" s="16">
        <v>4.91</v>
      </c>
      <c r="E193" s="16" t="s">
        <v>222</v>
      </c>
      <c r="F193" s="18" t="str">
        <f t="shared" si="4"/>
        <v>Flat 04</v>
      </c>
      <c r="G193" s="18">
        <f t="shared" si="5"/>
        <v>4.91</v>
      </c>
    </row>
    <row r="194" spans="2:7" x14ac:dyDescent="0.2">
      <c r="B194" s="16" t="s">
        <v>195</v>
      </c>
      <c r="C194" s="16">
        <v>10319</v>
      </c>
      <c r="D194" s="16">
        <v>1.1299999999999999</v>
      </c>
      <c r="E194" s="16" t="s">
        <v>215</v>
      </c>
      <c r="F194" s="18" t="str">
        <f t="shared" si="4"/>
        <v>Flat 02</v>
      </c>
      <c r="G194" s="18">
        <f t="shared" si="5"/>
        <v>1.1299999999999999</v>
      </c>
    </row>
    <row r="195" spans="2:7" x14ac:dyDescent="0.2">
      <c r="B195" s="16" t="s">
        <v>195</v>
      </c>
      <c r="C195" s="16">
        <v>10322</v>
      </c>
      <c r="D195" s="16">
        <v>1.1299999999999999</v>
      </c>
      <c r="E195" s="16" t="s">
        <v>215</v>
      </c>
      <c r="F195" s="18" t="str">
        <f t="shared" si="4"/>
        <v>Flat 02</v>
      </c>
      <c r="G195" s="18">
        <f t="shared" si="5"/>
        <v>1.1299999999999999</v>
      </c>
    </row>
    <row r="196" spans="2:7" x14ac:dyDescent="0.2">
      <c r="B196" s="16" t="s">
        <v>195</v>
      </c>
      <c r="C196" s="16">
        <v>10303</v>
      </c>
      <c r="D196" s="16">
        <v>0.91</v>
      </c>
      <c r="E196" s="16" t="s">
        <v>215</v>
      </c>
      <c r="F196" s="18" t="str">
        <f t="shared" si="4"/>
        <v>Flat 02</v>
      </c>
      <c r="G196" s="18">
        <f t="shared" si="5"/>
        <v>0.91</v>
      </c>
    </row>
    <row r="197" spans="2:7" x14ac:dyDescent="0.2">
      <c r="B197" s="16" t="s">
        <v>195</v>
      </c>
      <c r="C197" s="16">
        <v>10300</v>
      </c>
      <c r="D197" s="16">
        <v>0.91</v>
      </c>
      <c r="E197" s="16" t="s">
        <v>215</v>
      </c>
      <c r="F197" s="18" t="str">
        <f t="shared" si="4"/>
        <v>Flat 02</v>
      </c>
      <c r="G197" s="18">
        <f t="shared" si="5"/>
        <v>0.91</v>
      </c>
    </row>
    <row r="198" spans="2:7" x14ac:dyDescent="0.2">
      <c r="B198" s="16" t="s">
        <v>195</v>
      </c>
      <c r="C198" s="16">
        <v>10387</v>
      </c>
      <c r="D198" s="16">
        <v>1.1299999999999999</v>
      </c>
      <c r="E198" s="16" t="s">
        <v>218</v>
      </c>
      <c r="F198" s="18" t="str">
        <f t="shared" si="4"/>
        <v>Flat 03</v>
      </c>
      <c r="G198" s="18">
        <f t="shared" si="5"/>
        <v>1.1299999999999999</v>
      </c>
    </row>
    <row r="199" spans="2:7" x14ac:dyDescent="0.2">
      <c r="B199" s="16" t="s">
        <v>195</v>
      </c>
      <c r="C199" s="16">
        <v>10390</v>
      </c>
      <c r="D199" s="16">
        <v>0.91</v>
      </c>
      <c r="E199" s="16" t="s">
        <v>218</v>
      </c>
      <c r="F199" s="18" t="str">
        <f t="shared" ref="F199:F262" si="6">LEFT(E199,7)</f>
        <v>Flat 03</v>
      </c>
      <c r="G199" s="18">
        <f t="shared" ref="G199:G262" si="7">D199</f>
        <v>0.91</v>
      </c>
    </row>
    <row r="200" spans="2:7" x14ac:dyDescent="0.2">
      <c r="B200" s="16" t="s">
        <v>195</v>
      </c>
      <c r="C200" s="16">
        <v>10393</v>
      </c>
      <c r="D200" s="16">
        <v>0.91</v>
      </c>
      <c r="E200" s="16" t="s">
        <v>218</v>
      </c>
      <c r="F200" s="18" t="str">
        <f t="shared" si="6"/>
        <v>Flat 03</v>
      </c>
      <c r="G200" s="18">
        <f t="shared" si="7"/>
        <v>0.91</v>
      </c>
    </row>
    <row r="201" spans="2:7" x14ac:dyDescent="0.2">
      <c r="B201" s="16" t="s">
        <v>195</v>
      </c>
      <c r="C201" s="16">
        <v>10373</v>
      </c>
      <c r="D201" s="16">
        <v>1.1299999999999999</v>
      </c>
      <c r="E201" s="16" t="s">
        <v>218</v>
      </c>
      <c r="F201" s="18" t="str">
        <f t="shared" si="6"/>
        <v>Flat 03</v>
      </c>
      <c r="G201" s="18">
        <f t="shared" si="7"/>
        <v>1.1299999999999999</v>
      </c>
    </row>
    <row r="202" spans="2:7" x14ac:dyDescent="0.2">
      <c r="B202" s="16" t="s">
        <v>195</v>
      </c>
      <c r="C202" s="16">
        <v>10531</v>
      </c>
      <c r="D202" s="16">
        <v>1.1299999999999999</v>
      </c>
      <c r="E202" s="16" t="s">
        <v>219</v>
      </c>
      <c r="F202" s="18" t="str">
        <f t="shared" si="6"/>
        <v>Flat 06</v>
      </c>
      <c r="G202" s="18">
        <f t="shared" si="7"/>
        <v>1.1299999999999999</v>
      </c>
    </row>
    <row r="203" spans="2:7" x14ac:dyDescent="0.2">
      <c r="B203" s="16" t="s">
        <v>195</v>
      </c>
      <c r="C203" s="16">
        <v>10534</v>
      </c>
      <c r="D203" s="16">
        <v>1.1299999999999999</v>
      </c>
      <c r="E203" s="16" t="s">
        <v>219</v>
      </c>
      <c r="F203" s="18" t="str">
        <f t="shared" si="6"/>
        <v>Flat 06</v>
      </c>
      <c r="G203" s="18">
        <f t="shared" si="7"/>
        <v>1.1299999999999999</v>
      </c>
    </row>
    <row r="204" spans="2:7" x14ac:dyDescent="0.2">
      <c r="B204" s="16" t="s">
        <v>195</v>
      </c>
      <c r="C204" s="16">
        <v>11292</v>
      </c>
      <c r="D204" s="16">
        <v>1.1299999999999999</v>
      </c>
      <c r="E204" s="16" t="s">
        <v>216</v>
      </c>
      <c r="F204" s="18" t="str">
        <f t="shared" si="6"/>
        <v>Flat 07</v>
      </c>
      <c r="G204" s="18">
        <f t="shared" si="7"/>
        <v>1.1299999999999999</v>
      </c>
    </row>
    <row r="205" spans="2:7" x14ac:dyDescent="0.2">
      <c r="B205" s="16" t="s">
        <v>195</v>
      </c>
      <c r="C205" s="16">
        <v>11298</v>
      </c>
      <c r="D205" s="16">
        <v>1.1299999999999999</v>
      </c>
      <c r="E205" s="16" t="s">
        <v>216</v>
      </c>
      <c r="F205" s="18" t="str">
        <f t="shared" si="6"/>
        <v>Flat 07</v>
      </c>
      <c r="G205" s="18">
        <f t="shared" si="7"/>
        <v>1.1299999999999999</v>
      </c>
    </row>
    <row r="206" spans="2:7" x14ac:dyDescent="0.2">
      <c r="B206" s="16" t="s">
        <v>195</v>
      </c>
      <c r="C206" s="16">
        <v>11295</v>
      </c>
      <c r="D206" s="16">
        <v>1.1299999999999999</v>
      </c>
      <c r="E206" s="16" t="s">
        <v>216</v>
      </c>
      <c r="F206" s="18" t="str">
        <f t="shared" si="6"/>
        <v>Flat 07</v>
      </c>
      <c r="G206" s="18">
        <f t="shared" si="7"/>
        <v>1.1299999999999999</v>
      </c>
    </row>
    <row r="207" spans="2:7" x14ac:dyDescent="0.2">
      <c r="B207" s="16" t="s">
        <v>195</v>
      </c>
      <c r="C207" s="16">
        <v>11310</v>
      </c>
      <c r="D207" s="16">
        <v>1.1299999999999999</v>
      </c>
      <c r="E207" s="16" t="s">
        <v>216</v>
      </c>
      <c r="F207" s="18" t="str">
        <f t="shared" si="6"/>
        <v>Flat 07</v>
      </c>
      <c r="G207" s="18">
        <f t="shared" si="7"/>
        <v>1.1299999999999999</v>
      </c>
    </row>
    <row r="208" spans="2:7" x14ac:dyDescent="0.2">
      <c r="B208" s="16" t="s">
        <v>195</v>
      </c>
      <c r="C208" s="16">
        <v>10694</v>
      </c>
      <c r="D208" s="16">
        <v>0.91</v>
      </c>
      <c r="E208" s="16" t="s">
        <v>220</v>
      </c>
      <c r="F208" s="18" t="str">
        <f t="shared" si="6"/>
        <v>Flat 09</v>
      </c>
      <c r="G208" s="18">
        <f t="shared" si="7"/>
        <v>0.91</v>
      </c>
    </row>
    <row r="209" spans="2:7" x14ac:dyDescent="0.2">
      <c r="B209" s="16" t="s">
        <v>195</v>
      </c>
      <c r="C209" s="16">
        <v>10697</v>
      </c>
      <c r="D209" s="16">
        <v>0.91</v>
      </c>
      <c r="E209" s="16" t="s">
        <v>220</v>
      </c>
      <c r="F209" s="18" t="str">
        <f t="shared" si="6"/>
        <v>Flat 09</v>
      </c>
      <c r="G209" s="18">
        <f t="shared" si="7"/>
        <v>0.91</v>
      </c>
    </row>
    <row r="210" spans="2:7" x14ac:dyDescent="0.2">
      <c r="B210" s="16" t="s">
        <v>195</v>
      </c>
      <c r="C210" s="16">
        <v>10691</v>
      </c>
      <c r="D210" s="16">
        <v>1.1299999999999999</v>
      </c>
      <c r="E210" s="16" t="s">
        <v>220</v>
      </c>
      <c r="F210" s="18" t="str">
        <f t="shared" si="6"/>
        <v>Flat 09</v>
      </c>
      <c r="G210" s="18">
        <f t="shared" si="7"/>
        <v>1.1299999999999999</v>
      </c>
    </row>
    <row r="211" spans="2:7" x14ac:dyDescent="0.2">
      <c r="B211" s="16" t="s">
        <v>195</v>
      </c>
      <c r="C211" s="16">
        <v>10677</v>
      </c>
      <c r="D211" s="16">
        <v>1.1299999999999999</v>
      </c>
      <c r="E211" s="16" t="s">
        <v>220</v>
      </c>
      <c r="F211" s="18" t="str">
        <f t="shared" si="6"/>
        <v>Flat 09</v>
      </c>
      <c r="G211" s="18">
        <f t="shared" si="7"/>
        <v>1.1299999999999999</v>
      </c>
    </row>
    <row r="212" spans="2:7" x14ac:dyDescent="0.2">
      <c r="B212" s="16" t="s">
        <v>195</v>
      </c>
      <c r="C212" s="16">
        <v>11542</v>
      </c>
      <c r="D212" s="16">
        <v>0.91</v>
      </c>
      <c r="E212" s="16" t="s">
        <v>221</v>
      </c>
      <c r="F212" s="18" t="str">
        <f t="shared" si="6"/>
        <v>Flat 05</v>
      </c>
      <c r="G212" s="18">
        <f t="shared" si="7"/>
        <v>0.91</v>
      </c>
    </row>
    <row r="213" spans="2:7" x14ac:dyDescent="0.2">
      <c r="B213" s="16" t="s">
        <v>195</v>
      </c>
      <c r="C213" s="16">
        <v>11526</v>
      </c>
      <c r="D213" s="16">
        <v>1.1299999999999999</v>
      </c>
      <c r="E213" s="16" t="s">
        <v>221</v>
      </c>
      <c r="F213" s="18" t="str">
        <f t="shared" si="6"/>
        <v>Flat 05</v>
      </c>
      <c r="G213" s="18">
        <f t="shared" si="7"/>
        <v>1.1299999999999999</v>
      </c>
    </row>
    <row r="214" spans="2:7" x14ac:dyDescent="0.2">
      <c r="B214" s="16" t="s">
        <v>195</v>
      </c>
      <c r="C214" s="16">
        <v>11529</v>
      </c>
      <c r="D214" s="16">
        <v>1.1299999999999999</v>
      </c>
      <c r="E214" s="16" t="s">
        <v>221</v>
      </c>
      <c r="F214" s="18" t="str">
        <f t="shared" si="6"/>
        <v>Flat 05</v>
      </c>
      <c r="G214" s="18">
        <f t="shared" si="7"/>
        <v>1.1299999999999999</v>
      </c>
    </row>
    <row r="215" spans="2:7" x14ac:dyDescent="0.2">
      <c r="B215" s="16" t="s">
        <v>195</v>
      </c>
      <c r="C215" s="16">
        <v>11143</v>
      </c>
      <c r="D215" s="16">
        <v>1.1299999999999999</v>
      </c>
      <c r="E215" s="16" t="s">
        <v>217</v>
      </c>
      <c r="F215" s="18" t="str">
        <f t="shared" si="6"/>
        <v>Flat 08</v>
      </c>
      <c r="G215" s="18">
        <f t="shared" si="7"/>
        <v>1.1299999999999999</v>
      </c>
    </row>
    <row r="216" spans="2:7" x14ac:dyDescent="0.2">
      <c r="B216" s="16" t="s">
        <v>195</v>
      </c>
      <c r="C216" s="16">
        <v>11140</v>
      </c>
      <c r="D216" s="16">
        <v>1.1299999999999999</v>
      </c>
      <c r="E216" s="16" t="s">
        <v>217</v>
      </c>
      <c r="F216" s="18" t="str">
        <f t="shared" si="6"/>
        <v>Flat 08</v>
      </c>
      <c r="G216" s="18">
        <f t="shared" si="7"/>
        <v>1.1299999999999999</v>
      </c>
    </row>
    <row r="217" spans="2:7" x14ac:dyDescent="0.2">
      <c r="B217" s="16" t="s">
        <v>195</v>
      </c>
      <c r="C217" s="16">
        <v>11121</v>
      </c>
      <c r="D217" s="16">
        <v>0.91</v>
      </c>
      <c r="E217" s="16" t="s">
        <v>217</v>
      </c>
      <c r="F217" s="18" t="str">
        <f t="shared" si="6"/>
        <v>Flat 08</v>
      </c>
      <c r="G217" s="18">
        <f t="shared" si="7"/>
        <v>0.91</v>
      </c>
    </row>
    <row r="218" spans="2:7" x14ac:dyDescent="0.2">
      <c r="B218" s="16" t="s">
        <v>195</v>
      </c>
      <c r="C218" s="16">
        <v>11124</v>
      </c>
      <c r="D218" s="16">
        <v>0.91</v>
      </c>
      <c r="E218" s="16" t="s">
        <v>217</v>
      </c>
      <c r="F218" s="18" t="str">
        <f t="shared" si="6"/>
        <v>Flat 08</v>
      </c>
      <c r="G218" s="18">
        <f t="shared" si="7"/>
        <v>0.91</v>
      </c>
    </row>
    <row r="219" spans="2:7" x14ac:dyDescent="0.2">
      <c r="B219" s="16" t="s">
        <v>195</v>
      </c>
      <c r="C219" s="16">
        <v>11199</v>
      </c>
      <c r="D219" s="16">
        <v>1.1299999999999999</v>
      </c>
      <c r="E219" s="16" t="s">
        <v>184</v>
      </c>
      <c r="F219" s="18" t="str">
        <f t="shared" si="6"/>
        <v>Flat 15</v>
      </c>
      <c r="G219" s="18">
        <f t="shared" si="7"/>
        <v>1.1299999999999999</v>
      </c>
    </row>
    <row r="220" spans="2:7" x14ac:dyDescent="0.2">
      <c r="B220" s="16" t="s">
        <v>195</v>
      </c>
      <c r="C220" s="16">
        <v>11208</v>
      </c>
      <c r="D220" s="16">
        <v>1.1299999999999999</v>
      </c>
      <c r="E220" s="16" t="s">
        <v>184</v>
      </c>
      <c r="F220" s="18" t="str">
        <f t="shared" si="6"/>
        <v>Flat 15</v>
      </c>
      <c r="G220" s="18">
        <f t="shared" si="7"/>
        <v>1.1299999999999999</v>
      </c>
    </row>
    <row r="221" spans="2:7" x14ac:dyDescent="0.2">
      <c r="B221" s="16" t="s">
        <v>195</v>
      </c>
      <c r="C221" s="16">
        <v>11202</v>
      </c>
      <c r="D221" s="16">
        <v>0.91</v>
      </c>
      <c r="E221" s="16" t="s">
        <v>184</v>
      </c>
      <c r="F221" s="18" t="str">
        <f t="shared" si="6"/>
        <v>Flat 15</v>
      </c>
      <c r="G221" s="18">
        <f t="shared" si="7"/>
        <v>0.91</v>
      </c>
    </row>
    <row r="222" spans="2:7" x14ac:dyDescent="0.2">
      <c r="B222" s="16" t="s">
        <v>195</v>
      </c>
      <c r="C222" s="16">
        <v>11205</v>
      </c>
      <c r="D222" s="16">
        <v>0.91</v>
      </c>
      <c r="E222" s="16" t="s">
        <v>184</v>
      </c>
      <c r="F222" s="18" t="str">
        <f t="shared" si="6"/>
        <v>Flat 15</v>
      </c>
      <c r="G222" s="18">
        <f t="shared" si="7"/>
        <v>0.91</v>
      </c>
    </row>
    <row r="223" spans="2:7" x14ac:dyDescent="0.2">
      <c r="B223" s="16" t="s">
        <v>195</v>
      </c>
      <c r="C223" s="16">
        <v>10773</v>
      </c>
      <c r="D223" s="16">
        <v>1.1299999999999999</v>
      </c>
      <c r="E223" s="16" t="s">
        <v>185</v>
      </c>
      <c r="F223" s="18" t="str">
        <f t="shared" si="6"/>
        <v>Flat 16</v>
      </c>
      <c r="G223" s="18">
        <f t="shared" si="7"/>
        <v>1.1299999999999999</v>
      </c>
    </row>
    <row r="224" spans="2:7" x14ac:dyDescent="0.2">
      <c r="B224" s="16" t="s">
        <v>195</v>
      </c>
      <c r="C224" s="16">
        <v>10602</v>
      </c>
      <c r="D224" s="16">
        <v>1.1299999999999999</v>
      </c>
      <c r="E224" s="16" t="s">
        <v>214</v>
      </c>
      <c r="F224" s="18" t="str">
        <f t="shared" si="6"/>
        <v>Flat 01</v>
      </c>
      <c r="G224" s="18">
        <f t="shared" si="7"/>
        <v>1.1299999999999999</v>
      </c>
    </row>
    <row r="225" spans="2:7" x14ac:dyDescent="0.2">
      <c r="B225" s="16" t="s">
        <v>195</v>
      </c>
      <c r="C225" s="16">
        <v>10610</v>
      </c>
      <c r="D225" s="16">
        <v>1.1299999999999999</v>
      </c>
      <c r="E225" s="16" t="s">
        <v>214</v>
      </c>
      <c r="F225" s="18" t="str">
        <f t="shared" si="6"/>
        <v>Flat 01</v>
      </c>
      <c r="G225" s="18">
        <f t="shared" si="7"/>
        <v>1.1299999999999999</v>
      </c>
    </row>
    <row r="226" spans="2:7" x14ac:dyDescent="0.2">
      <c r="B226" s="16" t="s">
        <v>195</v>
      </c>
      <c r="C226" s="16">
        <v>10983</v>
      </c>
      <c r="D226" s="16">
        <v>0.91</v>
      </c>
      <c r="E226" s="16" t="s">
        <v>186</v>
      </c>
      <c r="F226" s="18" t="str">
        <f t="shared" si="6"/>
        <v>Flat 17</v>
      </c>
      <c r="G226" s="18">
        <f t="shared" si="7"/>
        <v>0.91</v>
      </c>
    </row>
    <row r="227" spans="2:7" x14ac:dyDescent="0.2">
      <c r="B227" s="16" t="s">
        <v>195</v>
      </c>
      <c r="C227" s="16">
        <v>10967</v>
      </c>
      <c r="D227" s="16">
        <v>1.1299999999999999</v>
      </c>
      <c r="E227" s="16" t="s">
        <v>186</v>
      </c>
      <c r="F227" s="18" t="str">
        <f t="shared" si="6"/>
        <v>Flat 17</v>
      </c>
      <c r="G227" s="18">
        <f t="shared" si="7"/>
        <v>1.1299999999999999</v>
      </c>
    </row>
    <row r="228" spans="2:7" x14ac:dyDescent="0.2">
      <c r="B228" s="16" t="s">
        <v>195</v>
      </c>
      <c r="C228" s="16">
        <v>10970</v>
      </c>
      <c r="D228" s="16">
        <v>1.1299999999999999</v>
      </c>
      <c r="E228" s="16" t="s">
        <v>186</v>
      </c>
      <c r="F228" s="18" t="str">
        <f t="shared" si="6"/>
        <v>Flat 17</v>
      </c>
      <c r="G228" s="18">
        <f t="shared" si="7"/>
        <v>1.1299999999999999</v>
      </c>
    </row>
    <row r="229" spans="2:7" x14ac:dyDescent="0.2">
      <c r="B229" s="16" t="s">
        <v>195</v>
      </c>
      <c r="C229" s="16">
        <v>10833</v>
      </c>
      <c r="D229" s="16">
        <v>1.1299999999999999</v>
      </c>
      <c r="E229" s="16" t="s">
        <v>187</v>
      </c>
      <c r="F229" s="18" t="str">
        <f t="shared" si="6"/>
        <v>Flat 18</v>
      </c>
      <c r="G229" s="18">
        <f t="shared" si="7"/>
        <v>1.1299999999999999</v>
      </c>
    </row>
    <row r="230" spans="2:7" x14ac:dyDescent="0.2">
      <c r="B230" s="16" t="s">
        <v>195</v>
      </c>
      <c r="C230" s="16">
        <v>10836</v>
      </c>
      <c r="D230" s="16">
        <v>1.1299999999999999</v>
      </c>
      <c r="E230" s="16" t="s">
        <v>187</v>
      </c>
      <c r="F230" s="18" t="str">
        <f t="shared" si="6"/>
        <v>Flat 18</v>
      </c>
      <c r="G230" s="18">
        <f t="shared" si="7"/>
        <v>1.1299999999999999</v>
      </c>
    </row>
    <row r="231" spans="2:7" x14ac:dyDescent="0.2">
      <c r="B231" s="16" t="s">
        <v>195</v>
      </c>
      <c r="C231" s="16">
        <v>10467</v>
      </c>
      <c r="D231" s="16">
        <v>1.1299999999999999</v>
      </c>
      <c r="E231" s="16" t="s">
        <v>222</v>
      </c>
      <c r="F231" s="18" t="str">
        <f t="shared" si="6"/>
        <v>Flat 04</v>
      </c>
      <c r="G231" s="18">
        <f t="shared" si="7"/>
        <v>1.1299999999999999</v>
      </c>
    </row>
    <row r="232" spans="2:7" x14ac:dyDescent="0.2">
      <c r="B232" s="16" t="s">
        <v>195</v>
      </c>
      <c r="C232" s="16">
        <v>10910</v>
      </c>
      <c r="D232" s="16">
        <v>1.1299999999999999</v>
      </c>
      <c r="E232" s="16" t="s">
        <v>188</v>
      </c>
      <c r="F232" s="18" t="str">
        <f t="shared" si="6"/>
        <v>Flat 10</v>
      </c>
      <c r="G232" s="18">
        <f t="shared" si="7"/>
        <v>1.1299999999999999</v>
      </c>
    </row>
    <row r="233" spans="2:7" x14ac:dyDescent="0.2">
      <c r="B233" s="16" t="s">
        <v>195</v>
      </c>
      <c r="C233" s="16">
        <v>11618</v>
      </c>
      <c r="D233" s="16">
        <v>1.1299999999999999</v>
      </c>
      <c r="E233" s="16" t="s">
        <v>189</v>
      </c>
      <c r="F233" s="18" t="str">
        <f t="shared" si="6"/>
        <v>Flat 14</v>
      </c>
      <c r="G233" s="18">
        <f t="shared" si="7"/>
        <v>1.1299999999999999</v>
      </c>
    </row>
    <row r="234" spans="2:7" x14ac:dyDescent="0.2">
      <c r="B234" s="16" t="s">
        <v>195</v>
      </c>
      <c r="C234" s="16">
        <v>11621</v>
      </c>
      <c r="D234" s="16">
        <v>1.1299999999999999</v>
      </c>
      <c r="E234" s="16" t="s">
        <v>189</v>
      </c>
      <c r="F234" s="18" t="str">
        <f t="shared" si="6"/>
        <v>Flat 14</v>
      </c>
      <c r="G234" s="18">
        <f t="shared" si="7"/>
        <v>1.1299999999999999</v>
      </c>
    </row>
    <row r="235" spans="2:7" x14ac:dyDescent="0.2">
      <c r="B235" s="16" t="s">
        <v>195</v>
      </c>
      <c r="C235" s="16">
        <v>11599</v>
      </c>
      <c r="D235" s="16">
        <v>0.91</v>
      </c>
      <c r="E235" s="16" t="s">
        <v>189</v>
      </c>
      <c r="F235" s="18" t="str">
        <f t="shared" si="6"/>
        <v>Flat 14</v>
      </c>
      <c r="G235" s="18">
        <f t="shared" si="7"/>
        <v>0.91</v>
      </c>
    </row>
    <row r="236" spans="2:7" x14ac:dyDescent="0.2">
      <c r="B236" s="16" t="s">
        <v>195</v>
      </c>
      <c r="C236" s="16">
        <v>11602</v>
      </c>
      <c r="D236" s="16">
        <v>0.91</v>
      </c>
      <c r="E236" s="16" t="s">
        <v>189</v>
      </c>
      <c r="F236" s="18" t="str">
        <f t="shared" si="6"/>
        <v>Flat 14</v>
      </c>
      <c r="G236" s="18">
        <f t="shared" si="7"/>
        <v>0.91</v>
      </c>
    </row>
    <row r="237" spans="2:7" x14ac:dyDescent="0.2">
      <c r="B237" s="16" t="s">
        <v>195</v>
      </c>
      <c r="C237" s="16">
        <v>11050</v>
      </c>
      <c r="D237" s="16">
        <v>1.1299999999999999</v>
      </c>
      <c r="E237" s="16" t="s">
        <v>190</v>
      </c>
      <c r="F237" s="18" t="str">
        <f t="shared" si="6"/>
        <v>Flat 12</v>
      </c>
      <c r="G237" s="18">
        <f t="shared" si="7"/>
        <v>1.1299999999999999</v>
      </c>
    </row>
    <row r="238" spans="2:7" x14ac:dyDescent="0.2">
      <c r="B238" s="16" t="s">
        <v>195</v>
      </c>
      <c r="C238" s="16">
        <v>11047</v>
      </c>
      <c r="D238" s="16">
        <v>1.1299999999999999</v>
      </c>
      <c r="E238" s="16" t="s">
        <v>190</v>
      </c>
      <c r="F238" s="18" t="str">
        <f t="shared" si="6"/>
        <v>Flat 12</v>
      </c>
      <c r="G238" s="18">
        <f t="shared" si="7"/>
        <v>1.1299999999999999</v>
      </c>
    </row>
    <row r="239" spans="2:7" x14ac:dyDescent="0.2">
      <c r="B239" s="16" t="s">
        <v>195</v>
      </c>
      <c r="C239" s="16">
        <v>11394</v>
      </c>
      <c r="D239" s="16">
        <v>0.91</v>
      </c>
      <c r="E239" s="16" t="s">
        <v>191</v>
      </c>
      <c r="F239" s="18" t="str">
        <f t="shared" si="6"/>
        <v>Flat 11</v>
      </c>
      <c r="G239" s="18">
        <f t="shared" si="7"/>
        <v>0.91</v>
      </c>
    </row>
    <row r="240" spans="2:7" x14ac:dyDescent="0.2">
      <c r="B240" s="16" t="s">
        <v>195</v>
      </c>
      <c r="C240" s="16">
        <v>11378</v>
      </c>
      <c r="D240" s="16">
        <v>1.1299999999999999</v>
      </c>
      <c r="E240" s="16" t="s">
        <v>191</v>
      </c>
      <c r="F240" s="18" t="str">
        <f t="shared" si="6"/>
        <v>Flat 11</v>
      </c>
      <c r="G240" s="18">
        <f t="shared" si="7"/>
        <v>1.1299999999999999</v>
      </c>
    </row>
    <row r="241" spans="2:7" x14ac:dyDescent="0.2">
      <c r="B241" s="16" t="s">
        <v>195</v>
      </c>
      <c r="C241" s="16">
        <v>11381</v>
      </c>
      <c r="D241" s="16">
        <v>1.1299999999999999</v>
      </c>
      <c r="E241" s="16" t="s">
        <v>191</v>
      </c>
      <c r="F241" s="18" t="str">
        <f t="shared" si="6"/>
        <v>Flat 11</v>
      </c>
      <c r="G241" s="18">
        <f t="shared" si="7"/>
        <v>1.1299999999999999</v>
      </c>
    </row>
    <row r="242" spans="2:7" x14ac:dyDescent="0.2">
      <c r="B242" s="16" t="s">
        <v>195</v>
      </c>
      <c r="C242" s="16">
        <v>11466</v>
      </c>
      <c r="D242" s="16">
        <v>1.1299999999999999</v>
      </c>
      <c r="E242" s="16" t="s">
        <v>192</v>
      </c>
      <c r="F242" s="18" t="str">
        <f t="shared" si="6"/>
        <v>Flat 13</v>
      </c>
      <c r="G242" s="18">
        <f t="shared" si="7"/>
        <v>1.1299999999999999</v>
      </c>
    </row>
    <row r="243" spans="2:7" x14ac:dyDescent="0.2">
      <c r="B243" s="16" t="s">
        <v>195</v>
      </c>
      <c r="C243" s="16">
        <v>11472</v>
      </c>
      <c r="D243" s="16">
        <v>1.1299999999999999</v>
      </c>
      <c r="E243" s="16" t="s">
        <v>192</v>
      </c>
      <c r="F243" s="18" t="str">
        <f t="shared" si="6"/>
        <v>Flat 13</v>
      </c>
      <c r="G243" s="18">
        <f t="shared" si="7"/>
        <v>1.1299999999999999</v>
      </c>
    </row>
    <row r="244" spans="2:7" x14ac:dyDescent="0.2">
      <c r="B244" s="16" t="s">
        <v>195</v>
      </c>
      <c r="C244" s="16">
        <v>11463</v>
      </c>
      <c r="D244" s="16">
        <v>1.1299999999999999</v>
      </c>
      <c r="E244" s="16" t="s">
        <v>192</v>
      </c>
      <c r="F244" s="18" t="str">
        <f t="shared" si="6"/>
        <v>Flat 13</v>
      </c>
      <c r="G244" s="18">
        <f t="shared" si="7"/>
        <v>1.1299999999999999</v>
      </c>
    </row>
    <row r="245" spans="2:7" x14ac:dyDescent="0.2">
      <c r="B245" s="16" t="s">
        <v>195</v>
      </c>
      <c r="C245" s="16">
        <v>11469</v>
      </c>
      <c r="D245" s="16">
        <v>1.1299999999999999</v>
      </c>
      <c r="E245" s="16" t="s">
        <v>192</v>
      </c>
      <c r="F245" s="18" t="str">
        <f t="shared" si="6"/>
        <v>Flat 13</v>
      </c>
      <c r="G245" s="18">
        <f t="shared" si="7"/>
        <v>1.1299999999999999</v>
      </c>
    </row>
    <row r="246" spans="2:7" x14ac:dyDescent="0.2">
      <c r="B246" s="16" t="s">
        <v>196</v>
      </c>
      <c r="C246" s="16">
        <v>11240</v>
      </c>
      <c r="D246" s="16">
        <v>3.73</v>
      </c>
      <c r="E246" s="16" t="s">
        <v>184</v>
      </c>
      <c r="F246" s="18" t="str">
        <f t="shared" si="6"/>
        <v>Flat 15</v>
      </c>
      <c r="G246" s="18">
        <f t="shared" si="7"/>
        <v>3.73</v>
      </c>
    </row>
    <row r="247" spans="2:7" x14ac:dyDescent="0.2">
      <c r="B247" s="16" t="s">
        <v>196</v>
      </c>
      <c r="C247" s="16">
        <v>11238</v>
      </c>
      <c r="D247" s="16">
        <v>2.9</v>
      </c>
      <c r="E247" s="16" t="s">
        <v>184</v>
      </c>
      <c r="F247" s="18" t="str">
        <f t="shared" si="6"/>
        <v>Flat 15</v>
      </c>
      <c r="G247" s="18">
        <f t="shared" si="7"/>
        <v>2.9</v>
      </c>
    </row>
    <row r="248" spans="2:7" x14ac:dyDescent="0.2">
      <c r="B248" s="16" t="s">
        <v>196</v>
      </c>
      <c r="C248" s="16">
        <v>10791</v>
      </c>
      <c r="D248" s="16">
        <v>2.69</v>
      </c>
      <c r="E248" s="16" t="s">
        <v>185</v>
      </c>
      <c r="F248" s="18" t="str">
        <f t="shared" si="6"/>
        <v>Flat 16</v>
      </c>
      <c r="G248" s="18">
        <f t="shared" si="7"/>
        <v>2.69</v>
      </c>
    </row>
    <row r="249" spans="2:7" x14ac:dyDescent="0.2">
      <c r="B249" s="16" t="s">
        <v>196</v>
      </c>
      <c r="C249" s="16">
        <v>11006</v>
      </c>
      <c r="D249" s="16">
        <v>5.67</v>
      </c>
      <c r="E249" s="16" t="s">
        <v>186</v>
      </c>
      <c r="F249" s="18" t="str">
        <f t="shared" si="6"/>
        <v>Flat 17</v>
      </c>
      <c r="G249" s="18">
        <f t="shared" si="7"/>
        <v>5.67</v>
      </c>
    </row>
    <row r="250" spans="2:7" x14ac:dyDescent="0.2">
      <c r="B250" s="16" t="s">
        <v>196</v>
      </c>
      <c r="C250" s="16">
        <v>11004</v>
      </c>
      <c r="D250" s="16">
        <v>18.489999999999998</v>
      </c>
      <c r="E250" s="16" t="s">
        <v>186</v>
      </c>
      <c r="F250" s="18" t="str">
        <f t="shared" si="6"/>
        <v>Flat 17</v>
      </c>
      <c r="G250" s="18">
        <f t="shared" si="7"/>
        <v>18.489999999999998</v>
      </c>
    </row>
    <row r="251" spans="2:7" x14ac:dyDescent="0.2">
      <c r="B251" s="16" t="s">
        <v>196</v>
      </c>
      <c r="C251" s="16">
        <v>10905</v>
      </c>
      <c r="D251" s="16">
        <v>5.67</v>
      </c>
      <c r="E251" s="16" t="s">
        <v>187</v>
      </c>
      <c r="F251" s="18" t="str">
        <f t="shared" si="6"/>
        <v>Flat 18</v>
      </c>
      <c r="G251" s="18">
        <f t="shared" si="7"/>
        <v>5.67</v>
      </c>
    </row>
    <row r="252" spans="2:7" x14ac:dyDescent="0.2">
      <c r="B252" s="16" t="s">
        <v>196</v>
      </c>
      <c r="C252" s="16">
        <v>11648</v>
      </c>
      <c r="D252" s="16">
        <v>5.67</v>
      </c>
      <c r="E252" s="16" t="s">
        <v>189</v>
      </c>
      <c r="F252" s="18" t="str">
        <f t="shared" si="6"/>
        <v>Flat 14</v>
      </c>
      <c r="G252" s="18">
        <f t="shared" si="7"/>
        <v>5.67</v>
      </c>
    </row>
    <row r="253" spans="2:7" x14ac:dyDescent="0.2">
      <c r="B253" s="16" t="s">
        <v>196</v>
      </c>
      <c r="C253" s="16">
        <v>11641</v>
      </c>
      <c r="D253" s="16">
        <v>7.48</v>
      </c>
      <c r="E253" s="16" t="s">
        <v>189</v>
      </c>
      <c r="F253" s="18" t="str">
        <f t="shared" si="6"/>
        <v>Flat 14</v>
      </c>
      <c r="G253" s="18">
        <f t="shared" si="7"/>
        <v>7.48</v>
      </c>
    </row>
    <row r="254" spans="2:7" x14ac:dyDescent="0.2">
      <c r="B254" s="16" t="s">
        <v>196</v>
      </c>
      <c r="C254" s="16">
        <v>11499</v>
      </c>
      <c r="D254" s="16">
        <v>11.06</v>
      </c>
      <c r="E254" s="16" t="s">
        <v>192</v>
      </c>
      <c r="F254" s="18" t="str">
        <f t="shared" si="6"/>
        <v>Flat 13</v>
      </c>
      <c r="G254" s="18">
        <f t="shared" si="7"/>
        <v>11.06</v>
      </c>
    </row>
    <row r="255" spans="2:7" x14ac:dyDescent="0.2">
      <c r="B255" s="16" t="s">
        <v>196</v>
      </c>
      <c r="C255" s="16">
        <v>11502</v>
      </c>
      <c r="D255" s="16">
        <v>3.53</v>
      </c>
      <c r="E255" s="16" t="s">
        <v>192</v>
      </c>
      <c r="F255" s="18" t="str">
        <f t="shared" si="6"/>
        <v>Flat 13</v>
      </c>
      <c r="G255" s="18">
        <f t="shared" si="7"/>
        <v>3.53</v>
      </c>
    </row>
    <row r="256" spans="2:7" x14ac:dyDescent="0.2">
      <c r="B256" s="16" t="s">
        <v>197</v>
      </c>
      <c r="C256" s="16">
        <v>10352</v>
      </c>
      <c r="D256" s="16">
        <v>2.77</v>
      </c>
      <c r="E256" s="16" t="s">
        <v>215</v>
      </c>
      <c r="F256" s="18" t="str">
        <f t="shared" si="6"/>
        <v>Flat 02</v>
      </c>
      <c r="G256" s="18">
        <f t="shared" si="7"/>
        <v>2.77</v>
      </c>
    </row>
    <row r="257" spans="2:7" x14ac:dyDescent="0.2">
      <c r="B257" s="16" t="s">
        <v>197</v>
      </c>
      <c r="C257" s="16">
        <v>10435</v>
      </c>
      <c r="D257" s="16">
        <v>2.77</v>
      </c>
      <c r="E257" s="16" t="s">
        <v>218</v>
      </c>
      <c r="F257" s="18" t="str">
        <f t="shared" si="6"/>
        <v>Flat 03</v>
      </c>
      <c r="G257" s="18">
        <f t="shared" si="7"/>
        <v>2.77</v>
      </c>
    </row>
    <row r="258" spans="2:7" x14ac:dyDescent="0.2">
      <c r="B258" s="16" t="s">
        <v>197</v>
      </c>
      <c r="C258" s="16">
        <v>10436</v>
      </c>
      <c r="D258" s="16">
        <v>2.77</v>
      </c>
      <c r="E258" s="16" t="s">
        <v>218</v>
      </c>
      <c r="F258" s="18" t="str">
        <f t="shared" si="6"/>
        <v>Flat 03</v>
      </c>
      <c r="G258" s="18">
        <f t="shared" si="7"/>
        <v>2.77</v>
      </c>
    </row>
    <row r="259" spans="2:7" x14ac:dyDescent="0.2">
      <c r="B259" s="16" t="s">
        <v>197</v>
      </c>
      <c r="C259" s="16">
        <v>11349</v>
      </c>
      <c r="D259" s="16">
        <v>2.77</v>
      </c>
      <c r="E259" s="16" t="s">
        <v>216</v>
      </c>
      <c r="F259" s="18" t="str">
        <f t="shared" si="6"/>
        <v>Flat 07</v>
      </c>
      <c r="G259" s="18">
        <f t="shared" si="7"/>
        <v>2.77</v>
      </c>
    </row>
    <row r="260" spans="2:7" x14ac:dyDescent="0.2">
      <c r="B260" s="16" t="s">
        <v>197</v>
      </c>
      <c r="C260" s="16">
        <v>10742</v>
      </c>
      <c r="D260" s="16">
        <v>2.77</v>
      </c>
      <c r="E260" s="16" t="s">
        <v>220</v>
      </c>
      <c r="F260" s="18" t="str">
        <f t="shared" si="6"/>
        <v>Flat 09</v>
      </c>
      <c r="G260" s="18">
        <f t="shared" si="7"/>
        <v>2.77</v>
      </c>
    </row>
    <row r="261" spans="2:7" x14ac:dyDescent="0.2">
      <c r="B261" s="16" t="s">
        <v>197</v>
      </c>
      <c r="C261" s="16">
        <v>10741</v>
      </c>
      <c r="D261" s="16">
        <v>2.77</v>
      </c>
      <c r="E261" s="16" t="s">
        <v>220</v>
      </c>
      <c r="F261" s="18" t="str">
        <f t="shared" si="6"/>
        <v>Flat 09</v>
      </c>
      <c r="G261" s="18">
        <f t="shared" si="7"/>
        <v>2.77</v>
      </c>
    </row>
    <row r="262" spans="2:7" x14ac:dyDescent="0.2">
      <c r="B262" s="16" t="s">
        <v>197</v>
      </c>
      <c r="C262" s="16">
        <v>11176</v>
      </c>
      <c r="D262" s="16">
        <v>2.77</v>
      </c>
      <c r="E262" s="16" t="s">
        <v>217</v>
      </c>
      <c r="F262" s="18" t="str">
        <f t="shared" si="6"/>
        <v>Flat 08</v>
      </c>
      <c r="G262" s="18">
        <f t="shared" si="7"/>
        <v>2.77</v>
      </c>
    </row>
    <row r="263" spans="2:7" x14ac:dyDescent="0.2">
      <c r="B263" s="16" t="s">
        <v>197</v>
      </c>
      <c r="C263" s="16">
        <v>11175</v>
      </c>
      <c r="D263" s="16">
        <v>2.77</v>
      </c>
      <c r="E263" s="16" t="s">
        <v>217</v>
      </c>
      <c r="F263" s="18" t="str">
        <f t="shared" ref="F263:F326" si="8">LEFT(E263,7)</f>
        <v>Flat 08</v>
      </c>
      <c r="G263" s="18">
        <f t="shared" ref="G263:G326" si="9">D263</f>
        <v>2.77</v>
      </c>
    </row>
    <row r="264" spans="2:7" x14ac:dyDescent="0.2">
      <c r="B264" s="16" t="s">
        <v>197</v>
      </c>
      <c r="C264" s="16">
        <v>11254</v>
      </c>
      <c r="D264" s="16">
        <v>2.86</v>
      </c>
      <c r="E264" s="16" t="s">
        <v>184</v>
      </c>
      <c r="F264" s="18" t="str">
        <f t="shared" si="8"/>
        <v>Flat 15</v>
      </c>
      <c r="G264" s="18">
        <f t="shared" si="9"/>
        <v>2.86</v>
      </c>
    </row>
    <row r="265" spans="2:7" x14ac:dyDescent="0.2">
      <c r="B265" s="16" t="s">
        <v>197</v>
      </c>
      <c r="C265" s="16">
        <v>11255</v>
      </c>
      <c r="D265" s="16">
        <v>2.86</v>
      </c>
      <c r="E265" s="16" t="s">
        <v>184</v>
      </c>
      <c r="F265" s="18" t="str">
        <f t="shared" si="8"/>
        <v>Flat 15</v>
      </c>
      <c r="G265" s="18">
        <f t="shared" si="9"/>
        <v>2.86</v>
      </c>
    </row>
    <row r="266" spans="2:7" x14ac:dyDescent="0.2">
      <c r="B266" s="16" t="s">
        <v>197</v>
      </c>
      <c r="C266" s="16">
        <v>10795</v>
      </c>
      <c r="D266" s="16">
        <v>2.86</v>
      </c>
      <c r="E266" s="16" t="s">
        <v>185</v>
      </c>
      <c r="F266" s="18" t="str">
        <f t="shared" si="8"/>
        <v>Flat 16</v>
      </c>
      <c r="G266" s="18">
        <f t="shared" si="9"/>
        <v>2.86</v>
      </c>
    </row>
    <row r="267" spans="2:7" x14ac:dyDescent="0.2">
      <c r="B267" s="16" t="s">
        <v>197</v>
      </c>
      <c r="C267" s="16">
        <v>10489</v>
      </c>
      <c r="D267" s="16">
        <v>2.77</v>
      </c>
      <c r="E267" s="16" t="s">
        <v>222</v>
      </c>
      <c r="F267" s="18" t="str">
        <f t="shared" si="8"/>
        <v>Flat 04</v>
      </c>
      <c r="G267" s="18">
        <f t="shared" si="9"/>
        <v>2.77</v>
      </c>
    </row>
    <row r="268" spans="2:7" x14ac:dyDescent="0.2">
      <c r="B268" s="16" t="s">
        <v>197</v>
      </c>
      <c r="C268" s="16">
        <v>10478</v>
      </c>
      <c r="D268" s="16">
        <v>2.69</v>
      </c>
      <c r="E268" s="16" t="s">
        <v>222</v>
      </c>
      <c r="F268" s="18" t="str">
        <f t="shared" si="8"/>
        <v>Flat 04</v>
      </c>
      <c r="G268" s="18">
        <f t="shared" si="9"/>
        <v>2.69</v>
      </c>
    </row>
    <row r="269" spans="2:7" x14ac:dyDescent="0.2">
      <c r="B269" s="16" t="s">
        <v>197</v>
      </c>
      <c r="C269" s="16">
        <v>10932</v>
      </c>
      <c r="D269" s="16">
        <v>2.77</v>
      </c>
      <c r="E269" s="16" t="s">
        <v>188</v>
      </c>
      <c r="F269" s="18" t="str">
        <f t="shared" si="8"/>
        <v>Flat 10</v>
      </c>
      <c r="G269" s="18">
        <f t="shared" si="9"/>
        <v>2.77</v>
      </c>
    </row>
    <row r="270" spans="2:7" x14ac:dyDescent="0.2">
      <c r="B270" s="16" t="s">
        <v>197</v>
      </c>
      <c r="C270" s="16">
        <v>11654</v>
      </c>
      <c r="D270" s="16">
        <v>2.86</v>
      </c>
      <c r="E270" s="16" t="s">
        <v>189</v>
      </c>
      <c r="F270" s="18" t="str">
        <f t="shared" si="8"/>
        <v>Flat 14</v>
      </c>
      <c r="G270" s="18">
        <f t="shared" si="9"/>
        <v>2.86</v>
      </c>
    </row>
    <row r="271" spans="2:7" x14ac:dyDescent="0.2">
      <c r="B271" s="16" t="s">
        <v>197</v>
      </c>
      <c r="C271" s="16">
        <v>11653</v>
      </c>
      <c r="D271" s="16">
        <v>2.86</v>
      </c>
      <c r="E271" s="16" t="s">
        <v>189</v>
      </c>
      <c r="F271" s="18" t="str">
        <f t="shared" si="8"/>
        <v>Flat 14</v>
      </c>
      <c r="G271" s="18">
        <f t="shared" si="9"/>
        <v>2.86</v>
      </c>
    </row>
    <row r="272" spans="2:7" x14ac:dyDescent="0.2">
      <c r="B272" s="16" t="s">
        <v>197</v>
      </c>
      <c r="C272" s="16">
        <v>11506</v>
      </c>
      <c r="D272" s="16">
        <v>2.86</v>
      </c>
      <c r="E272" s="16" t="s">
        <v>192</v>
      </c>
      <c r="F272" s="18" t="str">
        <f t="shared" si="8"/>
        <v>Flat 13</v>
      </c>
      <c r="G272" s="18">
        <f t="shared" si="9"/>
        <v>2.86</v>
      </c>
    </row>
    <row r="273" spans="2:7" x14ac:dyDescent="0.2">
      <c r="B273" s="16" t="s">
        <v>198</v>
      </c>
      <c r="C273" s="16">
        <v>11332</v>
      </c>
      <c r="D273" s="16">
        <v>2.0499999999999998</v>
      </c>
      <c r="E273" s="16" t="s">
        <v>216</v>
      </c>
      <c r="F273" s="18" t="str">
        <f t="shared" si="8"/>
        <v>Flat 07</v>
      </c>
      <c r="G273" s="18">
        <f t="shared" si="9"/>
        <v>2.0499999999999998</v>
      </c>
    </row>
    <row r="274" spans="2:7" x14ac:dyDescent="0.2">
      <c r="B274" s="16" t="s">
        <v>199</v>
      </c>
      <c r="C274" s="16">
        <v>10326</v>
      </c>
      <c r="D274" s="16">
        <v>1.58</v>
      </c>
      <c r="E274" s="16" t="s">
        <v>215</v>
      </c>
      <c r="F274" s="18" t="str">
        <f t="shared" si="8"/>
        <v>Flat 02</v>
      </c>
      <c r="G274" s="18">
        <f t="shared" si="9"/>
        <v>1.58</v>
      </c>
    </row>
    <row r="275" spans="2:7" x14ac:dyDescent="0.2">
      <c r="B275" s="16" t="s">
        <v>199</v>
      </c>
      <c r="C275" s="16">
        <v>10327</v>
      </c>
      <c r="D275" s="16">
        <v>1.58</v>
      </c>
      <c r="E275" s="16" t="s">
        <v>215</v>
      </c>
      <c r="F275" s="18" t="str">
        <f t="shared" si="8"/>
        <v>Flat 02</v>
      </c>
      <c r="G275" s="18">
        <f t="shared" si="9"/>
        <v>1.58</v>
      </c>
    </row>
    <row r="276" spans="2:7" x14ac:dyDescent="0.2">
      <c r="B276" s="16" t="s">
        <v>199</v>
      </c>
      <c r="C276" s="16">
        <v>10328</v>
      </c>
      <c r="D276" s="16">
        <v>1.58</v>
      </c>
      <c r="E276" s="16" t="s">
        <v>215</v>
      </c>
      <c r="F276" s="18" t="str">
        <f t="shared" si="8"/>
        <v>Flat 02</v>
      </c>
      <c r="G276" s="18">
        <f t="shared" si="9"/>
        <v>1.58</v>
      </c>
    </row>
    <row r="277" spans="2:7" x14ac:dyDescent="0.2">
      <c r="B277" s="16" t="s">
        <v>199</v>
      </c>
      <c r="C277" s="16">
        <v>10325</v>
      </c>
      <c r="D277" s="16">
        <v>1.58</v>
      </c>
      <c r="E277" s="16" t="s">
        <v>215</v>
      </c>
      <c r="F277" s="18" t="str">
        <f t="shared" si="8"/>
        <v>Flat 02</v>
      </c>
      <c r="G277" s="18">
        <f t="shared" si="9"/>
        <v>1.58</v>
      </c>
    </row>
    <row r="278" spans="2:7" x14ac:dyDescent="0.2">
      <c r="B278" s="16" t="s">
        <v>199</v>
      </c>
      <c r="C278" s="16">
        <v>10307</v>
      </c>
      <c r="D278" s="16">
        <v>1.58</v>
      </c>
      <c r="E278" s="16" t="s">
        <v>215</v>
      </c>
      <c r="F278" s="18" t="str">
        <f t="shared" si="8"/>
        <v>Flat 02</v>
      </c>
      <c r="G278" s="18">
        <f t="shared" si="9"/>
        <v>1.58</v>
      </c>
    </row>
    <row r="279" spans="2:7" x14ac:dyDescent="0.2">
      <c r="B279" s="16" t="s">
        <v>199</v>
      </c>
      <c r="C279" s="16">
        <v>10309</v>
      </c>
      <c r="D279" s="16">
        <v>1.58</v>
      </c>
      <c r="E279" s="16" t="s">
        <v>215</v>
      </c>
      <c r="F279" s="18" t="str">
        <f t="shared" si="8"/>
        <v>Flat 02</v>
      </c>
      <c r="G279" s="18">
        <f t="shared" si="9"/>
        <v>1.58</v>
      </c>
    </row>
    <row r="280" spans="2:7" x14ac:dyDescent="0.2">
      <c r="B280" s="16" t="s">
        <v>199</v>
      </c>
      <c r="C280" s="16">
        <v>10306</v>
      </c>
      <c r="D280" s="16">
        <v>1.58</v>
      </c>
      <c r="E280" s="16" t="s">
        <v>215</v>
      </c>
      <c r="F280" s="18" t="str">
        <f t="shared" si="8"/>
        <v>Flat 02</v>
      </c>
      <c r="G280" s="18">
        <f t="shared" si="9"/>
        <v>1.58</v>
      </c>
    </row>
    <row r="281" spans="2:7" x14ac:dyDescent="0.2">
      <c r="B281" s="16" t="s">
        <v>199</v>
      </c>
      <c r="C281" s="16">
        <v>10308</v>
      </c>
      <c r="D281" s="16">
        <v>1.58</v>
      </c>
      <c r="E281" s="16" t="s">
        <v>215</v>
      </c>
      <c r="F281" s="18" t="str">
        <f t="shared" si="8"/>
        <v>Flat 02</v>
      </c>
      <c r="G281" s="18">
        <f t="shared" si="9"/>
        <v>1.58</v>
      </c>
    </row>
    <row r="282" spans="2:7" x14ac:dyDescent="0.2">
      <c r="B282" s="16" t="s">
        <v>199</v>
      </c>
      <c r="C282" s="16">
        <v>10366</v>
      </c>
      <c r="D282" s="16">
        <v>2.12</v>
      </c>
      <c r="E282" s="16" t="s">
        <v>215</v>
      </c>
      <c r="F282" s="18" t="str">
        <f t="shared" si="8"/>
        <v>Flat 02</v>
      </c>
      <c r="G282" s="18">
        <f t="shared" si="9"/>
        <v>2.12</v>
      </c>
    </row>
    <row r="283" spans="2:7" x14ac:dyDescent="0.2">
      <c r="B283" s="16" t="s">
        <v>199</v>
      </c>
      <c r="C283" s="16">
        <v>10368</v>
      </c>
      <c r="D283" s="16">
        <v>2.12</v>
      </c>
      <c r="E283" s="16" t="s">
        <v>215</v>
      </c>
      <c r="F283" s="18" t="str">
        <f t="shared" si="8"/>
        <v>Flat 02</v>
      </c>
      <c r="G283" s="18">
        <f t="shared" si="9"/>
        <v>2.12</v>
      </c>
    </row>
    <row r="284" spans="2:7" x14ac:dyDescent="0.2">
      <c r="B284" s="16" t="s">
        <v>199</v>
      </c>
      <c r="C284" s="16">
        <v>10429</v>
      </c>
      <c r="D284" s="16">
        <v>2.1</v>
      </c>
      <c r="E284" s="16" t="s">
        <v>218</v>
      </c>
      <c r="F284" s="18" t="str">
        <f t="shared" si="8"/>
        <v>Flat 03</v>
      </c>
      <c r="G284" s="18">
        <f t="shared" si="9"/>
        <v>2.1</v>
      </c>
    </row>
    <row r="285" spans="2:7" x14ac:dyDescent="0.2">
      <c r="B285" s="16" t="s">
        <v>199</v>
      </c>
      <c r="C285" s="16">
        <v>10431</v>
      </c>
      <c r="D285" s="16">
        <v>2.1</v>
      </c>
      <c r="E285" s="16" t="s">
        <v>218</v>
      </c>
      <c r="F285" s="18" t="str">
        <f t="shared" si="8"/>
        <v>Flat 03</v>
      </c>
      <c r="G285" s="18">
        <f t="shared" si="9"/>
        <v>2.1</v>
      </c>
    </row>
    <row r="286" spans="2:7" x14ac:dyDescent="0.2">
      <c r="B286" s="16" t="s">
        <v>199</v>
      </c>
      <c r="C286" s="16">
        <v>10401</v>
      </c>
      <c r="D286" s="16">
        <v>1.58</v>
      </c>
      <c r="E286" s="16" t="s">
        <v>218</v>
      </c>
      <c r="F286" s="18" t="str">
        <f t="shared" si="8"/>
        <v>Flat 03</v>
      </c>
      <c r="G286" s="18">
        <f t="shared" si="9"/>
        <v>1.58</v>
      </c>
    </row>
    <row r="287" spans="2:7" x14ac:dyDescent="0.2">
      <c r="B287" s="16" t="s">
        <v>199</v>
      </c>
      <c r="C287" s="16">
        <v>10399</v>
      </c>
      <c r="D287" s="16">
        <v>1.58</v>
      </c>
      <c r="E287" s="16" t="s">
        <v>218</v>
      </c>
      <c r="F287" s="18" t="str">
        <f t="shared" si="8"/>
        <v>Flat 03</v>
      </c>
      <c r="G287" s="18">
        <f t="shared" si="9"/>
        <v>1.58</v>
      </c>
    </row>
    <row r="288" spans="2:7" x14ac:dyDescent="0.2">
      <c r="B288" s="16" t="s">
        <v>199</v>
      </c>
      <c r="C288" s="16">
        <v>10400</v>
      </c>
      <c r="D288" s="16">
        <v>1.58</v>
      </c>
      <c r="E288" s="16" t="s">
        <v>218</v>
      </c>
      <c r="F288" s="18" t="str">
        <f t="shared" si="8"/>
        <v>Flat 03</v>
      </c>
      <c r="G288" s="18">
        <f t="shared" si="9"/>
        <v>1.58</v>
      </c>
    </row>
    <row r="289" spans="2:7" x14ac:dyDescent="0.2">
      <c r="B289" s="16" t="s">
        <v>199</v>
      </c>
      <c r="C289" s="16">
        <v>10397</v>
      </c>
      <c r="D289" s="16">
        <v>1.58</v>
      </c>
      <c r="E289" s="16" t="s">
        <v>218</v>
      </c>
      <c r="F289" s="18" t="str">
        <f t="shared" si="8"/>
        <v>Flat 03</v>
      </c>
      <c r="G289" s="18">
        <f t="shared" si="9"/>
        <v>1.58</v>
      </c>
    </row>
    <row r="290" spans="2:7" x14ac:dyDescent="0.2">
      <c r="B290" s="16" t="s">
        <v>199</v>
      </c>
      <c r="C290" s="16">
        <v>10396</v>
      </c>
      <c r="D290" s="16">
        <v>1.58</v>
      </c>
      <c r="E290" s="16" t="s">
        <v>218</v>
      </c>
      <c r="F290" s="18" t="str">
        <f t="shared" si="8"/>
        <v>Flat 03</v>
      </c>
      <c r="G290" s="18">
        <f t="shared" si="9"/>
        <v>1.58</v>
      </c>
    </row>
    <row r="291" spans="2:7" x14ac:dyDescent="0.2">
      <c r="B291" s="16" t="s">
        <v>199</v>
      </c>
      <c r="C291" s="16">
        <v>10398</v>
      </c>
      <c r="D291" s="16">
        <v>1.58</v>
      </c>
      <c r="E291" s="16" t="s">
        <v>218</v>
      </c>
      <c r="F291" s="18" t="str">
        <f t="shared" si="8"/>
        <v>Flat 03</v>
      </c>
      <c r="G291" s="18">
        <f t="shared" si="9"/>
        <v>1.58</v>
      </c>
    </row>
    <row r="292" spans="2:7" x14ac:dyDescent="0.2">
      <c r="B292" s="16" t="s">
        <v>199</v>
      </c>
      <c r="C292" s="16">
        <v>10377</v>
      </c>
      <c r="D292" s="16">
        <v>1.58</v>
      </c>
      <c r="E292" s="16" t="s">
        <v>218</v>
      </c>
      <c r="F292" s="18" t="str">
        <f t="shared" si="8"/>
        <v>Flat 03</v>
      </c>
      <c r="G292" s="18">
        <f t="shared" si="9"/>
        <v>1.58</v>
      </c>
    </row>
    <row r="293" spans="2:7" x14ac:dyDescent="0.2">
      <c r="B293" s="16" t="s">
        <v>199</v>
      </c>
      <c r="C293" s="16">
        <v>10376</v>
      </c>
      <c r="D293" s="16">
        <v>1.58</v>
      </c>
      <c r="E293" s="16" t="s">
        <v>218</v>
      </c>
      <c r="F293" s="18" t="str">
        <f t="shared" si="8"/>
        <v>Flat 03</v>
      </c>
      <c r="G293" s="18">
        <f t="shared" si="9"/>
        <v>1.58</v>
      </c>
    </row>
    <row r="294" spans="2:7" x14ac:dyDescent="0.2">
      <c r="B294" s="16" t="s">
        <v>199</v>
      </c>
      <c r="C294" s="16">
        <v>10521</v>
      </c>
      <c r="D294" s="16">
        <v>2.09</v>
      </c>
      <c r="E294" s="16" t="s">
        <v>219</v>
      </c>
      <c r="F294" s="18" t="str">
        <f t="shared" si="8"/>
        <v>Flat 06</v>
      </c>
      <c r="G294" s="18">
        <f t="shared" si="9"/>
        <v>2.09</v>
      </c>
    </row>
    <row r="295" spans="2:7" x14ac:dyDescent="0.2">
      <c r="B295" s="16" t="s">
        <v>199</v>
      </c>
      <c r="C295" s="16">
        <v>10523</v>
      </c>
      <c r="D295" s="16">
        <v>2.09</v>
      </c>
      <c r="E295" s="16" t="s">
        <v>219</v>
      </c>
      <c r="F295" s="18" t="str">
        <f t="shared" si="8"/>
        <v>Flat 06</v>
      </c>
      <c r="G295" s="18">
        <f t="shared" si="9"/>
        <v>2.09</v>
      </c>
    </row>
    <row r="296" spans="2:7" x14ac:dyDescent="0.2">
      <c r="B296" s="16" t="s">
        <v>199</v>
      </c>
      <c r="C296" s="16">
        <v>10539</v>
      </c>
      <c r="D296" s="16">
        <v>1.58</v>
      </c>
      <c r="E296" s="16" t="s">
        <v>219</v>
      </c>
      <c r="F296" s="18" t="str">
        <f t="shared" si="8"/>
        <v>Flat 06</v>
      </c>
      <c r="G296" s="18">
        <f t="shared" si="9"/>
        <v>1.58</v>
      </c>
    </row>
    <row r="297" spans="2:7" x14ac:dyDescent="0.2">
      <c r="B297" s="16" t="s">
        <v>199</v>
      </c>
      <c r="C297" s="16">
        <v>10540</v>
      </c>
      <c r="D297" s="16">
        <v>1.58</v>
      </c>
      <c r="E297" s="16" t="s">
        <v>219</v>
      </c>
      <c r="F297" s="18" t="str">
        <f t="shared" si="8"/>
        <v>Flat 06</v>
      </c>
      <c r="G297" s="18">
        <f t="shared" si="9"/>
        <v>1.58</v>
      </c>
    </row>
    <row r="298" spans="2:7" x14ac:dyDescent="0.2">
      <c r="B298" s="16" t="s">
        <v>199</v>
      </c>
      <c r="C298" s="16">
        <v>10538</v>
      </c>
      <c r="D298" s="16">
        <v>1.58</v>
      </c>
      <c r="E298" s="16" t="s">
        <v>219</v>
      </c>
      <c r="F298" s="18" t="str">
        <f t="shared" si="8"/>
        <v>Flat 06</v>
      </c>
      <c r="G298" s="18">
        <f t="shared" si="9"/>
        <v>1.58</v>
      </c>
    </row>
    <row r="299" spans="2:7" x14ac:dyDescent="0.2">
      <c r="B299" s="16" t="s">
        <v>199</v>
      </c>
      <c r="C299" s="16">
        <v>10537</v>
      </c>
      <c r="D299" s="16">
        <v>1.58</v>
      </c>
      <c r="E299" s="16" t="s">
        <v>219</v>
      </c>
      <c r="F299" s="18" t="str">
        <f t="shared" si="8"/>
        <v>Flat 06</v>
      </c>
      <c r="G299" s="18">
        <f t="shared" si="9"/>
        <v>1.58</v>
      </c>
    </row>
    <row r="300" spans="2:7" x14ac:dyDescent="0.2">
      <c r="B300" s="16" t="s">
        <v>199</v>
      </c>
      <c r="C300" s="16">
        <v>11325</v>
      </c>
      <c r="D300" s="16">
        <v>2.09</v>
      </c>
      <c r="E300" s="16" t="s">
        <v>216</v>
      </c>
      <c r="F300" s="18" t="str">
        <f t="shared" si="8"/>
        <v>Flat 07</v>
      </c>
      <c r="G300" s="18">
        <f t="shared" si="9"/>
        <v>2.09</v>
      </c>
    </row>
    <row r="301" spans="2:7" x14ac:dyDescent="0.2">
      <c r="B301" s="16" t="s">
        <v>199</v>
      </c>
      <c r="C301" s="16">
        <v>11327</v>
      </c>
      <c r="D301" s="16">
        <v>2.09</v>
      </c>
      <c r="E301" s="16" t="s">
        <v>216</v>
      </c>
      <c r="F301" s="18" t="str">
        <f t="shared" si="8"/>
        <v>Flat 07</v>
      </c>
      <c r="G301" s="18">
        <f t="shared" si="9"/>
        <v>2.09</v>
      </c>
    </row>
    <row r="302" spans="2:7" x14ac:dyDescent="0.2">
      <c r="B302" s="16" t="s">
        <v>199</v>
      </c>
      <c r="C302" s="16">
        <v>11303</v>
      </c>
      <c r="D302" s="16">
        <v>1.58</v>
      </c>
      <c r="E302" s="16" t="s">
        <v>216</v>
      </c>
      <c r="F302" s="18" t="str">
        <f t="shared" si="8"/>
        <v>Flat 07</v>
      </c>
      <c r="G302" s="18">
        <f t="shared" si="9"/>
        <v>1.58</v>
      </c>
    </row>
    <row r="303" spans="2:7" x14ac:dyDescent="0.2">
      <c r="B303" s="16" t="s">
        <v>199</v>
      </c>
      <c r="C303" s="16">
        <v>11301</v>
      </c>
      <c r="D303" s="16">
        <v>1.58</v>
      </c>
      <c r="E303" s="16" t="s">
        <v>216</v>
      </c>
      <c r="F303" s="18" t="str">
        <f t="shared" si="8"/>
        <v>Flat 07</v>
      </c>
      <c r="G303" s="18">
        <f t="shared" si="9"/>
        <v>1.58</v>
      </c>
    </row>
    <row r="304" spans="2:7" x14ac:dyDescent="0.2">
      <c r="B304" s="16" t="s">
        <v>199</v>
      </c>
      <c r="C304" s="16">
        <v>11305</v>
      </c>
      <c r="D304" s="16">
        <v>1.58</v>
      </c>
      <c r="E304" s="16" t="s">
        <v>216</v>
      </c>
      <c r="F304" s="18" t="str">
        <f t="shared" si="8"/>
        <v>Flat 07</v>
      </c>
      <c r="G304" s="18">
        <f t="shared" si="9"/>
        <v>1.58</v>
      </c>
    </row>
    <row r="305" spans="2:7" x14ac:dyDescent="0.2">
      <c r="B305" s="16" t="s">
        <v>199</v>
      </c>
      <c r="C305" s="16">
        <v>11302</v>
      </c>
      <c r="D305" s="16">
        <v>1.58</v>
      </c>
      <c r="E305" s="16" t="s">
        <v>216</v>
      </c>
      <c r="F305" s="18" t="str">
        <f t="shared" si="8"/>
        <v>Flat 07</v>
      </c>
      <c r="G305" s="18">
        <f t="shared" si="9"/>
        <v>1.58</v>
      </c>
    </row>
    <row r="306" spans="2:7" x14ac:dyDescent="0.2">
      <c r="B306" s="16" t="s">
        <v>199</v>
      </c>
      <c r="C306" s="16">
        <v>11304</v>
      </c>
      <c r="D306" s="16">
        <v>1.58</v>
      </c>
      <c r="E306" s="16" t="s">
        <v>216</v>
      </c>
      <c r="F306" s="18" t="str">
        <f t="shared" si="8"/>
        <v>Flat 07</v>
      </c>
      <c r="G306" s="18">
        <f t="shared" si="9"/>
        <v>1.58</v>
      </c>
    </row>
    <row r="307" spans="2:7" x14ac:dyDescent="0.2">
      <c r="B307" s="16" t="s">
        <v>199</v>
      </c>
      <c r="C307" s="16">
        <v>11306</v>
      </c>
      <c r="D307" s="16">
        <v>1.58</v>
      </c>
      <c r="E307" s="16" t="s">
        <v>216</v>
      </c>
      <c r="F307" s="18" t="str">
        <f t="shared" si="8"/>
        <v>Flat 07</v>
      </c>
      <c r="G307" s="18">
        <f t="shared" si="9"/>
        <v>1.58</v>
      </c>
    </row>
    <row r="308" spans="2:7" x14ac:dyDescent="0.2">
      <c r="B308" s="16" t="s">
        <v>199</v>
      </c>
      <c r="C308" s="16">
        <v>11314</v>
      </c>
      <c r="D308" s="16">
        <v>1.58</v>
      </c>
      <c r="E308" s="16" t="s">
        <v>216</v>
      </c>
      <c r="F308" s="18" t="str">
        <f t="shared" si="8"/>
        <v>Flat 07</v>
      </c>
      <c r="G308" s="18">
        <f t="shared" si="9"/>
        <v>1.58</v>
      </c>
    </row>
    <row r="309" spans="2:7" x14ac:dyDescent="0.2">
      <c r="B309" s="16" t="s">
        <v>199</v>
      </c>
      <c r="C309" s="16">
        <v>11313</v>
      </c>
      <c r="D309" s="16">
        <v>1.58</v>
      </c>
      <c r="E309" s="16" t="s">
        <v>216</v>
      </c>
      <c r="F309" s="18" t="str">
        <f t="shared" si="8"/>
        <v>Flat 07</v>
      </c>
      <c r="G309" s="18">
        <f t="shared" si="9"/>
        <v>1.58</v>
      </c>
    </row>
    <row r="310" spans="2:7" x14ac:dyDescent="0.2">
      <c r="B310" s="16" t="s">
        <v>199</v>
      </c>
      <c r="C310" s="16">
        <v>11318</v>
      </c>
      <c r="D310" s="16">
        <v>2.1</v>
      </c>
      <c r="E310" s="16" t="s">
        <v>216</v>
      </c>
      <c r="F310" s="18" t="str">
        <f t="shared" si="8"/>
        <v>Flat 07</v>
      </c>
      <c r="G310" s="18">
        <f t="shared" si="9"/>
        <v>2.1</v>
      </c>
    </row>
    <row r="311" spans="2:7" x14ac:dyDescent="0.2">
      <c r="B311" s="16" t="s">
        <v>199</v>
      </c>
      <c r="C311" s="16">
        <v>11320</v>
      </c>
      <c r="D311" s="16">
        <v>2.1</v>
      </c>
      <c r="E311" s="16" t="s">
        <v>216</v>
      </c>
      <c r="F311" s="18" t="str">
        <f t="shared" si="8"/>
        <v>Flat 07</v>
      </c>
      <c r="G311" s="18">
        <f t="shared" si="9"/>
        <v>2.1</v>
      </c>
    </row>
    <row r="312" spans="2:7" x14ac:dyDescent="0.2">
      <c r="B312" s="16" t="s">
        <v>199</v>
      </c>
      <c r="C312" s="16">
        <v>10734</v>
      </c>
      <c r="D312" s="16">
        <v>2.1</v>
      </c>
      <c r="E312" s="16" t="s">
        <v>220</v>
      </c>
      <c r="F312" s="18" t="str">
        <f t="shared" si="8"/>
        <v>Flat 09</v>
      </c>
      <c r="G312" s="18">
        <f t="shared" si="9"/>
        <v>2.1</v>
      </c>
    </row>
    <row r="313" spans="2:7" x14ac:dyDescent="0.2">
      <c r="B313" s="16" t="s">
        <v>199</v>
      </c>
      <c r="C313" s="16">
        <v>10702</v>
      </c>
      <c r="D313" s="16">
        <v>1.58</v>
      </c>
      <c r="E313" s="16" t="s">
        <v>220</v>
      </c>
      <c r="F313" s="18" t="str">
        <f t="shared" si="8"/>
        <v>Flat 09</v>
      </c>
      <c r="G313" s="18">
        <f t="shared" si="9"/>
        <v>1.58</v>
      </c>
    </row>
    <row r="314" spans="2:7" x14ac:dyDescent="0.2">
      <c r="B314" s="16" t="s">
        <v>199</v>
      </c>
      <c r="C314" s="16">
        <v>10700</v>
      </c>
      <c r="D314" s="16">
        <v>1.58</v>
      </c>
      <c r="E314" s="16" t="s">
        <v>220</v>
      </c>
      <c r="F314" s="18" t="str">
        <f t="shared" si="8"/>
        <v>Flat 09</v>
      </c>
      <c r="G314" s="18">
        <f t="shared" si="9"/>
        <v>1.58</v>
      </c>
    </row>
    <row r="315" spans="2:7" x14ac:dyDescent="0.2">
      <c r="B315" s="16" t="s">
        <v>199</v>
      </c>
      <c r="C315" s="16">
        <v>10701</v>
      </c>
      <c r="D315" s="16">
        <v>1.58</v>
      </c>
      <c r="E315" s="16" t="s">
        <v>220</v>
      </c>
      <c r="F315" s="18" t="str">
        <f t="shared" si="8"/>
        <v>Flat 09</v>
      </c>
      <c r="G315" s="18">
        <f t="shared" si="9"/>
        <v>1.58</v>
      </c>
    </row>
    <row r="316" spans="2:7" x14ac:dyDescent="0.2">
      <c r="B316" s="16" t="s">
        <v>199</v>
      </c>
      <c r="C316" s="16">
        <v>10705</v>
      </c>
      <c r="D316" s="16">
        <v>1.58</v>
      </c>
      <c r="E316" s="16" t="s">
        <v>220</v>
      </c>
      <c r="F316" s="18" t="str">
        <f t="shared" si="8"/>
        <v>Flat 09</v>
      </c>
      <c r="G316" s="18">
        <f t="shared" si="9"/>
        <v>1.58</v>
      </c>
    </row>
    <row r="317" spans="2:7" x14ac:dyDescent="0.2">
      <c r="B317" s="16" t="s">
        <v>199</v>
      </c>
      <c r="C317" s="16">
        <v>10704</v>
      </c>
      <c r="D317" s="16">
        <v>1.58</v>
      </c>
      <c r="E317" s="16" t="s">
        <v>220</v>
      </c>
      <c r="F317" s="18" t="str">
        <f t="shared" si="8"/>
        <v>Flat 09</v>
      </c>
      <c r="G317" s="18">
        <f t="shared" si="9"/>
        <v>1.58</v>
      </c>
    </row>
    <row r="318" spans="2:7" x14ac:dyDescent="0.2">
      <c r="B318" s="16" t="s">
        <v>199</v>
      </c>
      <c r="C318" s="16">
        <v>10703</v>
      </c>
      <c r="D318" s="16">
        <v>1.58</v>
      </c>
      <c r="E318" s="16" t="s">
        <v>220</v>
      </c>
      <c r="F318" s="18" t="str">
        <f t="shared" si="8"/>
        <v>Flat 09</v>
      </c>
      <c r="G318" s="18">
        <f t="shared" si="9"/>
        <v>1.58</v>
      </c>
    </row>
    <row r="319" spans="2:7" x14ac:dyDescent="0.2">
      <c r="B319" s="16" t="s">
        <v>199</v>
      </c>
      <c r="C319" s="16">
        <v>10732</v>
      </c>
      <c r="D319" s="16">
        <v>2.1</v>
      </c>
      <c r="E319" s="16" t="s">
        <v>220</v>
      </c>
      <c r="F319" s="18" t="str">
        <f t="shared" si="8"/>
        <v>Flat 09</v>
      </c>
      <c r="G319" s="18">
        <f t="shared" si="9"/>
        <v>2.1</v>
      </c>
    </row>
    <row r="320" spans="2:7" x14ac:dyDescent="0.2">
      <c r="B320" s="16" t="s">
        <v>199</v>
      </c>
      <c r="C320" s="16">
        <v>10681</v>
      </c>
      <c r="D320" s="16">
        <v>1.58</v>
      </c>
      <c r="E320" s="16" t="s">
        <v>220</v>
      </c>
      <c r="F320" s="18" t="str">
        <f t="shared" si="8"/>
        <v>Flat 09</v>
      </c>
      <c r="G320" s="18">
        <f t="shared" si="9"/>
        <v>1.58</v>
      </c>
    </row>
    <row r="321" spans="2:7" x14ac:dyDescent="0.2">
      <c r="B321" s="16" t="s">
        <v>199</v>
      </c>
      <c r="C321" s="16">
        <v>10680</v>
      </c>
      <c r="D321" s="16">
        <v>1.58</v>
      </c>
      <c r="E321" s="16" t="s">
        <v>220</v>
      </c>
      <c r="F321" s="18" t="str">
        <f t="shared" si="8"/>
        <v>Flat 09</v>
      </c>
      <c r="G321" s="18">
        <f t="shared" si="9"/>
        <v>1.58</v>
      </c>
    </row>
    <row r="322" spans="2:7" x14ac:dyDescent="0.2">
      <c r="B322" s="16" t="s">
        <v>199</v>
      </c>
      <c r="C322" s="16">
        <v>11547</v>
      </c>
      <c r="D322" s="16">
        <v>2.09</v>
      </c>
      <c r="E322" s="16" t="s">
        <v>221</v>
      </c>
      <c r="F322" s="18" t="str">
        <f t="shared" si="8"/>
        <v>Flat 05</v>
      </c>
      <c r="G322" s="18">
        <f t="shared" si="9"/>
        <v>2.09</v>
      </c>
    </row>
    <row r="323" spans="2:7" x14ac:dyDescent="0.2">
      <c r="B323" s="16" t="s">
        <v>199</v>
      </c>
      <c r="C323" s="16">
        <v>11546</v>
      </c>
      <c r="D323" s="16">
        <v>1.58</v>
      </c>
      <c r="E323" s="16" t="s">
        <v>221</v>
      </c>
      <c r="F323" s="18" t="str">
        <f t="shared" si="8"/>
        <v>Flat 05</v>
      </c>
      <c r="G323" s="18">
        <f t="shared" si="9"/>
        <v>1.58</v>
      </c>
    </row>
    <row r="324" spans="2:7" x14ac:dyDescent="0.2">
      <c r="B324" s="16" t="s">
        <v>199</v>
      </c>
      <c r="C324" s="16">
        <v>11545</v>
      </c>
      <c r="D324" s="16">
        <v>1.58</v>
      </c>
      <c r="E324" s="16" t="s">
        <v>221</v>
      </c>
      <c r="F324" s="18" t="str">
        <f t="shared" si="8"/>
        <v>Flat 05</v>
      </c>
      <c r="G324" s="18">
        <f t="shared" si="9"/>
        <v>1.58</v>
      </c>
    </row>
    <row r="325" spans="2:7" x14ac:dyDescent="0.2">
      <c r="B325" s="16" t="s">
        <v>199</v>
      </c>
      <c r="C325" s="16">
        <v>11549</v>
      </c>
      <c r="D325" s="16">
        <v>2.09</v>
      </c>
      <c r="E325" s="16" t="s">
        <v>221</v>
      </c>
      <c r="F325" s="18" t="str">
        <f t="shared" si="8"/>
        <v>Flat 05</v>
      </c>
      <c r="G325" s="18">
        <f t="shared" si="9"/>
        <v>2.09</v>
      </c>
    </row>
    <row r="326" spans="2:7" x14ac:dyDescent="0.2">
      <c r="B326" s="16" t="s">
        <v>199</v>
      </c>
      <c r="C326" s="16">
        <v>11533</v>
      </c>
      <c r="D326" s="16">
        <v>1.58</v>
      </c>
      <c r="E326" s="16" t="s">
        <v>221</v>
      </c>
      <c r="F326" s="18" t="str">
        <f t="shared" si="8"/>
        <v>Flat 05</v>
      </c>
      <c r="G326" s="18">
        <f t="shared" si="9"/>
        <v>1.58</v>
      </c>
    </row>
    <row r="327" spans="2:7" x14ac:dyDescent="0.2">
      <c r="B327" s="16" t="s">
        <v>199</v>
      </c>
      <c r="C327" s="16">
        <v>11534</v>
      </c>
      <c r="D327" s="16">
        <v>1.58</v>
      </c>
      <c r="E327" s="16" t="s">
        <v>221</v>
      </c>
      <c r="F327" s="18" t="str">
        <f t="shared" ref="F327:F390" si="10">LEFT(E327,7)</f>
        <v>Flat 05</v>
      </c>
      <c r="G327" s="18">
        <f t="shared" ref="G327:G390" si="11">D327</f>
        <v>1.58</v>
      </c>
    </row>
    <row r="328" spans="2:7" x14ac:dyDescent="0.2">
      <c r="B328" s="16" t="s">
        <v>199</v>
      </c>
      <c r="C328" s="16">
        <v>11532</v>
      </c>
      <c r="D328" s="16">
        <v>1.58</v>
      </c>
      <c r="E328" s="16" t="s">
        <v>221</v>
      </c>
      <c r="F328" s="18" t="str">
        <f t="shared" si="10"/>
        <v>Flat 05</v>
      </c>
      <c r="G328" s="18">
        <f t="shared" si="11"/>
        <v>1.58</v>
      </c>
    </row>
    <row r="329" spans="2:7" x14ac:dyDescent="0.2">
      <c r="B329" s="16" t="s">
        <v>199</v>
      </c>
      <c r="C329" s="16">
        <v>11535</v>
      </c>
      <c r="D329" s="16">
        <v>1.58</v>
      </c>
      <c r="E329" s="16" t="s">
        <v>221</v>
      </c>
      <c r="F329" s="18" t="str">
        <f t="shared" si="10"/>
        <v>Flat 05</v>
      </c>
      <c r="G329" s="18">
        <f t="shared" si="11"/>
        <v>1.58</v>
      </c>
    </row>
    <row r="330" spans="2:7" x14ac:dyDescent="0.2">
      <c r="B330" s="16" t="s">
        <v>199</v>
      </c>
      <c r="C330" s="16">
        <v>11147</v>
      </c>
      <c r="D330" s="16">
        <v>1.58</v>
      </c>
      <c r="E330" s="16" t="s">
        <v>217</v>
      </c>
      <c r="F330" s="18" t="str">
        <f t="shared" si="10"/>
        <v>Flat 08</v>
      </c>
      <c r="G330" s="18">
        <f t="shared" si="11"/>
        <v>1.58</v>
      </c>
    </row>
    <row r="331" spans="2:7" x14ac:dyDescent="0.2">
      <c r="B331" s="16" t="s">
        <v>199</v>
      </c>
      <c r="C331" s="16">
        <v>11150</v>
      </c>
      <c r="D331" s="16">
        <v>2.09</v>
      </c>
      <c r="E331" s="16" t="s">
        <v>217</v>
      </c>
      <c r="F331" s="18" t="str">
        <f t="shared" si="10"/>
        <v>Flat 08</v>
      </c>
      <c r="G331" s="18">
        <f t="shared" si="11"/>
        <v>2.09</v>
      </c>
    </row>
    <row r="332" spans="2:7" x14ac:dyDescent="0.2">
      <c r="B332" s="16" t="s">
        <v>199</v>
      </c>
      <c r="C332" s="16">
        <v>11148</v>
      </c>
      <c r="D332" s="16">
        <v>1.58</v>
      </c>
      <c r="E332" s="16" t="s">
        <v>217</v>
      </c>
      <c r="F332" s="18" t="str">
        <f t="shared" si="10"/>
        <v>Flat 08</v>
      </c>
      <c r="G332" s="18">
        <f t="shared" si="11"/>
        <v>1.58</v>
      </c>
    </row>
    <row r="333" spans="2:7" x14ac:dyDescent="0.2">
      <c r="B333" s="16" t="s">
        <v>199</v>
      </c>
      <c r="C333" s="16">
        <v>11152</v>
      </c>
      <c r="D333" s="16">
        <v>2.09</v>
      </c>
      <c r="E333" s="16" t="s">
        <v>217</v>
      </c>
      <c r="F333" s="18" t="str">
        <f t="shared" si="10"/>
        <v>Flat 08</v>
      </c>
      <c r="G333" s="18">
        <f t="shared" si="11"/>
        <v>2.09</v>
      </c>
    </row>
    <row r="334" spans="2:7" x14ac:dyDescent="0.2">
      <c r="B334" s="16" t="s">
        <v>199</v>
      </c>
      <c r="C334" s="16">
        <v>11146</v>
      </c>
      <c r="D334" s="16">
        <v>1.58</v>
      </c>
      <c r="E334" s="16" t="s">
        <v>217</v>
      </c>
      <c r="F334" s="18" t="str">
        <f t="shared" si="10"/>
        <v>Flat 08</v>
      </c>
      <c r="G334" s="18">
        <f t="shared" si="11"/>
        <v>1.58</v>
      </c>
    </row>
    <row r="335" spans="2:7" x14ac:dyDescent="0.2">
      <c r="B335" s="16" t="s">
        <v>199</v>
      </c>
      <c r="C335" s="16">
        <v>11149</v>
      </c>
      <c r="D335" s="16">
        <v>1.58</v>
      </c>
      <c r="E335" s="16" t="s">
        <v>217</v>
      </c>
      <c r="F335" s="18" t="str">
        <f t="shared" si="10"/>
        <v>Flat 08</v>
      </c>
      <c r="G335" s="18">
        <f t="shared" si="11"/>
        <v>1.58</v>
      </c>
    </row>
    <row r="336" spans="2:7" x14ac:dyDescent="0.2">
      <c r="B336" s="16" t="s">
        <v>199</v>
      </c>
      <c r="C336" s="16">
        <v>11127</v>
      </c>
      <c r="D336" s="16">
        <v>1.58</v>
      </c>
      <c r="E336" s="16" t="s">
        <v>217</v>
      </c>
      <c r="F336" s="18" t="str">
        <f t="shared" si="10"/>
        <v>Flat 08</v>
      </c>
      <c r="G336" s="18">
        <f t="shared" si="11"/>
        <v>1.58</v>
      </c>
    </row>
    <row r="337" spans="2:7" x14ac:dyDescent="0.2">
      <c r="B337" s="16" t="s">
        <v>199</v>
      </c>
      <c r="C337" s="16">
        <v>11130</v>
      </c>
      <c r="D337" s="16">
        <v>1.58</v>
      </c>
      <c r="E337" s="16" t="s">
        <v>217</v>
      </c>
      <c r="F337" s="18" t="str">
        <f t="shared" si="10"/>
        <v>Flat 08</v>
      </c>
      <c r="G337" s="18">
        <f t="shared" si="11"/>
        <v>1.58</v>
      </c>
    </row>
    <row r="338" spans="2:7" x14ac:dyDescent="0.2">
      <c r="B338" s="16" t="s">
        <v>199</v>
      </c>
      <c r="C338" s="16">
        <v>11128</v>
      </c>
      <c r="D338" s="16">
        <v>1.58</v>
      </c>
      <c r="E338" s="16" t="s">
        <v>217</v>
      </c>
      <c r="F338" s="18" t="str">
        <f t="shared" si="10"/>
        <v>Flat 08</v>
      </c>
      <c r="G338" s="18">
        <f t="shared" si="11"/>
        <v>1.58</v>
      </c>
    </row>
    <row r="339" spans="2:7" x14ac:dyDescent="0.2">
      <c r="B339" s="16" t="s">
        <v>199</v>
      </c>
      <c r="C339" s="16">
        <v>11129</v>
      </c>
      <c r="D339" s="16">
        <v>1.58</v>
      </c>
      <c r="E339" s="16" t="s">
        <v>217</v>
      </c>
      <c r="F339" s="18" t="str">
        <f t="shared" si="10"/>
        <v>Flat 08</v>
      </c>
      <c r="G339" s="18">
        <f t="shared" si="11"/>
        <v>1.58</v>
      </c>
    </row>
    <row r="340" spans="2:7" x14ac:dyDescent="0.2">
      <c r="B340" s="16" t="s">
        <v>199</v>
      </c>
      <c r="C340" s="16">
        <v>11245</v>
      </c>
      <c r="D340" s="16">
        <v>2.1</v>
      </c>
      <c r="E340" s="16" t="s">
        <v>184</v>
      </c>
      <c r="F340" s="18" t="str">
        <f t="shared" si="10"/>
        <v>Flat 15</v>
      </c>
      <c r="G340" s="18">
        <f t="shared" si="11"/>
        <v>2.1</v>
      </c>
    </row>
    <row r="341" spans="2:7" x14ac:dyDescent="0.2">
      <c r="B341" s="16" t="s">
        <v>199</v>
      </c>
      <c r="C341" s="16">
        <v>11247</v>
      </c>
      <c r="D341" s="16">
        <v>2.1</v>
      </c>
      <c r="E341" s="16" t="s">
        <v>184</v>
      </c>
      <c r="F341" s="18" t="str">
        <f t="shared" si="10"/>
        <v>Flat 15</v>
      </c>
      <c r="G341" s="18">
        <f t="shared" si="11"/>
        <v>2.1</v>
      </c>
    </row>
    <row r="342" spans="2:7" x14ac:dyDescent="0.2">
      <c r="B342" s="16" t="s">
        <v>199</v>
      </c>
      <c r="C342" s="16">
        <v>11214</v>
      </c>
      <c r="D342" s="16">
        <v>1.58</v>
      </c>
      <c r="E342" s="16" t="s">
        <v>184</v>
      </c>
      <c r="F342" s="18" t="str">
        <f t="shared" si="10"/>
        <v>Flat 15</v>
      </c>
      <c r="G342" s="18">
        <f t="shared" si="11"/>
        <v>1.58</v>
      </c>
    </row>
    <row r="343" spans="2:7" x14ac:dyDescent="0.2">
      <c r="B343" s="16" t="s">
        <v>199</v>
      </c>
      <c r="C343" s="16">
        <v>11218</v>
      </c>
      <c r="D343" s="16">
        <v>1.58</v>
      </c>
      <c r="E343" s="16" t="s">
        <v>184</v>
      </c>
      <c r="F343" s="18" t="str">
        <f t="shared" si="10"/>
        <v>Flat 15</v>
      </c>
      <c r="G343" s="18">
        <f t="shared" si="11"/>
        <v>1.58</v>
      </c>
    </row>
    <row r="344" spans="2:7" x14ac:dyDescent="0.2">
      <c r="B344" s="16" t="s">
        <v>199</v>
      </c>
      <c r="C344" s="16">
        <v>11211</v>
      </c>
      <c r="D344" s="16">
        <v>1.58</v>
      </c>
      <c r="E344" s="16" t="s">
        <v>184</v>
      </c>
      <c r="F344" s="18" t="str">
        <f t="shared" si="10"/>
        <v>Flat 15</v>
      </c>
      <c r="G344" s="18">
        <f t="shared" si="11"/>
        <v>1.58</v>
      </c>
    </row>
    <row r="345" spans="2:7" x14ac:dyDescent="0.2">
      <c r="B345" s="16" t="s">
        <v>199</v>
      </c>
      <c r="C345" s="16">
        <v>11213</v>
      </c>
      <c r="D345" s="16">
        <v>1.58</v>
      </c>
      <c r="E345" s="16" t="s">
        <v>184</v>
      </c>
      <c r="F345" s="18" t="str">
        <f t="shared" si="10"/>
        <v>Flat 15</v>
      </c>
      <c r="G345" s="18">
        <f t="shared" si="11"/>
        <v>1.58</v>
      </c>
    </row>
    <row r="346" spans="2:7" x14ac:dyDescent="0.2">
      <c r="B346" s="16" t="s">
        <v>199</v>
      </c>
      <c r="C346" s="16">
        <v>11215</v>
      </c>
      <c r="D346" s="16">
        <v>1.58</v>
      </c>
      <c r="E346" s="16" t="s">
        <v>184</v>
      </c>
      <c r="F346" s="18" t="str">
        <f t="shared" si="10"/>
        <v>Flat 15</v>
      </c>
      <c r="G346" s="18">
        <f t="shared" si="11"/>
        <v>1.58</v>
      </c>
    </row>
    <row r="347" spans="2:7" x14ac:dyDescent="0.2">
      <c r="B347" s="16" t="s">
        <v>199</v>
      </c>
      <c r="C347" s="16">
        <v>11212</v>
      </c>
      <c r="D347" s="16">
        <v>1.58</v>
      </c>
      <c r="E347" s="16" t="s">
        <v>184</v>
      </c>
      <c r="F347" s="18" t="str">
        <f t="shared" si="10"/>
        <v>Flat 15</v>
      </c>
      <c r="G347" s="18">
        <f t="shared" si="11"/>
        <v>1.58</v>
      </c>
    </row>
    <row r="348" spans="2:7" x14ac:dyDescent="0.2">
      <c r="B348" s="16" t="s">
        <v>199</v>
      </c>
      <c r="C348" s="16">
        <v>11216</v>
      </c>
      <c r="D348" s="16">
        <v>1.58</v>
      </c>
      <c r="E348" s="16" t="s">
        <v>184</v>
      </c>
      <c r="F348" s="18" t="str">
        <f t="shared" si="10"/>
        <v>Flat 15</v>
      </c>
      <c r="G348" s="18">
        <f t="shared" si="11"/>
        <v>1.58</v>
      </c>
    </row>
    <row r="349" spans="2:7" x14ac:dyDescent="0.2">
      <c r="B349" s="16" t="s">
        <v>199</v>
      </c>
      <c r="C349" s="16">
        <v>11217</v>
      </c>
      <c r="D349" s="16">
        <v>1.58</v>
      </c>
      <c r="E349" s="16" t="s">
        <v>184</v>
      </c>
      <c r="F349" s="18" t="str">
        <f t="shared" si="10"/>
        <v>Flat 15</v>
      </c>
      <c r="G349" s="18">
        <f t="shared" si="11"/>
        <v>1.58</v>
      </c>
    </row>
    <row r="350" spans="2:7" x14ac:dyDescent="0.2">
      <c r="B350" s="16" t="s">
        <v>199</v>
      </c>
      <c r="C350" s="16">
        <v>10776</v>
      </c>
      <c r="D350" s="16">
        <v>1.58</v>
      </c>
      <c r="E350" s="16" t="s">
        <v>185</v>
      </c>
      <c r="F350" s="18" t="str">
        <f t="shared" si="10"/>
        <v>Flat 16</v>
      </c>
      <c r="G350" s="18">
        <f t="shared" si="11"/>
        <v>1.58</v>
      </c>
    </row>
    <row r="351" spans="2:7" x14ac:dyDescent="0.2">
      <c r="B351" s="16" t="s">
        <v>199</v>
      </c>
      <c r="C351" s="16">
        <v>10777</v>
      </c>
      <c r="D351" s="16">
        <v>1.58</v>
      </c>
      <c r="E351" s="16" t="s">
        <v>185</v>
      </c>
      <c r="F351" s="18" t="str">
        <f t="shared" si="10"/>
        <v>Flat 16</v>
      </c>
      <c r="G351" s="18">
        <f t="shared" si="11"/>
        <v>1.58</v>
      </c>
    </row>
    <row r="352" spans="2:7" x14ac:dyDescent="0.2">
      <c r="B352" s="16" t="s">
        <v>199</v>
      </c>
      <c r="C352" s="16">
        <v>10817</v>
      </c>
      <c r="D352" s="16">
        <v>2.11</v>
      </c>
      <c r="E352" s="16" t="s">
        <v>185</v>
      </c>
      <c r="F352" s="18" t="str">
        <f t="shared" si="10"/>
        <v>Flat 16</v>
      </c>
      <c r="G352" s="18">
        <f t="shared" si="11"/>
        <v>2.11</v>
      </c>
    </row>
    <row r="353" spans="2:7" x14ac:dyDescent="0.2">
      <c r="B353" s="16" t="s">
        <v>199</v>
      </c>
      <c r="C353" s="16">
        <v>10820</v>
      </c>
      <c r="D353" s="16">
        <v>2.11</v>
      </c>
      <c r="E353" s="16" t="s">
        <v>185</v>
      </c>
      <c r="F353" s="18" t="str">
        <f t="shared" si="10"/>
        <v>Flat 16</v>
      </c>
      <c r="G353" s="18">
        <f t="shared" si="11"/>
        <v>2.11</v>
      </c>
    </row>
    <row r="354" spans="2:7" x14ac:dyDescent="0.2">
      <c r="B354" s="16" t="s">
        <v>199</v>
      </c>
      <c r="C354" s="16">
        <v>10605</v>
      </c>
      <c r="D354" s="16">
        <v>1.58</v>
      </c>
      <c r="E354" s="16" t="s">
        <v>214</v>
      </c>
      <c r="F354" s="18" t="str">
        <f t="shared" si="10"/>
        <v>Flat 01</v>
      </c>
      <c r="G354" s="18">
        <f t="shared" si="11"/>
        <v>1.58</v>
      </c>
    </row>
    <row r="355" spans="2:7" x14ac:dyDescent="0.2">
      <c r="B355" s="16" t="s">
        <v>199</v>
      </c>
      <c r="C355" s="16">
        <v>10606</v>
      </c>
      <c r="D355" s="16">
        <v>1.58</v>
      </c>
      <c r="E355" s="16" t="s">
        <v>214</v>
      </c>
      <c r="F355" s="18" t="str">
        <f t="shared" si="10"/>
        <v>Flat 01</v>
      </c>
      <c r="G355" s="18">
        <f t="shared" si="11"/>
        <v>1.58</v>
      </c>
    </row>
    <row r="356" spans="2:7" x14ac:dyDescent="0.2">
      <c r="B356" s="16" t="s">
        <v>199</v>
      </c>
      <c r="C356" s="16">
        <v>10613</v>
      </c>
      <c r="D356" s="16">
        <v>1.58</v>
      </c>
      <c r="E356" s="16" t="s">
        <v>214</v>
      </c>
      <c r="F356" s="18" t="str">
        <f t="shared" si="10"/>
        <v>Flat 01</v>
      </c>
      <c r="G356" s="18">
        <f t="shared" si="11"/>
        <v>1.58</v>
      </c>
    </row>
    <row r="357" spans="2:7" x14ac:dyDescent="0.2">
      <c r="B357" s="16" t="s">
        <v>199</v>
      </c>
      <c r="C357" s="16">
        <v>10618</v>
      </c>
      <c r="D357" s="16">
        <v>2.1</v>
      </c>
      <c r="E357" s="16" t="s">
        <v>214</v>
      </c>
      <c r="F357" s="18" t="str">
        <f t="shared" si="10"/>
        <v>Flat 01</v>
      </c>
      <c r="G357" s="18">
        <f t="shared" si="11"/>
        <v>2.1</v>
      </c>
    </row>
    <row r="358" spans="2:7" x14ac:dyDescent="0.2">
      <c r="B358" s="16" t="s">
        <v>199</v>
      </c>
      <c r="C358" s="16">
        <v>10620</v>
      </c>
      <c r="D358" s="16">
        <v>2.1</v>
      </c>
      <c r="E358" s="16" t="s">
        <v>214</v>
      </c>
      <c r="F358" s="18" t="str">
        <f t="shared" si="10"/>
        <v>Flat 01</v>
      </c>
      <c r="G358" s="18">
        <f t="shared" si="11"/>
        <v>2.1</v>
      </c>
    </row>
    <row r="359" spans="2:7" x14ac:dyDescent="0.2">
      <c r="B359" s="16" t="s">
        <v>199</v>
      </c>
      <c r="C359" s="16">
        <v>10614</v>
      </c>
      <c r="D359" s="16">
        <v>1.58</v>
      </c>
      <c r="E359" s="16" t="s">
        <v>214</v>
      </c>
      <c r="F359" s="18" t="str">
        <f t="shared" si="10"/>
        <v>Flat 01</v>
      </c>
      <c r="G359" s="18">
        <f t="shared" si="11"/>
        <v>1.58</v>
      </c>
    </row>
    <row r="360" spans="2:7" x14ac:dyDescent="0.2">
      <c r="B360" s="16" t="s">
        <v>199</v>
      </c>
      <c r="C360" s="16">
        <v>10645</v>
      </c>
      <c r="D360" s="16">
        <v>2.09</v>
      </c>
      <c r="E360" s="16" t="s">
        <v>214</v>
      </c>
      <c r="F360" s="18" t="str">
        <f t="shared" si="10"/>
        <v>Flat 01</v>
      </c>
      <c r="G360" s="18">
        <f t="shared" si="11"/>
        <v>2.09</v>
      </c>
    </row>
    <row r="361" spans="2:7" x14ac:dyDescent="0.2">
      <c r="B361" s="16" t="s">
        <v>199</v>
      </c>
      <c r="C361" s="16">
        <v>10640</v>
      </c>
      <c r="D361" s="16">
        <v>2.09</v>
      </c>
      <c r="E361" s="16" t="s">
        <v>214</v>
      </c>
      <c r="F361" s="18" t="str">
        <f t="shared" si="10"/>
        <v>Flat 01</v>
      </c>
      <c r="G361" s="18">
        <f t="shared" si="11"/>
        <v>2.09</v>
      </c>
    </row>
    <row r="362" spans="2:7" x14ac:dyDescent="0.2">
      <c r="B362" s="16" t="s">
        <v>199</v>
      </c>
      <c r="C362" s="16">
        <v>10986</v>
      </c>
      <c r="D362" s="16">
        <v>1.58</v>
      </c>
      <c r="E362" s="16" t="s">
        <v>186</v>
      </c>
      <c r="F362" s="18" t="str">
        <f t="shared" si="10"/>
        <v>Flat 17</v>
      </c>
      <c r="G362" s="18">
        <f t="shared" si="11"/>
        <v>1.58</v>
      </c>
    </row>
    <row r="363" spans="2:7" x14ac:dyDescent="0.2">
      <c r="B363" s="16" t="s">
        <v>199</v>
      </c>
      <c r="C363" s="16">
        <v>10988</v>
      </c>
      <c r="D363" s="16">
        <v>2.09</v>
      </c>
      <c r="E363" s="16" t="s">
        <v>186</v>
      </c>
      <c r="F363" s="18" t="str">
        <f t="shared" si="10"/>
        <v>Flat 17</v>
      </c>
      <c r="G363" s="18">
        <f t="shared" si="11"/>
        <v>2.09</v>
      </c>
    </row>
    <row r="364" spans="2:7" x14ac:dyDescent="0.2">
      <c r="B364" s="16" t="s">
        <v>199</v>
      </c>
      <c r="C364" s="16">
        <v>10975</v>
      </c>
      <c r="D364" s="16">
        <v>1.58</v>
      </c>
      <c r="E364" s="16" t="s">
        <v>186</v>
      </c>
      <c r="F364" s="18" t="str">
        <f t="shared" si="10"/>
        <v>Flat 17</v>
      </c>
      <c r="G364" s="18">
        <f t="shared" si="11"/>
        <v>1.58</v>
      </c>
    </row>
    <row r="365" spans="2:7" x14ac:dyDescent="0.2">
      <c r="B365" s="16" t="s">
        <v>199</v>
      </c>
      <c r="C365" s="16">
        <v>10973</v>
      </c>
      <c r="D365" s="16">
        <v>1.58</v>
      </c>
      <c r="E365" s="16" t="s">
        <v>186</v>
      </c>
      <c r="F365" s="18" t="str">
        <f t="shared" si="10"/>
        <v>Flat 17</v>
      </c>
      <c r="G365" s="18">
        <f t="shared" si="11"/>
        <v>1.58</v>
      </c>
    </row>
    <row r="366" spans="2:7" x14ac:dyDescent="0.2">
      <c r="B366" s="16" t="s">
        <v>199</v>
      </c>
      <c r="C366" s="16">
        <v>10974</v>
      </c>
      <c r="D366" s="16">
        <v>1.58</v>
      </c>
      <c r="E366" s="16" t="s">
        <v>186</v>
      </c>
      <c r="F366" s="18" t="str">
        <f t="shared" si="10"/>
        <v>Flat 17</v>
      </c>
      <c r="G366" s="18">
        <f t="shared" si="11"/>
        <v>1.58</v>
      </c>
    </row>
    <row r="367" spans="2:7" x14ac:dyDescent="0.2">
      <c r="B367" s="16" t="s">
        <v>199</v>
      </c>
      <c r="C367" s="16">
        <v>10976</v>
      </c>
      <c r="D367" s="16">
        <v>1.58</v>
      </c>
      <c r="E367" s="16" t="s">
        <v>186</v>
      </c>
      <c r="F367" s="18" t="str">
        <f t="shared" si="10"/>
        <v>Flat 17</v>
      </c>
      <c r="G367" s="18">
        <f t="shared" si="11"/>
        <v>1.58</v>
      </c>
    </row>
    <row r="368" spans="2:7" x14ac:dyDescent="0.2">
      <c r="B368" s="16" t="s">
        <v>199</v>
      </c>
      <c r="C368" s="16">
        <v>10990</v>
      </c>
      <c r="D368" s="16">
        <v>2.09</v>
      </c>
      <c r="E368" s="16" t="s">
        <v>186</v>
      </c>
      <c r="F368" s="18" t="str">
        <f t="shared" si="10"/>
        <v>Flat 17</v>
      </c>
      <c r="G368" s="18">
        <f t="shared" si="11"/>
        <v>2.09</v>
      </c>
    </row>
    <row r="369" spans="2:7" x14ac:dyDescent="0.2">
      <c r="B369" s="16" t="s">
        <v>199</v>
      </c>
      <c r="C369" s="16">
        <v>10987</v>
      </c>
      <c r="D369" s="16">
        <v>1.58</v>
      </c>
      <c r="E369" s="16" t="s">
        <v>186</v>
      </c>
      <c r="F369" s="18" t="str">
        <f t="shared" si="10"/>
        <v>Flat 17</v>
      </c>
      <c r="G369" s="18">
        <f t="shared" si="11"/>
        <v>1.58</v>
      </c>
    </row>
    <row r="370" spans="2:7" x14ac:dyDescent="0.2">
      <c r="B370" s="16" t="s">
        <v>199</v>
      </c>
      <c r="C370" s="16">
        <v>10843</v>
      </c>
      <c r="D370" s="16">
        <v>2.09</v>
      </c>
      <c r="E370" s="16" t="s">
        <v>187</v>
      </c>
      <c r="F370" s="18" t="str">
        <f t="shared" si="10"/>
        <v>Flat 18</v>
      </c>
      <c r="G370" s="18">
        <f t="shared" si="11"/>
        <v>2.09</v>
      </c>
    </row>
    <row r="371" spans="2:7" x14ac:dyDescent="0.2">
      <c r="B371" s="16" t="s">
        <v>199</v>
      </c>
      <c r="C371" s="16">
        <v>10839</v>
      </c>
      <c r="D371" s="16">
        <v>1.58</v>
      </c>
      <c r="E371" s="16" t="s">
        <v>187</v>
      </c>
      <c r="F371" s="18" t="str">
        <f t="shared" si="10"/>
        <v>Flat 18</v>
      </c>
      <c r="G371" s="18">
        <f t="shared" si="11"/>
        <v>1.58</v>
      </c>
    </row>
    <row r="372" spans="2:7" x14ac:dyDescent="0.2">
      <c r="B372" s="16" t="s">
        <v>199</v>
      </c>
      <c r="C372" s="16">
        <v>10841</v>
      </c>
      <c r="D372" s="16">
        <v>1.58</v>
      </c>
      <c r="E372" s="16" t="s">
        <v>187</v>
      </c>
      <c r="F372" s="18" t="str">
        <f t="shared" si="10"/>
        <v>Flat 18</v>
      </c>
      <c r="G372" s="18">
        <f t="shared" si="11"/>
        <v>1.58</v>
      </c>
    </row>
    <row r="373" spans="2:7" x14ac:dyDescent="0.2">
      <c r="B373" s="16" t="s">
        <v>199</v>
      </c>
      <c r="C373" s="16">
        <v>10842</v>
      </c>
      <c r="D373" s="16">
        <v>1.58</v>
      </c>
      <c r="E373" s="16" t="s">
        <v>187</v>
      </c>
      <c r="F373" s="18" t="str">
        <f t="shared" si="10"/>
        <v>Flat 18</v>
      </c>
      <c r="G373" s="18">
        <f t="shared" si="11"/>
        <v>1.58</v>
      </c>
    </row>
    <row r="374" spans="2:7" x14ac:dyDescent="0.2">
      <c r="B374" s="16" t="s">
        <v>199</v>
      </c>
      <c r="C374" s="16">
        <v>10840</v>
      </c>
      <c r="D374" s="16">
        <v>1.58</v>
      </c>
      <c r="E374" s="16" t="s">
        <v>187</v>
      </c>
      <c r="F374" s="18" t="str">
        <f t="shared" si="10"/>
        <v>Flat 18</v>
      </c>
      <c r="G374" s="18">
        <f t="shared" si="11"/>
        <v>1.58</v>
      </c>
    </row>
    <row r="375" spans="2:7" x14ac:dyDescent="0.2">
      <c r="B375" s="16" t="s">
        <v>199</v>
      </c>
      <c r="C375" s="16">
        <v>10845</v>
      </c>
      <c r="D375" s="16">
        <v>2.09</v>
      </c>
      <c r="E375" s="16" t="s">
        <v>187</v>
      </c>
      <c r="F375" s="18" t="str">
        <f t="shared" si="10"/>
        <v>Flat 18</v>
      </c>
      <c r="G375" s="18">
        <f t="shared" si="11"/>
        <v>2.09</v>
      </c>
    </row>
    <row r="376" spans="2:7" x14ac:dyDescent="0.2">
      <c r="B376" s="16" t="s">
        <v>199</v>
      </c>
      <c r="C376" s="16">
        <v>10471</v>
      </c>
      <c r="D376" s="16">
        <v>1.58</v>
      </c>
      <c r="E376" s="16" t="s">
        <v>222</v>
      </c>
      <c r="F376" s="18" t="str">
        <f t="shared" si="10"/>
        <v>Flat 04</v>
      </c>
      <c r="G376" s="18">
        <f t="shared" si="11"/>
        <v>1.58</v>
      </c>
    </row>
    <row r="377" spans="2:7" x14ac:dyDescent="0.2">
      <c r="B377" s="16" t="s">
        <v>199</v>
      </c>
      <c r="C377" s="16">
        <v>10470</v>
      </c>
      <c r="D377" s="16">
        <v>1.58</v>
      </c>
      <c r="E377" s="16" t="s">
        <v>222</v>
      </c>
      <c r="F377" s="18" t="str">
        <f t="shared" si="10"/>
        <v>Flat 04</v>
      </c>
      <c r="G377" s="18">
        <f t="shared" si="11"/>
        <v>1.58</v>
      </c>
    </row>
    <row r="378" spans="2:7" x14ac:dyDescent="0.2">
      <c r="B378" s="16" t="s">
        <v>199</v>
      </c>
      <c r="C378" s="16">
        <v>10511</v>
      </c>
      <c r="D378" s="16">
        <v>2.11</v>
      </c>
      <c r="E378" s="16" t="s">
        <v>222</v>
      </c>
      <c r="F378" s="18" t="str">
        <f t="shared" si="10"/>
        <v>Flat 04</v>
      </c>
      <c r="G378" s="18">
        <f t="shared" si="11"/>
        <v>2.11</v>
      </c>
    </row>
    <row r="379" spans="2:7" x14ac:dyDescent="0.2">
      <c r="B379" s="16" t="s">
        <v>199</v>
      </c>
      <c r="C379" s="16">
        <v>10514</v>
      </c>
      <c r="D379" s="16">
        <v>2.11</v>
      </c>
      <c r="E379" s="16" t="s">
        <v>222</v>
      </c>
      <c r="F379" s="18" t="str">
        <f t="shared" si="10"/>
        <v>Flat 04</v>
      </c>
      <c r="G379" s="18">
        <f t="shared" si="11"/>
        <v>2.11</v>
      </c>
    </row>
    <row r="380" spans="2:7" x14ac:dyDescent="0.2">
      <c r="B380" s="16" t="s">
        <v>199</v>
      </c>
      <c r="C380" s="16">
        <v>10913</v>
      </c>
      <c r="D380" s="16">
        <v>1.58</v>
      </c>
      <c r="E380" s="16" t="s">
        <v>188</v>
      </c>
      <c r="F380" s="18" t="str">
        <f t="shared" si="10"/>
        <v>Flat 10</v>
      </c>
      <c r="G380" s="18">
        <f t="shared" si="11"/>
        <v>1.58</v>
      </c>
    </row>
    <row r="381" spans="2:7" x14ac:dyDescent="0.2">
      <c r="B381" s="16" t="s">
        <v>199</v>
      </c>
      <c r="C381" s="16">
        <v>10914</v>
      </c>
      <c r="D381" s="16">
        <v>1.58</v>
      </c>
      <c r="E381" s="16" t="s">
        <v>188</v>
      </c>
      <c r="F381" s="18" t="str">
        <f t="shared" si="10"/>
        <v>Flat 10</v>
      </c>
      <c r="G381" s="18">
        <f t="shared" si="11"/>
        <v>1.58</v>
      </c>
    </row>
    <row r="382" spans="2:7" x14ac:dyDescent="0.2">
      <c r="B382" s="16" t="s">
        <v>199</v>
      </c>
      <c r="C382" s="16">
        <v>10954</v>
      </c>
      <c r="D382" s="16">
        <v>2.11</v>
      </c>
      <c r="E382" s="16" t="s">
        <v>188</v>
      </c>
      <c r="F382" s="18" t="str">
        <f t="shared" si="10"/>
        <v>Flat 10</v>
      </c>
      <c r="G382" s="18">
        <f t="shared" si="11"/>
        <v>2.11</v>
      </c>
    </row>
    <row r="383" spans="2:7" x14ac:dyDescent="0.2">
      <c r="B383" s="16" t="s">
        <v>199</v>
      </c>
      <c r="C383" s="16">
        <v>10957</v>
      </c>
      <c r="D383" s="16">
        <v>2.11</v>
      </c>
      <c r="E383" s="16" t="s">
        <v>188</v>
      </c>
      <c r="F383" s="18" t="str">
        <f t="shared" si="10"/>
        <v>Flat 10</v>
      </c>
      <c r="G383" s="18">
        <f t="shared" si="11"/>
        <v>2.11</v>
      </c>
    </row>
    <row r="384" spans="2:7" x14ac:dyDescent="0.2">
      <c r="B384" s="16" t="s">
        <v>199</v>
      </c>
      <c r="C384" s="16">
        <v>11628</v>
      </c>
      <c r="D384" s="16">
        <v>2.09</v>
      </c>
      <c r="E384" s="16" t="s">
        <v>189</v>
      </c>
      <c r="F384" s="18" t="str">
        <f t="shared" si="10"/>
        <v>Flat 14</v>
      </c>
      <c r="G384" s="18">
        <f t="shared" si="11"/>
        <v>2.09</v>
      </c>
    </row>
    <row r="385" spans="2:7" x14ac:dyDescent="0.2">
      <c r="B385" s="16" t="s">
        <v>199</v>
      </c>
      <c r="C385" s="16">
        <v>11624</v>
      </c>
      <c r="D385" s="16">
        <v>1.58</v>
      </c>
      <c r="E385" s="16" t="s">
        <v>189</v>
      </c>
      <c r="F385" s="18" t="str">
        <f t="shared" si="10"/>
        <v>Flat 14</v>
      </c>
      <c r="G385" s="18">
        <f t="shared" si="11"/>
        <v>1.58</v>
      </c>
    </row>
    <row r="386" spans="2:7" x14ac:dyDescent="0.2">
      <c r="B386" s="16" t="s">
        <v>199</v>
      </c>
      <c r="C386" s="16">
        <v>11630</v>
      </c>
      <c r="D386" s="16">
        <v>2.09</v>
      </c>
      <c r="E386" s="16" t="s">
        <v>189</v>
      </c>
      <c r="F386" s="18" t="str">
        <f t="shared" si="10"/>
        <v>Flat 14</v>
      </c>
      <c r="G386" s="18">
        <f t="shared" si="11"/>
        <v>2.09</v>
      </c>
    </row>
    <row r="387" spans="2:7" x14ac:dyDescent="0.2">
      <c r="B387" s="16" t="s">
        <v>199</v>
      </c>
      <c r="C387" s="16">
        <v>11625</v>
      </c>
      <c r="D387" s="16">
        <v>1.58</v>
      </c>
      <c r="E387" s="16" t="s">
        <v>189</v>
      </c>
      <c r="F387" s="18" t="str">
        <f t="shared" si="10"/>
        <v>Flat 14</v>
      </c>
      <c r="G387" s="18">
        <f t="shared" si="11"/>
        <v>1.58</v>
      </c>
    </row>
    <row r="388" spans="2:7" x14ac:dyDescent="0.2">
      <c r="B388" s="16" t="s">
        <v>199</v>
      </c>
      <c r="C388" s="16">
        <v>11626</v>
      </c>
      <c r="D388" s="16">
        <v>1.58</v>
      </c>
      <c r="E388" s="16" t="s">
        <v>189</v>
      </c>
      <c r="F388" s="18" t="str">
        <f t="shared" si="10"/>
        <v>Flat 14</v>
      </c>
      <c r="G388" s="18">
        <f t="shared" si="11"/>
        <v>1.58</v>
      </c>
    </row>
    <row r="389" spans="2:7" x14ac:dyDescent="0.2">
      <c r="B389" s="16" t="s">
        <v>199</v>
      </c>
      <c r="C389" s="16">
        <v>11627</v>
      </c>
      <c r="D389" s="16">
        <v>1.58</v>
      </c>
      <c r="E389" s="16" t="s">
        <v>189</v>
      </c>
      <c r="F389" s="18" t="str">
        <f t="shared" si="10"/>
        <v>Flat 14</v>
      </c>
      <c r="G389" s="18">
        <f t="shared" si="11"/>
        <v>1.58</v>
      </c>
    </row>
    <row r="390" spans="2:7" x14ac:dyDescent="0.2">
      <c r="B390" s="16" t="s">
        <v>199</v>
      </c>
      <c r="C390" s="16">
        <v>11605</v>
      </c>
      <c r="D390" s="16">
        <v>1.58</v>
      </c>
      <c r="E390" s="16" t="s">
        <v>189</v>
      </c>
      <c r="F390" s="18" t="str">
        <f t="shared" si="10"/>
        <v>Flat 14</v>
      </c>
      <c r="G390" s="18">
        <f t="shared" si="11"/>
        <v>1.58</v>
      </c>
    </row>
    <row r="391" spans="2:7" x14ac:dyDescent="0.2">
      <c r="B391" s="16" t="s">
        <v>199</v>
      </c>
      <c r="C391" s="16">
        <v>11606</v>
      </c>
      <c r="D391" s="16">
        <v>1.58</v>
      </c>
      <c r="E391" s="16" t="s">
        <v>189</v>
      </c>
      <c r="F391" s="18" t="str">
        <f t="shared" ref="F391:F454" si="12">LEFT(E391,7)</f>
        <v>Flat 14</v>
      </c>
      <c r="G391" s="18">
        <f t="shared" ref="G391:G454" si="13">D391</f>
        <v>1.58</v>
      </c>
    </row>
    <row r="392" spans="2:7" x14ac:dyDescent="0.2">
      <c r="B392" s="16" t="s">
        <v>199</v>
      </c>
      <c r="C392" s="16">
        <v>11608</v>
      </c>
      <c r="D392" s="16">
        <v>1.58</v>
      </c>
      <c r="E392" s="16" t="s">
        <v>189</v>
      </c>
      <c r="F392" s="18" t="str">
        <f t="shared" si="12"/>
        <v>Flat 14</v>
      </c>
      <c r="G392" s="18">
        <f t="shared" si="13"/>
        <v>1.58</v>
      </c>
    </row>
    <row r="393" spans="2:7" x14ac:dyDescent="0.2">
      <c r="B393" s="16" t="s">
        <v>199</v>
      </c>
      <c r="C393" s="16">
        <v>11607</v>
      </c>
      <c r="D393" s="16">
        <v>1.58</v>
      </c>
      <c r="E393" s="16" t="s">
        <v>189</v>
      </c>
      <c r="F393" s="18" t="str">
        <f t="shared" si="12"/>
        <v>Flat 14</v>
      </c>
      <c r="G393" s="18">
        <f t="shared" si="13"/>
        <v>1.58</v>
      </c>
    </row>
    <row r="394" spans="2:7" x14ac:dyDescent="0.2">
      <c r="B394" s="16" t="s">
        <v>199</v>
      </c>
      <c r="C394" s="16">
        <v>11037</v>
      </c>
      <c r="D394" s="16">
        <v>2.09</v>
      </c>
      <c r="E394" s="16" t="s">
        <v>190</v>
      </c>
      <c r="F394" s="18" t="str">
        <f t="shared" si="12"/>
        <v>Flat 12</v>
      </c>
      <c r="G394" s="18">
        <f t="shared" si="13"/>
        <v>2.09</v>
      </c>
    </row>
    <row r="395" spans="2:7" x14ac:dyDescent="0.2">
      <c r="B395" s="16" t="s">
        <v>199</v>
      </c>
      <c r="C395" s="16">
        <v>11039</v>
      </c>
      <c r="D395" s="16">
        <v>2.09</v>
      </c>
      <c r="E395" s="16" t="s">
        <v>190</v>
      </c>
      <c r="F395" s="18" t="str">
        <f t="shared" si="12"/>
        <v>Flat 12</v>
      </c>
      <c r="G395" s="18">
        <f t="shared" si="13"/>
        <v>2.09</v>
      </c>
    </row>
    <row r="396" spans="2:7" x14ac:dyDescent="0.2">
      <c r="B396" s="16" t="s">
        <v>199</v>
      </c>
      <c r="C396" s="16">
        <v>11055</v>
      </c>
      <c r="D396" s="16">
        <v>1.58</v>
      </c>
      <c r="E396" s="16" t="s">
        <v>190</v>
      </c>
      <c r="F396" s="18" t="str">
        <f t="shared" si="12"/>
        <v>Flat 12</v>
      </c>
      <c r="G396" s="18">
        <f t="shared" si="13"/>
        <v>1.58</v>
      </c>
    </row>
    <row r="397" spans="2:7" x14ac:dyDescent="0.2">
      <c r="B397" s="16" t="s">
        <v>199</v>
      </c>
      <c r="C397" s="16">
        <v>11053</v>
      </c>
      <c r="D397" s="16">
        <v>1.58</v>
      </c>
      <c r="E397" s="16" t="s">
        <v>190</v>
      </c>
      <c r="F397" s="18" t="str">
        <f t="shared" si="12"/>
        <v>Flat 12</v>
      </c>
      <c r="G397" s="18">
        <f t="shared" si="13"/>
        <v>1.58</v>
      </c>
    </row>
    <row r="398" spans="2:7" x14ac:dyDescent="0.2">
      <c r="B398" s="16" t="s">
        <v>199</v>
      </c>
      <c r="C398" s="16">
        <v>11056</v>
      </c>
      <c r="D398" s="16">
        <v>1.58</v>
      </c>
      <c r="E398" s="16" t="s">
        <v>190</v>
      </c>
      <c r="F398" s="18" t="str">
        <f t="shared" si="12"/>
        <v>Flat 12</v>
      </c>
      <c r="G398" s="18">
        <f t="shared" si="13"/>
        <v>1.58</v>
      </c>
    </row>
    <row r="399" spans="2:7" x14ac:dyDescent="0.2">
      <c r="B399" s="16" t="s">
        <v>199</v>
      </c>
      <c r="C399" s="16">
        <v>11054</v>
      </c>
      <c r="D399" s="16">
        <v>1.58</v>
      </c>
      <c r="E399" s="16" t="s">
        <v>190</v>
      </c>
      <c r="F399" s="18" t="str">
        <f t="shared" si="12"/>
        <v>Flat 12</v>
      </c>
      <c r="G399" s="18">
        <f t="shared" si="13"/>
        <v>1.58</v>
      </c>
    </row>
    <row r="400" spans="2:7" x14ac:dyDescent="0.2">
      <c r="B400" s="16" t="s">
        <v>199</v>
      </c>
      <c r="C400" s="16">
        <v>11399</v>
      </c>
      <c r="D400" s="16">
        <v>2.09</v>
      </c>
      <c r="E400" s="16" t="s">
        <v>191</v>
      </c>
      <c r="F400" s="18" t="str">
        <f t="shared" si="12"/>
        <v>Flat 11</v>
      </c>
      <c r="G400" s="18">
        <f t="shared" si="13"/>
        <v>2.09</v>
      </c>
    </row>
    <row r="401" spans="2:7" x14ac:dyDescent="0.2">
      <c r="B401" s="16" t="s">
        <v>199</v>
      </c>
      <c r="C401" s="16">
        <v>11401</v>
      </c>
      <c r="D401" s="16">
        <v>2.09</v>
      </c>
      <c r="E401" s="16" t="s">
        <v>191</v>
      </c>
      <c r="F401" s="18" t="str">
        <f t="shared" si="12"/>
        <v>Flat 11</v>
      </c>
      <c r="G401" s="18">
        <f t="shared" si="13"/>
        <v>2.09</v>
      </c>
    </row>
    <row r="402" spans="2:7" x14ac:dyDescent="0.2">
      <c r="B402" s="16" t="s">
        <v>199</v>
      </c>
      <c r="C402" s="16">
        <v>11398</v>
      </c>
      <c r="D402" s="16">
        <v>1.58</v>
      </c>
      <c r="E402" s="16" t="s">
        <v>191</v>
      </c>
      <c r="F402" s="18" t="str">
        <f t="shared" si="12"/>
        <v>Flat 11</v>
      </c>
      <c r="G402" s="18">
        <f t="shared" si="13"/>
        <v>1.58</v>
      </c>
    </row>
    <row r="403" spans="2:7" x14ac:dyDescent="0.2">
      <c r="B403" s="16" t="s">
        <v>199</v>
      </c>
      <c r="C403" s="16">
        <v>11397</v>
      </c>
      <c r="D403" s="16">
        <v>1.58</v>
      </c>
      <c r="E403" s="16" t="s">
        <v>191</v>
      </c>
      <c r="F403" s="18" t="str">
        <f t="shared" si="12"/>
        <v>Flat 11</v>
      </c>
      <c r="G403" s="18">
        <f t="shared" si="13"/>
        <v>1.58</v>
      </c>
    </row>
    <row r="404" spans="2:7" x14ac:dyDescent="0.2">
      <c r="B404" s="16" t="s">
        <v>199</v>
      </c>
      <c r="C404" s="16">
        <v>11385</v>
      </c>
      <c r="D404" s="16">
        <v>1.58</v>
      </c>
      <c r="E404" s="16" t="s">
        <v>191</v>
      </c>
      <c r="F404" s="18" t="str">
        <f t="shared" si="12"/>
        <v>Flat 11</v>
      </c>
      <c r="G404" s="18">
        <f t="shared" si="13"/>
        <v>1.58</v>
      </c>
    </row>
    <row r="405" spans="2:7" x14ac:dyDescent="0.2">
      <c r="B405" s="16" t="s">
        <v>199</v>
      </c>
      <c r="C405" s="16">
        <v>11386</v>
      </c>
      <c r="D405" s="16">
        <v>1.58</v>
      </c>
      <c r="E405" s="16" t="s">
        <v>191</v>
      </c>
      <c r="F405" s="18" t="str">
        <f t="shared" si="12"/>
        <v>Flat 11</v>
      </c>
      <c r="G405" s="18">
        <f t="shared" si="13"/>
        <v>1.58</v>
      </c>
    </row>
    <row r="406" spans="2:7" x14ac:dyDescent="0.2">
      <c r="B406" s="16" t="s">
        <v>199</v>
      </c>
      <c r="C406" s="16">
        <v>11387</v>
      </c>
      <c r="D406" s="16">
        <v>1.58</v>
      </c>
      <c r="E406" s="16" t="s">
        <v>191</v>
      </c>
      <c r="F406" s="18" t="str">
        <f t="shared" si="12"/>
        <v>Flat 11</v>
      </c>
      <c r="G406" s="18">
        <f t="shared" si="13"/>
        <v>1.58</v>
      </c>
    </row>
    <row r="407" spans="2:7" x14ac:dyDescent="0.2">
      <c r="B407" s="16" t="s">
        <v>199</v>
      </c>
      <c r="C407" s="16">
        <v>11384</v>
      </c>
      <c r="D407" s="16">
        <v>1.58</v>
      </c>
      <c r="E407" s="16" t="s">
        <v>191</v>
      </c>
      <c r="F407" s="18" t="str">
        <f t="shared" si="12"/>
        <v>Flat 11</v>
      </c>
      <c r="G407" s="18">
        <f t="shared" si="13"/>
        <v>1.58</v>
      </c>
    </row>
    <row r="408" spans="2:7" x14ac:dyDescent="0.2">
      <c r="B408" s="16" t="s">
        <v>199</v>
      </c>
      <c r="C408" s="16">
        <v>11484</v>
      </c>
      <c r="D408" s="16">
        <v>1.58</v>
      </c>
      <c r="E408" s="16" t="s">
        <v>192</v>
      </c>
      <c r="F408" s="18" t="str">
        <f t="shared" si="12"/>
        <v>Flat 13</v>
      </c>
      <c r="G408" s="18">
        <f t="shared" si="13"/>
        <v>1.58</v>
      </c>
    </row>
    <row r="409" spans="2:7" x14ac:dyDescent="0.2">
      <c r="B409" s="16" t="s">
        <v>199</v>
      </c>
      <c r="C409" s="16">
        <v>11487</v>
      </c>
      <c r="D409" s="16">
        <v>1.58</v>
      </c>
      <c r="E409" s="16" t="s">
        <v>192</v>
      </c>
      <c r="F409" s="18" t="str">
        <f t="shared" si="12"/>
        <v>Flat 13</v>
      </c>
      <c r="G409" s="18">
        <f t="shared" si="13"/>
        <v>1.58</v>
      </c>
    </row>
    <row r="410" spans="2:7" x14ac:dyDescent="0.2">
      <c r="B410" s="16" t="s">
        <v>199</v>
      </c>
      <c r="C410" s="16">
        <v>11488</v>
      </c>
      <c r="D410" s="16">
        <v>1.58</v>
      </c>
      <c r="E410" s="16" t="s">
        <v>192</v>
      </c>
      <c r="F410" s="18" t="str">
        <f t="shared" si="12"/>
        <v>Flat 13</v>
      </c>
      <c r="G410" s="18">
        <f t="shared" si="13"/>
        <v>1.58</v>
      </c>
    </row>
    <row r="411" spans="2:7" x14ac:dyDescent="0.2">
      <c r="B411" s="16" t="s">
        <v>199</v>
      </c>
      <c r="C411" s="16">
        <v>11485</v>
      </c>
      <c r="D411" s="16">
        <v>1.58</v>
      </c>
      <c r="E411" s="16" t="s">
        <v>192</v>
      </c>
      <c r="F411" s="18" t="str">
        <f t="shared" si="12"/>
        <v>Flat 13</v>
      </c>
      <c r="G411" s="18">
        <f t="shared" si="13"/>
        <v>1.58</v>
      </c>
    </row>
    <row r="412" spans="2:7" x14ac:dyDescent="0.2">
      <c r="B412" s="16" t="s">
        <v>199</v>
      </c>
      <c r="C412" s="16">
        <v>11490</v>
      </c>
      <c r="D412" s="16">
        <v>1.58</v>
      </c>
      <c r="E412" s="16" t="s">
        <v>192</v>
      </c>
      <c r="F412" s="18" t="str">
        <f t="shared" si="12"/>
        <v>Flat 13</v>
      </c>
      <c r="G412" s="18">
        <f t="shared" si="13"/>
        <v>1.58</v>
      </c>
    </row>
    <row r="413" spans="2:7" x14ac:dyDescent="0.2">
      <c r="B413" s="16" t="s">
        <v>199</v>
      </c>
      <c r="C413" s="16">
        <v>11489</v>
      </c>
      <c r="D413" s="16">
        <v>1.58</v>
      </c>
      <c r="E413" s="16" t="s">
        <v>192</v>
      </c>
      <c r="F413" s="18" t="str">
        <f t="shared" si="12"/>
        <v>Flat 13</v>
      </c>
      <c r="G413" s="18">
        <f t="shared" si="13"/>
        <v>1.58</v>
      </c>
    </row>
    <row r="414" spans="2:7" x14ac:dyDescent="0.2">
      <c r="B414" s="16" t="s">
        <v>199</v>
      </c>
      <c r="C414" s="16">
        <v>11479</v>
      </c>
      <c r="D414" s="16">
        <v>2.09</v>
      </c>
      <c r="E414" s="16" t="s">
        <v>192</v>
      </c>
      <c r="F414" s="18" t="str">
        <f t="shared" si="12"/>
        <v>Flat 13</v>
      </c>
      <c r="G414" s="18">
        <f t="shared" si="13"/>
        <v>2.09</v>
      </c>
    </row>
    <row r="415" spans="2:7" x14ac:dyDescent="0.2">
      <c r="B415" s="16" t="s">
        <v>199</v>
      </c>
      <c r="C415" s="16">
        <v>11486</v>
      </c>
      <c r="D415" s="16">
        <v>1.58</v>
      </c>
      <c r="E415" s="16" t="s">
        <v>192</v>
      </c>
      <c r="F415" s="18" t="str">
        <f t="shared" si="12"/>
        <v>Flat 13</v>
      </c>
      <c r="G415" s="18">
        <f t="shared" si="13"/>
        <v>1.58</v>
      </c>
    </row>
    <row r="416" spans="2:7" x14ac:dyDescent="0.2">
      <c r="B416" s="16" t="s">
        <v>199</v>
      </c>
      <c r="C416" s="16">
        <v>11481</v>
      </c>
      <c r="D416" s="16">
        <v>2.09</v>
      </c>
      <c r="E416" s="16" t="s">
        <v>192</v>
      </c>
      <c r="F416" s="18" t="str">
        <f t="shared" si="12"/>
        <v>Flat 13</v>
      </c>
      <c r="G416" s="18">
        <f t="shared" si="13"/>
        <v>2.09</v>
      </c>
    </row>
    <row r="417" spans="2:7" x14ac:dyDescent="0.2">
      <c r="B417" s="16" t="s">
        <v>199</v>
      </c>
      <c r="C417" s="16">
        <v>11483</v>
      </c>
      <c r="D417" s="16">
        <v>1.58</v>
      </c>
      <c r="E417" s="16" t="s">
        <v>192</v>
      </c>
      <c r="F417" s="18" t="str">
        <f t="shared" si="12"/>
        <v>Flat 13</v>
      </c>
      <c r="G417" s="18">
        <f t="shared" si="13"/>
        <v>1.58</v>
      </c>
    </row>
    <row r="418" spans="2:7" x14ac:dyDescent="0.2">
      <c r="B418" s="16" t="s">
        <v>199</v>
      </c>
      <c r="C418" s="16">
        <v>11475</v>
      </c>
      <c r="D418" s="16">
        <v>2.1</v>
      </c>
      <c r="E418" s="16" t="s">
        <v>192</v>
      </c>
      <c r="F418" s="18" t="str">
        <f t="shared" si="12"/>
        <v>Flat 13</v>
      </c>
      <c r="G418" s="18">
        <f t="shared" si="13"/>
        <v>2.1</v>
      </c>
    </row>
    <row r="419" spans="2:7" x14ac:dyDescent="0.2">
      <c r="B419" s="16" t="s">
        <v>199</v>
      </c>
      <c r="C419" s="16">
        <v>11477</v>
      </c>
      <c r="D419" s="16">
        <v>2.1</v>
      </c>
      <c r="E419" s="16" t="s">
        <v>192</v>
      </c>
      <c r="F419" s="18" t="str">
        <f t="shared" si="12"/>
        <v>Flat 13</v>
      </c>
      <c r="G419" s="18">
        <f t="shared" si="13"/>
        <v>2.1</v>
      </c>
    </row>
    <row r="420" spans="2:7" x14ac:dyDescent="0.2">
      <c r="B420" s="16" t="s">
        <v>200</v>
      </c>
      <c r="C420" s="16">
        <v>11343</v>
      </c>
      <c r="D420" s="16">
        <v>1.69</v>
      </c>
      <c r="E420" s="16" t="s">
        <v>216</v>
      </c>
      <c r="F420" s="18" t="str">
        <f t="shared" si="12"/>
        <v>Flat 07</v>
      </c>
      <c r="G420" s="18">
        <f t="shared" si="13"/>
        <v>1.69</v>
      </c>
    </row>
    <row r="421" spans="2:7" x14ac:dyDescent="0.2">
      <c r="B421" s="16" t="s">
        <v>200</v>
      </c>
      <c r="C421" s="16">
        <v>11345</v>
      </c>
      <c r="D421" s="16">
        <v>3.49</v>
      </c>
      <c r="E421" s="16" t="s">
        <v>216</v>
      </c>
      <c r="F421" s="18" t="str">
        <f t="shared" si="12"/>
        <v>Flat 07</v>
      </c>
      <c r="G421" s="18">
        <f t="shared" si="13"/>
        <v>3.49</v>
      </c>
    </row>
    <row r="422" spans="2:7" ht="22.8" x14ac:dyDescent="0.2">
      <c r="B422" s="16" t="s">
        <v>201</v>
      </c>
      <c r="C422" s="16">
        <v>10351</v>
      </c>
      <c r="D422" s="16">
        <v>2.77</v>
      </c>
      <c r="E422" s="16" t="s">
        <v>215</v>
      </c>
      <c r="F422" s="18" t="str">
        <f t="shared" si="12"/>
        <v>Flat 02</v>
      </c>
      <c r="G422" s="18">
        <f t="shared" si="13"/>
        <v>2.77</v>
      </c>
    </row>
    <row r="423" spans="2:7" ht="22.8" x14ac:dyDescent="0.2">
      <c r="B423" s="16" t="s">
        <v>201</v>
      </c>
      <c r="C423" s="16">
        <v>10434</v>
      </c>
      <c r="D423" s="16">
        <v>2.77</v>
      </c>
      <c r="E423" s="16" t="s">
        <v>218</v>
      </c>
      <c r="F423" s="18" t="str">
        <f t="shared" si="12"/>
        <v>Flat 03</v>
      </c>
      <c r="G423" s="18">
        <f t="shared" si="13"/>
        <v>2.77</v>
      </c>
    </row>
    <row r="424" spans="2:7" ht="22.8" x14ac:dyDescent="0.2">
      <c r="B424" s="16" t="s">
        <v>201</v>
      </c>
      <c r="C424" s="16">
        <v>10433</v>
      </c>
      <c r="D424" s="16">
        <v>2.77</v>
      </c>
      <c r="E424" s="16" t="s">
        <v>218</v>
      </c>
      <c r="F424" s="18" t="str">
        <f t="shared" si="12"/>
        <v>Flat 03</v>
      </c>
      <c r="G424" s="18">
        <f t="shared" si="13"/>
        <v>2.77</v>
      </c>
    </row>
    <row r="425" spans="2:7" ht="22.8" x14ac:dyDescent="0.2">
      <c r="B425" s="16" t="s">
        <v>201</v>
      </c>
      <c r="C425" s="16">
        <v>10565</v>
      </c>
      <c r="D425" s="16">
        <v>2.77</v>
      </c>
      <c r="E425" s="16" t="s">
        <v>219</v>
      </c>
      <c r="F425" s="18" t="str">
        <f t="shared" si="12"/>
        <v>Flat 06</v>
      </c>
      <c r="G425" s="18">
        <f t="shared" si="13"/>
        <v>2.77</v>
      </c>
    </row>
    <row r="426" spans="2:7" ht="22.8" x14ac:dyDescent="0.2">
      <c r="B426" s="16" t="s">
        <v>201</v>
      </c>
      <c r="C426" s="16">
        <v>10740</v>
      </c>
      <c r="D426" s="16">
        <v>2.77</v>
      </c>
      <c r="E426" s="16" t="s">
        <v>220</v>
      </c>
      <c r="F426" s="18" t="str">
        <f t="shared" si="12"/>
        <v>Flat 09</v>
      </c>
      <c r="G426" s="18">
        <f t="shared" si="13"/>
        <v>2.77</v>
      </c>
    </row>
    <row r="427" spans="2:7" ht="22.8" x14ac:dyDescent="0.2">
      <c r="B427" s="16" t="s">
        <v>201</v>
      </c>
      <c r="C427" s="16">
        <v>10738</v>
      </c>
      <c r="D427" s="16">
        <v>2.77</v>
      </c>
      <c r="E427" s="16" t="s">
        <v>220</v>
      </c>
      <c r="F427" s="18" t="str">
        <f t="shared" si="12"/>
        <v>Flat 09</v>
      </c>
      <c r="G427" s="18">
        <f t="shared" si="13"/>
        <v>2.77</v>
      </c>
    </row>
    <row r="428" spans="2:7" ht="22.8" x14ac:dyDescent="0.2">
      <c r="B428" s="16" t="s">
        <v>201</v>
      </c>
      <c r="C428" s="16">
        <v>11174</v>
      </c>
      <c r="D428" s="16">
        <v>2.77</v>
      </c>
      <c r="E428" s="16" t="s">
        <v>217</v>
      </c>
      <c r="F428" s="18" t="str">
        <f t="shared" si="12"/>
        <v>Flat 08</v>
      </c>
      <c r="G428" s="18">
        <f t="shared" si="13"/>
        <v>2.77</v>
      </c>
    </row>
    <row r="429" spans="2:7" ht="22.8" x14ac:dyDescent="0.2">
      <c r="B429" s="16" t="s">
        <v>201</v>
      </c>
      <c r="C429" s="16">
        <v>11253</v>
      </c>
      <c r="D429" s="16">
        <v>2.86</v>
      </c>
      <c r="E429" s="16" t="s">
        <v>184</v>
      </c>
      <c r="F429" s="18" t="str">
        <f t="shared" si="12"/>
        <v>Flat 15</v>
      </c>
      <c r="G429" s="18">
        <f t="shared" si="13"/>
        <v>2.86</v>
      </c>
    </row>
    <row r="430" spans="2:7" ht="22.8" x14ac:dyDescent="0.2">
      <c r="B430" s="16" t="s">
        <v>201</v>
      </c>
      <c r="C430" s="16">
        <v>11251</v>
      </c>
      <c r="D430" s="16">
        <v>2.86</v>
      </c>
      <c r="E430" s="16" t="s">
        <v>184</v>
      </c>
      <c r="F430" s="18" t="str">
        <f t="shared" si="12"/>
        <v>Flat 15</v>
      </c>
      <c r="G430" s="18">
        <f t="shared" si="13"/>
        <v>2.86</v>
      </c>
    </row>
    <row r="431" spans="2:7" ht="22.8" x14ac:dyDescent="0.2">
      <c r="B431" s="16" t="s">
        <v>201</v>
      </c>
      <c r="C431" s="16">
        <v>10794</v>
      </c>
      <c r="D431" s="16">
        <v>2.86</v>
      </c>
      <c r="E431" s="16" t="s">
        <v>185</v>
      </c>
      <c r="F431" s="18" t="str">
        <f t="shared" si="12"/>
        <v>Flat 16</v>
      </c>
      <c r="G431" s="18">
        <f t="shared" si="13"/>
        <v>2.86</v>
      </c>
    </row>
    <row r="432" spans="2:7" ht="22.8" x14ac:dyDescent="0.2">
      <c r="B432" s="16" t="s">
        <v>201</v>
      </c>
      <c r="C432" s="16">
        <v>10870</v>
      </c>
      <c r="D432" s="16">
        <v>2.86</v>
      </c>
      <c r="E432" s="16" t="s">
        <v>187</v>
      </c>
      <c r="F432" s="18" t="str">
        <f t="shared" si="12"/>
        <v>Flat 18</v>
      </c>
      <c r="G432" s="18">
        <f t="shared" si="13"/>
        <v>2.86</v>
      </c>
    </row>
    <row r="433" spans="2:7" ht="22.8" x14ac:dyDescent="0.2">
      <c r="B433" s="16" t="s">
        <v>201</v>
      </c>
      <c r="C433" s="16">
        <v>10488</v>
      </c>
      <c r="D433" s="16">
        <v>2.77</v>
      </c>
      <c r="E433" s="16" t="s">
        <v>222</v>
      </c>
      <c r="F433" s="18" t="str">
        <f t="shared" si="12"/>
        <v>Flat 04</v>
      </c>
      <c r="G433" s="18">
        <f t="shared" si="13"/>
        <v>2.77</v>
      </c>
    </row>
    <row r="434" spans="2:7" ht="22.8" x14ac:dyDescent="0.2">
      <c r="B434" s="16" t="s">
        <v>201</v>
      </c>
      <c r="C434" s="16">
        <v>10931</v>
      </c>
      <c r="D434" s="16">
        <v>2.77</v>
      </c>
      <c r="E434" s="16" t="s">
        <v>188</v>
      </c>
      <c r="F434" s="18" t="str">
        <f t="shared" si="12"/>
        <v>Flat 10</v>
      </c>
      <c r="G434" s="18">
        <f t="shared" si="13"/>
        <v>2.77</v>
      </c>
    </row>
    <row r="435" spans="2:7" ht="22.8" x14ac:dyDescent="0.2">
      <c r="B435" s="16" t="s">
        <v>201</v>
      </c>
      <c r="C435" s="16">
        <v>11652</v>
      </c>
      <c r="D435" s="16">
        <v>2.86</v>
      </c>
      <c r="E435" s="16" t="s">
        <v>189</v>
      </c>
      <c r="F435" s="18" t="str">
        <f t="shared" si="12"/>
        <v>Flat 14</v>
      </c>
      <c r="G435" s="18">
        <f t="shared" si="13"/>
        <v>2.86</v>
      </c>
    </row>
    <row r="436" spans="2:7" ht="22.8" x14ac:dyDescent="0.2">
      <c r="B436" s="16" t="s">
        <v>201</v>
      </c>
      <c r="C436" s="16">
        <v>11081</v>
      </c>
      <c r="D436" s="16">
        <v>2.77</v>
      </c>
      <c r="E436" s="16" t="s">
        <v>190</v>
      </c>
      <c r="F436" s="18" t="str">
        <f t="shared" si="12"/>
        <v>Flat 12</v>
      </c>
      <c r="G436" s="18">
        <f t="shared" si="13"/>
        <v>2.77</v>
      </c>
    </row>
    <row r="437" spans="2:7" ht="22.8" x14ac:dyDescent="0.2">
      <c r="B437" s="16" t="s">
        <v>202</v>
      </c>
      <c r="C437" s="16">
        <v>10362</v>
      </c>
      <c r="D437" s="16">
        <v>5.67</v>
      </c>
      <c r="E437" s="16" t="s">
        <v>215</v>
      </c>
      <c r="F437" s="18" t="str">
        <f t="shared" si="12"/>
        <v>Flat 02</v>
      </c>
      <c r="G437" s="18">
        <f t="shared" si="13"/>
        <v>5.67</v>
      </c>
    </row>
    <row r="438" spans="2:7" ht="22.8" x14ac:dyDescent="0.2">
      <c r="B438" s="16" t="s">
        <v>202</v>
      </c>
      <c r="C438" s="16">
        <v>10343</v>
      </c>
      <c r="D438" s="16">
        <v>3.15</v>
      </c>
      <c r="E438" s="16" t="s">
        <v>215</v>
      </c>
      <c r="F438" s="18" t="str">
        <f t="shared" si="12"/>
        <v>Flat 02</v>
      </c>
      <c r="G438" s="18">
        <f t="shared" si="13"/>
        <v>3.15</v>
      </c>
    </row>
    <row r="439" spans="2:7" ht="22.8" x14ac:dyDescent="0.2">
      <c r="B439" s="16" t="s">
        <v>202</v>
      </c>
      <c r="C439" s="16">
        <v>10345</v>
      </c>
      <c r="D439" s="16">
        <v>1.24</v>
      </c>
      <c r="E439" s="16" t="s">
        <v>215</v>
      </c>
      <c r="F439" s="18" t="str">
        <f t="shared" si="12"/>
        <v>Flat 02</v>
      </c>
      <c r="G439" s="18">
        <f t="shared" si="13"/>
        <v>1.24</v>
      </c>
    </row>
    <row r="440" spans="2:7" ht="22.8" x14ac:dyDescent="0.2">
      <c r="B440" s="16" t="s">
        <v>202</v>
      </c>
      <c r="C440" s="16">
        <v>10340</v>
      </c>
      <c r="D440" s="16">
        <v>7.48</v>
      </c>
      <c r="E440" s="16" t="s">
        <v>215</v>
      </c>
      <c r="F440" s="18" t="str">
        <f t="shared" si="12"/>
        <v>Flat 02</v>
      </c>
      <c r="G440" s="18">
        <f t="shared" si="13"/>
        <v>7.48</v>
      </c>
    </row>
    <row r="441" spans="2:7" ht="22.8" x14ac:dyDescent="0.2">
      <c r="B441" s="16" t="s">
        <v>202</v>
      </c>
      <c r="C441" s="16">
        <v>10422</v>
      </c>
      <c r="D441" s="16">
        <v>3.73</v>
      </c>
      <c r="E441" s="16" t="s">
        <v>218</v>
      </c>
      <c r="F441" s="18" t="str">
        <f t="shared" si="12"/>
        <v>Flat 03</v>
      </c>
      <c r="G441" s="18">
        <f t="shared" si="13"/>
        <v>3.73</v>
      </c>
    </row>
    <row r="442" spans="2:7" ht="22.8" x14ac:dyDescent="0.2">
      <c r="B442" s="16" t="s">
        <v>202</v>
      </c>
      <c r="C442" s="16">
        <v>10416</v>
      </c>
      <c r="D442" s="16">
        <v>1.35</v>
      </c>
      <c r="E442" s="16" t="s">
        <v>218</v>
      </c>
      <c r="F442" s="18" t="str">
        <f t="shared" si="12"/>
        <v>Flat 03</v>
      </c>
      <c r="G442" s="18">
        <f t="shared" si="13"/>
        <v>1.35</v>
      </c>
    </row>
    <row r="443" spans="2:7" ht="22.8" x14ac:dyDescent="0.2">
      <c r="B443" s="16" t="s">
        <v>202</v>
      </c>
      <c r="C443" s="16">
        <v>10413</v>
      </c>
      <c r="D443" s="16">
        <v>2.9</v>
      </c>
      <c r="E443" s="16" t="s">
        <v>218</v>
      </c>
      <c r="F443" s="18" t="str">
        <f t="shared" si="12"/>
        <v>Flat 03</v>
      </c>
      <c r="G443" s="18">
        <f t="shared" si="13"/>
        <v>2.9</v>
      </c>
    </row>
    <row r="444" spans="2:7" ht="22.8" x14ac:dyDescent="0.2">
      <c r="B444" s="16" t="s">
        <v>202</v>
      </c>
      <c r="C444" s="16">
        <v>10420</v>
      </c>
      <c r="D444" s="16">
        <v>1.28</v>
      </c>
      <c r="E444" s="16" t="s">
        <v>218</v>
      </c>
      <c r="F444" s="18" t="str">
        <f t="shared" si="12"/>
        <v>Flat 03</v>
      </c>
      <c r="G444" s="18">
        <f t="shared" si="13"/>
        <v>1.28</v>
      </c>
    </row>
    <row r="445" spans="2:7" ht="22.8" x14ac:dyDescent="0.2">
      <c r="B445" s="16" t="s">
        <v>202</v>
      </c>
      <c r="C445" s="16">
        <v>10418</v>
      </c>
      <c r="D445" s="16">
        <v>3.14</v>
      </c>
      <c r="E445" s="16" t="s">
        <v>218</v>
      </c>
      <c r="F445" s="18" t="str">
        <f t="shared" si="12"/>
        <v>Flat 03</v>
      </c>
      <c r="G445" s="18">
        <f t="shared" si="13"/>
        <v>3.14</v>
      </c>
    </row>
    <row r="446" spans="2:7" ht="22.8" x14ac:dyDescent="0.2">
      <c r="B446" s="16" t="s">
        <v>202</v>
      </c>
      <c r="C446" s="16">
        <v>10557</v>
      </c>
      <c r="D446" s="16">
        <v>1.57</v>
      </c>
      <c r="E446" s="16" t="s">
        <v>219</v>
      </c>
      <c r="F446" s="18" t="str">
        <f t="shared" si="12"/>
        <v>Flat 06</v>
      </c>
      <c r="G446" s="18">
        <f t="shared" si="13"/>
        <v>1.57</v>
      </c>
    </row>
    <row r="447" spans="2:7" ht="22.8" x14ac:dyDescent="0.2">
      <c r="B447" s="16" t="s">
        <v>202</v>
      </c>
      <c r="C447" s="16">
        <v>10555</v>
      </c>
      <c r="D447" s="16">
        <v>3.8</v>
      </c>
      <c r="E447" s="16" t="s">
        <v>219</v>
      </c>
      <c r="F447" s="18" t="str">
        <f t="shared" si="12"/>
        <v>Flat 06</v>
      </c>
      <c r="G447" s="18">
        <f t="shared" si="13"/>
        <v>3.8</v>
      </c>
    </row>
    <row r="448" spans="2:7" ht="22.8" x14ac:dyDescent="0.2">
      <c r="B448" s="16" t="s">
        <v>202</v>
      </c>
      <c r="C448" s="16">
        <v>10552</v>
      </c>
      <c r="D448" s="16">
        <v>0.46</v>
      </c>
      <c r="E448" s="16" t="s">
        <v>219</v>
      </c>
      <c r="F448" s="18" t="str">
        <f t="shared" si="12"/>
        <v>Flat 06</v>
      </c>
      <c r="G448" s="18">
        <f t="shared" si="13"/>
        <v>0.46</v>
      </c>
    </row>
    <row r="449" spans="2:7" ht="22.8" x14ac:dyDescent="0.2">
      <c r="B449" s="16" t="s">
        <v>202</v>
      </c>
      <c r="C449" s="16">
        <v>10561</v>
      </c>
      <c r="D449" s="16">
        <v>1.57</v>
      </c>
      <c r="E449" s="16" t="s">
        <v>219</v>
      </c>
      <c r="F449" s="18" t="str">
        <f t="shared" si="12"/>
        <v>Flat 06</v>
      </c>
      <c r="G449" s="18">
        <f t="shared" si="13"/>
        <v>1.57</v>
      </c>
    </row>
    <row r="450" spans="2:7" ht="22.8" x14ac:dyDescent="0.2">
      <c r="B450" s="16" t="s">
        <v>202</v>
      </c>
      <c r="C450" s="16">
        <v>10559</v>
      </c>
      <c r="D450" s="16">
        <v>5.67</v>
      </c>
      <c r="E450" s="16" t="s">
        <v>219</v>
      </c>
      <c r="F450" s="18" t="str">
        <f t="shared" si="12"/>
        <v>Flat 06</v>
      </c>
      <c r="G450" s="18">
        <f t="shared" si="13"/>
        <v>5.67</v>
      </c>
    </row>
    <row r="451" spans="2:7" ht="22.8" x14ac:dyDescent="0.2">
      <c r="B451" s="16" t="s">
        <v>202</v>
      </c>
      <c r="C451" s="16">
        <v>11352</v>
      </c>
      <c r="D451" s="16">
        <v>3.53</v>
      </c>
      <c r="E451" s="16" t="s">
        <v>216</v>
      </c>
      <c r="F451" s="18" t="str">
        <f t="shared" si="12"/>
        <v>Flat 07</v>
      </c>
      <c r="G451" s="18">
        <f t="shared" si="13"/>
        <v>3.53</v>
      </c>
    </row>
    <row r="452" spans="2:7" ht="22.8" x14ac:dyDescent="0.2">
      <c r="B452" s="16" t="s">
        <v>202</v>
      </c>
      <c r="C452" s="16">
        <v>11355</v>
      </c>
      <c r="D452" s="16">
        <v>3.49</v>
      </c>
      <c r="E452" s="16" t="s">
        <v>216</v>
      </c>
      <c r="F452" s="18" t="str">
        <f t="shared" si="12"/>
        <v>Flat 07</v>
      </c>
      <c r="G452" s="18">
        <f t="shared" si="13"/>
        <v>3.49</v>
      </c>
    </row>
    <row r="453" spans="2:7" ht="22.8" x14ac:dyDescent="0.2">
      <c r="B453" s="16" t="s">
        <v>202</v>
      </c>
      <c r="C453" s="16">
        <v>11353</v>
      </c>
      <c r="D453" s="16">
        <v>1.69</v>
      </c>
      <c r="E453" s="16" t="s">
        <v>216</v>
      </c>
      <c r="F453" s="18" t="str">
        <f t="shared" si="12"/>
        <v>Flat 07</v>
      </c>
      <c r="G453" s="18">
        <f t="shared" si="13"/>
        <v>1.69</v>
      </c>
    </row>
    <row r="454" spans="2:7" ht="22.8" x14ac:dyDescent="0.2">
      <c r="B454" s="16" t="s">
        <v>202</v>
      </c>
      <c r="C454" s="16">
        <v>11329</v>
      </c>
      <c r="D454" s="16">
        <v>3.53</v>
      </c>
      <c r="E454" s="16" t="s">
        <v>216</v>
      </c>
      <c r="F454" s="18" t="str">
        <f t="shared" si="12"/>
        <v>Flat 07</v>
      </c>
      <c r="G454" s="18">
        <f t="shared" si="13"/>
        <v>3.53</v>
      </c>
    </row>
    <row r="455" spans="2:7" ht="22.8" x14ac:dyDescent="0.2">
      <c r="B455" s="16" t="s">
        <v>202</v>
      </c>
      <c r="C455" s="16">
        <v>11339</v>
      </c>
      <c r="D455" s="16">
        <v>11.06</v>
      </c>
      <c r="E455" s="16" t="s">
        <v>216</v>
      </c>
      <c r="F455" s="18" t="str">
        <f t="shared" ref="F455:F518" si="14">LEFT(E455,7)</f>
        <v>Flat 07</v>
      </c>
      <c r="G455" s="18">
        <f t="shared" ref="G455:G518" si="15">D455</f>
        <v>11.06</v>
      </c>
    </row>
    <row r="456" spans="2:7" ht="22.8" x14ac:dyDescent="0.2">
      <c r="B456" s="16" t="s">
        <v>202</v>
      </c>
      <c r="C456" s="16">
        <v>11366</v>
      </c>
      <c r="D456" s="16">
        <v>6.76</v>
      </c>
      <c r="E456" s="16" t="s">
        <v>216</v>
      </c>
      <c r="F456" s="18" t="str">
        <f t="shared" si="14"/>
        <v>Flat 07</v>
      </c>
      <c r="G456" s="18">
        <f t="shared" si="15"/>
        <v>6.76</v>
      </c>
    </row>
    <row r="457" spans="2:7" ht="22.8" x14ac:dyDescent="0.2">
      <c r="B457" s="16" t="s">
        <v>202</v>
      </c>
      <c r="C457" s="16">
        <v>10727</v>
      </c>
      <c r="D457" s="16">
        <v>3.73</v>
      </c>
      <c r="E457" s="16" t="s">
        <v>220</v>
      </c>
      <c r="F457" s="18" t="str">
        <f t="shared" si="14"/>
        <v>Flat 09</v>
      </c>
      <c r="G457" s="18">
        <f t="shared" si="15"/>
        <v>3.73</v>
      </c>
    </row>
    <row r="458" spans="2:7" ht="22.8" x14ac:dyDescent="0.2">
      <c r="B458" s="16" t="s">
        <v>202</v>
      </c>
      <c r="C458" s="16">
        <v>10721</v>
      </c>
      <c r="D458" s="16">
        <v>1.35</v>
      </c>
      <c r="E458" s="16" t="s">
        <v>220</v>
      </c>
      <c r="F458" s="18" t="str">
        <f t="shared" si="14"/>
        <v>Flat 09</v>
      </c>
      <c r="G458" s="18">
        <f t="shared" si="15"/>
        <v>1.35</v>
      </c>
    </row>
    <row r="459" spans="2:7" ht="22.8" x14ac:dyDescent="0.2">
      <c r="B459" s="16" t="s">
        <v>202</v>
      </c>
      <c r="C459" s="16">
        <v>10723</v>
      </c>
      <c r="D459" s="16">
        <v>3.14</v>
      </c>
      <c r="E459" s="16" t="s">
        <v>220</v>
      </c>
      <c r="F459" s="18" t="str">
        <f t="shared" si="14"/>
        <v>Flat 09</v>
      </c>
      <c r="G459" s="18">
        <f t="shared" si="15"/>
        <v>3.14</v>
      </c>
    </row>
    <row r="460" spans="2:7" ht="22.8" x14ac:dyDescent="0.2">
      <c r="B460" s="16" t="s">
        <v>202</v>
      </c>
      <c r="C460" s="16">
        <v>10718</v>
      </c>
      <c r="D460" s="16">
        <v>2.9</v>
      </c>
      <c r="E460" s="16" t="s">
        <v>220</v>
      </c>
      <c r="F460" s="18" t="str">
        <f t="shared" si="14"/>
        <v>Flat 09</v>
      </c>
      <c r="G460" s="18">
        <f t="shared" si="15"/>
        <v>2.9</v>
      </c>
    </row>
    <row r="461" spans="2:7" ht="22.8" x14ac:dyDescent="0.2">
      <c r="B461" s="16" t="s">
        <v>202</v>
      </c>
      <c r="C461" s="16">
        <v>10725</v>
      </c>
      <c r="D461" s="16">
        <v>1.28</v>
      </c>
      <c r="E461" s="16" t="s">
        <v>220</v>
      </c>
      <c r="F461" s="18" t="str">
        <f t="shared" si="14"/>
        <v>Flat 09</v>
      </c>
      <c r="G461" s="18">
        <f t="shared" si="15"/>
        <v>1.28</v>
      </c>
    </row>
    <row r="462" spans="2:7" ht="22.8" x14ac:dyDescent="0.2">
      <c r="B462" s="16" t="s">
        <v>202</v>
      </c>
      <c r="C462" s="16">
        <v>10739</v>
      </c>
      <c r="D462" s="16">
        <v>0</v>
      </c>
      <c r="E462" s="16" t="s">
        <v>220</v>
      </c>
      <c r="F462" s="18" t="str">
        <f t="shared" si="14"/>
        <v>Flat 09</v>
      </c>
      <c r="G462" s="18">
        <f t="shared" si="15"/>
        <v>0</v>
      </c>
    </row>
    <row r="463" spans="2:7" ht="22.8" x14ac:dyDescent="0.2">
      <c r="B463" s="16" t="s">
        <v>202</v>
      </c>
      <c r="C463" s="16">
        <v>10713</v>
      </c>
      <c r="D463" s="16">
        <v>1.28</v>
      </c>
      <c r="E463" s="16" t="s">
        <v>220</v>
      </c>
      <c r="F463" s="18" t="str">
        <f t="shared" si="14"/>
        <v>Flat 09</v>
      </c>
      <c r="G463" s="18">
        <f t="shared" si="15"/>
        <v>1.28</v>
      </c>
    </row>
    <row r="464" spans="2:7" ht="22.8" x14ac:dyDescent="0.2">
      <c r="B464" s="16" t="s">
        <v>202</v>
      </c>
      <c r="C464" s="16">
        <v>10711</v>
      </c>
      <c r="D464" s="16">
        <v>3.14</v>
      </c>
      <c r="E464" s="16" t="s">
        <v>220</v>
      </c>
      <c r="F464" s="18" t="str">
        <f t="shared" si="14"/>
        <v>Flat 09</v>
      </c>
      <c r="G464" s="18">
        <f t="shared" si="15"/>
        <v>3.14</v>
      </c>
    </row>
    <row r="465" spans="2:7" ht="22.8" x14ac:dyDescent="0.2">
      <c r="B465" s="16" t="s">
        <v>202</v>
      </c>
      <c r="C465" s="16">
        <v>10706</v>
      </c>
      <c r="D465" s="16">
        <v>2.9</v>
      </c>
      <c r="E465" s="16" t="s">
        <v>220</v>
      </c>
      <c r="F465" s="18" t="str">
        <f t="shared" si="14"/>
        <v>Flat 09</v>
      </c>
      <c r="G465" s="18">
        <f t="shared" si="15"/>
        <v>2.9</v>
      </c>
    </row>
    <row r="466" spans="2:7" ht="22.8" x14ac:dyDescent="0.2">
      <c r="B466" s="16" t="s">
        <v>202</v>
      </c>
      <c r="C466" s="16">
        <v>10709</v>
      </c>
      <c r="D466" s="16">
        <v>1.35</v>
      </c>
      <c r="E466" s="16" t="s">
        <v>220</v>
      </c>
      <c r="F466" s="18" t="str">
        <f t="shared" si="14"/>
        <v>Flat 09</v>
      </c>
      <c r="G466" s="18">
        <f t="shared" si="15"/>
        <v>1.35</v>
      </c>
    </row>
    <row r="467" spans="2:7" ht="22.8" x14ac:dyDescent="0.2">
      <c r="B467" s="16" t="s">
        <v>202</v>
      </c>
      <c r="C467" s="16">
        <v>10716</v>
      </c>
      <c r="D467" s="16">
        <v>3.73</v>
      </c>
      <c r="E467" s="16" t="s">
        <v>220</v>
      </c>
      <c r="F467" s="18" t="str">
        <f t="shared" si="14"/>
        <v>Flat 09</v>
      </c>
      <c r="G467" s="18">
        <f t="shared" si="15"/>
        <v>3.73</v>
      </c>
    </row>
    <row r="468" spans="2:7" ht="22.8" x14ac:dyDescent="0.2">
      <c r="B468" s="16" t="s">
        <v>202</v>
      </c>
      <c r="C468" s="16">
        <v>11563</v>
      </c>
      <c r="D468" s="16">
        <v>1.35</v>
      </c>
      <c r="E468" s="16" t="s">
        <v>221</v>
      </c>
      <c r="F468" s="18" t="str">
        <f t="shared" si="14"/>
        <v>Flat 05</v>
      </c>
      <c r="G468" s="18">
        <f t="shared" si="15"/>
        <v>1.35</v>
      </c>
    </row>
    <row r="469" spans="2:7" ht="22.8" x14ac:dyDescent="0.2">
      <c r="B469" s="16" t="s">
        <v>202</v>
      </c>
      <c r="C469" s="16">
        <v>11560</v>
      </c>
      <c r="D469" s="16">
        <v>5.67</v>
      </c>
      <c r="E469" s="16" t="s">
        <v>221</v>
      </c>
      <c r="F469" s="18" t="str">
        <f t="shared" si="14"/>
        <v>Flat 05</v>
      </c>
      <c r="G469" s="18">
        <f t="shared" si="15"/>
        <v>5.67</v>
      </c>
    </row>
    <row r="470" spans="2:7" ht="22.8" x14ac:dyDescent="0.2">
      <c r="B470" s="16" t="s">
        <v>202</v>
      </c>
      <c r="C470" s="16">
        <v>11568</v>
      </c>
      <c r="D470" s="16">
        <v>18.489999999999998</v>
      </c>
      <c r="E470" s="16" t="s">
        <v>221</v>
      </c>
      <c r="F470" s="18" t="str">
        <f t="shared" si="14"/>
        <v>Flat 05</v>
      </c>
      <c r="G470" s="18">
        <f t="shared" si="15"/>
        <v>18.489999999999998</v>
      </c>
    </row>
    <row r="471" spans="2:7" ht="22.8" x14ac:dyDescent="0.2">
      <c r="B471" s="16" t="s">
        <v>202</v>
      </c>
      <c r="C471" s="16">
        <v>11565</v>
      </c>
      <c r="D471" s="16">
        <v>3.29</v>
      </c>
      <c r="E471" s="16" t="s">
        <v>221</v>
      </c>
      <c r="F471" s="18" t="str">
        <f t="shared" si="14"/>
        <v>Flat 05</v>
      </c>
      <c r="G471" s="18">
        <f t="shared" si="15"/>
        <v>3.29</v>
      </c>
    </row>
    <row r="472" spans="2:7" ht="22.8" x14ac:dyDescent="0.2">
      <c r="B472" s="16" t="s">
        <v>202</v>
      </c>
      <c r="C472" s="16">
        <v>11166</v>
      </c>
      <c r="D472" s="16">
        <v>3.15</v>
      </c>
      <c r="E472" s="16" t="s">
        <v>217</v>
      </c>
      <c r="F472" s="18" t="str">
        <f t="shared" si="14"/>
        <v>Flat 08</v>
      </c>
      <c r="G472" s="18">
        <f t="shared" si="15"/>
        <v>3.15</v>
      </c>
    </row>
    <row r="473" spans="2:7" ht="22.8" x14ac:dyDescent="0.2">
      <c r="B473" s="16" t="s">
        <v>202</v>
      </c>
      <c r="C473" s="16">
        <v>11168</v>
      </c>
      <c r="D473" s="16">
        <v>1.24</v>
      </c>
      <c r="E473" s="16" t="s">
        <v>217</v>
      </c>
      <c r="F473" s="18" t="str">
        <f t="shared" si="14"/>
        <v>Flat 08</v>
      </c>
      <c r="G473" s="18">
        <f t="shared" si="15"/>
        <v>1.24</v>
      </c>
    </row>
    <row r="474" spans="2:7" ht="22.8" x14ac:dyDescent="0.2">
      <c r="B474" s="16" t="s">
        <v>202</v>
      </c>
      <c r="C474" s="16">
        <v>11163</v>
      </c>
      <c r="D474" s="16">
        <v>7.48</v>
      </c>
      <c r="E474" s="16" t="s">
        <v>217</v>
      </c>
      <c r="F474" s="18" t="str">
        <f t="shared" si="14"/>
        <v>Flat 08</v>
      </c>
      <c r="G474" s="18">
        <f t="shared" si="15"/>
        <v>7.48</v>
      </c>
    </row>
    <row r="475" spans="2:7" ht="22.8" x14ac:dyDescent="0.2">
      <c r="B475" s="16" t="s">
        <v>202</v>
      </c>
      <c r="C475" s="16">
        <v>11170</v>
      </c>
      <c r="D475" s="16">
        <v>5.67</v>
      </c>
      <c r="E475" s="16" t="s">
        <v>217</v>
      </c>
      <c r="F475" s="18" t="str">
        <f t="shared" si="14"/>
        <v>Flat 08</v>
      </c>
      <c r="G475" s="18">
        <f t="shared" si="15"/>
        <v>5.67</v>
      </c>
    </row>
    <row r="476" spans="2:7" ht="22.8" x14ac:dyDescent="0.2">
      <c r="B476" s="16" t="s">
        <v>202</v>
      </c>
      <c r="C476" s="16">
        <v>11154</v>
      </c>
      <c r="D476" s="16">
        <v>7.48</v>
      </c>
      <c r="E476" s="16" t="s">
        <v>217</v>
      </c>
      <c r="F476" s="18" t="str">
        <f t="shared" si="14"/>
        <v>Flat 08</v>
      </c>
      <c r="G476" s="18">
        <f t="shared" si="15"/>
        <v>7.48</v>
      </c>
    </row>
    <row r="477" spans="2:7" ht="22.8" x14ac:dyDescent="0.2">
      <c r="B477" s="16" t="s">
        <v>202</v>
      </c>
      <c r="C477" s="16">
        <v>11161</v>
      </c>
      <c r="D477" s="16">
        <v>5.67</v>
      </c>
      <c r="E477" s="16" t="s">
        <v>217</v>
      </c>
      <c r="F477" s="18" t="str">
        <f t="shared" si="14"/>
        <v>Flat 08</v>
      </c>
      <c r="G477" s="18">
        <f t="shared" si="15"/>
        <v>5.67</v>
      </c>
    </row>
    <row r="478" spans="2:7" ht="22.8" x14ac:dyDescent="0.2">
      <c r="B478" s="16" t="s">
        <v>202</v>
      </c>
      <c r="C478" s="16">
        <v>11159</v>
      </c>
      <c r="D478" s="16">
        <v>1.24</v>
      </c>
      <c r="E478" s="16" t="s">
        <v>217</v>
      </c>
      <c r="F478" s="18" t="str">
        <f t="shared" si="14"/>
        <v>Flat 08</v>
      </c>
      <c r="G478" s="18">
        <f t="shared" si="15"/>
        <v>1.24</v>
      </c>
    </row>
    <row r="479" spans="2:7" ht="22.8" x14ac:dyDescent="0.2">
      <c r="B479" s="16" t="s">
        <v>202</v>
      </c>
      <c r="C479" s="16">
        <v>11157</v>
      </c>
      <c r="D479" s="16">
        <v>3.15</v>
      </c>
      <c r="E479" s="16" t="s">
        <v>217</v>
      </c>
      <c r="F479" s="18" t="str">
        <f t="shared" si="14"/>
        <v>Flat 08</v>
      </c>
      <c r="G479" s="18">
        <f t="shared" si="15"/>
        <v>3.15</v>
      </c>
    </row>
    <row r="480" spans="2:7" ht="22.8" x14ac:dyDescent="0.2">
      <c r="B480" s="16" t="s">
        <v>202</v>
      </c>
      <c r="C480" s="16">
        <v>11229</v>
      </c>
      <c r="D480" s="16">
        <v>3.73</v>
      </c>
      <c r="E480" s="16" t="s">
        <v>184</v>
      </c>
      <c r="F480" s="18" t="str">
        <f t="shared" si="14"/>
        <v>Flat 15</v>
      </c>
      <c r="G480" s="18">
        <f t="shared" si="15"/>
        <v>3.73</v>
      </c>
    </row>
    <row r="481" spans="2:7" ht="22.8" x14ac:dyDescent="0.2">
      <c r="B481" s="16" t="s">
        <v>202</v>
      </c>
      <c r="C481" s="16">
        <v>11224</v>
      </c>
      <c r="D481" s="16">
        <v>3.14</v>
      </c>
      <c r="E481" s="16" t="s">
        <v>184</v>
      </c>
      <c r="F481" s="18" t="str">
        <f t="shared" si="14"/>
        <v>Flat 15</v>
      </c>
      <c r="G481" s="18">
        <f t="shared" si="15"/>
        <v>3.14</v>
      </c>
    </row>
    <row r="482" spans="2:7" ht="22.8" x14ac:dyDescent="0.2">
      <c r="B482" s="16" t="s">
        <v>202</v>
      </c>
      <c r="C482" s="16">
        <v>11226</v>
      </c>
      <c r="D482" s="16">
        <v>1.28</v>
      </c>
      <c r="E482" s="16" t="s">
        <v>184</v>
      </c>
      <c r="F482" s="18" t="str">
        <f t="shared" si="14"/>
        <v>Flat 15</v>
      </c>
      <c r="G482" s="18">
        <f t="shared" si="15"/>
        <v>1.28</v>
      </c>
    </row>
    <row r="483" spans="2:7" ht="22.8" x14ac:dyDescent="0.2">
      <c r="B483" s="16" t="s">
        <v>202</v>
      </c>
      <c r="C483" s="16">
        <v>11222</v>
      </c>
      <c r="D483" s="16">
        <v>1.35</v>
      </c>
      <c r="E483" s="16" t="s">
        <v>184</v>
      </c>
      <c r="F483" s="18" t="str">
        <f t="shared" si="14"/>
        <v>Flat 15</v>
      </c>
      <c r="G483" s="18">
        <f t="shared" si="15"/>
        <v>1.35</v>
      </c>
    </row>
    <row r="484" spans="2:7" ht="22.8" x14ac:dyDescent="0.2">
      <c r="B484" s="16" t="s">
        <v>202</v>
      </c>
      <c r="C484" s="16">
        <v>11219</v>
      </c>
      <c r="D484" s="16">
        <v>2.9</v>
      </c>
      <c r="E484" s="16" t="s">
        <v>184</v>
      </c>
      <c r="F484" s="18" t="str">
        <f t="shared" si="14"/>
        <v>Flat 15</v>
      </c>
      <c r="G484" s="18">
        <f t="shared" si="15"/>
        <v>2.9</v>
      </c>
    </row>
    <row r="485" spans="2:7" ht="22.8" x14ac:dyDescent="0.2">
      <c r="B485" s="16" t="s">
        <v>202</v>
      </c>
      <c r="C485" s="16">
        <v>11252</v>
      </c>
      <c r="D485" s="16">
        <v>0</v>
      </c>
      <c r="E485" s="16" t="s">
        <v>184</v>
      </c>
      <c r="F485" s="18" t="str">
        <f t="shared" si="14"/>
        <v>Flat 15</v>
      </c>
      <c r="G485" s="18">
        <f t="shared" si="15"/>
        <v>0</v>
      </c>
    </row>
    <row r="486" spans="2:7" ht="22.8" x14ac:dyDescent="0.2">
      <c r="B486" s="16" t="s">
        <v>202</v>
      </c>
      <c r="C486" s="16">
        <v>10781</v>
      </c>
      <c r="D486" s="16">
        <v>1.35</v>
      </c>
      <c r="E486" s="16" t="s">
        <v>185</v>
      </c>
      <c r="F486" s="18" t="str">
        <f t="shared" si="14"/>
        <v>Flat 16</v>
      </c>
      <c r="G486" s="18">
        <f t="shared" si="15"/>
        <v>1.35</v>
      </c>
    </row>
    <row r="487" spans="2:7" ht="22.8" x14ac:dyDescent="0.2">
      <c r="B487" s="16" t="s">
        <v>202</v>
      </c>
      <c r="C487" s="16">
        <v>10784</v>
      </c>
      <c r="D487" s="16">
        <v>2.69</v>
      </c>
      <c r="E487" s="16" t="s">
        <v>185</v>
      </c>
      <c r="F487" s="18" t="str">
        <f t="shared" si="14"/>
        <v>Flat 16</v>
      </c>
      <c r="G487" s="18">
        <f t="shared" si="15"/>
        <v>2.69</v>
      </c>
    </row>
    <row r="488" spans="2:7" ht="22.8" x14ac:dyDescent="0.2">
      <c r="B488" s="16" t="s">
        <v>202</v>
      </c>
      <c r="C488" s="16">
        <v>10778</v>
      </c>
      <c r="D488" s="16">
        <v>0.17</v>
      </c>
      <c r="E488" s="16" t="s">
        <v>185</v>
      </c>
      <c r="F488" s="18" t="str">
        <f t="shared" si="14"/>
        <v>Flat 16</v>
      </c>
      <c r="G488" s="18">
        <f t="shared" si="15"/>
        <v>0.17</v>
      </c>
    </row>
    <row r="489" spans="2:7" ht="22.8" x14ac:dyDescent="0.2">
      <c r="B489" s="16" t="s">
        <v>202</v>
      </c>
      <c r="C489" s="16">
        <v>10815</v>
      </c>
      <c r="D489" s="16">
        <v>2.48</v>
      </c>
      <c r="E489" s="16" t="s">
        <v>185</v>
      </c>
      <c r="F489" s="18" t="str">
        <f t="shared" si="14"/>
        <v>Flat 16</v>
      </c>
      <c r="G489" s="18">
        <f t="shared" si="15"/>
        <v>2.48</v>
      </c>
    </row>
    <row r="490" spans="2:7" ht="22.8" x14ac:dyDescent="0.2">
      <c r="B490" s="16" t="s">
        <v>202</v>
      </c>
      <c r="C490" s="16">
        <v>10819</v>
      </c>
      <c r="D490" s="16">
        <v>0.59</v>
      </c>
      <c r="E490" s="16" t="s">
        <v>185</v>
      </c>
      <c r="F490" s="18" t="str">
        <f t="shared" si="14"/>
        <v>Flat 16</v>
      </c>
      <c r="G490" s="18">
        <f t="shared" si="15"/>
        <v>0.59</v>
      </c>
    </row>
    <row r="491" spans="2:7" ht="22.8" x14ac:dyDescent="0.2">
      <c r="B491" s="16" t="s">
        <v>202</v>
      </c>
      <c r="C491" s="16">
        <v>10633</v>
      </c>
      <c r="D491" s="16">
        <v>3.53</v>
      </c>
      <c r="E491" s="16" t="s">
        <v>214</v>
      </c>
      <c r="F491" s="18" t="str">
        <f t="shared" si="14"/>
        <v>Flat 01</v>
      </c>
      <c r="G491" s="18">
        <f t="shared" si="15"/>
        <v>3.53</v>
      </c>
    </row>
    <row r="492" spans="2:7" ht="22.8" x14ac:dyDescent="0.2">
      <c r="B492" s="16" t="s">
        <v>202</v>
      </c>
      <c r="C492" s="16">
        <v>10629</v>
      </c>
      <c r="D492" s="16">
        <v>6.76</v>
      </c>
      <c r="E492" s="16" t="s">
        <v>214</v>
      </c>
      <c r="F492" s="18" t="str">
        <f t="shared" si="14"/>
        <v>Flat 01</v>
      </c>
      <c r="G492" s="18">
        <f t="shared" si="15"/>
        <v>6.76</v>
      </c>
    </row>
    <row r="493" spans="2:7" ht="22.8" x14ac:dyDescent="0.2">
      <c r="B493" s="16" t="s">
        <v>202</v>
      </c>
      <c r="C493" s="16">
        <v>10997</v>
      </c>
      <c r="D493" s="16">
        <v>3.29</v>
      </c>
      <c r="E493" s="16" t="s">
        <v>186</v>
      </c>
      <c r="F493" s="18" t="str">
        <f t="shared" si="14"/>
        <v>Flat 17</v>
      </c>
      <c r="G493" s="18">
        <f t="shared" si="15"/>
        <v>3.29</v>
      </c>
    </row>
    <row r="494" spans="2:7" ht="22.8" x14ac:dyDescent="0.2">
      <c r="B494" s="16" t="s">
        <v>202</v>
      </c>
      <c r="C494" s="16">
        <v>10995</v>
      </c>
      <c r="D494" s="16">
        <v>1.35</v>
      </c>
      <c r="E494" s="16" t="s">
        <v>186</v>
      </c>
      <c r="F494" s="18" t="str">
        <f t="shared" si="14"/>
        <v>Flat 17</v>
      </c>
      <c r="G494" s="18">
        <f t="shared" si="15"/>
        <v>1.35</v>
      </c>
    </row>
    <row r="495" spans="2:7" ht="22.8" x14ac:dyDescent="0.2">
      <c r="B495" s="16" t="s">
        <v>202</v>
      </c>
      <c r="C495" s="16">
        <v>10992</v>
      </c>
      <c r="D495" s="16">
        <v>5.67</v>
      </c>
      <c r="E495" s="16" t="s">
        <v>186</v>
      </c>
      <c r="F495" s="18" t="str">
        <f t="shared" si="14"/>
        <v>Flat 17</v>
      </c>
      <c r="G495" s="18">
        <f t="shared" si="15"/>
        <v>5.67</v>
      </c>
    </row>
    <row r="496" spans="2:7" ht="22.8" x14ac:dyDescent="0.2">
      <c r="B496" s="16" t="s">
        <v>202</v>
      </c>
      <c r="C496" s="16">
        <v>11000</v>
      </c>
      <c r="D496" s="16">
        <v>18.489999999999998</v>
      </c>
      <c r="E496" s="16" t="s">
        <v>186</v>
      </c>
      <c r="F496" s="18" t="str">
        <f t="shared" si="14"/>
        <v>Flat 17</v>
      </c>
      <c r="G496" s="18">
        <f t="shared" si="15"/>
        <v>18.489999999999998</v>
      </c>
    </row>
    <row r="497" spans="2:7" ht="22.8" x14ac:dyDescent="0.2">
      <c r="B497" s="16" t="s">
        <v>202</v>
      </c>
      <c r="C497" s="16">
        <v>10854</v>
      </c>
      <c r="D497" s="16">
        <v>5.67</v>
      </c>
      <c r="E497" s="16" t="s">
        <v>187</v>
      </c>
      <c r="F497" s="18" t="str">
        <f t="shared" si="14"/>
        <v>Flat 18</v>
      </c>
      <c r="G497" s="18">
        <f t="shared" si="15"/>
        <v>5.67</v>
      </c>
    </row>
    <row r="498" spans="2:7" ht="22.8" x14ac:dyDescent="0.2">
      <c r="B498" s="16" t="s">
        <v>202</v>
      </c>
      <c r="C498" s="16">
        <v>10856</v>
      </c>
      <c r="D498" s="16">
        <v>1.57</v>
      </c>
      <c r="E498" s="16" t="s">
        <v>187</v>
      </c>
      <c r="F498" s="18" t="str">
        <f t="shared" si="14"/>
        <v>Flat 18</v>
      </c>
      <c r="G498" s="18">
        <f t="shared" si="15"/>
        <v>1.57</v>
      </c>
    </row>
    <row r="499" spans="2:7" ht="22.8" x14ac:dyDescent="0.2">
      <c r="B499" s="16" t="s">
        <v>202</v>
      </c>
      <c r="C499" s="16">
        <v>10852</v>
      </c>
      <c r="D499" s="16">
        <v>1.57</v>
      </c>
      <c r="E499" s="16" t="s">
        <v>187</v>
      </c>
      <c r="F499" s="18" t="str">
        <f t="shared" si="14"/>
        <v>Flat 18</v>
      </c>
      <c r="G499" s="18">
        <f t="shared" si="15"/>
        <v>1.57</v>
      </c>
    </row>
    <row r="500" spans="2:7" ht="22.8" x14ac:dyDescent="0.2">
      <c r="B500" s="16" t="s">
        <v>202</v>
      </c>
      <c r="C500" s="16">
        <v>10850</v>
      </c>
      <c r="D500" s="16">
        <v>3.8</v>
      </c>
      <c r="E500" s="16" t="s">
        <v>187</v>
      </c>
      <c r="F500" s="18" t="str">
        <f t="shared" si="14"/>
        <v>Flat 18</v>
      </c>
      <c r="G500" s="18">
        <f t="shared" si="15"/>
        <v>3.8</v>
      </c>
    </row>
    <row r="501" spans="2:7" ht="22.8" x14ac:dyDescent="0.2">
      <c r="B501" s="16" t="s">
        <v>202</v>
      </c>
      <c r="C501" s="16">
        <v>10847</v>
      </c>
      <c r="D501" s="16">
        <v>0.46</v>
      </c>
      <c r="E501" s="16" t="s">
        <v>187</v>
      </c>
      <c r="F501" s="18" t="str">
        <f t="shared" si="14"/>
        <v>Flat 18</v>
      </c>
      <c r="G501" s="18">
        <f t="shared" si="15"/>
        <v>0.46</v>
      </c>
    </row>
    <row r="502" spans="2:7" ht="22.8" x14ac:dyDescent="0.2">
      <c r="B502" s="16" t="s">
        <v>202</v>
      </c>
      <c r="C502" s="16">
        <v>10480</v>
      </c>
      <c r="D502" s="16">
        <v>3.25</v>
      </c>
      <c r="E502" s="16" t="s">
        <v>222</v>
      </c>
      <c r="F502" s="18" t="str">
        <f t="shared" si="14"/>
        <v>Flat 04</v>
      </c>
      <c r="G502" s="18">
        <f t="shared" si="15"/>
        <v>3.25</v>
      </c>
    </row>
    <row r="503" spans="2:7" ht="22.8" x14ac:dyDescent="0.2">
      <c r="B503" s="16" t="s">
        <v>202</v>
      </c>
      <c r="C503" s="16">
        <v>10485</v>
      </c>
      <c r="D503" s="16">
        <v>2.69</v>
      </c>
      <c r="E503" s="16" t="s">
        <v>222</v>
      </c>
      <c r="F503" s="18" t="str">
        <f t="shared" si="14"/>
        <v>Flat 04</v>
      </c>
      <c r="G503" s="18">
        <f t="shared" si="15"/>
        <v>2.69</v>
      </c>
    </row>
    <row r="504" spans="2:7" ht="22.8" x14ac:dyDescent="0.2">
      <c r="B504" s="16" t="s">
        <v>202</v>
      </c>
      <c r="C504" s="16">
        <v>10483</v>
      </c>
      <c r="D504" s="16">
        <v>1.35</v>
      </c>
      <c r="E504" s="16" t="s">
        <v>222</v>
      </c>
      <c r="F504" s="18" t="str">
        <f t="shared" si="14"/>
        <v>Flat 04</v>
      </c>
      <c r="G504" s="18">
        <f t="shared" si="15"/>
        <v>1.35</v>
      </c>
    </row>
    <row r="505" spans="2:7" ht="22.8" x14ac:dyDescent="0.2">
      <c r="B505" s="16" t="s">
        <v>202</v>
      </c>
      <c r="C505" s="16">
        <v>10923</v>
      </c>
      <c r="D505" s="16">
        <v>3.25</v>
      </c>
      <c r="E505" s="16" t="s">
        <v>188</v>
      </c>
      <c r="F505" s="18" t="str">
        <f t="shared" si="14"/>
        <v>Flat 10</v>
      </c>
      <c r="G505" s="18">
        <f t="shared" si="15"/>
        <v>3.25</v>
      </c>
    </row>
    <row r="506" spans="2:7" ht="22.8" x14ac:dyDescent="0.2">
      <c r="B506" s="16" t="s">
        <v>202</v>
      </c>
      <c r="C506" s="16">
        <v>10928</v>
      </c>
      <c r="D506" s="16">
        <v>2.69</v>
      </c>
      <c r="E506" s="16" t="s">
        <v>188</v>
      </c>
      <c r="F506" s="18" t="str">
        <f t="shared" si="14"/>
        <v>Flat 10</v>
      </c>
      <c r="G506" s="18">
        <f t="shared" si="15"/>
        <v>2.69</v>
      </c>
    </row>
    <row r="507" spans="2:7" ht="22.8" x14ac:dyDescent="0.2">
      <c r="B507" s="16" t="s">
        <v>202</v>
      </c>
      <c r="C507" s="16">
        <v>10926</v>
      </c>
      <c r="D507" s="16">
        <v>1.35</v>
      </c>
      <c r="E507" s="16" t="s">
        <v>188</v>
      </c>
      <c r="F507" s="18" t="str">
        <f t="shared" si="14"/>
        <v>Flat 10</v>
      </c>
      <c r="G507" s="18">
        <f t="shared" si="15"/>
        <v>1.35</v>
      </c>
    </row>
    <row r="508" spans="2:7" ht="22.8" x14ac:dyDescent="0.2">
      <c r="B508" s="16" t="s">
        <v>202</v>
      </c>
      <c r="C508" s="16">
        <v>10918</v>
      </c>
      <c r="D508" s="16">
        <v>1.35</v>
      </c>
      <c r="E508" s="16" t="s">
        <v>188</v>
      </c>
      <c r="F508" s="18" t="str">
        <f t="shared" si="14"/>
        <v>Flat 10</v>
      </c>
      <c r="G508" s="18">
        <f t="shared" si="15"/>
        <v>1.35</v>
      </c>
    </row>
    <row r="509" spans="2:7" ht="22.8" x14ac:dyDescent="0.2">
      <c r="B509" s="16" t="s">
        <v>202</v>
      </c>
      <c r="C509" s="16">
        <v>10915</v>
      </c>
      <c r="D509" s="16">
        <v>0.17</v>
      </c>
      <c r="E509" s="16" t="s">
        <v>188</v>
      </c>
      <c r="F509" s="18" t="str">
        <f t="shared" si="14"/>
        <v>Flat 10</v>
      </c>
      <c r="G509" s="18">
        <f t="shared" si="15"/>
        <v>0.17</v>
      </c>
    </row>
    <row r="510" spans="2:7" ht="22.8" x14ac:dyDescent="0.2">
      <c r="B510" s="16" t="s">
        <v>202</v>
      </c>
      <c r="C510" s="16">
        <v>10921</v>
      </c>
      <c r="D510" s="16">
        <v>2.69</v>
      </c>
      <c r="E510" s="16" t="s">
        <v>188</v>
      </c>
      <c r="F510" s="18" t="str">
        <f t="shared" si="14"/>
        <v>Flat 10</v>
      </c>
      <c r="G510" s="18">
        <f t="shared" si="15"/>
        <v>2.69</v>
      </c>
    </row>
    <row r="511" spans="2:7" ht="22.8" x14ac:dyDescent="0.2">
      <c r="B511" s="16" t="s">
        <v>202</v>
      </c>
      <c r="C511" s="16">
        <v>10952</v>
      </c>
      <c r="D511" s="16">
        <v>2.48</v>
      </c>
      <c r="E511" s="16" t="s">
        <v>188</v>
      </c>
      <c r="F511" s="18" t="str">
        <f t="shared" si="14"/>
        <v>Flat 10</v>
      </c>
      <c r="G511" s="18">
        <f t="shared" si="15"/>
        <v>2.48</v>
      </c>
    </row>
    <row r="512" spans="2:7" ht="22.8" x14ac:dyDescent="0.2">
      <c r="B512" s="16" t="s">
        <v>202</v>
      </c>
      <c r="C512" s="16">
        <v>10956</v>
      </c>
      <c r="D512" s="16">
        <v>0.59</v>
      </c>
      <c r="E512" s="16" t="s">
        <v>188</v>
      </c>
      <c r="F512" s="18" t="str">
        <f t="shared" si="14"/>
        <v>Flat 10</v>
      </c>
      <c r="G512" s="18">
        <f t="shared" si="15"/>
        <v>0.59</v>
      </c>
    </row>
    <row r="513" spans="2:7" ht="22.8" x14ac:dyDescent="0.2">
      <c r="B513" s="16" t="s">
        <v>202</v>
      </c>
      <c r="C513" s="16">
        <v>11632</v>
      </c>
      <c r="D513" s="16">
        <v>7.48</v>
      </c>
      <c r="E513" s="16" t="s">
        <v>189</v>
      </c>
      <c r="F513" s="18" t="str">
        <f t="shared" si="14"/>
        <v>Flat 14</v>
      </c>
      <c r="G513" s="18">
        <f t="shared" si="15"/>
        <v>7.48</v>
      </c>
    </row>
    <row r="514" spans="2:7" ht="22.8" x14ac:dyDescent="0.2">
      <c r="B514" s="16" t="s">
        <v>202</v>
      </c>
      <c r="C514" s="16">
        <v>11639</v>
      </c>
      <c r="D514" s="16">
        <v>5.67</v>
      </c>
      <c r="E514" s="16" t="s">
        <v>189</v>
      </c>
      <c r="F514" s="18" t="str">
        <f t="shared" si="14"/>
        <v>Flat 14</v>
      </c>
      <c r="G514" s="18">
        <f t="shared" si="15"/>
        <v>5.67</v>
      </c>
    </row>
    <row r="515" spans="2:7" ht="22.8" x14ac:dyDescent="0.2">
      <c r="B515" s="16" t="s">
        <v>202</v>
      </c>
      <c r="C515" s="16">
        <v>11637</v>
      </c>
      <c r="D515" s="16">
        <v>1.24</v>
      </c>
      <c r="E515" s="16" t="s">
        <v>189</v>
      </c>
      <c r="F515" s="18" t="str">
        <f t="shared" si="14"/>
        <v>Flat 14</v>
      </c>
      <c r="G515" s="18">
        <f t="shared" si="15"/>
        <v>1.24</v>
      </c>
    </row>
    <row r="516" spans="2:7" ht="22.8" x14ac:dyDescent="0.2">
      <c r="B516" s="16" t="s">
        <v>202</v>
      </c>
      <c r="C516" s="16">
        <v>11635</v>
      </c>
      <c r="D516" s="16">
        <v>3.15</v>
      </c>
      <c r="E516" s="16" t="s">
        <v>189</v>
      </c>
      <c r="F516" s="18" t="str">
        <f t="shared" si="14"/>
        <v>Flat 14</v>
      </c>
      <c r="G516" s="18">
        <f t="shared" si="15"/>
        <v>3.15</v>
      </c>
    </row>
    <row r="517" spans="2:7" ht="22.8" x14ac:dyDescent="0.2">
      <c r="B517" s="16" t="s">
        <v>202</v>
      </c>
      <c r="C517" s="16">
        <v>11073</v>
      </c>
      <c r="D517" s="16">
        <v>1.57</v>
      </c>
      <c r="E517" s="16" t="s">
        <v>190</v>
      </c>
      <c r="F517" s="18" t="str">
        <f t="shared" si="14"/>
        <v>Flat 12</v>
      </c>
      <c r="G517" s="18">
        <f t="shared" si="15"/>
        <v>1.57</v>
      </c>
    </row>
    <row r="518" spans="2:7" ht="22.8" x14ac:dyDescent="0.2">
      <c r="B518" s="16" t="s">
        <v>202</v>
      </c>
      <c r="C518" s="16">
        <v>11071</v>
      </c>
      <c r="D518" s="16">
        <v>3.8</v>
      </c>
      <c r="E518" s="16" t="s">
        <v>190</v>
      </c>
      <c r="F518" s="18" t="str">
        <f t="shared" si="14"/>
        <v>Flat 12</v>
      </c>
      <c r="G518" s="18">
        <f t="shared" si="15"/>
        <v>3.8</v>
      </c>
    </row>
    <row r="519" spans="2:7" ht="22.8" x14ac:dyDescent="0.2">
      <c r="B519" s="16" t="s">
        <v>202</v>
      </c>
      <c r="C519" s="16">
        <v>11077</v>
      </c>
      <c r="D519" s="16">
        <v>1.57</v>
      </c>
      <c r="E519" s="16" t="s">
        <v>190</v>
      </c>
      <c r="F519" s="18" t="str">
        <f t="shared" ref="F519:F582" si="16">LEFT(E519,7)</f>
        <v>Flat 12</v>
      </c>
      <c r="G519" s="18">
        <f t="shared" ref="G519:G582" si="17">D519</f>
        <v>1.57</v>
      </c>
    </row>
    <row r="520" spans="2:7" ht="22.8" x14ac:dyDescent="0.2">
      <c r="B520" s="16" t="s">
        <v>202</v>
      </c>
      <c r="C520" s="16">
        <v>11075</v>
      </c>
      <c r="D520" s="16">
        <v>5.67</v>
      </c>
      <c r="E520" s="16" t="s">
        <v>190</v>
      </c>
      <c r="F520" s="18" t="str">
        <f t="shared" si="16"/>
        <v>Flat 12</v>
      </c>
      <c r="G520" s="18">
        <f t="shared" si="17"/>
        <v>5.67</v>
      </c>
    </row>
    <row r="521" spans="2:7" ht="22.8" x14ac:dyDescent="0.2">
      <c r="B521" s="16" t="s">
        <v>202</v>
      </c>
      <c r="C521" s="16">
        <v>11068</v>
      </c>
      <c r="D521" s="16">
        <v>0.46</v>
      </c>
      <c r="E521" s="16" t="s">
        <v>190</v>
      </c>
      <c r="F521" s="18" t="str">
        <f t="shared" si="16"/>
        <v>Flat 12</v>
      </c>
      <c r="G521" s="18">
        <f t="shared" si="17"/>
        <v>0.46</v>
      </c>
    </row>
    <row r="522" spans="2:7" ht="22.8" x14ac:dyDescent="0.2">
      <c r="B522" s="16" t="s">
        <v>202</v>
      </c>
      <c r="C522" s="16">
        <v>11066</v>
      </c>
      <c r="D522" s="16">
        <v>1.57</v>
      </c>
      <c r="E522" s="16" t="s">
        <v>190</v>
      </c>
      <c r="F522" s="18" t="str">
        <f t="shared" si="16"/>
        <v>Flat 12</v>
      </c>
      <c r="G522" s="18">
        <f t="shared" si="17"/>
        <v>1.57</v>
      </c>
    </row>
    <row r="523" spans="2:7" ht="22.8" x14ac:dyDescent="0.2">
      <c r="B523" s="16" t="s">
        <v>202</v>
      </c>
      <c r="C523" s="16">
        <v>11064</v>
      </c>
      <c r="D523" s="16">
        <v>5.67</v>
      </c>
      <c r="E523" s="16" t="s">
        <v>190</v>
      </c>
      <c r="F523" s="18" t="str">
        <f t="shared" si="16"/>
        <v>Flat 12</v>
      </c>
      <c r="G523" s="18">
        <f t="shared" si="17"/>
        <v>5.67</v>
      </c>
    </row>
    <row r="524" spans="2:7" ht="22.8" x14ac:dyDescent="0.2">
      <c r="B524" s="16" t="s">
        <v>202</v>
      </c>
      <c r="C524" s="16">
        <v>11057</v>
      </c>
      <c r="D524" s="16">
        <v>0.46</v>
      </c>
      <c r="E524" s="16" t="s">
        <v>190</v>
      </c>
      <c r="F524" s="18" t="str">
        <f t="shared" si="16"/>
        <v>Flat 12</v>
      </c>
      <c r="G524" s="18">
        <f t="shared" si="17"/>
        <v>0.46</v>
      </c>
    </row>
    <row r="525" spans="2:7" ht="22.8" x14ac:dyDescent="0.2">
      <c r="B525" s="16" t="s">
        <v>202</v>
      </c>
      <c r="C525" s="16">
        <v>11060</v>
      </c>
      <c r="D525" s="16">
        <v>3.8</v>
      </c>
      <c r="E525" s="16" t="s">
        <v>190</v>
      </c>
      <c r="F525" s="18" t="str">
        <f t="shared" si="16"/>
        <v>Flat 12</v>
      </c>
      <c r="G525" s="18">
        <f t="shared" si="17"/>
        <v>3.8</v>
      </c>
    </row>
    <row r="526" spans="2:7" ht="22.8" x14ac:dyDescent="0.2">
      <c r="B526" s="16" t="s">
        <v>202</v>
      </c>
      <c r="C526" s="16">
        <v>11062</v>
      </c>
      <c r="D526" s="16">
        <v>1.57</v>
      </c>
      <c r="E526" s="16" t="s">
        <v>190</v>
      </c>
      <c r="F526" s="18" t="str">
        <f t="shared" si="16"/>
        <v>Flat 12</v>
      </c>
      <c r="G526" s="18">
        <f t="shared" si="17"/>
        <v>1.57</v>
      </c>
    </row>
    <row r="527" spans="2:7" ht="22.8" x14ac:dyDescent="0.2">
      <c r="B527" s="16" t="s">
        <v>202</v>
      </c>
      <c r="C527" s="16">
        <v>11415</v>
      </c>
      <c r="D527" s="16">
        <v>1.35</v>
      </c>
      <c r="E527" s="16" t="s">
        <v>191</v>
      </c>
      <c r="F527" s="18" t="str">
        <f t="shared" si="16"/>
        <v>Flat 11</v>
      </c>
      <c r="G527" s="18">
        <f t="shared" si="17"/>
        <v>1.35</v>
      </c>
    </row>
    <row r="528" spans="2:7" ht="22.8" x14ac:dyDescent="0.2">
      <c r="B528" s="16" t="s">
        <v>202</v>
      </c>
      <c r="C528" s="16">
        <v>11412</v>
      </c>
      <c r="D528" s="16">
        <v>5.67</v>
      </c>
      <c r="E528" s="16" t="s">
        <v>191</v>
      </c>
      <c r="F528" s="18" t="str">
        <f t="shared" si="16"/>
        <v>Flat 11</v>
      </c>
      <c r="G528" s="18">
        <f t="shared" si="17"/>
        <v>5.67</v>
      </c>
    </row>
    <row r="529" spans="2:7" ht="22.8" x14ac:dyDescent="0.2">
      <c r="B529" s="16" t="s">
        <v>202</v>
      </c>
      <c r="C529" s="16">
        <v>11420</v>
      </c>
      <c r="D529" s="16">
        <v>18.489999999999998</v>
      </c>
      <c r="E529" s="16" t="s">
        <v>191</v>
      </c>
      <c r="F529" s="18" t="str">
        <f t="shared" si="16"/>
        <v>Flat 11</v>
      </c>
      <c r="G529" s="18">
        <f t="shared" si="17"/>
        <v>18.489999999999998</v>
      </c>
    </row>
    <row r="530" spans="2:7" ht="22.8" x14ac:dyDescent="0.2">
      <c r="B530" s="16" t="s">
        <v>202</v>
      </c>
      <c r="C530" s="16">
        <v>11417</v>
      </c>
      <c r="D530" s="16">
        <v>3.29</v>
      </c>
      <c r="E530" s="16" t="s">
        <v>191</v>
      </c>
      <c r="F530" s="18" t="str">
        <f t="shared" si="16"/>
        <v>Flat 11</v>
      </c>
      <c r="G530" s="18">
        <f t="shared" si="17"/>
        <v>3.29</v>
      </c>
    </row>
    <row r="531" spans="2:7" ht="22.8" x14ac:dyDescent="0.2">
      <c r="B531" s="16" t="s">
        <v>202</v>
      </c>
      <c r="C531" s="16">
        <v>11408</v>
      </c>
      <c r="D531" s="16">
        <v>3.29</v>
      </c>
      <c r="E531" s="16" t="s">
        <v>191</v>
      </c>
      <c r="F531" s="18" t="str">
        <f t="shared" si="16"/>
        <v>Flat 11</v>
      </c>
      <c r="G531" s="18">
        <f t="shared" si="17"/>
        <v>3.29</v>
      </c>
    </row>
    <row r="532" spans="2:7" ht="22.8" x14ac:dyDescent="0.2">
      <c r="B532" s="16" t="s">
        <v>202</v>
      </c>
      <c r="C532" s="16">
        <v>11406</v>
      </c>
      <c r="D532" s="16">
        <v>1.35</v>
      </c>
      <c r="E532" s="16" t="s">
        <v>191</v>
      </c>
      <c r="F532" s="18" t="str">
        <f t="shared" si="16"/>
        <v>Flat 11</v>
      </c>
      <c r="G532" s="18">
        <f t="shared" si="17"/>
        <v>1.35</v>
      </c>
    </row>
    <row r="533" spans="2:7" ht="22.8" x14ac:dyDescent="0.2">
      <c r="B533" s="16" t="s">
        <v>202</v>
      </c>
      <c r="C533" s="16">
        <v>11403</v>
      </c>
      <c r="D533" s="16">
        <v>5.67</v>
      </c>
      <c r="E533" s="16" t="s">
        <v>191</v>
      </c>
      <c r="F533" s="18" t="str">
        <f t="shared" si="16"/>
        <v>Flat 11</v>
      </c>
      <c r="G533" s="18">
        <f t="shared" si="17"/>
        <v>5.67</v>
      </c>
    </row>
    <row r="534" spans="2:7" ht="22.8" x14ac:dyDescent="0.2">
      <c r="B534" s="16" t="s">
        <v>202</v>
      </c>
      <c r="C534" s="16">
        <v>11411</v>
      </c>
      <c r="D534" s="16">
        <v>18.489999999999998</v>
      </c>
      <c r="E534" s="16" t="s">
        <v>191</v>
      </c>
      <c r="F534" s="18" t="str">
        <f t="shared" si="16"/>
        <v>Flat 11</v>
      </c>
      <c r="G534" s="18">
        <f t="shared" si="17"/>
        <v>18.489999999999998</v>
      </c>
    </row>
    <row r="535" spans="2:7" ht="22.8" x14ac:dyDescent="0.2">
      <c r="B535" s="16" t="s">
        <v>202</v>
      </c>
      <c r="C535" s="16">
        <v>11509</v>
      </c>
      <c r="D535" s="16">
        <v>3.53</v>
      </c>
      <c r="E535" s="16" t="s">
        <v>192</v>
      </c>
      <c r="F535" s="18" t="str">
        <f t="shared" si="16"/>
        <v>Flat 13</v>
      </c>
      <c r="G535" s="18">
        <f t="shared" si="17"/>
        <v>3.53</v>
      </c>
    </row>
    <row r="536" spans="2:7" ht="22.8" x14ac:dyDescent="0.2">
      <c r="B536" s="16" t="s">
        <v>202</v>
      </c>
      <c r="C536" s="16">
        <v>11491</v>
      </c>
      <c r="D536" s="16">
        <v>11.06</v>
      </c>
      <c r="E536" s="16" t="s">
        <v>192</v>
      </c>
      <c r="F536" s="18" t="str">
        <f t="shared" si="16"/>
        <v>Flat 13</v>
      </c>
      <c r="G536" s="18">
        <f t="shared" si="17"/>
        <v>11.06</v>
      </c>
    </row>
    <row r="537" spans="2:7" ht="22.8" x14ac:dyDescent="0.2">
      <c r="B537" s="16" t="s">
        <v>202</v>
      </c>
      <c r="C537" s="16">
        <v>11512</v>
      </c>
      <c r="D537" s="16">
        <v>3.49</v>
      </c>
      <c r="E537" s="16" t="s">
        <v>192</v>
      </c>
      <c r="F537" s="18" t="str">
        <f t="shared" si="16"/>
        <v>Flat 13</v>
      </c>
      <c r="G537" s="18">
        <f t="shared" si="17"/>
        <v>3.49</v>
      </c>
    </row>
    <row r="538" spans="2:7" ht="22.8" x14ac:dyDescent="0.2">
      <c r="B538" s="16" t="s">
        <v>202</v>
      </c>
      <c r="C538" s="16">
        <v>11510</v>
      </c>
      <c r="D538" s="16">
        <v>1.69</v>
      </c>
      <c r="E538" s="16" t="s">
        <v>192</v>
      </c>
      <c r="F538" s="18" t="str">
        <f t="shared" si="16"/>
        <v>Flat 13</v>
      </c>
      <c r="G538" s="18">
        <f t="shared" si="17"/>
        <v>1.69</v>
      </c>
    </row>
    <row r="539" spans="2:7" x14ac:dyDescent="0.2">
      <c r="B539" s="16" t="s">
        <v>203</v>
      </c>
      <c r="C539" s="16">
        <v>10359</v>
      </c>
      <c r="D539" s="16">
        <v>2.77</v>
      </c>
      <c r="E539" s="16" t="s">
        <v>215</v>
      </c>
      <c r="F539" s="18" t="str">
        <f t="shared" si="16"/>
        <v>Flat 02</v>
      </c>
      <c r="G539" s="18">
        <f t="shared" si="17"/>
        <v>2.77</v>
      </c>
    </row>
    <row r="540" spans="2:7" x14ac:dyDescent="0.2">
      <c r="B540" s="16" t="s">
        <v>203</v>
      </c>
      <c r="C540" s="16">
        <v>10566</v>
      </c>
      <c r="D540" s="16">
        <v>2.77</v>
      </c>
      <c r="E540" s="16" t="s">
        <v>219</v>
      </c>
      <c r="F540" s="18" t="str">
        <f t="shared" si="16"/>
        <v>Flat 06</v>
      </c>
      <c r="G540" s="18">
        <f t="shared" si="17"/>
        <v>2.77</v>
      </c>
    </row>
    <row r="541" spans="2:7" x14ac:dyDescent="0.2">
      <c r="B541" s="16" t="s">
        <v>203</v>
      </c>
      <c r="C541" s="16">
        <v>10567</v>
      </c>
      <c r="D541" s="16">
        <v>2.77</v>
      </c>
      <c r="E541" s="16" t="s">
        <v>219</v>
      </c>
      <c r="F541" s="18" t="str">
        <f t="shared" si="16"/>
        <v>Flat 06</v>
      </c>
      <c r="G541" s="18">
        <f t="shared" si="17"/>
        <v>2.77</v>
      </c>
    </row>
    <row r="542" spans="2:7" x14ac:dyDescent="0.2">
      <c r="B542" s="16" t="s">
        <v>203</v>
      </c>
      <c r="C542" s="16">
        <v>11350</v>
      </c>
      <c r="D542" s="16">
        <v>2.77</v>
      </c>
      <c r="E542" s="16" t="s">
        <v>216</v>
      </c>
      <c r="F542" s="18" t="str">
        <f t="shared" si="16"/>
        <v>Flat 07</v>
      </c>
      <c r="G542" s="18">
        <f t="shared" si="17"/>
        <v>2.77</v>
      </c>
    </row>
    <row r="543" spans="2:7" x14ac:dyDescent="0.2">
      <c r="B543" s="16" t="s">
        <v>203</v>
      </c>
      <c r="C543" s="16">
        <v>11572</v>
      </c>
      <c r="D543" s="16">
        <v>2.77</v>
      </c>
      <c r="E543" s="16" t="s">
        <v>221</v>
      </c>
      <c r="F543" s="18" t="str">
        <f t="shared" si="16"/>
        <v>Flat 05</v>
      </c>
      <c r="G543" s="18">
        <f t="shared" si="17"/>
        <v>2.77</v>
      </c>
    </row>
    <row r="544" spans="2:7" x14ac:dyDescent="0.2">
      <c r="B544" s="16" t="s">
        <v>203</v>
      </c>
      <c r="C544" s="16">
        <v>11573</v>
      </c>
      <c r="D544" s="16">
        <v>2.77</v>
      </c>
      <c r="E544" s="16" t="s">
        <v>221</v>
      </c>
      <c r="F544" s="18" t="str">
        <f t="shared" si="16"/>
        <v>Flat 05</v>
      </c>
      <c r="G544" s="18">
        <f t="shared" si="17"/>
        <v>2.77</v>
      </c>
    </row>
    <row r="545" spans="2:7" x14ac:dyDescent="0.2">
      <c r="B545" s="16" t="s">
        <v>203</v>
      </c>
      <c r="C545" s="16">
        <v>10796</v>
      </c>
      <c r="D545" s="16">
        <v>2.86</v>
      </c>
      <c r="E545" s="16" t="s">
        <v>185</v>
      </c>
      <c r="F545" s="18" t="str">
        <f t="shared" si="16"/>
        <v>Flat 16</v>
      </c>
      <c r="G545" s="18">
        <f t="shared" si="17"/>
        <v>2.86</v>
      </c>
    </row>
    <row r="546" spans="2:7" x14ac:dyDescent="0.2">
      <c r="B546" s="16" t="s">
        <v>203</v>
      </c>
      <c r="C546" s="16">
        <v>10647</v>
      </c>
      <c r="D546" s="16">
        <v>2.77</v>
      </c>
      <c r="E546" s="16" t="s">
        <v>214</v>
      </c>
      <c r="F546" s="18" t="str">
        <f t="shared" si="16"/>
        <v>Flat 01</v>
      </c>
      <c r="G546" s="18">
        <f t="shared" si="17"/>
        <v>2.77</v>
      </c>
    </row>
    <row r="547" spans="2:7" x14ac:dyDescent="0.2">
      <c r="B547" s="16" t="s">
        <v>203</v>
      </c>
      <c r="C547" s="16">
        <v>11011</v>
      </c>
      <c r="D547" s="16">
        <v>2.86</v>
      </c>
      <c r="E547" s="16" t="s">
        <v>186</v>
      </c>
      <c r="F547" s="18" t="str">
        <f t="shared" si="16"/>
        <v>Flat 17</v>
      </c>
      <c r="G547" s="18">
        <f t="shared" si="17"/>
        <v>2.86</v>
      </c>
    </row>
    <row r="548" spans="2:7" x14ac:dyDescent="0.2">
      <c r="B548" s="16" t="s">
        <v>203</v>
      </c>
      <c r="C548" s="16">
        <v>11014</v>
      </c>
      <c r="D548" s="16">
        <v>2.86</v>
      </c>
      <c r="E548" s="16" t="s">
        <v>186</v>
      </c>
      <c r="F548" s="18" t="str">
        <f t="shared" si="16"/>
        <v>Flat 17</v>
      </c>
      <c r="G548" s="18">
        <f t="shared" si="17"/>
        <v>2.86</v>
      </c>
    </row>
    <row r="549" spans="2:7" x14ac:dyDescent="0.2">
      <c r="B549" s="16" t="s">
        <v>203</v>
      </c>
      <c r="C549" s="16">
        <v>10871</v>
      </c>
      <c r="D549" s="16">
        <v>2.86</v>
      </c>
      <c r="E549" s="16" t="s">
        <v>187</v>
      </c>
      <c r="F549" s="18" t="str">
        <f t="shared" si="16"/>
        <v>Flat 18</v>
      </c>
      <c r="G549" s="18">
        <f t="shared" si="17"/>
        <v>2.86</v>
      </c>
    </row>
    <row r="550" spans="2:7" x14ac:dyDescent="0.2">
      <c r="B550" s="16" t="s">
        <v>203</v>
      </c>
      <c r="C550" s="16">
        <v>10873</v>
      </c>
      <c r="D550" s="16">
        <v>2.86</v>
      </c>
      <c r="E550" s="16" t="s">
        <v>187</v>
      </c>
      <c r="F550" s="18" t="str">
        <f t="shared" si="16"/>
        <v>Flat 18</v>
      </c>
      <c r="G550" s="18">
        <f t="shared" si="17"/>
        <v>2.86</v>
      </c>
    </row>
    <row r="551" spans="2:7" x14ac:dyDescent="0.2">
      <c r="B551" s="16" t="s">
        <v>203</v>
      </c>
      <c r="C551" s="16">
        <v>10490</v>
      </c>
      <c r="D551" s="16">
        <v>2.77</v>
      </c>
      <c r="E551" s="16" t="s">
        <v>222</v>
      </c>
      <c r="F551" s="18" t="str">
        <f t="shared" si="16"/>
        <v>Flat 04</v>
      </c>
      <c r="G551" s="18">
        <f t="shared" si="17"/>
        <v>2.77</v>
      </c>
    </row>
    <row r="552" spans="2:7" x14ac:dyDescent="0.2">
      <c r="B552" s="16" t="s">
        <v>203</v>
      </c>
      <c r="C552" s="16">
        <v>10933</v>
      </c>
      <c r="D552" s="16">
        <v>2.77</v>
      </c>
      <c r="E552" s="16" t="s">
        <v>188</v>
      </c>
      <c r="F552" s="18" t="str">
        <f t="shared" si="16"/>
        <v>Flat 10</v>
      </c>
      <c r="G552" s="18">
        <f t="shared" si="17"/>
        <v>2.77</v>
      </c>
    </row>
    <row r="553" spans="2:7" x14ac:dyDescent="0.2">
      <c r="B553" s="16" t="s">
        <v>203</v>
      </c>
      <c r="C553" s="16">
        <v>11082</v>
      </c>
      <c r="D553" s="16">
        <v>2.77</v>
      </c>
      <c r="E553" s="16" t="s">
        <v>190</v>
      </c>
      <c r="F553" s="18" t="str">
        <f t="shared" si="16"/>
        <v>Flat 12</v>
      </c>
      <c r="G553" s="18">
        <f t="shared" si="17"/>
        <v>2.77</v>
      </c>
    </row>
    <row r="554" spans="2:7" x14ac:dyDescent="0.2">
      <c r="B554" s="16" t="s">
        <v>203</v>
      </c>
      <c r="C554" s="16">
        <v>11083</v>
      </c>
      <c r="D554" s="16">
        <v>2.77</v>
      </c>
      <c r="E554" s="16" t="s">
        <v>190</v>
      </c>
      <c r="F554" s="18" t="str">
        <f t="shared" si="16"/>
        <v>Flat 12</v>
      </c>
      <c r="G554" s="18">
        <f t="shared" si="17"/>
        <v>2.77</v>
      </c>
    </row>
    <row r="555" spans="2:7" x14ac:dyDescent="0.2">
      <c r="B555" s="16" t="s">
        <v>203</v>
      </c>
      <c r="C555" s="16">
        <v>11425</v>
      </c>
      <c r="D555" s="16">
        <v>2.77</v>
      </c>
      <c r="E555" s="16" t="s">
        <v>191</v>
      </c>
      <c r="F555" s="18" t="str">
        <f t="shared" si="16"/>
        <v>Flat 11</v>
      </c>
      <c r="G555" s="18">
        <f t="shared" si="17"/>
        <v>2.77</v>
      </c>
    </row>
    <row r="556" spans="2:7" x14ac:dyDescent="0.2">
      <c r="B556" s="16" t="s">
        <v>203</v>
      </c>
      <c r="C556" s="16">
        <v>11424</v>
      </c>
      <c r="D556" s="16">
        <v>2.77</v>
      </c>
      <c r="E556" s="16" t="s">
        <v>191</v>
      </c>
      <c r="F556" s="18" t="str">
        <f t="shared" si="16"/>
        <v>Flat 11</v>
      </c>
      <c r="G556" s="18">
        <f t="shared" si="17"/>
        <v>2.77</v>
      </c>
    </row>
    <row r="557" spans="2:7" x14ac:dyDescent="0.2">
      <c r="B557" s="16" t="s">
        <v>203</v>
      </c>
      <c r="C557" s="16">
        <v>11507</v>
      </c>
      <c r="D557" s="16">
        <v>2.86</v>
      </c>
      <c r="E557" s="16" t="s">
        <v>192</v>
      </c>
      <c r="F557" s="18" t="str">
        <f t="shared" si="16"/>
        <v>Flat 13</v>
      </c>
      <c r="G557" s="18">
        <f t="shared" si="17"/>
        <v>2.86</v>
      </c>
    </row>
    <row r="558" spans="2:7" ht="22.8" x14ac:dyDescent="0.2">
      <c r="B558" s="16" t="s">
        <v>204</v>
      </c>
      <c r="C558" s="16">
        <v>10671</v>
      </c>
      <c r="D558" s="16">
        <v>2.77</v>
      </c>
      <c r="E558" s="16" t="s">
        <v>214</v>
      </c>
      <c r="F558" s="18" t="str">
        <f t="shared" si="16"/>
        <v>Flat 01</v>
      </c>
      <c r="G558" s="18">
        <f t="shared" si="17"/>
        <v>2.77</v>
      </c>
    </row>
    <row r="559" spans="2:7" x14ac:dyDescent="0.2">
      <c r="B559" s="16" t="s">
        <v>205</v>
      </c>
      <c r="C559" s="16">
        <v>11231</v>
      </c>
      <c r="D559" s="16">
        <v>1.35</v>
      </c>
      <c r="E559" s="16" t="s">
        <v>184</v>
      </c>
      <c r="F559" s="18" t="str">
        <f t="shared" si="16"/>
        <v>Flat 15</v>
      </c>
      <c r="G559" s="18">
        <f t="shared" si="17"/>
        <v>1.35</v>
      </c>
    </row>
    <row r="560" spans="2:7" x14ac:dyDescent="0.2">
      <c r="B560" s="16" t="s">
        <v>205</v>
      </c>
      <c r="C560" s="16">
        <v>11234</v>
      </c>
      <c r="D560" s="16">
        <v>3.14</v>
      </c>
      <c r="E560" s="16" t="s">
        <v>184</v>
      </c>
      <c r="F560" s="18" t="str">
        <f t="shared" si="16"/>
        <v>Flat 15</v>
      </c>
      <c r="G560" s="18">
        <f t="shared" si="17"/>
        <v>3.14</v>
      </c>
    </row>
    <row r="561" spans="2:7" x14ac:dyDescent="0.2">
      <c r="B561" s="16" t="s">
        <v>205</v>
      </c>
      <c r="C561" s="16">
        <v>11236</v>
      </c>
      <c r="D561" s="16">
        <v>1.28</v>
      </c>
      <c r="E561" s="16" t="s">
        <v>184</v>
      </c>
      <c r="F561" s="18" t="str">
        <f t="shared" si="16"/>
        <v>Flat 15</v>
      </c>
      <c r="G561" s="18">
        <f t="shared" si="17"/>
        <v>1.28</v>
      </c>
    </row>
    <row r="562" spans="2:7" x14ac:dyDescent="0.2">
      <c r="B562" s="16" t="s">
        <v>205</v>
      </c>
      <c r="C562" s="16">
        <v>10786</v>
      </c>
      <c r="D562" s="16">
        <v>3.25</v>
      </c>
      <c r="E562" s="16" t="s">
        <v>185</v>
      </c>
      <c r="F562" s="18" t="str">
        <f t="shared" si="16"/>
        <v>Flat 16</v>
      </c>
      <c r="G562" s="18">
        <f t="shared" si="17"/>
        <v>3.25</v>
      </c>
    </row>
    <row r="563" spans="2:7" x14ac:dyDescent="0.2">
      <c r="B563" s="16" t="s">
        <v>205</v>
      </c>
      <c r="C563" s="16">
        <v>10789</v>
      </c>
      <c r="D563" s="16">
        <v>1.35</v>
      </c>
      <c r="E563" s="16" t="s">
        <v>185</v>
      </c>
      <c r="F563" s="18" t="str">
        <f t="shared" si="16"/>
        <v>Flat 16</v>
      </c>
      <c r="G563" s="18">
        <f t="shared" si="17"/>
        <v>1.35</v>
      </c>
    </row>
    <row r="564" spans="2:7" x14ac:dyDescent="0.2">
      <c r="B564" s="16" t="s">
        <v>205</v>
      </c>
      <c r="C564" s="16">
        <v>10635</v>
      </c>
      <c r="D564" s="16">
        <v>3.49</v>
      </c>
      <c r="E564" s="16" t="s">
        <v>214</v>
      </c>
      <c r="F564" s="18" t="str">
        <f t="shared" si="16"/>
        <v>Flat 01</v>
      </c>
      <c r="G564" s="18">
        <f t="shared" si="17"/>
        <v>3.49</v>
      </c>
    </row>
    <row r="565" spans="2:7" x14ac:dyDescent="0.2">
      <c r="B565" s="16" t="s">
        <v>205</v>
      </c>
      <c r="C565" s="16">
        <v>10637</v>
      </c>
      <c r="D565" s="16">
        <v>1.69</v>
      </c>
      <c r="E565" s="16" t="s">
        <v>214</v>
      </c>
      <c r="F565" s="18" t="str">
        <f t="shared" si="16"/>
        <v>Flat 01</v>
      </c>
      <c r="G565" s="18">
        <f t="shared" si="17"/>
        <v>1.69</v>
      </c>
    </row>
    <row r="566" spans="2:7" x14ac:dyDescent="0.2">
      <c r="B566" s="16" t="s">
        <v>205</v>
      </c>
      <c r="C566" s="16">
        <v>11001</v>
      </c>
      <c r="D566" s="16">
        <v>3.29</v>
      </c>
      <c r="E566" s="16" t="s">
        <v>186</v>
      </c>
      <c r="F566" s="18" t="str">
        <f t="shared" si="16"/>
        <v>Flat 17</v>
      </c>
      <c r="G566" s="18">
        <f t="shared" si="17"/>
        <v>3.29</v>
      </c>
    </row>
    <row r="567" spans="2:7" x14ac:dyDescent="0.2">
      <c r="B567" s="16" t="s">
        <v>205</v>
      </c>
      <c r="C567" s="16">
        <v>11012</v>
      </c>
      <c r="D567" s="16">
        <v>1.35</v>
      </c>
      <c r="E567" s="16" t="s">
        <v>186</v>
      </c>
      <c r="F567" s="18" t="str">
        <f t="shared" si="16"/>
        <v>Flat 17</v>
      </c>
      <c r="G567" s="18">
        <f t="shared" si="17"/>
        <v>1.35</v>
      </c>
    </row>
    <row r="568" spans="2:7" x14ac:dyDescent="0.2">
      <c r="B568" s="16" t="s">
        <v>205</v>
      </c>
      <c r="C568" s="16">
        <v>10865</v>
      </c>
      <c r="D568" s="16">
        <v>1.57</v>
      </c>
      <c r="E568" s="16" t="s">
        <v>187</v>
      </c>
      <c r="F568" s="18" t="str">
        <f t="shared" si="16"/>
        <v>Flat 18</v>
      </c>
      <c r="G568" s="18">
        <f t="shared" si="17"/>
        <v>1.57</v>
      </c>
    </row>
    <row r="569" spans="2:7" x14ac:dyDescent="0.2">
      <c r="B569" s="16" t="s">
        <v>205</v>
      </c>
      <c r="C569" s="16">
        <v>10861</v>
      </c>
      <c r="D569" s="16">
        <v>3.8</v>
      </c>
      <c r="E569" s="16" t="s">
        <v>187</v>
      </c>
      <c r="F569" s="18" t="str">
        <f t="shared" si="16"/>
        <v>Flat 18</v>
      </c>
      <c r="G569" s="18">
        <f t="shared" si="17"/>
        <v>3.8</v>
      </c>
    </row>
    <row r="570" spans="2:7" x14ac:dyDescent="0.2">
      <c r="B570" s="16" t="s">
        <v>205</v>
      </c>
      <c r="C570" s="16">
        <v>10863</v>
      </c>
      <c r="D570" s="16">
        <v>1.57</v>
      </c>
      <c r="E570" s="16" t="s">
        <v>187</v>
      </c>
      <c r="F570" s="18" t="str">
        <f t="shared" si="16"/>
        <v>Flat 18</v>
      </c>
      <c r="G570" s="18">
        <f t="shared" si="17"/>
        <v>1.57</v>
      </c>
    </row>
    <row r="571" spans="2:7" x14ac:dyDescent="0.2">
      <c r="B571" s="16" t="s">
        <v>205</v>
      </c>
      <c r="C571" s="16">
        <v>10858</v>
      </c>
      <c r="D571" s="16">
        <v>0.46</v>
      </c>
      <c r="E571" s="16" t="s">
        <v>187</v>
      </c>
      <c r="F571" s="18" t="str">
        <f t="shared" si="16"/>
        <v>Flat 18</v>
      </c>
      <c r="G571" s="18">
        <f t="shared" si="17"/>
        <v>0.46</v>
      </c>
    </row>
    <row r="572" spans="2:7" x14ac:dyDescent="0.2">
      <c r="B572" s="16" t="s">
        <v>205</v>
      </c>
      <c r="C572" s="16">
        <v>11646</v>
      </c>
      <c r="D572" s="16">
        <v>1.24</v>
      </c>
      <c r="E572" s="16" t="s">
        <v>189</v>
      </c>
      <c r="F572" s="18" t="str">
        <f t="shared" si="16"/>
        <v>Flat 14</v>
      </c>
      <c r="G572" s="18">
        <f t="shared" si="17"/>
        <v>1.24</v>
      </c>
    </row>
    <row r="573" spans="2:7" x14ac:dyDescent="0.2">
      <c r="B573" s="16" t="s">
        <v>205</v>
      </c>
      <c r="C573" s="16">
        <v>11644</v>
      </c>
      <c r="D573" s="16">
        <v>3.15</v>
      </c>
      <c r="E573" s="16" t="s">
        <v>189</v>
      </c>
      <c r="F573" s="18" t="str">
        <f t="shared" si="16"/>
        <v>Flat 14</v>
      </c>
      <c r="G573" s="18">
        <f t="shared" si="17"/>
        <v>3.15</v>
      </c>
    </row>
    <row r="574" spans="2:7" x14ac:dyDescent="0.2">
      <c r="B574" s="16" t="s">
        <v>205</v>
      </c>
      <c r="C574" s="16">
        <v>11494</v>
      </c>
      <c r="D574" s="16">
        <v>1.69</v>
      </c>
      <c r="E574" s="16" t="s">
        <v>192</v>
      </c>
      <c r="F574" s="18" t="str">
        <f t="shared" si="16"/>
        <v>Flat 13</v>
      </c>
      <c r="G574" s="18">
        <f t="shared" si="17"/>
        <v>1.69</v>
      </c>
    </row>
    <row r="575" spans="2:7" x14ac:dyDescent="0.2">
      <c r="B575" s="16" t="s">
        <v>205</v>
      </c>
      <c r="C575" s="16">
        <v>11497</v>
      </c>
      <c r="D575" s="16">
        <v>3.49</v>
      </c>
      <c r="E575" s="16" t="s">
        <v>192</v>
      </c>
      <c r="F575" s="18" t="str">
        <f t="shared" si="16"/>
        <v>Flat 13</v>
      </c>
      <c r="G575" s="18">
        <f t="shared" si="17"/>
        <v>3.49</v>
      </c>
    </row>
    <row r="576" spans="2:7" x14ac:dyDescent="0.2">
      <c r="B576" s="16" t="s">
        <v>206</v>
      </c>
      <c r="C576" s="16">
        <v>10648</v>
      </c>
      <c r="D576" s="16">
        <v>2.77</v>
      </c>
      <c r="E576" s="16" t="s">
        <v>214</v>
      </c>
      <c r="F576" s="18" t="str">
        <f t="shared" si="16"/>
        <v>Flat 01</v>
      </c>
      <c r="G576" s="18">
        <f t="shared" si="17"/>
        <v>2.77</v>
      </c>
    </row>
    <row r="577" spans="2:7" x14ac:dyDescent="0.2">
      <c r="B577" s="16" t="s">
        <v>207</v>
      </c>
      <c r="C577" s="16">
        <v>10310</v>
      </c>
      <c r="D577" s="16">
        <v>1.1299999999999999</v>
      </c>
      <c r="E577" s="16" t="s">
        <v>215</v>
      </c>
      <c r="F577" s="18" t="str">
        <f t="shared" si="16"/>
        <v>Flat 02</v>
      </c>
      <c r="G577" s="18">
        <f t="shared" si="17"/>
        <v>1.1299999999999999</v>
      </c>
    </row>
    <row r="578" spans="2:7" x14ac:dyDescent="0.2">
      <c r="B578" s="16" t="s">
        <v>207</v>
      </c>
      <c r="C578" s="16">
        <v>10313</v>
      </c>
      <c r="D578" s="16">
        <v>1.1299999999999999</v>
      </c>
      <c r="E578" s="16" t="s">
        <v>215</v>
      </c>
      <c r="F578" s="18" t="str">
        <f t="shared" si="16"/>
        <v>Flat 02</v>
      </c>
      <c r="G578" s="18">
        <f t="shared" si="17"/>
        <v>1.1299999999999999</v>
      </c>
    </row>
    <row r="579" spans="2:7" x14ac:dyDescent="0.2">
      <c r="B579" s="16" t="s">
        <v>207</v>
      </c>
      <c r="C579" s="16">
        <v>10316</v>
      </c>
      <c r="D579" s="16">
        <v>2.48</v>
      </c>
      <c r="E579" s="16" t="s">
        <v>215</v>
      </c>
      <c r="F579" s="18" t="str">
        <f t="shared" si="16"/>
        <v>Flat 02</v>
      </c>
      <c r="G579" s="18">
        <f t="shared" si="17"/>
        <v>2.48</v>
      </c>
    </row>
    <row r="580" spans="2:7" x14ac:dyDescent="0.2">
      <c r="B580" s="16" t="s">
        <v>207</v>
      </c>
      <c r="C580" s="16">
        <v>10294</v>
      </c>
      <c r="D580" s="16">
        <v>0.91</v>
      </c>
      <c r="E580" s="16" t="s">
        <v>215</v>
      </c>
      <c r="F580" s="18" t="str">
        <f t="shared" si="16"/>
        <v>Flat 02</v>
      </c>
      <c r="G580" s="18">
        <f t="shared" si="17"/>
        <v>0.91</v>
      </c>
    </row>
    <row r="581" spans="2:7" x14ac:dyDescent="0.2">
      <c r="B581" s="16" t="s">
        <v>207</v>
      </c>
      <c r="C581" s="16">
        <v>10297</v>
      </c>
      <c r="D581" s="16">
        <v>0.91</v>
      </c>
      <c r="E581" s="16" t="s">
        <v>215</v>
      </c>
      <c r="F581" s="18" t="str">
        <f t="shared" si="16"/>
        <v>Flat 02</v>
      </c>
      <c r="G581" s="18">
        <f t="shared" si="17"/>
        <v>0.91</v>
      </c>
    </row>
    <row r="582" spans="2:7" x14ac:dyDescent="0.2">
      <c r="B582" s="16" t="s">
        <v>207</v>
      </c>
      <c r="C582" s="16">
        <v>10426</v>
      </c>
      <c r="D582" s="16">
        <v>0.9</v>
      </c>
      <c r="E582" s="16" t="s">
        <v>218</v>
      </c>
      <c r="F582" s="18" t="str">
        <f t="shared" si="16"/>
        <v>Flat 03</v>
      </c>
      <c r="G582" s="18">
        <f t="shared" si="17"/>
        <v>0.9</v>
      </c>
    </row>
    <row r="583" spans="2:7" x14ac:dyDescent="0.2">
      <c r="B583" s="16" t="s">
        <v>207</v>
      </c>
      <c r="C583" s="16">
        <v>10378</v>
      </c>
      <c r="D583" s="16">
        <v>1.1299999999999999</v>
      </c>
      <c r="E583" s="16" t="s">
        <v>218</v>
      </c>
      <c r="F583" s="18" t="str">
        <f t="shared" ref="F583:F646" si="18">LEFT(E583,7)</f>
        <v>Flat 03</v>
      </c>
      <c r="G583" s="18">
        <f t="shared" ref="G583:G646" si="19">D583</f>
        <v>1.1299999999999999</v>
      </c>
    </row>
    <row r="584" spans="2:7" x14ac:dyDescent="0.2">
      <c r="B584" s="16" t="s">
        <v>207</v>
      </c>
      <c r="C584" s="16">
        <v>10384</v>
      </c>
      <c r="D584" s="16">
        <v>0.91</v>
      </c>
      <c r="E584" s="16" t="s">
        <v>218</v>
      </c>
      <c r="F584" s="18" t="str">
        <f t="shared" si="18"/>
        <v>Flat 03</v>
      </c>
      <c r="G584" s="18">
        <f t="shared" si="19"/>
        <v>0.91</v>
      </c>
    </row>
    <row r="585" spans="2:7" x14ac:dyDescent="0.2">
      <c r="B585" s="16" t="s">
        <v>207</v>
      </c>
      <c r="C585" s="16">
        <v>10381</v>
      </c>
      <c r="D585" s="16">
        <v>0.91</v>
      </c>
      <c r="E585" s="16" t="s">
        <v>218</v>
      </c>
      <c r="F585" s="18" t="str">
        <f t="shared" si="18"/>
        <v>Flat 03</v>
      </c>
      <c r="G585" s="18">
        <f t="shared" si="19"/>
        <v>0.91</v>
      </c>
    </row>
    <row r="586" spans="2:7" x14ac:dyDescent="0.2">
      <c r="B586" s="16" t="s">
        <v>207</v>
      </c>
      <c r="C586" s="16">
        <v>10370</v>
      </c>
      <c r="D586" s="16">
        <v>1.1299999999999999</v>
      </c>
      <c r="E586" s="16" t="s">
        <v>218</v>
      </c>
      <c r="F586" s="18" t="str">
        <f t="shared" si="18"/>
        <v>Flat 03</v>
      </c>
      <c r="G586" s="18">
        <f t="shared" si="19"/>
        <v>1.1299999999999999</v>
      </c>
    </row>
    <row r="587" spans="2:7" x14ac:dyDescent="0.2">
      <c r="B587" s="16" t="s">
        <v>207</v>
      </c>
      <c r="C587" s="16">
        <v>10518</v>
      </c>
      <c r="D587" s="16">
        <v>2.48</v>
      </c>
      <c r="E587" s="16" t="s">
        <v>219</v>
      </c>
      <c r="F587" s="18" t="str">
        <f t="shared" si="18"/>
        <v>Flat 06</v>
      </c>
      <c r="G587" s="18">
        <f t="shared" si="19"/>
        <v>2.48</v>
      </c>
    </row>
    <row r="588" spans="2:7" x14ac:dyDescent="0.2">
      <c r="B588" s="16" t="s">
        <v>207</v>
      </c>
      <c r="C588" s="16">
        <v>10525</v>
      </c>
      <c r="D588" s="16">
        <v>1.1299999999999999</v>
      </c>
      <c r="E588" s="16" t="s">
        <v>219</v>
      </c>
      <c r="F588" s="18" t="str">
        <f t="shared" si="18"/>
        <v>Flat 06</v>
      </c>
      <c r="G588" s="18">
        <f t="shared" si="19"/>
        <v>1.1299999999999999</v>
      </c>
    </row>
    <row r="589" spans="2:7" x14ac:dyDescent="0.2">
      <c r="B589" s="16" t="s">
        <v>207</v>
      </c>
      <c r="C589" s="16">
        <v>10528</v>
      </c>
      <c r="D589" s="16">
        <v>1.1299999999999999</v>
      </c>
      <c r="E589" s="16" t="s">
        <v>219</v>
      </c>
      <c r="F589" s="18" t="str">
        <f t="shared" si="18"/>
        <v>Flat 06</v>
      </c>
      <c r="G589" s="18">
        <f t="shared" si="19"/>
        <v>1.1299999999999999</v>
      </c>
    </row>
    <row r="590" spans="2:7" x14ac:dyDescent="0.2">
      <c r="B590" s="16" t="s">
        <v>207</v>
      </c>
      <c r="C590" s="16">
        <v>11322</v>
      </c>
      <c r="D590" s="16">
        <v>1.01</v>
      </c>
      <c r="E590" s="16" t="s">
        <v>216</v>
      </c>
      <c r="F590" s="18" t="str">
        <f t="shared" si="18"/>
        <v>Flat 07</v>
      </c>
      <c r="G590" s="18">
        <f t="shared" si="19"/>
        <v>1.01</v>
      </c>
    </row>
    <row r="591" spans="2:7" x14ac:dyDescent="0.2">
      <c r="B591" s="16" t="s">
        <v>207</v>
      </c>
      <c r="C591" s="16">
        <v>11289</v>
      </c>
      <c r="D591" s="16">
        <v>1.1299999999999999</v>
      </c>
      <c r="E591" s="16" t="s">
        <v>216</v>
      </c>
      <c r="F591" s="18" t="str">
        <f t="shared" si="18"/>
        <v>Flat 07</v>
      </c>
      <c r="G591" s="18">
        <f t="shared" si="19"/>
        <v>1.1299999999999999</v>
      </c>
    </row>
    <row r="592" spans="2:7" x14ac:dyDescent="0.2">
      <c r="B592" s="16" t="s">
        <v>207</v>
      </c>
      <c r="C592" s="16">
        <v>11286</v>
      </c>
      <c r="D592" s="16">
        <v>1.1299999999999999</v>
      </c>
      <c r="E592" s="16" t="s">
        <v>216</v>
      </c>
      <c r="F592" s="18" t="str">
        <f t="shared" si="18"/>
        <v>Flat 07</v>
      </c>
      <c r="G592" s="18">
        <f t="shared" si="19"/>
        <v>1.1299999999999999</v>
      </c>
    </row>
    <row r="593" spans="2:7" x14ac:dyDescent="0.2">
      <c r="B593" s="16" t="s">
        <v>207</v>
      </c>
      <c r="C593" s="16">
        <v>11283</v>
      </c>
      <c r="D593" s="16">
        <v>1.1299999999999999</v>
      </c>
      <c r="E593" s="16" t="s">
        <v>216</v>
      </c>
      <c r="F593" s="18" t="str">
        <f t="shared" si="18"/>
        <v>Flat 07</v>
      </c>
      <c r="G593" s="18">
        <f t="shared" si="19"/>
        <v>1.1299999999999999</v>
      </c>
    </row>
    <row r="594" spans="2:7" x14ac:dyDescent="0.2">
      <c r="B594" s="16" t="s">
        <v>207</v>
      </c>
      <c r="C594" s="16">
        <v>11307</v>
      </c>
      <c r="D594" s="16">
        <v>1.1299999999999999</v>
      </c>
      <c r="E594" s="16" t="s">
        <v>216</v>
      </c>
      <c r="F594" s="18" t="str">
        <f t="shared" si="18"/>
        <v>Flat 07</v>
      </c>
      <c r="G594" s="18">
        <f t="shared" si="19"/>
        <v>1.1299999999999999</v>
      </c>
    </row>
    <row r="595" spans="2:7" x14ac:dyDescent="0.2">
      <c r="B595" s="16" t="s">
        <v>207</v>
      </c>
      <c r="C595" s="16">
        <v>11315</v>
      </c>
      <c r="D595" s="16">
        <v>2.48</v>
      </c>
      <c r="E595" s="16" t="s">
        <v>216</v>
      </c>
      <c r="F595" s="18" t="str">
        <f t="shared" si="18"/>
        <v>Flat 07</v>
      </c>
      <c r="G595" s="18">
        <f t="shared" si="19"/>
        <v>2.48</v>
      </c>
    </row>
    <row r="596" spans="2:7" x14ac:dyDescent="0.2">
      <c r="B596" s="16" t="s">
        <v>207</v>
      </c>
      <c r="C596" s="16">
        <v>10729</v>
      </c>
      <c r="D596" s="16">
        <v>0.9</v>
      </c>
      <c r="E596" s="16" t="s">
        <v>220</v>
      </c>
      <c r="F596" s="18" t="str">
        <f t="shared" si="18"/>
        <v>Flat 09</v>
      </c>
      <c r="G596" s="18">
        <f t="shared" si="19"/>
        <v>0.9</v>
      </c>
    </row>
    <row r="597" spans="2:7" x14ac:dyDescent="0.2">
      <c r="B597" s="16" t="s">
        <v>207</v>
      </c>
      <c r="C597" s="16">
        <v>10685</v>
      </c>
      <c r="D597" s="16">
        <v>0.91</v>
      </c>
      <c r="E597" s="16" t="s">
        <v>220</v>
      </c>
      <c r="F597" s="18" t="str">
        <f t="shared" si="18"/>
        <v>Flat 09</v>
      </c>
      <c r="G597" s="18">
        <f t="shared" si="19"/>
        <v>0.91</v>
      </c>
    </row>
    <row r="598" spans="2:7" x14ac:dyDescent="0.2">
      <c r="B598" s="16" t="s">
        <v>207</v>
      </c>
      <c r="C598" s="16">
        <v>10682</v>
      </c>
      <c r="D598" s="16">
        <v>1.1299999999999999</v>
      </c>
      <c r="E598" s="16" t="s">
        <v>220</v>
      </c>
      <c r="F598" s="18" t="str">
        <f t="shared" si="18"/>
        <v>Flat 09</v>
      </c>
      <c r="G598" s="18">
        <f t="shared" si="19"/>
        <v>1.1299999999999999</v>
      </c>
    </row>
    <row r="599" spans="2:7" x14ac:dyDescent="0.2">
      <c r="B599" s="16" t="s">
        <v>207</v>
      </c>
      <c r="C599" s="16">
        <v>10688</v>
      </c>
      <c r="D599" s="16">
        <v>0.91</v>
      </c>
      <c r="E599" s="16" t="s">
        <v>220</v>
      </c>
      <c r="F599" s="18" t="str">
        <f t="shared" si="18"/>
        <v>Flat 09</v>
      </c>
      <c r="G599" s="18">
        <f t="shared" si="19"/>
        <v>0.91</v>
      </c>
    </row>
    <row r="600" spans="2:7" x14ac:dyDescent="0.2">
      <c r="B600" s="16" t="s">
        <v>207</v>
      </c>
      <c r="C600" s="16">
        <v>10674</v>
      </c>
      <c r="D600" s="16">
        <v>1.1299999999999999</v>
      </c>
      <c r="E600" s="16" t="s">
        <v>220</v>
      </c>
      <c r="F600" s="18" t="str">
        <f t="shared" si="18"/>
        <v>Flat 09</v>
      </c>
      <c r="G600" s="18">
        <f t="shared" si="19"/>
        <v>1.1299999999999999</v>
      </c>
    </row>
    <row r="601" spans="2:7" x14ac:dyDescent="0.2">
      <c r="B601" s="16" t="s">
        <v>207</v>
      </c>
      <c r="C601" s="16">
        <v>11536</v>
      </c>
      <c r="D601" s="16">
        <v>0.91</v>
      </c>
      <c r="E601" s="16" t="s">
        <v>221</v>
      </c>
      <c r="F601" s="18" t="str">
        <f t="shared" si="18"/>
        <v>Flat 05</v>
      </c>
      <c r="G601" s="18">
        <f t="shared" si="19"/>
        <v>0.91</v>
      </c>
    </row>
    <row r="602" spans="2:7" x14ac:dyDescent="0.2">
      <c r="B602" s="16" t="s">
        <v>207</v>
      </c>
      <c r="C602" s="16">
        <v>11539</v>
      </c>
      <c r="D602" s="16">
        <v>2.48</v>
      </c>
      <c r="E602" s="16" t="s">
        <v>221</v>
      </c>
      <c r="F602" s="18" t="str">
        <f t="shared" si="18"/>
        <v>Flat 05</v>
      </c>
      <c r="G602" s="18">
        <f t="shared" si="19"/>
        <v>2.48</v>
      </c>
    </row>
    <row r="603" spans="2:7" x14ac:dyDescent="0.2">
      <c r="B603" s="16" t="s">
        <v>207</v>
      </c>
      <c r="C603" s="16">
        <v>11523</v>
      </c>
      <c r="D603" s="16">
        <v>1.1299999999999999</v>
      </c>
      <c r="E603" s="16" t="s">
        <v>221</v>
      </c>
      <c r="F603" s="18" t="str">
        <f t="shared" si="18"/>
        <v>Flat 05</v>
      </c>
      <c r="G603" s="18">
        <f t="shared" si="19"/>
        <v>1.1299999999999999</v>
      </c>
    </row>
    <row r="604" spans="2:7" x14ac:dyDescent="0.2">
      <c r="B604" s="16" t="s">
        <v>207</v>
      </c>
      <c r="C604" s="16">
        <v>11520</v>
      </c>
      <c r="D604" s="16">
        <v>1.1299999999999999</v>
      </c>
      <c r="E604" s="16" t="s">
        <v>221</v>
      </c>
      <c r="F604" s="18" t="str">
        <f t="shared" si="18"/>
        <v>Flat 05</v>
      </c>
      <c r="G604" s="18">
        <f t="shared" si="19"/>
        <v>1.1299999999999999</v>
      </c>
    </row>
    <row r="605" spans="2:7" x14ac:dyDescent="0.2">
      <c r="B605" s="16" t="s">
        <v>207</v>
      </c>
      <c r="C605" s="16">
        <v>11131</v>
      </c>
      <c r="D605" s="16">
        <v>1.1299999999999999</v>
      </c>
      <c r="E605" s="16" t="s">
        <v>217</v>
      </c>
      <c r="F605" s="18" t="str">
        <f t="shared" si="18"/>
        <v>Flat 08</v>
      </c>
      <c r="G605" s="18">
        <f t="shared" si="19"/>
        <v>1.1299999999999999</v>
      </c>
    </row>
    <row r="606" spans="2:7" x14ac:dyDescent="0.2">
      <c r="B606" s="16" t="s">
        <v>207</v>
      </c>
      <c r="C606" s="16">
        <v>11134</v>
      </c>
      <c r="D606" s="16">
        <v>1.1299999999999999</v>
      </c>
      <c r="E606" s="16" t="s">
        <v>217</v>
      </c>
      <c r="F606" s="18" t="str">
        <f t="shared" si="18"/>
        <v>Flat 08</v>
      </c>
      <c r="G606" s="18">
        <f t="shared" si="19"/>
        <v>1.1299999999999999</v>
      </c>
    </row>
    <row r="607" spans="2:7" x14ac:dyDescent="0.2">
      <c r="B607" s="16" t="s">
        <v>207</v>
      </c>
      <c r="C607" s="16">
        <v>11137</v>
      </c>
      <c r="D607" s="16">
        <v>2.48</v>
      </c>
      <c r="E607" s="16" t="s">
        <v>217</v>
      </c>
      <c r="F607" s="18" t="str">
        <f t="shared" si="18"/>
        <v>Flat 08</v>
      </c>
      <c r="G607" s="18">
        <f t="shared" si="19"/>
        <v>2.48</v>
      </c>
    </row>
    <row r="608" spans="2:7" x14ac:dyDescent="0.2">
      <c r="B608" s="16" t="s">
        <v>207</v>
      </c>
      <c r="C608" s="16">
        <v>11115</v>
      </c>
      <c r="D608" s="16">
        <v>0.91</v>
      </c>
      <c r="E608" s="16" t="s">
        <v>217</v>
      </c>
      <c r="F608" s="18" t="str">
        <f t="shared" si="18"/>
        <v>Flat 08</v>
      </c>
      <c r="G608" s="18">
        <f t="shared" si="19"/>
        <v>0.91</v>
      </c>
    </row>
    <row r="609" spans="2:7" x14ac:dyDescent="0.2">
      <c r="B609" s="16" t="s">
        <v>207</v>
      </c>
      <c r="C609" s="16">
        <v>11118</v>
      </c>
      <c r="D609" s="16">
        <v>0.91</v>
      </c>
      <c r="E609" s="16" t="s">
        <v>217</v>
      </c>
      <c r="F609" s="18" t="str">
        <f t="shared" si="18"/>
        <v>Flat 08</v>
      </c>
      <c r="G609" s="18">
        <f t="shared" si="19"/>
        <v>0.91</v>
      </c>
    </row>
    <row r="610" spans="2:7" x14ac:dyDescent="0.2">
      <c r="B610" s="16" t="s">
        <v>207</v>
      </c>
      <c r="C610" s="16">
        <v>11242</v>
      </c>
      <c r="D610" s="16">
        <v>0.9</v>
      </c>
      <c r="E610" s="16" t="s">
        <v>184</v>
      </c>
      <c r="F610" s="18" t="str">
        <f t="shared" si="18"/>
        <v>Flat 15</v>
      </c>
      <c r="G610" s="18">
        <f t="shared" si="19"/>
        <v>0.9</v>
      </c>
    </row>
    <row r="611" spans="2:7" x14ac:dyDescent="0.2">
      <c r="B611" s="16" t="s">
        <v>207</v>
      </c>
      <c r="C611" s="16">
        <v>11196</v>
      </c>
      <c r="D611" s="16">
        <v>1.1299999999999999</v>
      </c>
      <c r="E611" s="16" t="s">
        <v>184</v>
      </c>
      <c r="F611" s="18" t="str">
        <f t="shared" si="18"/>
        <v>Flat 15</v>
      </c>
      <c r="G611" s="18">
        <f t="shared" si="19"/>
        <v>1.1299999999999999</v>
      </c>
    </row>
    <row r="612" spans="2:7" x14ac:dyDescent="0.2">
      <c r="B612" s="16" t="s">
        <v>207</v>
      </c>
      <c r="C612" s="16">
        <v>11190</v>
      </c>
      <c r="D612" s="16">
        <v>0.91</v>
      </c>
      <c r="E612" s="16" t="s">
        <v>184</v>
      </c>
      <c r="F612" s="18" t="str">
        <f t="shared" si="18"/>
        <v>Flat 15</v>
      </c>
      <c r="G612" s="18">
        <f t="shared" si="19"/>
        <v>0.91</v>
      </c>
    </row>
    <row r="613" spans="2:7" x14ac:dyDescent="0.2">
      <c r="B613" s="16" t="s">
        <v>207</v>
      </c>
      <c r="C613" s="16">
        <v>11187</v>
      </c>
      <c r="D613" s="16">
        <v>1.1299999999999999</v>
      </c>
      <c r="E613" s="16" t="s">
        <v>184</v>
      </c>
      <c r="F613" s="18" t="str">
        <f t="shared" si="18"/>
        <v>Flat 15</v>
      </c>
      <c r="G613" s="18">
        <f t="shared" si="19"/>
        <v>1.1299999999999999</v>
      </c>
    </row>
    <row r="614" spans="2:7" x14ac:dyDescent="0.2">
      <c r="B614" s="16" t="s">
        <v>207</v>
      </c>
      <c r="C614" s="16">
        <v>11193</v>
      </c>
      <c r="D614" s="16">
        <v>0.91</v>
      </c>
      <c r="E614" s="16" t="s">
        <v>184</v>
      </c>
      <c r="F614" s="18" t="str">
        <f t="shared" si="18"/>
        <v>Flat 15</v>
      </c>
      <c r="G614" s="18">
        <f t="shared" si="19"/>
        <v>0.91</v>
      </c>
    </row>
    <row r="615" spans="2:7" x14ac:dyDescent="0.2">
      <c r="B615" s="16" t="s">
        <v>207</v>
      </c>
      <c r="C615" s="16">
        <v>10770</v>
      </c>
      <c r="D615" s="16">
        <v>1.1299999999999999</v>
      </c>
      <c r="E615" s="16" t="s">
        <v>185</v>
      </c>
      <c r="F615" s="18" t="str">
        <f t="shared" si="18"/>
        <v>Flat 16</v>
      </c>
      <c r="G615" s="18">
        <f t="shared" si="19"/>
        <v>1.1299999999999999</v>
      </c>
    </row>
    <row r="616" spans="2:7" x14ac:dyDescent="0.2">
      <c r="B616" s="16" t="s">
        <v>207</v>
      </c>
      <c r="C616" s="16">
        <v>10822</v>
      </c>
      <c r="D616" s="16">
        <v>2.48</v>
      </c>
      <c r="E616" s="16" t="s">
        <v>185</v>
      </c>
      <c r="F616" s="18" t="str">
        <f t="shared" si="18"/>
        <v>Flat 16</v>
      </c>
      <c r="G616" s="18">
        <f t="shared" si="19"/>
        <v>2.48</v>
      </c>
    </row>
    <row r="617" spans="2:7" x14ac:dyDescent="0.2">
      <c r="B617" s="16" t="s">
        <v>207</v>
      </c>
      <c r="C617" s="16">
        <v>10599</v>
      </c>
      <c r="D617" s="16">
        <v>1.1299999999999999</v>
      </c>
      <c r="E617" s="16" t="s">
        <v>214</v>
      </c>
      <c r="F617" s="18" t="str">
        <f t="shared" si="18"/>
        <v>Flat 01</v>
      </c>
      <c r="G617" s="18">
        <f t="shared" si="19"/>
        <v>1.1299999999999999</v>
      </c>
    </row>
    <row r="618" spans="2:7" x14ac:dyDescent="0.2">
      <c r="B618" s="16" t="s">
        <v>207</v>
      </c>
      <c r="C618" s="16">
        <v>10607</v>
      </c>
      <c r="D618" s="16">
        <v>1.1299999999999999</v>
      </c>
      <c r="E618" s="16" t="s">
        <v>214</v>
      </c>
      <c r="F618" s="18" t="str">
        <f t="shared" si="18"/>
        <v>Flat 01</v>
      </c>
      <c r="G618" s="18">
        <f t="shared" si="19"/>
        <v>1.1299999999999999</v>
      </c>
    </row>
    <row r="619" spans="2:7" x14ac:dyDescent="0.2">
      <c r="B619" s="16" t="s">
        <v>207</v>
      </c>
      <c r="C619" s="16">
        <v>10615</v>
      </c>
      <c r="D619" s="16">
        <v>2.93</v>
      </c>
      <c r="E619" s="16" t="s">
        <v>214</v>
      </c>
      <c r="F619" s="18" t="str">
        <f t="shared" si="18"/>
        <v>Flat 01</v>
      </c>
      <c r="G619" s="18">
        <f t="shared" si="19"/>
        <v>2.93</v>
      </c>
    </row>
    <row r="620" spans="2:7" x14ac:dyDescent="0.2">
      <c r="B620" s="16" t="s">
        <v>207</v>
      </c>
      <c r="C620" s="16">
        <v>10643</v>
      </c>
      <c r="D620" s="16">
        <v>1.01</v>
      </c>
      <c r="E620" s="16" t="s">
        <v>214</v>
      </c>
      <c r="F620" s="18" t="str">
        <f t="shared" si="18"/>
        <v>Flat 01</v>
      </c>
      <c r="G620" s="18">
        <f t="shared" si="19"/>
        <v>1.01</v>
      </c>
    </row>
    <row r="621" spans="2:7" x14ac:dyDescent="0.2">
      <c r="B621" s="16" t="s">
        <v>207</v>
      </c>
      <c r="C621" s="16">
        <v>10977</v>
      </c>
      <c r="D621" s="16">
        <v>0.91</v>
      </c>
      <c r="E621" s="16" t="s">
        <v>186</v>
      </c>
      <c r="F621" s="18" t="str">
        <f t="shared" si="18"/>
        <v>Flat 17</v>
      </c>
      <c r="G621" s="18">
        <f t="shared" si="19"/>
        <v>0.91</v>
      </c>
    </row>
    <row r="622" spans="2:7" x14ac:dyDescent="0.2">
      <c r="B622" s="16" t="s">
        <v>207</v>
      </c>
      <c r="C622" s="16">
        <v>10980</v>
      </c>
      <c r="D622" s="16">
        <v>2.48</v>
      </c>
      <c r="E622" s="16" t="s">
        <v>186</v>
      </c>
      <c r="F622" s="18" t="str">
        <f t="shared" si="18"/>
        <v>Flat 17</v>
      </c>
      <c r="G622" s="18">
        <f t="shared" si="19"/>
        <v>2.48</v>
      </c>
    </row>
    <row r="623" spans="2:7" x14ac:dyDescent="0.2">
      <c r="B623" s="16" t="s">
        <v>207</v>
      </c>
      <c r="C623" s="16">
        <v>10964</v>
      </c>
      <c r="D623" s="16">
        <v>1.1299999999999999</v>
      </c>
      <c r="E623" s="16" t="s">
        <v>186</v>
      </c>
      <c r="F623" s="18" t="str">
        <f t="shared" si="18"/>
        <v>Flat 17</v>
      </c>
      <c r="G623" s="18">
        <f t="shared" si="19"/>
        <v>1.1299999999999999</v>
      </c>
    </row>
    <row r="624" spans="2:7" x14ac:dyDescent="0.2">
      <c r="B624" s="16" t="s">
        <v>207</v>
      </c>
      <c r="C624" s="16">
        <v>10961</v>
      </c>
      <c r="D624" s="16">
        <v>1.1299999999999999</v>
      </c>
      <c r="E624" s="16" t="s">
        <v>186</v>
      </c>
      <c r="F624" s="18" t="str">
        <f t="shared" si="18"/>
        <v>Flat 17</v>
      </c>
      <c r="G624" s="18">
        <f t="shared" si="19"/>
        <v>1.1299999999999999</v>
      </c>
    </row>
    <row r="625" spans="2:7" x14ac:dyDescent="0.2">
      <c r="B625" s="16" t="s">
        <v>207</v>
      </c>
      <c r="C625" s="16">
        <v>10830</v>
      </c>
      <c r="D625" s="16">
        <v>2.48</v>
      </c>
      <c r="E625" s="16" t="s">
        <v>187</v>
      </c>
      <c r="F625" s="18" t="str">
        <f t="shared" si="18"/>
        <v>Flat 18</v>
      </c>
      <c r="G625" s="18">
        <f t="shared" si="19"/>
        <v>2.48</v>
      </c>
    </row>
    <row r="626" spans="2:7" x14ac:dyDescent="0.2">
      <c r="B626" s="16" t="s">
        <v>207</v>
      </c>
      <c r="C626" s="16">
        <v>10824</v>
      </c>
      <c r="D626" s="16">
        <v>1.1299999999999999</v>
      </c>
      <c r="E626" s="16" t="s">
        <v>187</v>
      </c>
      <c r="F626" s="18" t="str">
        <f t="shared" si="18"/>
        <v>Flat 18</v>
      </c>
      <c r="G626" s="18">
        <f t="shared" si="19"/>
        <v>1.1299999999999999</v>
      </c>
    </row>
    <row r="627" spans="2:7" x14ac:dyDescent="0.2">
      <c r="B627" s="16" t="s">
        <v>207</v>
      </c>
      <c r="C627" s="16">
        <v>10827</v>
      </c>
      <c r="D627" s="16">
        <v>1.1299999999999999</v>
      </c>
      <c r="E627" s="16" t="s">
        <v>187</v>
      </c>
      <c r="F627" s="18" t="str">
        <f t="shared" si="18"/>
        <v>Flat 18</v>
      </c>
      <c r="G627" s="18">
        <f t="shared" si="19"/>
        <v>1.1299999999999999</v>
      </c>
    </row>
    <row r="628" spans="2:7" x14ac:dyDescent="0.2">
      <c r="B628" s="16" t="s">
        <v>207</v>
      </c>
      <c r="C628" s="16">
        <v>10464</v>
      </c>
      <c r="D628" s="16">
        <v>1.1299999999999999</v>
      </c>
      <c r="E628" s="16" t="s">
        <v>222</v>
      </c>
      <c r="F628" s="18" t="str">
        <f t="shared" si="18"/>
        <v>Flat 04</v>
      </c>
      <c r="G628" s="18">
        <f t="shared" si="19"/>
        <v>1.1299999999999999</v>
      </c>
    </row>
    <row r="629" spans="2:7" x14ac:dyDescent="0.2">
      <c r="B629" s="16" t="s">
        <v>207</v>
      </c>
      <c r="C629" s="16">
        <v>10516</v>
      </c>
      <c r="D629" s="16">
        <v>2.48</v>
      </c>
      <c r="E629" s="16" t="s">
        <v>222</v>
      </c>
      <c r="F629" s="18" t="str">
        <f t="shared" si="18"/>
        <v>Flat 04</v>
      </c>
      <c r="G629" s="18">
        <f t="shared" si="19"/>
        <v>2.48</v>
      </c>
    </row>
    <row r="630" spans="2:7" x14ac:dyDescent="0.2">
      <c r="B630" s="16" t="s">
        <v>207</v>
      </c>
      <c r="C630" s="16">
        <v>10907</v>
      </c>
      <c r="D630" s="16">
        <v>1.1299999999999999</v>
      </c>
      <c r="E630" s="16" t="s">
        <v>188</v>
      </c>
      <c r="F630" s="18" t="str">
        <f t="shared" si="18"/>
        <v>Flat 10</v>
      </c>
      <c r="G630" s="18">
        <f t="shared" si="19"/>
        <v>1.1299999999999999</v>
      </c>
    </row>
    <row r="631" spans="2:7" x14ac:dyDescent="0.2">
      <c r="B631" s="16" t="s">
        <v>207</v>
      </c>
      <c r="C631" s="16">
        <v>10959</v>
      </c>
      <c r="D631" s="16">
        <v>2.48</v>
      </c>
      <c r="E631" s="16" t="s">
        <v>188</v>
      </c>
      <c r="F631" s="18" t="str">
        <f t="shared" si="18"/>
        <v>Flat 10</v>
      </c>
      <c r="G631" s="18">
        <f t="shared" si="19"/>
        <v>2.48</v>
      </c>
    </row>
    <row r="632" spans="2:7" x14ac:dyDescent="0.2">
      <c r="B632" s="16" t="s">
        <v>207</v>
      </c>
      <c r="C632" s="16">
        <v>11609</v>
      </c>
      <c r="D632" s="16">
        <v>1.1299999999999999</v>
      </c>
      <c r="E632" s="16" t="s">
        <v>189</v>
      </c>
      <c r="F632" s="18" t="str">
        <f t="shared" si="18"/>
        <v>Flat 14</v>
      </c>
      <c r="G632" s="18">
        <f t="shared" si="19"/>
        <v>1.1299999999999999</v>
      </c>
    </row>
    <row r="633" spans="2:7" x14ac:dyDescent="0.2">
      <c r="B633" s="16" t="s">
        <v>207</v>
      </c>
      <c r="C633" s="16">
        <v>11612</v>
      </c>
      <c r="D633" s="16">
        <v>1.1299999999999999</v>
      </c>
      <c r="E633" s="16" t="s">
        <v>189</v>
      </c>
      <c r="F633" s="18" t="str">
        <f t="shared" si="18"/>
        <v>Flat 14</v>
      </c>
      <c r="G633" s="18">
        <f t="shared" si="19"/>
        <v>1.1299999999999999</v>
      </c>
    </row>
    <row r="634" spans="2:7" x14ac:dyDescent="0.2">
      <c r="B634" s="16" t="s">
        <v>207</v>
      </c>
      <c r="C634" s="16">
        <v>11615</v>
      </c>
      <c r="D634" s="16">
        <v>2.48</v>
      </c>
      <c r="E634" s="16" t="s">
        <v>189</v>
      </c>
      <c r="F634" s="18" t="str">
        <f t="shared" si="18"/>
        <v>Flat 14</v>
      </c>
      <c r="G634" s="18">
        <f t="shared" si="19"/>
        <v>2.48</v>
      </c>
    </row>
    <row r="635" spans="2:7" x14ac:dyDescent="0.2">
      <c r="B635" s="16" t="s">
        <v>207</v>
      </c>
      <c r="C635" s="16">
        <v>11596</v>
      </c>
      <c r="D635" s="16">
        <v>0.91</v>
      </c>
      <c r="E635" s="16" t="s">
        <v>189</v>
      </c>
      <c r="F635" s="18" t="str">
        <f t="shared" si="18"/>
        <v>Flat 14</v>
      </c>
      <c r="G635" s="18">
        <f t="shared" si="19"/>
        <v>0.91</v>
      </c>
    </row>
    <row r="636" spans="2:7" x14ac:dyDescent="0.2">
      <c r="B636" s="16" t="s">
        <v>207</v>
      </c>
      <c r="C636" s="16">
        <v>11593</v>
      </c>
      <c r="D636" s="16">
        <v>0.91</v>
      </c>
      <c r="E636" s="16" t="s">
        <v>189</v>
      </c>
      <c r="F636" s="18" t="str">
        <f t="shared" si="18"/>
        <v>Flat 14</v>
      </c>
      <c r="G636" s="18">
        <f t="shared" si="19"/>
        <v>0.91</v>
      </c>
    </row>
    <row r="637" spans="2:7" x14ac:dyDescent="0.2">
      <c r="B637" s="16" t="s">
        <v>207</v>
      </c>
      <c r="C637" s="16">
        <v>11034</v>
      </c>
      <c r="D637" s="16">
        <v>2.48</v>
      </c>
      <c r="E637" s="16" t="s">
        <v>190</v>
      </c>
      <c r="F637" s="18" t="str">
        <f t="shared" si="18"/>
        <v>Flat 12</v>
      </c>
      <c r="G637" s="18">
        <f t="shared" si="19"/>
        <v>2.48</v>
      </c>
    </row>
    <row r="638" spans="2:7" x14ac:dyDescent="0.2">
      <c r="B638" s="16" t="s">
        <v>207</v>
      </c>
      <c r="C638" s="16">
        <v>11041</v>
      </c>
      <c r="D638" s="16">
        <v>1.1299999999999999</v>
      </c>
      <c r="E638" s="16" t="s">
        <v>190</v>
      </c>
      <c r="F638" s="18" t="str">
        <f t="shared" si="18"/>
        <v>Flat 12</v>
      </c>
      <c r="G638" s="18">
        <f t="shared" si="19"/>
        <v>1.1299999999999999</v>
      </c>
    </row>
    <row r="639" spans="2:7" x14ac:dyDescent="0.2">
      <c r="B639" s="16" t="s">
        <v>207</v>
      </c>
      <c r="C639" s="16">
        <v>11044</v>
      </c>
      <c r="D639" s="16">
        <v>1.1299999999999999</v>
      </c>
      <c r="E639" s="16" t="s">
        <v>190</v>
      </c>
      <c r="F639" s="18" t="str">
        <f t="shared" si="18"/>
        <v>Flat 12</v>
      </c>
      <c r="G639" s="18">
        <f t="shared" si="19"/>
        <v>1.1299999999999999</v>
      </c>
    </row>
    <row r="640" spans="2:7" x14ac:dyDescent="0.2">
      <c r="B640" s="16" t="s">
        <v>207</v>
      </c>
      <c r="C640" s="16">
        <v>11391</v>
      </c>
      <c r="D640" s="16">
        <v>2.48</v>
      </c>
      <c r="E640" s="16" t="s">
        <v>191</v>
      </c>
      <c r="F640" s="18" t="str">
        <f t="shared" si="18"/>
        <v>Flat 11</v>
      </c>
      <c r="G640" s="18">
        <f t="shared" si="19"/>
        <v>2.48</v>
      </c>
    </row>
    <row r="641" spans="2:7" x14ac:dyDescent="0.2">
      <c r="B641" s="16" t="s">
        <v>207</v>
      </c>
      <c r="C641" s="16">
        <v>11388</v>
      </c>
      <c r="D641" s="16">
        <v>0.91</v>
      </c>
      <c r="E641" s="16" t="s">
        <v>191</v>
      </c>
      <c r="F641" s="18" t="str">
        <f t="shared" si="18"/>
        <v>Flat 11</v>
      </c>
      <c r="G641" s="18">
        <f t="shared" si="19"/>
        <v>0.91</v>
      </c>
    </row>
    <row r="642" spans="2:7" x14ac:dyDescent="0.2">
      <c r="B642" s="16" t="s">
        <v>207</v>
      </c>
      <c r="C642" s="16">
        <v>11375</v>
      </c>
      <c r="D642" s="16">
        <v>1.1299999999999999</v>
      </c>
      <c r="E642" s="16" t="s">
        <v>191</v>
      </c>
      <c r="F642" s="18" t="str">
        <f t="shared" si="18"/>
        <v>Flat 11</v>
      </c>
      <c r="G642" s="18">
        <f t="shared" si="19"/>
        <v>1.1299999999999999</v>
      </c>
    </row>
    <row r="643" spans="2:7" x14ac:dyDescent="0.2">
      <c r="B643" s="16" t="s">
        <v>207</v>
      </c>
      <c r="C643" s="16">
        <v>11372</v>
      </c>
      <c r="D643" s="16">
        <v>1.1299999999999999</v>
      </c>
      <c r="E643" s="16" t="s">
        <v>191</v>
      </c>
      <c r="F643" s="18" t="str">
        <f t="shared" si="18"/>
        <v>Flat 11</v>
      </c>
      <c r="G643" s="18">
        <f t="shared" si="19"/>
        <v>1.1299999999999999</v>
      </c>
    </row>
    <row r="644" spans="2:7" x14ac:dyDescent="0.2">
      <c r="B644" s="16" t="s">
        <v>207</v>
      </c>
      <c r="C644" s="16">
        <v>11454</v>
      </c>
      <c r="D644" s="16">
        <v>1.1299999999999999</v>
      </c>
      <c r="E644" s="16" t="s">
        <v>192</v>
      </c>
      <c r="F644" s="18" t="str">
        <f t="shared" si="18"/>
        <v>Flat 13</v>
      </c>
      <c r="G644" s="18">
        <f t="shared" si="19"/>
        <v>1.1299999999999999</v>
      </c>
    </row>
    <row r="645" spans="2:7" x14ac:dyDescent="0.2">
      <c r="B645" s="16" t="s">
        <v>207</v>
      </c>
      <c r="C645" s="16">
        <v>11457</v>
      </c>
      <c r="D645" s="16">
        <v>1.1299999999999999</v>
      </c>
      <c r="E645" s="16" t="s">
        <v>192</v>
      </c>
      <c r="F645" s="18" t="str">
        <f t="shared" si="18"/>
        <v>Flat 13</v>
      </c>
      <c r="G645" s="18">
        <f t="shared" si="19"/>
        <v>1.1299999999999999</v>
      </c>
    </row>
    <row r="646" spans="2:7" x14ac:dyDescent="0.2">
      <c r="B646" s="16" t="s">
        <v>207</v>
      </c>
      <c r="C646" s="16">
        <v>11460</v>
      </c>
      <c r="D646" s="16">
        <v>1.1299999999999999</v>
      </c>
      <c r="E646" s="16" t="s">
        <v>192</v>
      </c>
      <c r="F646" s="18" t="str">
        <f t="shared" si="18"/>
        <v>Flat 13</v>
      </c>
      <c r="G646" s="18">
        <f t="shared" si="19"/>
        <v>1.1299999999999999</v>
      </c>
    </row>
    <row r="647" spans="2:7" x14ac:dyDescent="0.2">
      <c r="B647" s="16" t="s">
        <v>207</v>
      </c>
      <c r="C647" s="16">
        <v>11445</v>
      </c>
      <c r="D647" s="16">
        <v>2.48</v>
      </c>
      <c r="E647" s="16" t="s">
        <v>192</v>
      </c>
      <c r="F647" s="18" t="str">
        <f t="shared" ref="F647:F710" si="20">LEFT(E647,7)</f>
        <v>Flat 13</v>
      </c>
      <c r="G647" s="18">
        <f t="shared" ref="G647:G710" si="21">D647</f>
        <v>2.48</v>
      </c>
    </row>
    <row r="648" spans="2:7" x14ac:dyDescent="0.2">
      <c r="B648" s="16" t="s">
        <v>207</v>
      </c>
      <c r="C648" s="16">
        <v>11448</v>
      </c>
      <c r="D648" s="16">
        <v>1.01</v>
      </c>
      <c r="E648" s="16" t="s">
        <v>192</v>
      </c>
      <c r="F648" s="18" t="str">
        <f t="shared" si="20"/>
        <v>Flat 13</v>
      </c>
      <c r="G648" s="18">
        <f t="shared" si="21"/>
        <v>1.01</v>
      </c>
    </row>
    <row r="649" spans="2:7" x14ac:dyDescent="0.2">
      <c r="B649" s="16" t="s">
        <v>207</v>
      </c>
      <c r="C649" s="16">
        <v>11451</v>
      </c>
      <c r="D649" s="16">
        <v>1.1299999999999999</v>
      </c>
      <c r="E649" s="16" t="s">
        <v>192</v>
      </c>
      <c r="F649" s="18" t="str">
        <f t="shared" si="20"/>
        <v>Flat 13</v>
      </c>
      <c r="G649" s="18">
        <f t="shared" si="21"/>
        <v>1.1299999999999999</v>
      </c>
    </row>
    <row r="650" spans="2:7" x14ac:dyDescent="0.2">
      <c r="B650" s="16" t="s">
        <v>208</v>
      </c>
      <c r="C650" s="16">
        <v>10332</v>
      </c>
      <c r="D650" s="16">
        <v>0.19</v>
      </c>
      <c r="E650" s="16" t="s">
        <v>215</v>
      </c>
      <c r="F650" s="18" t="str">
        <f t="shared" si="20"/>
        <v>Flat 02</v>
      </c>
      <c r="G650" s="18">
        <f t="shared" si="21"/>
        <v>0.19</v>
      </c>
    </row>
    <row r="651" spans="2:7" x14ac:dyDescent="0.2">
      <c r="B651" s="16" t="s">
        <v>208</v>
      </c>
      <c r="C651" s="16">
        <v>10329</v>
      </c>
      <c r="D651" s="16">
        <v>7.48</v>
      </c>
      <c r="E651" s="16" t="s">
        <v>215</v>
      </c>
      <c r="F651" s="18" t="str">
        <f t="shared" si="20"/>
        <v>Flat 02</v>
      </c>
      <c r="G651" s="18">
        <f t="shared" si="21"/>
        <v>7.48</v>
      </c>
    </row>
    <row r="652" spans="2:7" x14ac:dyDescent="0.2">
      <c r="B652" s="16" t="s">
        <v>208</v>
      </c>
      <c r="C652" s="16">
        <v>10334</v>
      </c>
      <c r="D652" s="16">
        <v>1.24</v>
      </c>
      <c r="E652" s="16" t="s">
        <v>215</v>
      </c>
      <c r="F652" s="18" t="str">
        <f t="shared" si="20"/>
        <v>Flat 02</v>
      </c>
      <c r="G652" s="18">
        <f t="shared" si="21"/>
        <v>1.24</v>
      </c>
    </row>
    <row r="653" spans="2:7" x14ac:dyDescent="0.2">
      <c r="B653" s="16" t="s">
        <v>208</v>
      </c>
      <c r="C653" s="16">
        <v>10361</v>
      </c>
      <c r="D653" s="16">
        <v>5.67</v>
      </c>
      <c r="E653" s="16" t="s">
        <v>215</v>
      </c>
      <c r="F653" s="18" t="str">
        <f t="shared" si="20"/>
        <v>Flat 02</v>
      </c>
      <c r="G653" s="18">
        <f t="shared" si="21"/>
        <v>5.67</v>
      </c>
    </row>
    <row r="654" spans="2:7" x14ac:dyDescent="0.2">
      <c r="B654" s="16" t="s">
        <v>208</v>
      </c>
      <c r="C654" s="16">
        <v>10337</v>
      </c>
      <c r="D654" s="16">
        <v>1.24</v>
      </c>
      <c r="E654" s="16" t="s">
        <v>215</v>
      </c>
      <c r="F654" s="18" t="str">
        <f t="shared" si="20"/>
        <v>Flat 02</v>
      </c>
      <c r="G654" s="18">
        <f t="shared" si="21"/>
        <v>1.24</v>
      </c>
    </row>
    <row r="655" spans="2:7" x14ac:dyDescent="0.2">
      <c r="B655" s="16" t="s">
        <v>208</v>
      </c>
      <c r="C655" s="16">
        <v>10364</v>
      </c>
      <c r="D655" s="16">
        <v>2.48</v>
      </c>
      <c r="E655" s="16" t="s">
        <v>215</v>
      </c>
      <c r="F655" s="18" t="str">
        <f t="shared" si="20"/>
        <v>Flat 02</v>
      </c>
      <c r="G655" s="18">
        <f t="shared" si="21"/>
        <v>2.48</v>
      </c>
    </row>
    <row r="656" spans="2:7" x14ac:dyDescent="0.2">
      <c r="B656" s="16" t="s">
        <v>208</v>
      </c>
      <c r="C656" s="16">
        <v>10367</v>
      </c>
      <c r="D656" s="16">
        <v>0.48</v>
      </c>
      <c r="E656" s="16" t="s">
        <v>215</v>
      </c>
      <c r="F656" s="18" t="str">
        <f t="shared" si="20"/>
        <v>Flat 02</v>
      </c>
      <c r="G656" s="18">
        <f t="shared" si="21"/>
        <v>0.48</v>
      </c>
    </row>
    <row r="657" spans="2:7" x14ac:dyDescent="0.2">
      <c r="B657" s="16" t="s">
        <v>208</v>
      </c>
      <c r="C657" s="16">
        <v>10411</v>
      </c>
      <c r="D657" s="16">
        <v>3.73</v>
      </c>
      <c r="E657" s="16" t="s">
        <v>218</v>
      </c>
      <c r="F657" s="18" t="str">
        <f t="shared" si="20"/>
        <v>Flat 03</v>
      </c>
      <c r="G657" s="18">
        <f t="shared" si="21"/>
        <v>3.73</v>
      </c>
    </row>
    <row r="658" spans="2:7" x14ac:dyDescent="0.2">
      <c r="B658" s="16" t="s">
        <v>208</v>
      </c>
      <c r="C658" s="16">
        <v>10405</v>
      </c>
      <c r="D658" s="16">
        <v>1.35</v>
      </c>
      <c r="E658" s="16" t="s">
        <v>218</v>
      </c>
      <c r="F658" s="18" t="str">
        <f t="shared" si="20"/>
        <v>Flat 03</v>
      </c>
      <c r="G658" s="18">
        <f t="shared" si="21"/>
        <v>1.35</v>
      </c>
    </row>
    <row r="659" spans="2:7" x14ac:dyDescent="0.2">
      <c r="B659" s="16" t="s">
        <v>208</v>
      </c>
      <c r="C659" s="16">
        <v>10402</v>
      </c>
      <c r="D659" s="16">
        <v>2.9</v>
      </c>
      <c r="E659" s="16" t="s">
        <v>218</v>
      </c>
      <c r="F659" s="18" t="str">
        <f t="shared" si="20"/>
        <v>Flat 03</v>
      </c>
      <c r="G659" s="18">
        <f t="shared" si="21"/>
        <v>2.9</v>
      </c>
    </row>
    <row r="660" spans="2:7" x14ac:dyDescent="0.2">
      <c r="B660" s="16" t="s">
        <v>208</v>
      </c>
      <c r="C660" s="16">
        <v>10407</v>
      </c>
      <c r="D660" s="16">
        <v>3.14</v>
      </c>
      <c r="E660" s="16" t="s">
        <v>218</v>
      </c>
      <c r="F660" s="18" t="str">
        <f t="shared" si="20"/>
        <v>Flat 03</v>
      </c>
      <c r="G660" s="18">
        <f t="shared" si="21"/>
        <v>3.14</v>
      </c>
    </row>
    <row r="661" spans="2:7" x14ac:dyDescent="0.2">
      <c r="B661" s="16" t="s">
        <v>208</v>
      </c>
      <c r="C661" s="16">
        <v>10409</v>
      </c>
      <c r="D661" s="16">
        <v>1.28</v>
      </c>
      <c r="E661" s="16" t="s">
        <v>218</v>
      </c>
      <c r="F661" s="18" t="str">
        <f t="shared" si="20"/>
        <v>Flat 03</v>
      </c>
      <c r="G661" s="18">
        <f t="shared" si="21"/>
        <v>1.28</v>
      </c>
    </row>
    <row r="662" spans="2:7" x14ac:dyDescent="0.2">
      <c r="B662" s="16" t="s">
        <v>208</v>
      </c>
      <c r="C662" s="16">
        <v>10541</v>
      </c>
      <c r="D662" s="16">
        <v>0.46</v>
      </c>
      <c r="E662" s="16" t="s">
        <v>219</v>
      </c>
      <c r="F662" s="18" t="str">
        <f t="shared" si="20"/>
        <v>Flat 06</v>
      </c>
      <c r="G662" s="18">
        <f t="shared" si="21"/>
        <v>0.46</v>
      </c>
    </row>
    <row r="663" spans="2:7" x14ac:dyDescent="0.2">
      <c r="B663" s="16" t="s">
        <v>208</v>
      </c>
      <c r="C663" s="16">
        <v>10550</v>
      </c>
      <c r="D663" s="16">
        <v>1.57</v>
      </c>
      <c r="E663" s="16" t="s">
        <v>219</v>
      </c>
      <c r="F663" s="18" t="str">
        <f t="shared" si="20"/>
        <v>Flat 06</v>
      </c>
      <c r="G663" s="18">
        <f t="shared" si="21"/>
        <v>1.57</v>
      </c>
    </row>
    <row r="664" spans="2:7" x14ac:dyDescent="0.2">
      <c r="B664" s="16" t="s">
        <v>208</v>
      </c>
      <c r="C664" s="16">
        <v>10548</v>
      </c>
      <c r="D664" s="16">
        <v>5.67</v>
      </c>
      <c r="E664" s="16" t="s">
        <v>219</v>
      </c>
      <c r="F664" s="18" t="str">
        <f t="shared" si="20"/>
        <v>Flat 06</v>
      </c>
      <c r="G664" s="18">
        <f t="shared" si="21"/>
        <v>5.67</v>
      </c>
    </row>
    <row r="665" spans="2:7" x14ac:dyDescent="0.2">
      <c r="B665" s="16" t="s">
        <v>208</v>
      </c>
      <c r="C665" s="16">
        <v>10546</v>
      </c>
      <c r="D665" s="16">
        <v>1.57</v>
      </c>
      <c r="E665" s="16" t="s">
        <v>219</v>
      </c>
      <c r="F665" s="18" t="str">
        <f t="shared" si="20"/>
        <v>Flat 06</v>
      </c>
      <c r="G665" s="18">
        <f t="shared" si="21"/>
        <v>1.57</v>
      </c>
    </row>
    <row r="666" spans="2:7" x14ac:dyDescent="0.2">
      <c r="B666" s="16" t="s">
        <v>208</v>
      </c>
      <c r="C666" s="16">
        <v>10544</v>
      </c>
      <c r="D666" s="16">
        <v>3.8</v>
      </c>
      <c r="E666" s="16" t="s">
        <v>219</v>
      </c>
      <c r="F666" s="18" t="str">
        <f t="shared" si="20"/>
        <v>Flat 06</v>
      </c>
      <c r="G666" s="18">
        <f t="shared" si="21"/>
        <v>3.8</v>
      </c>
    </row>
    <row r="667" spans="2:7" x14ac:dyDescent="0.2">
      <c r="B667" s="16" t="s">
        <v>208</v>
      </c>
      <c r="C667" s="16">
        <v>11554</v>
      </c>
      <c r="D667" s="16">
        <v>1.35</v>
      </c>
      <c r="E667" s="16" t="s">
        <v>221</v>
      </c>
      <c r="F667" s="18" t="str">
        <f t="shared" si="20"/>
        <v>Flat 05</v>
      </c>
      <c r="G667" s="18">
        <f t="shared" si="21"/>
        <v>1.35</v>
      </c>
    </row>
    <row r="668" spans="2:7" x14ac:dyDescent="0.2">
      <c r="B668" s="16" t="s">
        <v>208</v>
      </c>
      <c r="C668" s="16">
        <v>11551</v>
      </c>
      <c r="D668" s="16">
        <v>5.67</v>
      </c>
      <c r="E668" s="16" t="s">
        <v>221</v>
      </c>
      <c r="F668" s="18" t="str">
        <f t="shared" si="20"/>
        <v>Flat 05</v>
      </c>
      <c r="G668" s="18">
        <f t="shared" si="21"/>
        <v>5.67</v>
      </c>
    </row>
    <row r="669" spans="2:7" x14ac:dyDescent="0.2">
      <c r="B669" s="16" t="s">
        <v>208</v>
      </c>
      <c r="C669" s="16">
        <v>11559</v>
      </c>
      <c r="D669" s="16">
        <v>18.489999999999998</v>
      </c>
      <c r="E669" s="16" t="s">
        <v>221</v>
      </c>
      <c r="F669" s="18" t="str">
        <f t="shared" si="20"/>
        <v>Flat 05</v>
      </c>
      <c r="G669" s="18">
        <f t="shared" si="21"/>
        <v>18.489999999999998</v>
      </c>
    </row>
    <row r="670" spans="2:7" x14ac:dyDescent="0.2">
      <c r="B670" s="16" t="s">
        <v>208</v>
      </c>
      <c r="C670" s="16">
        <v>11556</v>
      </c>
      <c r="D670" s="16">
        <v>3.29</v>
      </c>
      <c r="E670" s="16" t="s">
        <v>221</v>
      </c>
      <c r="F670" s="18" t="str">
        <f t="shared" si="20"/>
        <v>Flat 05</v>
      </c>
      <c r="G670" s="18">
        <f t="shared" si="21"/>
        <v>3.29</v>
      </c>
    </row>
    <row r="671" spans="2:7" x14ac:dyDescent="0.2">
      <c r="B671" s="16" t="s">
        <v>208</v>
      </c>
      <c r="C671" s="16">
        <v>10625</v>
      </c>
      <c r="D671" s="16">
        <v>7.02</v>
      </c>
      <c r="E671" s="16" t="s">
        <v>214</v>
      </c>
      <c r="F671" s="18" t="str">
        <f t="shared" si="20"/>
        <v>Flat 01</v>
      </c>
      <c r="G671" s="18">
        <f t="shared" si="21"/>
        <v>7.02</v>
      </c>
    </row>
    <row r="672" spans="2:7" x14ac:dyDescent="0.2">
      <c r="B672" s="16" t="s">
        <v>208</v>
      </c>
      <c r="C672" s="16">
        <v>10622</v>
      </c>
      <c r="D672" s="16">
        <v>6.76</v>
      </c>
      <c r="E672" s="16" t="s">
        <v>214</v>
      </c>
      <c r="F672" s="18" t="str">
        <f t="shared" si="20"/>
        <v>Flat 01</v>
      </c>
      <c r="G672" s="18">
        <f t="shared" si="21"/>
        <v>6.76</v>
      </c>
    </row>
    <row r="673" spans="2:7" x14ac:dyDescent="0.2">
      <c r="B673" s="16" t="s">
        <v>208</v>
      </c>
      <c r="C673" s="16">
        <v>10627</v>
      </c>
      <c r="D673" s="16">
        <v>1.69</v>
      </c>
      <c r="E673" s="16" t="s">
        <v>214</v>
      </c>
      <c r="F673" s="18" t="str">
        <f t="shared" si="20"/>
        <v>Flat 01</v>
      </c>
      <c r="G673" s="18">
        <f t="shared" si="21"/>
        <v>1.69</v>
      </c>
    </row>
    <row r="674" spans="2:7" x14ac:dyDescent="0.2">
      <c r="B674" s="16" t="s">
        <v>208</v>
      </c>
      <c r="C674" s="16">
        <v>10472</v>
      </c>
      <c r="D674" s="16">
        <v>0.17</v>
      </c>
      <c r="E674" s="16" t="s">
        <v>222</v>
      </c>
      <c r="F674" s="18" t="str">
        <f t="shared" si="20"/>
        <v>Flat 04</v>
      </c>
      <c r="G674" s="18">
        <f t="shared" si="21"/>
        <v>0.17</v>
      </c>
    </row>
    <row r="675" spans="2:7" x14ac:dyDescent="0.2">
      <c r="B675" s="16" t="s">
        <v>208</v>
      </c>
      <c r="C675" s="16">
        <v>10475</v>
      </c>
      <c r="D675" s="16">
        <v>1.35</v>
      </c>
      <c r="E675" s="16" t="s">
        <v>222</v>
      </c>
      <c r="F675" s="18" t="str">
        <f t="shared" si="20"/>
        <v>Flat 04</v>
      </c>
      <c r="G675" s="18">
        <f t="shared" si="21"/>
        <v>1.35</v>
      </c>
    </row>
    <row r="676" spans="2:7" x14ac:dyDescent="0.2">
      <c r="B676" s="16" t="s">
        <v>208</v>
      </c>
      <c r="C676" s="16">
        <v>10509</v>
      </c>
      <c r="D676" s="16">
        <v>2.48</v>
      </c>
      <c r="E676" s="16" t="s">
        <v>222</v>
      </c>
      <c r="F676" s="18" t="str">
        <f t="shared" si="20"/>
        <v>Flat 04</v>
      </c>
      <c r="G676" s="18">
        <f t="shared" si="21"/>
        <v>2.48</v>
      </c>
    </row>
    <row r="677" spans="2:7" x14ac:dyDescent="0.2">
      <c r="B677" s="16" t="s">
        <v>208</v>
      </c>
      <c r="C677" s="16">
        <v>10513</v>
      </c>
      <c r="D677" s="16">
        <v>0.59</v>
      </c>
      <c r="E677" s="16" t="s">
        <v>222</v>
      </c>
      <c r="F677" s="18" t="str">
        <f t="shared" si="20"/>
        <v>Flat 04</v>
      </c>
      <c r="G677" s="18">
        <f t="shared" si="21"/>
        <v>0.59</v>
      </c>
    </row>
    <row r="678" spans="2:7" x14ac:dyDescent="0.2">
      <c r="B678" s="16" t="s">
        <v>209</v>
      </c>
      <c r="C678" s="16">
        <v>11337</v>
      </c>
      <c r="D678" s="16">
        <v>1.98</v>
      </c>
      <c r="E678" s="16" t="s">
        <v>216</v>
      </c>
      <c r="F678" s="18" t="str">
        <f t="shared" si="20"/>
        <v>Flat 07</v>
      </c>
      <c r="G678" s="18">
        <f t="shared" si="21"/>
        <v>1.98</v>
      </c>
    </row>
    <row r="679" spans="2:7" x14ac:dyDescent="0.2">
      <c r="B679" s="16" t="s">
        <v>210</v>
      </c>
      <c r="C679" s="16">
        <v>10350</v>
      </c>
      <c r="D679" s="16">
        <v>2.77</v>
      </c>
      <c r="E679" s="16" t="s">
        <v>215</v>
      </c>
      <c r="F679" s="18" t="str">
        <f t="shared" si="20"/>
        <v>Flat 02</v>
      </c>
      <c r="G679" s="18">
        <f t="shared" si="21"/>
        <v>2.77</v>
      </c>
    </row>
    <row r="680" spans="2:7" x14ac:dyDescent="0.2">
      <c r="B680" s="16" t="s">
        <v>210</v>
      </c>
      <c r="C680" s="16">
        <v>10360</v>
      </c>
      <c r="D680" s="16">
        <v>2.77</v>
      </c>
      <c r="E680" s="16" t="s">
        <v>215</v>
      </c>
      <c r="F680" s="18" t="str">
        <f t="shared" si="20"/>
        <v>Flat 02</v>
      </c>
      <c r="G680" s="18">
        <f t="shared" si="21"/>
        <v>2.77</v>
      </c>
    </row>
    <row r="681" spans="2:7" x14ac:dyDescent="0.2">
      <c r="B681" s="16" t="s">
        <v>210</v>
      </c>
      <c r="C681" s="16">
        <v>10363</v>
      </c>
      <c r="D681" s="16">
        <v>2.77</v>
      </c>
      <c r="E681" s="16" t="s">
        <v>215</v>
      </c>
      <c r="F681" s="18" t="str">
        <f t="shared" si="20"/>
        <v>Flat 02</v>
      </c>
      <c r="G681" s="18">
        <f t="shared" si="21"/>
        <v>2.77</v>
      </c>
    </row>
    <row r="682" spans="2:7" x14ac:dyDescent="0.2">
      <c r="B682" s="16" t="s">
        <v>210</v>
      </c>
      <c r="C682" s="16">
        <v>10424</v>
      </c>
      <c r="D682" s="16">
        <v>2.77</v>
      </c>
      <c r="E682" s="16" t="s">
        <v>218</v>
      </c>
      <c r="F682" s="18" t="str">
        <f t="shared" si="20"/>
        <v>Flat 03</v>
      </c>
      <c r="G682" s="18">
        <f t="shared" si="21"/>
        <v>2.77</v>
      </c>
    </row>
    <row r="683" spans="2:7" x14ac:dyDescent="0.2">
      <c r="B683" s="16" t="s">
        <v>210</v>
      </c>
      <c r="C683" s="16">
        <v>10425</v>
      </c>
      <c r="D683" s="16">
        <v>2.77</v>
      </c>
      <c r="E683" s="16" t="s">
        <v>218</v>
      </c>
      <c r="F683" s="18" t="str">
        <f t="shared" si="20"/>
        <v>Flat 03</v>
      </c>
      <c r="G683" s="18">
        <f t="shared" si="21"/>
        <v>2.77</v>
      </c>
    </row>
    <row r="684" spans="2:7" x14ac:dyDescent="0.2">
      <c r="B684" s="16" t="s">
        <v>210</v>
      </c>
      <c r="C684" s="16">
        <v>10563</v>
      </c>
      <c r="D684" s="16">
        <v>2.77</v>
      </c>
      <c r="E684" s="16" t="s">
        <v>219</v>
      </c>
      <c r="F684" s="18" t="str">
        <f t="shared" si="20"/>
        <v>Flat 06</v>
      </c>
      <c r="G684" s="18">
        <f t="shared" si="21"/>
        <v>2.77</v>
      </c>
    </row>
    <row r="685" spans="2:7" x14ac:dyDescent="0.2">
      <c r="B685" s="16" t="s">
        <v>210</v>
      </c>
      <c r="C685" s="16">
        <v>10564</v>
      </c>
      <c r="D685" s="16">
        <v>2.77</v>
      </c>
      <c r="E685" s="16" t="s">
        <v>219</v>
      </c>
      <c r="F685" s="18" t="str">
        <f t="shared" si="20"/>
        <v>Flat 06</v>
      </c>
      <c r="G685" s="18">
        <f t="shared" si="21"/>
        <v>2.77</v>
      </c>
    </row>
    <row r="686" spans="2:7" x14ac:dyDescent="0.2">
      <c r="B686" s="16" t="s">
        <v>210</v>
      </c>
      <c r="C686" s="16">
        <v>11347</v>
      </c>
      <c r="D686" s="16">
        <v>2.77</v>
      </c>
      <c r="E686" s="16" t="s">
        <v>216</v>
      </c>
      <c r="F686" s="18" t="str">
        <f t="shared" si="20"/>
        <v>Flat 07</v>
      </c>
      <c r="G686" s="18">
        <f t="shared" si="21"/>
        <v>2.77</v>
      </c>
    </row>
    <row r="687" spans="2:7" x14ac:dyDescent="0.2">
      <c r="B687" s="16" t="s">
        <v>210</v>
      </c>
      <c r="C687" s="16">
        <v>11342</v>
      </c>
      <c r="D687" s="16">
        <v>2.77</v>
      </c>
      <c r="E687" s="16" t="s">
        <v>216</v>
      </c>
      <c r="F687" s="18" t="str">
        <f t="shared" si="20"/>
        <v>Flat 07</v>
      </c>
      <c r="G687" s="18">
        <f t="shared" si="21"/>
        <v>2.77</v>
      </c>
    </row>
    <row r="688" spans="2:7" x14ac:dyDescent="0.2">
      <c r="B688" s="16" t="s">
        <v>210</v>
      </c>
      <c r="C688" s="16">
        <v>10736</v>
      </c>
      <c r="D688" s="16">
        <v>2.77</v>
      </c>
      <c r="E688" s="16" t="s">
        <v>220</v>
      </c>
      <c r="F688" s="18" t="str">
        <f t="shared" si="20"/>
        <v>Flat 09</v>
      </c>
      <c r="G688" s="18">
        <f t="shared" si="21"/>
        <v>2.77</v>
      </c>
    </row>
    <row r="689" spans="2:7" x14ac:dyDescent="0.2">
      <c r="B689" s="16" t="s">
        <v>210</v>
      </c>
      <c r="C689" s="16">
        <v>10737</v>
      </c>
      <c r="D689" s="16">
        <v>2.77</v>
      </c>
      <c r="E689" s="16" t="s">
        <v>220</v>
      </c>
      <c r="F689" s="18" t="str">
        <f t="shared" si="20"/>
        <v>Flat 09</v>
      </c>
      <c r="G689" s="18">
        <f t="shared" si="21"/>
        <v>2.77</v>
      </c>
    </row>
    <row r="690" spans="2:7" x14ac:dyDescent="0.2">
      <c r="B690" s="16" t="s">
        <v>210</v>
      </c>
      <c r="C690" s="16">
        <v>11571</v>
      </c>
      <c r="D690" s="16">
        <v>2.77</v>
      </c>
      <c r="E690" s="16" t="s">
        <v>221</v>
      </c>
      <c r="F690" s="18" t="str">
        <f t="shared" si="20"/>
        <v>Flat 05</v>
      </c>
      <c r="G690" s="18">
        <f t="shared" si="21"/>
        <v>2.77</v>
      </c>
    </row>
    <row r="691" spans="2:7" x14ac:dyDescent="0.2">
      <c r="B691" s="16" t="s">
        <v>210</v>
      </c>
      <c r="C691" s="16">
        <v>11569</v>
      </c>
      <c r="D691" s="16">
        <v>2.77</v>
      </c>
      <c r="E691" s="16" t="s">
        <v>221</v>
      </c>
      <c r="F691" s="18" t="str">
        <f t="shared" si="20"/>
        <v>Flat 05</v>
      </c>
      <c r="G691" s="18">
        <f t="shared" si="21"/>
        <v>2.77</v>
      </c>
    </row>
    <row r="692" spans="2:7" x14ac:dyDescent="0.2">
      <c r="B692" s="16" t="s">
        <v>210</v>
      </c>
      <c r="C692" s="16">
        <v>11570</v>
      </c>
      <c r="D692" s="16">
        <v>2.77</v>
      </c>
      <c r="E692" s="16" t="s">
        <v>221</v>
      </c>
      <c r="F692" s="18" t="str">
        <f t="shared" si="20"/>
        <v>Flat 05</v>
      </c>
      <c r="G692" s="18">
        <f t="shared" si="21"/>
        <v>2.77</v>
      </c>
    </row>
    <row r="693" spans="2:7" x14ac:dyDescent="0.2">
      <c r="B693" s="16" t="s">
        <v>210</v>
      </c>
      <c r="C693" s="16">
        <v>11172</v>
      </c>
      <c r="D693" s="16">
        <v>2.77</v>
      </c>
      <c r="E693" s="16" t="s">
        <v>217</v>
      </c>
      <c r="F693" s="18" t="str">
        <f t="shared" si="20"/>
        <v>Flat 08</v>
      </c>
      <c r="G693" s="18">
        <f t="shared" si="21"/>
        <v>2.77</v>
      </c>
    </row>
    <row r="694" spans="2:7" x14ac:dyDescent="0.2">
      <c r="B694" s="16" t="s">
        <v>210</v>
      </c>
      <c r="C694" s="16">
        <v>11173</v>
      </c>
      <c r="D694" s="16">
        <v>2.77</v>
      </c>
      <c r="E694" s="16" t="s">
        <v>217</v>
      </c>
      <c r="F694" s="18" t="str">
        <f t="shared" si="20"/>
        <v>Flat 08</v>
      </c>
      <c r="G694" s="18">
        <f t="shared" si="21"/>
        <v>2.77</v>
      </c>
    </row>
    <row r="695" spans="2:7" x14ac:dyDescent="0.2">
      <c r="B695" s="16" t="s">
        <v>210</v>
      </c>
      <c r="C695" s="16">
        <v>11249</v>
      </c>
      <c r="D695" s="16">
        <v>2.86</v>
      </c>
      <c r="E695" s="16" t="s">
        <v>184</v>
      </c>
      <c r="F695" s="18" t="str">
        <f t="shared" si="20"/>
        <v>Flat 15</v>
      </c>
      <c r="G695" s="18">
        <f t="shared" si="21"/>
        <v>2.86</v>
      </c>
    </row>
    <row r="696" spans="2:7" x14ac:dyDescent="0.2">
      <c r="B696" s="16" t="s">
        <v>210</v>
      </c>
      <c r="C696" s="16">
        <v>11250</v>
      </c>
      <c r="D696" s="16">
        <v>2.86</v>
      </c>
      <c r="E696" s="16" t="s">
        <v>184</v>
      </c>
      <c r="F696" s="18" t="str">
        <f t="shared" si="20"/>
        <v>Flat 15</v>
      </c>
      <c r="G696" s="18">
        <f t="shared" si="21"/>
        <v>2.86</v>
      </c>
    </row>
    <row r="697" spans="2:7" x14ac:dyDescent="0.2">
      <c r="B697" s="16" t="s">
        <v>210</v>
      </c>
      <c r="C697" s="16">
        <v>10793</v>
      </c>
      <c r="D697" s="16">
        <v>2.86</v>
      </c>
      <c r="E697" s="16" t="s">
        <v>185</v>
      </c>
      <c r="F697" s="18" t="str">
        <f t="shared" si="20"/>
        <v>Flat 16</v>
      </c>
      <c r="G697" s="18">
        <f t="shared" si="21"/>
        <v>2.86</v>
      </c>
    </row>
    <row r="698" spans="2:7" x14ac:dyDescent="0.2">
      <c r="B698" s="16" t="s">
        <v>210</v>
      </c>
      <c r="C698" s="16">
        <v>10639</v>
      </c>
      <c r="D698" s="16">
        <v>2.77</v>
      </c>
      <c r="E698" s="16" t="s">
        <v>214</v>
      </c>
      <c r="F698" s="18" t="str">
        <f t="shared" si="20"/>
        <v>Flat 01</v>
      </c>
      <c r="G698" s="18">
        <f t="shared" si="21"/>
        <v>2.77</v>
      </c>
    </row>
    <row r="699" spans="2:7" x14ac:dyDescent="0.2">
      <c r="B699" s="16" t="s">
        <v>210</v>
      </c>
      <c r="C699" s="16">
        <v>10632</v>
      </c>
      <c r="D699" s="16">
        <v>2.77</v>
      </c>
      <c r="E699" s="16" t="s">
        <v>214</v>
      </c>
      <c r="F699" s="18" t="str">
        <f t="shared" si="20"/>
        <v>Flat 01</v>
      </c>
      <c r="G699" s="18">
        <f t="shared" si="21"/>
        <v>2.77</v>
      </c>
    </row>
    <row r="700" spans="2:7" x14ac:dyDescent="0.2">
      <c r="B700" s="16" t="s">
        <v>210</v>
      </c>
      <c r="C700" s="16">
        <v>11009</v>
      </c>
      <c r="D700" s="16">
        <v>2.86</v>
      </c>
      <c r="E700" s="16" t="s">
        <v>186</v>
      </c>
      <c r="F700" s="18" t="str">
        <f t="shared" si="20"/>
        <v>Flat 17</v>
      </c>
      <c r="G700" s="18">
        <f t="shared" si="21"/>
        <v>2.86</v>
      </c>
    </row>
    <row r="701" spans="2:7" x14ac:dyDescent="0.2">
      <c r="B701" s="16" t="s">
        <v>210</v>
      </c>
      <c r="C701" s="16">
        <v>11010</v>
      </c>
      <c r="D701" s="16">
        <v>2.86</v>
      </c>
      <c r="E701" s="16" t="s">
        <v>186</v>
      </c>
      <c r="F701" s="18" t="str">
        <f t="shared" si="20"/>
        <v>Flat 17</v>
      </c>
      <c r="G701" s="18">
        <f t="shared" si="21"/>
        <v>2.86</v>
      </c>
    </row>
    <row r="702" spans="2:7" x14ac:dyDescent="0.2">
      <c r="B702" s="16" t="s">
        <v>210</v>
      </c>
      <c r="C702" s="16">
        <v>11008</v>
      </c>
      <c r="D702" s="16">
        <v>2.86</v>
      </c>
      <c r="E702" s="16" t="s">
        <v>186</v>
      </c>
      <c r="F702" s="18" t="str">
        <f t="shared" si="20"/>
        <v>Flat 17</v>
      </c>
      <c r="G702" s="18">
        <f t="shared" si="21"/>
        <v>2.86</v>
      </c>
    </row>
    <row r="703" spans="2:7" x14ac:dyDescent="0.2">
      <c r="B703" s="16" t="s">
        <v>210</v>
      </c>
      <c r="C703" s="16">
        <v>10868</v>
      </c>
      <c r="D703" s="16">
        <v>2.86</v>
      </c>
      <c r="E703" s="16" t="s">
        <v>187</v>
      </c>
      <c r="F703" s="18" t="str">
        <f t="shared" si="20"/>
        <v>Flat 18</v>
      </c>
      <c r="G703" s="18">
        <f t="shared" si="21"/>
        <v>2.86</v>
      </c>
    </row>
    <row r="704" spans="2:7" x14ac:dyDescent="0.2">
      <c r="B704" s="16" t="s">
        <v>210</v>
      </c>
      <c r="C704" s="16">
        <v>10869</v>
      </c>
      <c r="D704" s="16">
        <v>2.86</v>
      </c>
      <c r="E704" s="16" t="s">
        <v>187</v>
      </c>
      <c r="F704" s="18" t="str">
        <f t="shared" si="20"/>
        <v>Flat 18</v>
      </c>
      <c r="G704" s="18">
        <f t="shared" si="21"/>
        <v>2.86</v>
      </c>
    </row>
    <row r="705" spans="2:7" x14ac:dyDescent="0.2">
      <c r="B705" s="16" t="s">
        <v>210</v>
      </c>
      <c r="C705" s="16">
        <v>10487</v>
      </c>
      <c r="D705" s="16">
        <v>2.77</v>
      </c>
      <c r="E705" s="16" t="s">
        <v>222</v>
      </c>
      <c r="F705" s="18" t="str">
        <f t="shared" si="20"/>
        <v>Flat 04</v>
      </c>
      <c r="G705" s="18">
        <f t="shared" si="21"/>
        <v>2.77</v>
      </c>
    </row>
    <row r="706" spans="2:7" x14ac:dyDescent="0.2">
      <c r="B706" s="16" t="s">
        <v>210</v>
      </c>
      <c r="C706" s="16">
        <v>10930</v>
      </c>
      <c r="D706" s="16">
        <v>2.77</v>
      </c>
      <c r="E706" s="16" t="s">
        <v>188</v>
      </c>
      <c r="F706" s="18" t="str">
        <f t="shared" si="20"/>
        <v>Flat 10</v>
      </c>
      <c r="G706" s="18">
        <f t="shared" si="21"/>
        <v>2.77</v>
      </c>
    </row>
    <row r="707" spans="2:7" x14ac:dyDescent="0.2">
      <c r="B707" s="16" t="s">
        <v>210</v>
      </c>
      <c r="C707" s="16">
        <v>11650</v>
      </c>
      <c r="D707" s="16">
        <v>2.86</v>
      </c>
      <c r="E707" s="16" t="s">
        <v>189</v>
      </c>
      <c r="F707" s="18" t="str">
        <f t="shared" si="20"/>
        <v>Flat 14</v>
      </c>
      <c r="G707" s="18">
        <f t="shared" si="21"/>
        <v>2.86</v>
      </c>
    </row>
    <row r="708" spans="2:7" x14ac:dyDescent="0.2">
      <c r="B708" s="16" t="s">
        <v>210</v>
      </c>
      <c r="C708" s="16">
        <v>11651</v>
      </c>
      <c r="D708" s="16">
        <v>2.86</v>
      </c>
      <c r="E708" s="16" t="s">
        <v>189</v>
      </c>
      <c r="F708" s="18" t="str">
        <f t="shared" si="20"/>
        <v>Flat 14</v>
      </c>
      <c r="G708" s="18">
        <f t="shared" si="21"/>
        <v>2.86</v>
      </c>
    </row>
    <row r="709" spans="2:7" x14ac:dyDescent="0.2">
      <c r="B709" s="16" t="s">
        <v>210</v>
      </c>
      <c r="C709" s="16">
        <v>11079</v>
      </c>
      <c r="D709" s="16">
        <v>2.77</v>
      </c>
      <c r="E709" s="16" t="s">
        <v>190</v>
      </c>
      <c r="F709" s="18" t="str">
        <f t="shared" si="20"/>
        <v>Flat 12</v>
      </c>
      <c r="G709" s="18">
        <f t="shared" si="21"/>
        <v>2.77</v>
      </c>
    </row>
    <row r="710" spans="2:7" x14ac:dyDescent="0.2">
      <c r="B710" s="16" t="s">
        <v>210</v>
      </c>
      <c r="C710" s="16">
        <v>11080</v>
      </c>
      <c r="D710" s="16">
        <v>2.77</v>
      </c>
      <c r="E710" s="16" t="s">
        <v>190</v>
      </c>
      <c r="F710" s="18" t="str">
        <f t="shared" si="20"/>
        <v>Flat 12</v>
      </c>
      <c r="G710" s="18">
        <f t="shared" si="21"/>
        <v>2.77</v>
      </c>
    </row>
    <row r="711" spans="2:7" x14ac:dyDescent="0.2">
      <c r="B711" s="16" t="s">
        <v>210</v>
      </c>
      <c r="C711" s="16">
        <v>11422</v>
      </c>
      <c r="D711" s="16">
        <v>2.77</v>
      </c>
      <c r="E711" s="16" t="s">
        <v>191</v>
      </c>
      <c r="F711" s="18" t="str">
        <f t="shared" ref="F711:F717" si="22">LEFT(E711,7)</f>
        <v>Flat 11</v>
      </c>
      <c r="G711" s="18">
        <f t="shared" ref="G711:G717" si="23">D711</f>
        <v>2.77</v>
      </c>
    </row>
    <row r="712" spans="2:7" x14ac:dyDescent="0.2">
      <c r="B712" s="16" t="s">
        <v>210</v>
      </c>
      <c r="C712" s="16">
        <v>11423</v>
      </c>
      <c r="D712" s="16">
        <v>2.77</v>
      </c>
      <c r="E712" s="16" t="s">
        <v>191</v>
      </c>
      <c r="F712" s="18" t="str">
        <f t="shared" si="22"/>
        <v>Flat 11</v>
      </c>
      <c r="G712" s="18">
        <f t="shared" si="23"/>
        <v>2.77</v>
      </c>
    </row>
    <row r="713" spans="2:7" x14ac:dyDescent="0.2">
      <c r="B713" s="16" t="s">
        <v>210</v>
      </c>
      <c r="C713" s="16">
        <v>11421</v>
      </c>
      <c r="D713" s="16">
        <v>2.77</v>
      </c>
      <c r="E713" s="16" t="s">
        <v>191</v>
      </c>
      <c r="F713" s="18" t="str">
        <f t="shared" si="22"/>
        <v>Flat 11</v>
      </c>
      <c r="G713" s="18">
        <f t="shared" si="23"/>
        <v>2.77</v>
      </c>
    </row>
    <row r="714" spans="2:7" x14ac:dyDescent="0.2">
      <c r="B714" s="16" t="s">
        <v>210</v>
      </c>
      <c r="C714" s="16">
        <v>11504</v>
      </c>
      <c r="D714" s="16">
        <v>2.86</v>
      </c>
      <c r="E714" s="16" t="s">
        <v>192</v>
      </c>
      <c r="F714" s="18" t="str">
        <f t="shared" si="22"/>
        <v>Flat 13</v>
      </c>
      <c r="G714" s="18">
        <f t="shared" si="23"/>
        <v>2.86</v>
      </c>
    </row>
    <row r="715" spans="2:7" x14ac:dyDescent="0.2">
      <c r="B715" s="16" t="s">
        <v>210</v>
      </c>
      <c r="C715" s="16">
        <v>11503</v>
      </c>
      <c r="D715" s="16">
        <v>2.86</v>
      </c>
      <c r="E715" s="16" t="s">
        <v>192</v>
      </c>
      <c r="F715" s="18" t="str">
        <f t="shared" si="22"/>
        <v>Flat 13</v>
      </c>
      <c r="G715" s="18">
        <f t="shared" si="23"/>
        <v>2.86</v>
      </c>
    </row>
    <row r="716" spans="2:7" x14ac:dyDescent="0.2">
      <c r="B716" s="16" t="s">
        <v>211</v>
      </c>
      <c r="C716" s="16">
        <v>10672</v>
      </c>
      <c r="D716" s="16">
        <v>2.77</v>
      </c>
      <c r="E716" s="16" t="s">
        <v>214</v>
      </c>
      <c r="F716" s="18" t="str">
        <f t="shared" si="22"/>
        <v>Flat 01</v>
      </c>
      <c r="G716" s="18">
        <f t="shared" si="23"/>
        <v>2.77</v>
      </c>
    </row>
    <row r="717" spans="2:7" x14ac:dyDescent="0.2">
      <c r="B717" s="16" t="s">
        <v>212</v>
      </c>
      <c r="C717" s="16">
        <v>11369</v>
      </c>
      <c r="D717" s="16">
        <v>2.31</v>
      </c>
      <c r="E717" s="16" t="s">
        <v>216</v>
      </c>
      <c r="F717" s="18" t="str">
        <f t="shared" si="22"/>
        <v>Flat 07</v>
      </c>
      <c r="G717" s="18">
        <f t="shared" si="23"/>
        <v>2.31</v>
      </c>
    </row>
    <row r="718" spans="2:7" x14ac:dyDescent="0.2">
      <c r="B718" s="16"/>
      <c r="C718" s="16"/>
      <c r="D718" s="16"/>
      <c r="E718" s="16"/>
      <c r="F718" s="18"/>
      <c r="G718" s="18"/>
    </row>
    <row r="719" spans="2:7" x14ac:dyDescent="0.2">
      <c r="B719" s="16"/>
      <c r="C719" s="16"/>
      <c r="D719" s="16"/>
      <c r="E719" s="16"/>
      <c r="F719" s="18"/>
      <c r="G719" s="18"/>
    </row>
    <row r="720" spans="2:7" x14ac:dyDescent="0.2">
      <c r="B720" s="16"/>
      <c r="C720" s="16"/>
      <c r="D720" s="16"/>
      <c r="E720" s="16"/>
      <c r="F720" s="18"/>
      <c r="G720" s="18"/>
    </row>
    <row r="721" spans="2:7" x14ac:dyDescent="0.2">
      <c r="B721" s="16"/>
      <c r="C721" s="16"/>
      <c r="D721" s="16"/>
      <c r="E721" s="16"/>
      <c r="F721" s="18"/>
      <c r="G721" s="18"/>
    </row>
    <row r="722" spans="2:7" x14ac:dyDescent="0.2">
      <c r="B722" s="16"/>
      <c r="C722" s="16"/>
      <c r="D722" s="16"/>
      <c r="E722" s="16"/>
      <c r="F722" s="18"/>
      <c r="G722" s="18"/>
    </row>
    <row r="723" spans="2:7" x14ac:dyDescent="0.2">
      <c r="B723" s="16"/>
      <c r="C723" s="16"/>
      <c r="D723" s="16"/>
      <c r="E723" s="16"/>
      <c r="F723" s="18"/>
      <c r="G723" s="18"/>
    </row>
    <row r="724" spans="2:7" x14ac:dyDescent="0.2">
      <c r="B724" s="16"/>
      <c r="C724" s="16"/>
      <c r="D724" s="16"/>
      <c r="E724" s="16"/>
      <c r="F724" s="18"/>
      <c r="G724" s="18"/>
    </row>
    <row r="725" spans="2:7" x14ac:dyDescent="0.2">
      <c r="B725" s="16"/>
      <c r="C725" s="16"/>
      <c r="D725" s="16"/>
      <c r="E725" s="16"/>
      <c r="F725" s="18"/>
      <c r="G725" s="18"/>
    </row>
    <row r="726" spans="2:7" x14ac:dyDescent="0.2">
      <c r="B726" s="16"/>
      <c r="C726" s="16"/>
      <c r="D726" s="16"/>
      <c r="E726" s="16"/>
      <c r="F726" s="18"/>
      <c r="G726" s="18"/>
    </row>
    <row r="727" spans="2:7" x14ac:dyDescent="0.2">
      <c r="B727" s="16"/>
      <c r="C727" s="16"/>
      <c r="D727" s="16"/>
      <c r="E727" s="16"/>
      <c r="F727" s="18"/>
      <c r="G727" s="18"/>
    </row>
    <row r="728" spans="2:7" x14ac:dyDescent="0.2">
      <c r="B728" s="16"/>
      <c r="C728" s="16"/>
      <c r="D728" s="16"/>
      <c r="E728" s="16"/>
      <c r="F728" s="18"/>
      <c r="G728" s="18"/>
    </row>
    <row r="729" spans="2:7" x14ac:dyDescent="0.2">
      <c r="B729" s="16"/>
      <c r="C729" s="16"/>
      <c r="D729" s="16"/>
      <c r="E729" s="16"/>
      <c r="F729" s="18"/>
      <c r="G729" s="18"/>
    </row>
    <row r="730" spans="2:7" x14ac:dyDescent="0.2">
      <c r="B730" s="16"/>
      <c r="C730" s="16"/>
      <c r="D730" s="16"/>
      <c r="E730" s="16"/>
      <c r="F730" s="18"/>
      <c r="G730" s="18"/>
    </row>
    <row r="731" spans="2:7" x14ac:dyDescent="0.2">
      <c r="B731" s="16"/>
      <c r="C731" s="16"/>
      <c r="D731" s="16"/>
      <c r="E731" s="16"/>
      <c r="F731" s="18"/>
      <c r="G731" s="18"/>
    </row>
    <row r="732" spans="2:7" x14ac:dyDescent="0.2">
      <c r="B732" s="16"/>
      <c r="C732" s="16"/>
      <c r="D732" s="16"/>
      <c r="E732" s="16"/>
      <c r="F732" s="18"/>
      <c r="G732" s="18"/>
    </row>
    <row r="733" spans="2:7" x14ac:dyDescent="0.2">
      <c r="B733" s="16"/>
      <c r="C733" s="16"/>
      <c r="D733" s="16"/>
      <c r="E733" s="16"/>
      <c r="F733" s="18"/>
      <c r="G733" s="18"/>
    </row>
    <row r="734" spans="2:7" x14ac:dyDescent="0.2">
      <c r="B734" s="16"/>
      <c r="C734" s="16"/>
      <c r="D734" s="16"/>
      <c r="E734" s="16"/>
      <c r="F734" s="18"/>
      <c r="G734" s="18"/>
    </row>
    <row r="735" spans="2:7" x14ac:dyDescent="0.2">
      <c r="B735" s="16"/>
      <c r="C735" s="16"/>
      <c r="D735" s="16"/>
      <c r="E735" s="16"/>
      <c r="F735" s="18"/>
      <c r="G735" s="18"/>
    </row>
    <row r="736" spans="2:7" x14ac:dyDescent="0.2">
      <c r="B736" s="16"/>
      <c r="C736" s="16"/>
      <c r="D736" s="16"/>
      <c r="E736" s="16"/>
      <c r="F736" s="18"/>
      <c r="G736" s="18"/>
    </row>
    <row r="737" spans="2:7" x14ac:dyDescent="0.2">
      <c r="B737" s="16"/>
      <c r="C737" s="16"/>
      <c r="D737" s="16"/>
      <c r="E737" s="16"/>
      <c r="F737" s="18"/>
      <c r="G737" s="18"/>
    </row>
    <row r="738" spans="2:7" x14ac:dyDescent="0.2">
      <c r="B738" s="16"/>
      <c r="C738" s="16"/>
      <c r="D738" s="16"/>
      <c r="E738" s="16"/>
      <c r="F738" s="18"/>
      <c r="G738" s="18"/>
    </row>
    <row r="739" spans="2:7" x14ac:dyDescent="0.2">
      <c r="B739" s="16"/>
      <c r="C739" s="16"/>
      <c r="D739" s="16"/>
      <c r="E739" s="16"/>
      <c r="F739" s="18"/>
      <c r="G739" s="18"/>
    </row>
    <row r="740" spans="2:7" x14ac:dyDescent="0.2">
      <c r="B740" s="16"/>
      <c r="C740" s="16"/>
      <c r="D740" s="16"/>
      <c r="E740" s="16"/>
      <c r="F740" s="18"/>
      <c r="G740" s="18"/>
    </row>
    <row r="741" spans="2:7" x14ac:dyDescent="0.2">
      <c r="B741" s="16"/>
      <c r="C741" s="16"/>
      <c r="D741" s="16"/>
      <c r="E741" s="16"/>
      <c r="F741" s="18"/>
      <c r="G741" s="18"/>
    </row>
    <row r="742" spans="2:7" x14ac:dyDescent="0.2">
      <c r="B742" s="16"/>
      <c r="C742" s="16"/>
      <c r="D742" s="16"/>
      <c r="E742" s="16"/>
      <c r="F742" s="18"/>
      <c r="G742" s="18"/>
    </row>
    <row r="743" spans="2:7" x14ac:dyDescent="0.2">
      <c r="B743" s="16"/>
      <c r="C743" s="16"/>
      <c r="D743" s="16"/>
      <c r="E743" s="16"/>
      <c r="F743" s="18"/>
      <c r="G743" s="18"/>
    </row>
    <row r="744" spans="2:7" x14ac:dyDescent="0.2">
      <c r="B744" s="16"/>
      <c r="C744" s="16"/>
      <c r="D744" s="16"/>
      <c r="E744" s="16"/>
      <c r="F744" s="18"/>
      <c r="G744" s="18"/>
    </row>
    <row r="745" spans="2:7" x14ac:dyDescent="0.2">
      <c r="B745" s="16"/>
      <c r="C745" s="16"/>
      <c r="D745" s="16"/>
      <c r="E745" s="16"/>
      <c r="F745" s="18"/>
      <c r="G745" s="18"/>
    </row>
    <row r="746" spans="2:7" x14ac:dyDescent="0.2">
      <c r="B746" s="16"/>
      <c r="C746" s="16"/>
      <c r="D746" s="16"/>
      <c r="E746" s="16"/>
      <c r="F746" s="18"/>
      <c r="G746" s="18"/>
    </row>
    <row r="747" spans="2:7" x14ac:dyDescent="0.2">
      <c r="B747" s="16"/>
      <c r="C747" s="16"/>
      <c r="D747" s="16"/>
      <c r="E747" s="16"/>
      <c r="F747" s="18"/>
      <c r="G747" s="18"/>
    </row>
    <row r="748" spans="2:7" x14ac:dyDescent="0.2">
      <c r="B748" s="16"/>
      <c r="C748" s="16"/>
      <c r="D748" s="16"/>
      <c r="E748" s="16"/>
      <c r="F748" s="18"/>
      <c r="G748" s="18"/>
    </row>
    <row r="749" spans="2:7" x14ac:dyDescent="0.2">
      <c r="B749" s="16"/>
      <c r="C749" s="16"/>
      <c r="D749" s="16"/>
      <c r="E749" s="16"/>
      <c r="F749" s="18"/>
      <c r="G749" s="18"/>
    </row>
    <row r="750" spans="2:7" x14ac:dyDescent="0.2">
      <c r="B750" s="16"/>
      <c r="C750" s="16"/>
      <c r="D750" s="16"/>
      <c r="E750" s="16"/>
      <c r="F750" s="18"/>
      <c r="G750" s="18"/>
    </row>
    <row r="751" spans="2:7" x14ac:dyDescent="0.2">
      <c r="B751" s="16"/>
      <c r="C751" s="16"/>
      <c r="D751" s="16"/>
      <c r="E751" s="16"/>
      <c r="F751" s="18"/>
      <c r="G751" s="18"/>
    </row>
    <row r="752" spans="2:7" x14ac:dyDescent="0.2">
      <c r="B752" s="16"/>
      <c r="C752" s="16"/>
      <c r="D752" s="16"/>
      <c r="E752" s="16"/>
      <c r="F752" s="18"/>
      <c r="G752" s="18"/>
    </row>
    <row r="753" spans="2:7" x14ac:dyDescent="0.2">
      <c r="B753" s="16"/>
      <c r="C753" s="16"/>
      <c r="D753" s="16"/>
      <c r="E753" s="16"/>
      <c r="F753" s="18"/>
      <c r="G753" s="18"/>
    </row>
    <row r="754" spans="2:7" x14ac:dyDescent="0.2">
      <c r="B754" s="16"/>
      <c r="C754" s="16"/>
      <c r="D754" s="16"/>
      <c r="E754" s="16"/>
      <c r="F754" s="18"/>
      <c r="G754" s="18"/>
    </row>
    <row r="755" spans="2:7" x14ac:dyDescent="0.2">
      <c r="B755" s="16"/>
      <c r="C755" s="16"/>
      <c r="D755" s="16"/>
      <c r="E755" s="16"/>
      <c r="F755" s="18"/>
      <c r="G755" s="18"/>
    </row>
    <row r="756" spans="2:7" x14ac:dyDescent="0.2">
      <c r="B756" s="16"/>
      <c r="C756" s="16"/>
      <c r="D756" s="16"/>
      <c r="E756" s="16"/>
      <c r="F756" s="18"/>
      <c r="G756" s="18"/>
    </row>
    <row r="757" spans="2:7" x14ac:dyDescent="0.2">
      <c r="B757" s="16"/>
      <c r="C757" s="16"/>
      <c r="D757" s="16"/>
      <c r="E757" s="16"/>
      <c r="F757" s="18"/>
      <c r="G757" s="18"/>
    </row>
    <row r="758" spans="2:7" x14ac:dyDescent="0.2">
      <c r="B758" s="16"/>
      <c r="C758" s="16"/>
      <c r="D758" s="16"/>
      <c r="E758" s="16"/>
      <c r="F758" s="18"/>
      <c r="G758" s="18"/>
    </row>
    <row r="759" spans="2:7" x14ac:dyDescent="0.2">
      <c r="B759" s="16"/>
      <c r="C759" s="16"/>
      <c r="D759" s="16"/>
      <c r="E759" s="16"/>
      <c r="F759" s="18"/>
      <c r="G759" s="18"/>
    </row>
    <row r="760" spans="2:7" x14ac:dyDescent="0.2">
      <c r="B760" s="16"/>
      <c r="C760" s="16"/>
      <c r="D760" s="16"/>
      <c r="E760" s="16"/>
      <c r="F760" s="18"/>
      <c r="G760" s="18"/>
    </row>
    <row r="761" spans="2:7" x14ac:dyDescent="0.2">
      <c r="B761" s="16"/>
      <c r="C761" s="16"/>
      <c r="D761" s="16"/>
      <c r="E761" s="16"/>
      <c r="F761" s="18"/>
      <c r="G761" s="18"/>
    </row>
    <row r="762" spans="2:7" x14ac:dyDescent="0.2">
      <c r="B762" s="16"/>
      <c r="C762" s="16"/>
      <c r="D762" s="16"/>
      <c r="E762" s="16"/>
      <c r="F762" s="18"/>
      <c r="G762" s="18"/>
    </row>
    <row r="763" spans="2:7" x14ac:dyDescent="0.2">
      <c r="B763" s="16"/>
      <c r="C763" s="16"/>
      <c r="D763" s="16"/>
      <c r="E763" s="16"/>
      <c r="F763" s="18"/>
      <c r="G763" s="18"/>
    </row>
    <row r="764" spans="2:7" x14ac:dyDescent="0.2">
      <c r="B764" s="16"/>
      <c r="C764" s="16"/>
      <c r="D764" s="16"/>
      <c r="E764" s="16"/>
      <c r="F764" s="18"/>
      <c r="G764" s="18"/>
    </row>
  </sheetData>
  <autoFilter ref="B5:G764" xr:uid="{AF7BB040-BFF5-446D-8A24-992A00CF81FC}">
    <sortState xmlns:xlrd2="http://schemas.microsoft.com/office/spreadsheetml/2017/richdata2" ref="B6:G764">
      <sortCondition ref="G5:G764"/>
    </sortState>
  </autoFilter>
  <sortState xmlns:xlrd2="http://schemas.microsoft.com/office/spreadsheetml/2017/richdata2" ref="I9:I48">
    <sortCondition ref="I9:I48"/>
  </sortState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42748-D4F3-4029-8D52-34F2FD0D677D}">
  <dimension ref="B2:S47"/>
  <sheetViews>
    <sheetView showGridLines="0" workbookViewId="0">
      <selection activeCell="Q19" sqref="Q19"/>
    </sheetView>
  </sheetViews>
  <sheetFormatPr defaultRowHeight="13.8" x14ac:dyDescent="0.25"/>
  <cols>
    <col min="2" max="2" width="4.19921875" customWidth="1"/>
    <col min="3" max="3" width="3.796875" customWidth="1"/>
    <col min="4" max="4" width="63.09765625" customWidth="1"/>
    <col min="5" max="5" width="2.19921875" customWidth="1"/>
    <col min="6" max="6" width="6" customWidth="1"/>
    <col min="7" max="7" width="7.69921875" customWidth="1"/>
    <col min="8" max="10" width="3.8984375" bestFit="1" customWidth="1"/>
    <col min="11" max="11" width="2.8984375" customWidth="1"/>
    <col min="12" max="12" width="6.796875" customWidth="1"/>
    <col min="13" max="13" width="6.69921875" customWidth="1"/>
    <col min="14" max="14" width="6.5" customWidth="1"/>
    <col min="15" max="15" width="2.296875" customWidth="1"/>
    <col min="16" max="16" width="25.3984375" bestFit="1" customWidth="1"/>
    <col min="18" max="18" width="13.296875" customWidth="1"/>
  </cols>
  <sheetData>
    <row r="2" spans="2:19" x14ac:dyDescent="0.25">
      <c r="B2" s="23"/>
      <c r="F2" t="s">
        <v>169</v>
      </c>
      <c r="L2" t="s">
        <v>170</v>
      </c>
      <c r="M2" s="23"/>
      <c r="N2" s="23"/>
      <c r="P2" t="s">
        <v>171</v>
      </c>
    </row>
    <row r="3" spans="2:19" s="7" customFormat="1" ht="57.6" customHeight="1" x14ac:dyDescent="0.2">
      <c r="B3" s="11" t="s">
        <v>31</v>
      </c>
      <c r="C3" s="11" t="s">
        <v>157</v>
      </c>
      <c r="D3" s="93" t="s">
        <v>160</v>
      </c>
      <c r="F3" s="93" t="s">
        <v>162</v>
      </c>
      <c r="G3" s="94" t="s">
        <v>161</v>
      </c>
      <c r="H3" s="18" t="s">
        <v>158</v>
      </c>
      <c r="I3" s="18" t="s">
        <v>159</v>
      </c>
      <c r="J3" s="18" t="s">
        <v>103</v>
      </c>
      <c r="L3" s="11" t="s">
        <v>165</v>
      </c>
      <c r="M3" s="11" t="s">
        <v>166</v>
      </c>
      <c r="N3" s="11" t="s">
        <v>167</v>
      </c>
      <c r="P3" s="38" t="s">
        <v>51</v>
      </c>
    </row>
    <row r="4" spans="2:19" x14ac:dyDescent="0.25">
      <c r="B4" s="37">
        <v>1</v>
      </c>
      <c r="C4" s="38" t="str">
        <f t="shared" ref="C4:C47" si="0">LEFT(D4,3)</f>
        <v>E01</v>
      </c>
      <c r="D4" s="39" t="s">
        <v>104</v>
      </c>
      <c r="E4" s="7"/>
      <c r="F4" s="40"/>
      <c r="G4" s="37" t="s">
        <v>105</v>
      </c>
      <c r="H4" s="37">
        <v>255</v>
      </c>
      <c r="I4" s="37">
        <v>87</v>
      </c>
      <c r="J4" s="37">
        <v>51</v>
      </c>
      <c r="K4" s="7"/>
      <c r="L4" s="41">
        <v>1</v>
      </c>
      <c r="M4" s="37">
        <v>0.5</v>
      </c>
      <c r="N4" s="37">
        <v>0.05</v>
      </c>
      <c r="O4" s="7"/>
      <c r="P4" s="19" t="s">
        <v>62</v>
      </c>
      <c r="R4" s="29" t="s">
        <v>175</v>
      </c>
      <c r="S4" t="s">
        <v>223</v>
      </c>
    </row>
    <row r="5" spans="2:19" x14ac:dyDescent="0.25">
      <c r="B5" s="37">
        <v>2</v>
      </c>
      <c r="C5" s="38" t="str">
        <f t="shared" si="0"/>
        <v>E02</v>
      </c>
      <c r="D5" s="39" t="s">
        <v>7</v>
      </c>
      <c r="E5" s="7"/>
      <c r="F5" s="40"/>
      <c r="G5" s="37" t="s">
        <v>105</v>
      </c>
      <c r="H5" s="37">
        <v>255</v>
      </c>
      <c r="I5" s="37">
        <v>87</v>
      </c>
      <c r="J5" s="37">
        <v>51</v>
      </c>
      <c r="K5" s="7"/>
      <c r="L5" s="41">
        <v>1</v>
      </c>
      <c r="M5" s="37">
        <v>0.3</v>
      </c>
      <c r="N5" s="37">
        <v>0.05</v>
      </c>
      <c r="O5" s="7"/>
      <c r="P5" s="19" t="s">
        <v>52</v>
      </c>
      <c r="R5" s="8" t="s">
        <v>172</v>
      </c>
      <c r="S5" s="3" t="s">
        <v>95</v>
      </c>
    </row>
    <row r="6" spans="2:19" x14ac:dyDescent="0.25">
      <c r="B6" s="37">
        <v>3</v>
      </c>
      <c r="C6" s="38" t="str">
        <f t="shared" si="0"/>
        <v>E03</v>
      </c>
      <c r="D6" s="39" t="s">
        <v>10</v>
      </c>
      <c r="E6" s="7"/>
      <c r="F6" s="40"/>
      <c r="G6" s="37" t="s">
        <v>105</v>
      </c>
      <c r="H6" s="37">
        <v>255</v>
      </c>
      <c r="I6" s="37">
        <v>87</v>
      </c>
      <c r="J6" s="37">
        <v>51</v>
      </c>
      <c r="K6" s="7"/>
      <c r="L6" s="41">
        <v>0.1</v>
      </c>
      <c r="M6" s="37">
        <v>0.04</v>
      </c>
      <c r="N6" s="37">
        <v>0.05</v>
      </c>
      <c r="O6" s="7"/>
      <c r="P6" s="19" t="s">
        <v>53</v>
      </c>
      <c r="R6" s="6" t="s">
        <v>173</v>
      </c>
      <c r="S6" s="3" t="s">
        <v>96</v>
      </c>
    </row>
    <row r="7" spans="2:19" x14ac:dyDescent="0.25">
      <c r="B7" s="37">
        <v>4</v>
      </c>
      <c r="C7" s="38" t="str">
        <f t="shared" si="0"/>
        <v>E04</v>
      </c>
      <c r="D7" s="39" t="s">
        <v>0</v>
      </c>
      <c r="E7" s="7"/>
      <c r="F7" s="42"/>
      <c r="G7" s="37" t="s">
        <v>106</v>
      </c>
      <c r="H7" s="37">
        <v>255</v>
      </c>
      <c r="I7" s="37">
        <v>234</v>
      </c>
      <c r="J7" s="37">
        <v>0</v>
      </c>
      <c r="K7" s="7"/>
      <c r="L7" s="41">
        <v>0.1</v>
      </c>
      <c r="M7" s="37">
        <v>0.05</v>
      </c>
      <c r="N7" s="37">
        <v>0.05</v>
      </c>
      <c r="O7" s="7"/>
      <c r="P7" s="19" t="s">
        <v>54</v>
      </c>
      <c r="R7" s="5" t="s">
        <v>48</v>
      </c>
      <c r="S7" s="3" t="s">
        <v>97</v>
      </c>
    </row>
    <row r="8" spans="2:19" x14ac:dyDescent="0.25">
      <c r="B8" s="37">
        <v>5</v>
      </c>
      <c r="C8" s="38" t="str">
        <f t="shared" si="0"/>
        <v>E05</v>
      </c>
      <c r="D8" s="39" t="s">
        <v>2</v>
      </c>
      <c r="E8" s="7"/>
      <c r="F8" s="43"/>
      <c r="G8" s="37" t="s">
        <v>107</v>
      </c>
      <c r="H8" s="37">
        <v>255</v>
      </c>
      <c r="I8" s="37">
        <v>189</v>
      </c>
      <c r="J8" s="37">
        <v>51</v>
      </c>
      <c r="K8" s="7"/>
      <c r="L8" s="41">
        <v>0.32</v>
      </c>
      <c r="M8" s="37">
        <v>0.16</v>
      </c>
      <c r="N8" s="37">
        <v>0.16</v>
      </c>
      <c r="O8" s="7"/>
      <c r="P8" s="19" t="s">
        <v>55</v>
      </c>
      <c r="R8" s="4" t="s">
        <v>174</v>
      </c>
      <c r="S8" s="3" t="s">
        <v>98</v>
      </c>
    </row>
    <row r="9" spans="2:19" x14ac:dyDescent="0.25">
      <c r="B9" s="37">
        <v>6</v>
      </c>
      <c r="C9" s="38" t="str">
        <f t="shared" si="0"/>
        <v>E06</v>
      </c>
      <c r="D9" s="39" t="s">
        <v>11</v>
      </c>
      <c r="E9" s="7"/>
      <c r="F9" s="44"/>
      <c r="G9" s="37" t="s">
        <v>108</v>
      </c>
      <c r="H9" s="37">
        <v>255</v>
      </c>
      <c r="I9" s="37">
        <v>51</v>
      </c>
      <c r="J9" s="37">
        <v>102</v>
      </c>
      <c r="K9" s="7"/>
      <c r="L9" s="41">
        <v>0.14000000000000001</v>
      </c>
      <c r="M9" s="37">
        <v>7.0000000000000007E-2</v>
      </c>
      <c r="N9" s="37">
        <v>0</v>
      </c>
      <c r="O9" s="7"/>
      <c r="P9" s="19" t="s">
        <v>56</v>
      </c>
    </row>
    <row r="10" spans="2:19" x14ac:dyDescent="0.25">
      <c r="B10" s="37">
        <v>7</v>
      </c>
      <c r="C10" s="38" t="str">
        <f t="shared" si="0"/>
        <v>E07</v>
      </c>
      <c r="D10" s="39" t="s">
        <v>3</v>
      </c>
      <c r="E10" s="7"/>
      <c r="F10" s="45"/>
      <c r="G10" s="37" t="s">
        <v>109</v>
      </c>
      <c r="H10" s="37">
        <v>0</v>
      </c>
      <c r="I10" s="37">
        <v>0</v>
      </c>
      <c r="J10" s="37">
        <v>255</v>
      </c>
      <c r="K10" s="7"/>
      <c r="L10" s="46">
        <f>2*0.14</f>
        <v>0.28000000000000003</v>
      </c>
      <c r="M10" s="47">
        <f>2*0.07</f>
        <v>0.14000000000000001</v>
      </c>
      <c r="N10" s="37">
        <v>7.0000000000000007E-2</v>
      </c>
      <c r="O10" s="7"/>
      <c r="P10" s="19" t="s">
        <v>57</v>
      </c>
    </row>
    <row r="11" spans="2:19" x14ac:dyDescent="0.25">
      <c r="B11" s="37">
        <v>8</v>
      </c>
      <c r="C11" s="38" t="str">
        <f t="shared" si="0"/>
        <v>E08</v>
      </c>
      <c r="D11" s="39" t="s">
        <v>110</v>
      </c>
      <c r="E11" s="7"/>
      <c r="F11" s="48"/>
      <c r="G11" s="37" t="s">
        <v>111</v>
      </c>
      <c r="H11" s="37">
        <v>255</v>
      </c>
      <c r="I11" s="37">
        <v>133</v>
      </c>
      <c r="J11" s="37">
        <v>51</v>
      </c>
      <c r="K11" s="7"/>
      <c r="L11" s="41">
        <v>0.1</v>
      </c>
      <c r="M11" s="37">
        <v>0</v>
      </c>
      <c r="N11" s="37">
        <v>0</v>
      </c>
      <c r="O11" s="7"/>
      <c r="P11" s="19" t="s">
        <v>58</v>
      </c>
    </row>
    <row r="12" spans="2:19" x14ac:dyDescent="0.25">
      <c r="B12" s="37">
        <v>9</v>
      </c>
      <c r="C12" s="38" t="str">
        <f t="shared" si="0"/>
        <v>E09</v>
      </c>
      <c r="D12" s="39" t="s">
        <v>112</v>
      </c>
      <c r="E12" s="7"/>
      <c r="F12" s="49"/>
      <c r="G12" s="37" t="s">
        <v>113</v>
      </c>
      <c r="H12" s="37">
        <v>255</v>
      </c>
      <c r="I12" s="37">
        <v>90</v>
      </c>
      <c r="J12" s="37">
        <v>54</v>
      </c>
      <c r="K12" s="7"/>
      <c r="L12" s="46">
        <v>0.15</v>
      </c>
      <c r="M12" s="47">
        <f>2*0.02</f>
        <v>0.04</v>
      </c>
      <c r="N12" s="37">
        <v>0.02</v>
      </c>
      <c r="O12" s="7"/>
      <c r="P12" s="19" t="s">
        <v>59</v>
      </c>
    </row>
    <row r="13" spans="2:19" x14ac:dyDescent="0.25">
      <c r="B13" s="37">
        <v>10</v>
      </c>
      <c r="C13" s="38" t="str">
        <f t="shared" si="0"/>
        <v>E10</v>
      </c>
      <c r="D13" s="39" t="s">
        <v>114</v>
      </c>
      <c r="E13" s="7"/>
      <c r="F13" s="50"/>
      <c r="G13" s="37" t="s">
        <v>115</v>
      </c>
      <c r="H13" s="37">
        <v>229</v>
      </c>
      <c r="I13" s="37">
        <v>83</v>
      </c>
      <c r="J13" s="37">
        <v>129</v>
      </c>
      <c r="K13" s="7"/>
      <c r="L13" s="41">
        <v>0.12</v>
      </c>
      <c r="M13" s="37">
        <v>0.06</v>
      </c>
      <c r="N13" s="37">
        <v>0.06</v>
      </c>
      <c r="O13" s="7"/>
      <c r="P13" s="19" t="s">
        <v>60</v>
      </c>
    </row>
    <row r="14" spans="2:19" x14ac:dyDescent="0.25">
      <c r="B14" s="37">
        <v>11</v>
      </c>
      <c r="C14" s="38" t="str">
        <f t="shared" si="0"/>
        <v>E11</v>
      </c>
      <c r="D14" s="39" t="s">
        <v>12</v>
      </c>
      <c r="E14" s="7"/>
      <c r="F14" s="51"/>
      <c r="G14" s="37" t="s">
        <v>116</v>
      </c>
      <c r="H14" s="37">
        <v>255</v>
      </c>
      <c r="I14" s="37">
        <v>62</v>
      </c>
      <c r="J14" s="37">
        <v>150</v>
      </c>
      <c r="K14" s="7"/>
      <c r="L14" s="41">
        <v>0.15</v>
      </c>
      <c r="M14" s="37">
        <v>0.04</v>
      </c>
      <c r="N14" s="37">
        <v>0.04</v>
      </c>
      <c r="O14" s="7"/>
      <c r="P14" s="19" t="s">
        <v>71</v>
      </c>
    </row>
    <row r="15" spans="2:19" x14ac:dyDescent="0.25">
      <c r="B15" s="37">
        <v>12</v>
      </c>
      <c r="C15" s="38" t="str">
        <f t="shared" si="0"/>
        <v>E12</v>
      </c>
      <c r="D15" s="39" t="s">
        <v>13</v>
      </c>
      <c r="E15" s="7"/>
      <c r="F15" s="52"/>
      <c r="G15" s="37" t="s">
        <v>117</v>
      </c>
      <c r="H15" s="37">
        <v>165</v>
      </c>
      <c r="I15" s="37">
        <v>94</v>
      </c>
      <c r="J15" s="37">
        <v>191</v>
      </c>
      <c r="K15" s="7"/>
      <c r="L15" s="41">
        <v>0.25</v>
      </c>
      <c r="M15" s="37">
        <v>0.24</v>
      </c>
      <c r="N15" s="37">
        <v>0.06</v>
      </c>
      <c r="O15" s="7"/>
      <c r="P15" s="19" t="s">
        <v>70</v>
      </c>
    </row>
    <row r="16" spans="2:19" x14ac:dyDescent="0.25">
      <c r="B16" s="37">
        <v>13</v>
      </c>
      <c r="C16" s="38" t="str">
        <f t="shared" si="0"/>
        <v>E13</v>
      </c>
      <c r="D16" s="39" t="s">
        <v>14</v>
      </c>
      <c r="E16" s="7"/>
      <c r="F16" s="53"/>
      <c r="G16" s="37" t="s">
        <v>118</v>
      </c>
      <c r="H16" s="37">
        <v>92</v>
      </c>
      <c r="I16" s="37">
        <v>92</v>
      </c>
      <c r="J16" s="37">
        <v>170</v>
      </c>
      <c r="K16" s="7"/>
      <c r="L16" s="41">
        <v>0.25</v>
      </c>
      <c r="M16" s="37">
        <v>0.04</v>
      </c>
      <c r="N16" s="37">
        <v>0.08</v>
      </c>
      <c r="O16" s="7"/>
      <c r="P16" s="19" t="s">
        <v>102</v>
      </c>
    </row>
    <row r="17" spans="2:16" x14ac:dyDescent="0.25">
      <c r="B17" s="37">
        <v>14</v>
      </c>
      <c r="C17" s="38" t="str">
        <f t="shared" si="0"/>
        <v>E14</v>
      </c>
      <c r="D17" s="39" t="s">
        <v>15</v>
      </c>
      <c r="E17" s="7"/>
      <c r="F17" s="54"/>
      <c r="G17" s="37" t="s">
        <v>119</v>
      </c>
      <c r="H17" s="37">
        <v>58</v>
      </c>
      <c r="I17" s="37">
        <v>95</v>
      </c>
      <c r="J17" s="37">
        <v>205</v>
      </c>
      <c r="K17" s="7"/>
      <c r="L17" s="41">
        <v>0.16</v>
      </c>
      <c r="M17" s="37" t="s">
        <v>32</v>
      </c>
      <c r="N17" s="37">
        <v>0.08</v>
      </c>
      <c r="O17" s="7"/>
      <c r="P17" s="19" t="s">
        <v>69</v>
      </c>
    </row>
    <row r="18" spans="2:16" x14ac:dyDescent="0.25">
      <c r="B18" s="37">
        <v>15</v>
      </c>
      <c r="C18" s="38" t="str">
        <f t="shared" si="0"/>
        <v>E15</v>
      </c>
      <c r="D18" s="39" t="s">
        <v>8</v>
      </c>
      <c r="E18" s="7"/>
      <c r="F18" s="55"/>
      <c r="G18" s="37" t="s">
        <v>120</v>
      </c>
      <c r="H18" s="37">
        <v>92</v>
      </c>
      <c r="I18" s="37">
        <v>173</v>
      </c>
      <c r="J18" s="37">
        <v>255</v>
      </c>
      <c r="K18" s="7"/>
      <c r="L18" s="41">
        <v>0.3</v>
      </c>
      <c r="M18" s="37" t="s">
        <v>32</v>
      </c>
      <c r="N18" s="37">
        <v>0.56000000000000005</v>
      </c>
      <c r="O18" s="7"/>
      <c r="P18" s="19" t="s">
        <v>68</v>
      </c>
    </row>
    <row r="19" spans="2:16" x14ac:dyDescent="0.25">
      <c r="B19" s="37">
        <v>16</v>
      </c>
      <c r="C19" s="38" t="str">
        <f t="shared" si="0"/>
        <v>E16</v>
      </c>
      <c r="D19" s="39" t="s">
        <v>5</v>
      </c>
      <c r="E19" s="7"/>
      <c r="F19" s="56"/>
      <c r="G19" s="37" t="s">
        <v>121</v>
      </c>
      <c r="H19" s="37">
        <v>51</v>
      </c>
      <c r="I19" s="37">
        <v>255</v>
      </c>
      <c r="J19" s="37">
        <v>153</v>
      </c>
      <c r="K19" s="7"/>
      <c r="L19" s="41">
        <v>0.18</v>
      </c>
      <c r="M19" s="37">
        <v>0.09</v>
      </c>
      <c r="N19" s="37">
        <v>0.09</v>
      </c>
      <c r="O19" s="7"/>
      <c r="P19" s="19" t="s">
        <v>67</v>
      </c>
    </row>
    <row r="20" spans="2:16" x14ac:dyDescent="0.25">
      <c r="B20" s="37">
        <v>17</v>
      </c>
      <c r="C20" s="38" t="str">
        <f t="shared" si="0"/>
        <v>E17</v>
      </c>
      <c r="D20" s="39" t="s">
        <v>6</v>
      </c>
      <c r="E20" s="7"/>
      <c r="F20" s="57"/>
      <c r="G20" s="37" t="s">
        <v>122</v>
      </c>
      <c r="H20" s="37">
        <v>0</v>
      </c>
      <c r="I20" s="37">
        <v>123</v>
      </c>
      <c r="J20" s="37">
        <v>167</v>
      </c>
      <c r="K20" s="7"/>
      <c r="L20" s="41">
        <v>0</v>
      </c>
      <c r="M20" s="37">
        <v>-0.09</v>
      </c>
      <c r="N20" s="37">
        <v>-0.09</v>
      </c>
      <c r="O20" s="7"/>
      <c r="P20" s="19" t="s">
        <v>66</v>
      </c>
    </row>
    <row r="21" spans="2:16" x14ac:dyDescent="0.25">
      <c r="B21" s="37">
        <v>18</v>
      </c>
      <c r="C21" s="38" t="str">
        <f t="shared" si="0"/>
        <v>E18</v>
      </c>
      <c r="D21" s="39" t="s">
        <v>123</v>
      </c>
      <c r="E21" s="7"/>
      <c r="F21" s="58"/>
      <c r="G21" s="37" t="s">
        <v>124</v>
      </c>
      <c r="H21" s="37">
        <v>34</v>
      </c>
      <c r="I21" s="37">
        <v>167</v>
      </c>
      <c r="J21" s="37">
        <v>240</v>
      </c>
      <c r="K21" s="7"/>
      <c r="L21" s="46">
        <f>2*0.12</f>
        <v>0.24</v>
      </c>
      <c r="M21" s="47">
        <f>2*0.06</f>
        <v>0.12</v>
      </c>
      <c r="N21" s="37">
        <v>0.06</v>
      </c>
      <c r="O21" s="7"/>
      <c r="P21" s="19" t="s">
        <v>65</v>
      </c>
    </row>
    <row r="22" spans="2:16" x14ac:dyDescent="0.25">
      <c r="B22" s="37">
        <v>19</v>
      </c>
      <c r="C22" s="38" t="str">
        <f t="shared" si="0"/>
        <v>E19</v>
      </c>
      <c r="D22" s="39" t="s">
        <v>125</v>
      </c>
      <c r="E22" s="7"/>
      <c r="F22" s="59"/>
      <c r="G22" s="37" t="s">
        <v>126</v>
      </c>
      <c r="H22" s="37">
        <v>51</v>
      </c>
      <c r="I22" s="37">
        <v>255</v>
      </c>
      <c r="J22" s="37">
        <v>236</v>
      </c>
      <c r="K22" s="7"/>
      <c r="L22" s="41">
        <v>0.1</v>
      </c>
      <c r="M22" s="37" t="s">
        <v>32</v>
      </c>
      <c r="N22" s="37">
        <v>7.0000000000000007E-2</v>
      </c>
      <c r="O22" s="7"/>
      <c r="P22" s="19" t="s">
        <v>64</v>
      </c>
    </row>
    <row r="23" spans="2:16" x14ac:dyDescent="0.25">
      <c r="B23" s="37">
        <v>20</v>
      </c>
      <c r="C23" s="38" t="str">
        <f t="shared" si="0"/>
        <v>E20</v>
      </c>
      <c r="D23" s="39" t="s">
        <v>16</v>
      </c>
      <c r="E23" s="7"/>
      <c r="F23" s="60"/>
      <c r="G23" s="37" t="s">
        <v>127</v>
      </c>
      <c r="H23" s="37">
        <v>51</v>
      </c>
      <c r="I23" s="37">
        <v>217</v>
      </c>
      <c r="J23" s="37">
        <v>178</v>
      </c>
      <c r="K23" s="7"/>
      <c r="L23" s="41">
        <v>0.32</v>
      </c>
      <c r="M23" s="37" t="s">
        <v>32</v>
      </c>
      <c r="N23" s="37">
        <v>0.32</v>
      </c>
      <c r="O23" s="7"/>
      <c r="P23" s="19" t="s">
        <v>63</v>
      </c>
    </row>
    <row r="24" spans="2:16" x14ac:dyDescent="0.25">
      <c r="B24" s="37">
        <v>21</v>
      </c>
      <c r="C24" s="38" t="str">
        <f t="shared" si="0"/>
        <v>E21</v>
      </c>
      <c r="D24" s="39" t="s">
        <v>17</v>
      </c>
      <c r="E24" s="7"/>
      <c r="F24" s="61"/>
      <c r="G24" s="37" t="s">
        <v>128</v>
      </c>
      <c r="H24" s="37">
        <v>51</v>
      </c>
      <c r="I24" s="37">
        <v>255</v>
      </c>
      <c r="J24" s="37">
        <v>90</v>
      </c>
      <c r="K24" s="7"/>
      <c r="L24" s="41">
        <v>0.32</v>
      </c>
      <c r="M24" s="37" t="s">
        <v>32</v>
      </c>
      <c r="N24" s="37">
        <v>0.32</v>
      </c>
      <c r="O24" s="7"/>
      <c r="P24" s="19" t="s">
        <v>72</v>
      </c>
    </row>
    <row r="25" spans="2:16" x14ac:dyDescent="0.25">
      <c r="B25" s="37">
        <v>22</v>
      </c>
      <c r="C25" s="38" t="str">
        <f t="shared" si="0"/>
        <v>E22</v>
      </c>
      <c r="D25" s="39" t="s">
        <v>129</v>
      </c>
      <c r="E25" s="7"/>
      <c r="F25" s="62"/>
      <c r="G25" s="37" t="s">
        <v>130</v>
      </c>
      <c r="H25" s="37">
        <v>60</v>
      </c>
      <c r="I25" s="37">
        <v>179</v>
      </c>
      <c r="J25" s="37">
        <v>113</v>
      </c>
      <c r="K25" s="7"/>
      <c r="L25" s="41">
        <v>0.22</v>
      </c>
      <c r="M25" s="37" t="s">
        <v>32</v>
      </c>
      <c r="N25" s="37">
        <v>7.0000000000000007E-2</v>
      </c>
      <c r="O25" s="7"/>
      <c r="P25" s="19" t="s">
        <v>73</v>
      </c>
    </row>
    <row r="26" spans="2:16" x14ac:dyDescent="0.25">
      <c r="B26" s="37">
        <v>23</v>
      </c>
      <c r="C26" s="38" t="str">
        <f t="shared" si="0"/>
        <v>E23</v>
      </c>
      <c r="D26" s="39" t="s">
        <v>18</v>
      </c>
      <c r="E26" s="7"/>
      <c r="F26" s="63"/>
      <c r="G26" s="37" t="s">
        <v>121</v>
      </c>
      <c r="H26" s="37">
        <v>51</v>
      </c>
      <c r="I26" s="37">
        <v>161</v>
      </c>
      <c r="J26" s="37">
        <v>201</v>
      </c>
      <c r="K26" s="7"/>
      <c r="L26" s="41">
        <v>1</v>
      </c>
      <c r="M26" s="37" t="s">
        <v>32</v>
      </c>
      <c r="N26" s="37">
        <v>0.02</v>
      </c>
      <c r="O26" s="7"/>
      <c r="P26" s="19" t="s">
        <v>74</v>
      </c>
    </row>
    <row r="27" spans="2:16" x14ac:dyDescent="0.25">
      <c r="B27" s="37">
        <v>24</v>
      </c>
      <c r="C27" s="38" t="str">
        <f t="shared" si="0"/>
        <v>E24</v>
      </c>
      <c r="D27" s="39" t="s">
        <v>9</v>
      </c>
      <c r="E27" s="7"/>
      <c r="F27" s="64"/>
      <c r="G27" s="37" t="s">
        <v>131</v>
      </c>
      <c r="H27" s="37">
        <v>51</v>
      </c>
      <c r="I27" s="37">
        <v>204</v>
      </c>
      <c r="J27" s="37">
        <v>69</v>
      </c>
      <c r="K27" s="7"/>
      <c r="L27" s="41">
        <v>0.15</v>
      </c>
      <c r="M27" s="37" t="s">
        <v>32</v>
      </c>
      <c r="N27" s="37">
        <v>0.24</v>
      </c>
      <c r="O27" s="7"/>
      <c r="P27" s="19" t="s">
        <v>75</v>
      </c>
    </row>
    <row r="28" spans="2:16" x14ac:dyDescent="0.25">
      <c r="B28" s="37">
        <v>25</v>
      </c>
      <c r="C28" s="38" t="str">
        <f t="shared" si="0"/>
        <v>E25</v>
      </c>
      <c r="D28" s="39" t="s">
        <v>19</v>
      </c>
      <c r="E28" s="7"/>
      <c r="F28" s="65"/>
      <c r="G28" s="37" t="s">
        <v>132</v>
      </c>
      <c r="H28" s="37">
        <v>54</v>
      </c>
      <c r="I28" s="37">
        <v>181</v>
      </c>
      <c r="J28" s="37">
        <v>92</v>
      </c>
      <c r="K28" s="7"/>
      <c r="L28" s="46">
        <f>2*0.12</f>
        <v>0.24</v>
      </c>
      <c r="M28" s="37" t="s">
        <v>32</v>
      </c>
      <c r="N28" s="37">
        <v>0.06</v>
      </c>
      <c r="O28" s="7"/>
      <c r="P28" s="19" t="s">
        <v>76</v>
      </c>
    </row>
    <row r="29" spans="2:16" x14ac:dyDescent="0.25">
      <c r="B29" s="37">
        <v>26</v>
      </c>
      <c r="C29" s="38" t="str">
        <f t="shared" si="0"/>
        <v>P01</v>
      </c>
      <c r="D29" s="39" t="s">
        <v>4</v>
      </c>
      <c r="E29" s="7"/>
      <c r="F29" s="66"/>
      <c r="G29" s="37" t="s">
        <v>133</v>
      </c>
      <c r="H29" s="37">
        <v>0</v>
      </c>
      <c r="I29" s="37">
        <v>128</v>
      </c>
      <c r="J29" s="37">
        <v>0</v>
      </c>
      <c r="K29" s="7"/>
      <c r="L29" s="46">
        <f>2*0.16</f>
        <v>0.32</v>
      </c>
      <c r="M29" s="37" t="s">
        <v>32</v>
      </c>
      <c r="N29" s="37">
        <v>0.08</v>
      </c>
      <c r="O29" s="7"/>
      <c r="P29" s="19" t="s">
        <v>77</v>
      </c>
    </row>
    <row r="30" spans="2:16" x14ac:dyDescent="0.25">
      <c r="B30" s="37">
        <v>27</v>
      </c>
      <c r="C30" s="38" t="str">
        <f t="shared" si="0"/>
        <v>P02</v>
      </c>
      <c r="D30" s="39" t="s">
        <v>20</v>
      </c>
      <c r="E30" s="7"/>
      <c r="F30" s="67"/>
      <c r="G30" s="37" t="s">
        <v>134</v>
      </c>
      <c r="H30" s="37">
        <v>0</v>
      </c>
      <c r="I30" s="37">
        <v>139</v>
      </c>
      <c r="J30" s="37">
        <v>139</v>
      </c>
      <c r="K30" s="7"/>
      <c r="L30" s="46">
        <v>0</v>
      </c>
      <c r="M30" s="37" t="s">
        <v>32</v>
      </c>
      <c r="N30" s="37">
        <v>0</v>
      </c>
      <c r="O30" s="7"/>
      <c r="P30" s="19" t="s">
        <v>78</v>
      </c>
    </row>
    <row r="31" spans="2:16" x14ac:dyDescent="0.25">
      <c r="B31" s="37">
        <v>28</v>
      </c>
      <c r="C31" s="38" t="str">
        <f t="shared" si="0"/>
        <v>P03</v>
      </c>
      <c r="D31" s="39" t="s">
        <v>1</v>
      </c>
      <c r="E31" s="7"/>
      <c r="F31" s="68"/>
      <c r="G31" s="37" t="s">
        <v>135</v>
      </c>
      <c r="H31" s="37">
        <v>101</v>
      </c>
      <c r="I31" s="37">
        <v>198</v>
      </c>
      <c r="J31" s="37">
        <v>187</v>
      </c>
      <c r="K31" s="7"/>
      <c r="L31" s="46">
        <v>0</v>
      </c>
      <c r="M31" s="37" t="s">
        <v>32</v>
      </c>
      <c r="N31" s="37">
        <v>0</v>
      </c>
      <c r="O31" s="7"/>
      <c r="P31" s="19" t="s">
        <v>79</v>
      </c>
    </row>
    <row r="32" spans="2:16" x14ac:dyDescent="0.25">
      <c r="B32" s="37">
        <v>29</v>
      </c>
      <c r="C32" s="38" t="str">
        <f t="shared" si="0"/>
        <v>P04</v>
      </c>
      <c r="D32" s="39" t="s">
        <v>37</v>
      </c>
      <c r="E32" s="7"/>
      <c r="F32" s="69"/>
      <c r="G32" s="37" t="s">
        <v>136</v>
      </c>
      <c r="H32" s="37">
        <v>255</v>
      </c>
      <c r="I32" s="37">
        <v>215</v>
      </c>
      <c r="J32" s="37">
        <v>0</v>
      </c>
      <c r="K32" s="7"/>
      <c r="L32" s="46">
        <f>2*0.24</f>
        <v>0.48</v>
      </c>
      <c r="M32" s="37" t="s">
        <v>32</v>
      </c>
      <c r="N32" s="37">
        <v>0.12</v>
      </c>
      <c r="O32" s="7"/>
      <c r="P32" s="19" t="s">
        <v>80</v>
      </c>
    </row>
    <row r="33" spans="2:16" x14ac:dyDescent="0.25">
      <c r="B33" s="37">
        <v>30</v>
      </c>
      <c r="C33" s="38" t="str">
        <f t="shared" si="0"/>
        <v>P05</v>
      </c>
      <c r="D33" s="39" t="s">
        <v>21</v>
      </c>
      <c r="E33" s="7"/>
      <c r="F33" s="70"/>
      <c r="G33" s="37" t="s">
        <v>137</v>
      </c>
      <c r="H33" s="37">
        <v>170</v>
      </c>
      <c r="I33" s="37">
        <v>70</v>
      </c>
      <c r="J33" s="37">
        <v>0</v>
      </c>
      <c r="K33" s="7"/>
      <c r="L33" s="46">
        <v>0.48</v>
      </c>
      <c r="M33" s="37" t="s">
        <v>32</v>
      </c>
      <c r="N33" s="37">
        <v>0.08</v>
      </c>
      <c r="O33" s="7"/>
      <c r="P33" s="19" t="s">
        <v>81</v>
      </c>
    </row>
    <row r="34" spans="2:16" x14ac:dyDescent="0.25">
      <c r="B34" s="37">
        <v>31</v>
      </c>
      <c r="C34" s="38" t="str">
        <f t="shared" si="0"/>
        <v>P06</v>
      </c>
      <c r="D34" s="39" t="s">
        <v>138</v>
      </c>
      <c r="E34" s="7"/>
      <c r="F34" s="71"/>
      <c r="G34" s="37" t="s">
        <v>139</v>
      </c>
      <c r="H34" s="37">
        <v>255</v>
      </c>
      <c r="I34" s="37">
        <v>193</v>
      </c>
      <c r="J34" s="37">
        <v>37</v>
      </c>
      <c r="K34" s="7"/>
      <c r="L34" s="46">
        <v>0.32</v>
      </c>
      <c r="M34" s="37" t="s">
        <v>32</v>
      </c>
      <c r="N34" s="37">
        <v>7.0000000000000007E-2</v>
      </c>
      <c r="O34" s="7"/>
      <c r="P34" s="19" t="s">
        <v>82</v>
      </c>
    </row>
    <row r="35" spans="2:16" x14ac:dyDescent="0.25">
      <c r="B35" s="37">
        <v>32</v>
      </c>
      <c r="C35" s="38" t="str">
        <f t="shared" si="0"/>
        <v>P07</v>
      </c>
      <c r="D35" s="39" t="s">
        <v>140</v>
      </c>
      <c r="E35" s="7"/>
      <c r="F35" s="72"/>
      <c r="G35" s="37" t="s">
        <v>141</v>
      </c>
      <c r="H35" s="37">
        <v>128</v>
      </c>
      <c r="I35" s="37">
        <v>0</v>
      </c>
      <c r="J35" s="37">
        <v>128</v>
      </c>
      <c r="K35" s="7"/>
      <c r="L35" s="46">
        <v>0.48</v>
      </c>
      <c r="M35" s="37" t="s">
        <v>32</v>
      </c>
      <c r="N35" s="37">
        <v>0.16</v>
      </c>
      <c r="O35" s="7"/>
      <c r="P35" s="19" t="s">
        <v>83</v>
      </c>
    </row>
    <row r="36" spans="2:16" x14ac:dyDescent="0.25">
      <c r="B36" s="37">
        <v>33</v>
      </c>
      <c r="C36" s="38" t="str">
        <f t="shared" si="0"/>
        <v>P08</v>
      </c>
      <c r="D36" s="39" t="s">
        <v>22</v>
      </c>
      <c r="E36" s="7"/>
      <c r="F36" s="73"/>
      <c r="G36" s="37" t="s">
        <v>142</v>
      </c>
      <c r="H36" s="37">
        <v>255</v>
      </c>
      <c r="I36" s="37">
        <v>165</v>
      </c>
      <c r="J36" s="37">
        <v>0</v>
      </c>
      <c r="K36" s="7"/>
      <c r="L36" s="46">
        <f>2*0.24</f>
        <v>0.48</v>
      </c>
      <c r="M36" s="37" t="s">
        <v>32</v>
      </c>
      <c r="N36" s="37">
        <v>0.24</v>
      </c>
      <c r="O36" s="7"/>
      <c r="P36" s="19" t="s">
        <v>84</v>
      </c>
    </row>
    <row r="37" spans="2:16" x14ac:dyDescent="0.25">
      <c r="B37" s="37">
        <v>34</v>
      </c>
      <c r="C37" s="38" t="str">
        <f t="shared" si="0"/>
        <v>R01</v>
      </c>
      <c r="D37" s="39" t="s">
        <v>23</v>
      </c>
      <c r="E37" s="7"/>
      <c r="F37" s="74"/>
      <c r="G37" s="37" t="s">
        <v>143</v>
      </c>
      <c r="H37" s="37">
        <v>255</v>
      </c>
      <c r="I37" s="37">
        <v>140</v>
      </c>
      <c r="J37" s="37">
        <v>0</v>
      </c>
      <c r="K37" s="7"/>
      <c r="L37" s="41">
        <v>0.24</v>
      </c>
      <c r="M37" s="37" t="s">
        <v>32</v>
      </c>
      <c r="N37" s="37">
        <v>0.08</v>
      </c>
      <c r="O37" s="7"/>
      <c r="P37" s="19" t="s">
        <v>85</v>
      </c>
    </row>
    <row r="38" spans="2:16" x14ac:dyDescent="0.25">
      <c r="B38" s="37">
        <v>35</v>
      </c>
      <c r="C38" s="38" t="str">
        <f t="shared" si="0"/>
        <v>R02</v>
      </c>
      <c r="D38" s="39" t="s">
        <v>24</v>
      </c>
      <c r="E38" s="7"/>
      <c r="F38" s="75"/>
      <c r="G38" s="37" t="s">
        <v>144</v>
      </c>
      <c r="H38" s="37">
        <v>255</v>
      </c>
      <c r="I38" s="37">
        <v>69</v>
      </c>
      <c r="J38" s="37">
        <v>0</v>
      </c>
      <c r="K38" s="7"/>
      <c r="L38" s="41">
        <v>0.24</v>
      </c>
      <c r="M38" s="37" t="s">
        <v>32</v>
      </c>
      <c r="N38" s="37">
        <v>0.06</v>
      </c>
      <c r="O38" s="7"/>
      <c r="P38" s="19" t="s">
        <v>86</v>
      </c>
    </row>
    <row r="39" spans="2:16" x14ac:dyDescent="0.25">
      <c r="B39" s="37">
        <v>36</v>
      </c>
      <c r="C39" s="38" t="str">
        <f t="shared" si="0"/>
        <v>R03</v>
      </c>
      <c r="D39" s="39" t="s">
        <v>25</v>
      </c>
      <c r="E39" s="7"/>
      <c r="F39" s="76"/>
      <c r="G39" s="37" t="s">
        <v>145</v>
      </c>
      <c r="H39" s="37">
        <v>255</v>
      </c>
      <c r="I39" s="37">
        <v>99</v>
      </c>
      <c r="J39" s="37">
        <v>71</v>
      </c>
      <c r="K39" s="7"/>
      <c r="L39" s="41">
        <v>0.24</v>
      </c>
      <c r="M39" s="37" t="s">
        <v>32</v>
      </c>
      <c r="N39" s="37">
        <v>0.08</v>
      </c>
      <c r="O39" s="7"/>
      <c r="P39" s="19" t="s">
        <v>87</v>
      </c>
    </row>
    <row r="40" spans="2:16" x14ac:dyDescent="0.25">
      <c r="B40" s="37">
        <v>37</v>
      </c>
      <c r="C40" s="38" t="str">
        <f t="shared" si="0"/>
        <v>R04</v>
      </c>
      <c r="D40" s="39" t="s">
        <v>26</v>
      </c>
      <c r="E40" s="7"/>
      <c r="F40" s="77"/>
      <c r="G40" s="37" t="s">
        <v>146</v>
      </c>
      <c r="H40" s="37">
        <v>255</v>
      </c>
      <c r="I40" s="37">
        <v>105</v>
      </c>
      <c r="J40" s="37">
        <v>180</v>
      </c>
      <c r="K40" s="7"/>
      <c r="L40" s="41">
        <v>0.12</v>
      </c>
      <c r="M40" s="37" t="s">
        <v>32</v>
      </c>
      <c r="N40" s="37">
        <v>0.08</v>
      </c>
      <c r="O40" s="7"/>
      <c r="P40" s="19" t="s">
        <v>88</v>
      </c>
    </row>
    <row r="41" spans="2:16" x14ac:dyDescent="0.25">
      <c r="B41" s="37">
        <v>38</v>
      </c>
      <c r="C41" s="38" t="str">
        <f t="shared" si="0"/>
        <v>R05</v>
      </c>
      <c r="D41" s="39" t="s">
        <v>147</v>
      </c>
      <c r="E41" s="7"/>
      <c r="F41" s="78"/>
      <c r="G41" s="37" t="s">
        <v>148</v>
      </c>
      <c r="H41" s="37">
        <v>255</v>
      </c>
      <c r="I41" s="37">
        <v>20</v>
      </c>
      <c r="J41" s="37">
        <v>147</v>
      </c>
      <c r="K41" s="7"/>
      <c r="L41" s="41">
        <v>0.12</v>
      </c>
      <c r="M41" s="37" t="s">
        <v>32</v>
      </c>
      <c r="N41" s="37">
        <v>0.04</v>
      </c>
      <c r="O41" s="7"/>
      <c r="P41" s="19" t="s">
        <v>89</v>
      </c>
    </row>
    <row r="42" spans="2:16" x14ac:dyDescent="0.25">
      <c r="B42" s="37">
        <v>39</v>
      </c>
      <c r="C42" s="38" t="str">
        <f t="shared" si="0"/>
        <v>R06</v>
      </c>
      <c r="D42" s="39" t="s">
        <v>27</v>
      </c>
      <c r="E42" s="7"/>
      <c r="F42" s="79"/>
      <c r="G42" s="37" t="s">
        <v>149</v>
      </c>
      <c r="H42" s="37">
        <v>255</v>
      </c>
      <c r="I42" s="37">
        <v>0</v>
      </c>
      <c r="J42" s="37">
        <v>255</v>
      </c>
      <c r="K42" s="7"/>
      <c r="L42" s="41">
        <v>0.12</v>
      </c>
      <c r="M42" s="37" t="s">
        <v>32</v>
      </c>
      <c r="N42" s="37">
        <v>0.06</v>
      </c>
      <c r="O42" s="7"/>
      <c r="P42" s="19" t="s">
        <v>90</v>
      </c>
    </row>
    <row r="43" spans="2:16" x14ac:dyDescent="0.25">
      <c r="B43" s="37">
        <v>40</v>
      </c>
      <c r="C43" s="38" t="str">
        <f t="shared" si="0"/>
        <v>R07</v>
      </c>
      <c r="D43" s="39" t="s">
        <v>28</v>
      </c>
      <c r="E43" s="7"/>
      <c r="F43" s="80"/>
      <c r="G43" s="37" t="s">
        <v>150</v>
      </c>
      <c r="H43" s="37">
        <v>238</v>
      </c>
      <c r="I43" s="37">
        <v>130</v>
      </c>
      <c r="J43" s="37">
        <v>238</v>
      </c>
      <c r="K43" s="7"/>
      <c r="L43" s="41">
        <v>0.12</v>
      </c>
      <c r="M43" s="37" t="s">
        <v>32</v>
      </c>
      <c r="N43" s="37">
        <v>0.04</v>
      </c>
      <c r="O43" s="7"/>
      <c r="P43" s="19" t="s">
        <v>91</v>
      </c>
    </row>
    <row r="44" spans="2:16" x14ac:dyDescent="0.25">
      <c r="B44" s="37">
        <v>41</v>
      </c>
      <c r="C44" s="38" t="str">
        <f t="shared" si="0"/>
        <v>R08</v>
      </c>
      <c r="D44" s="39" t="s">
        <v>151</v>
      </c>
      <c r="E44" s="7"/>
      <c r="F44" s="81"/>
      <c r="G44" s="37" t="s">
        <v>152</v>
      </c>
      <c r="H44" s="37">
        <v>186</v>
      </c>
      <c r="I44" s="37">
        <v>85</v>
      </c>
      <c r="J44" s="37">
        <v>211</v>
      </c>
      <c r="K44" s="7"/>
      <c r="L44" s="41">
        <v>0.12</v>
      </c>
      <c r="M44" s="37" t="s">
        <v>32</v>
      </c>
      <c r="N44" s="37">
        <v>0.06</v>
      </c>
      <c r="O44" s="7"/>
      <c r="P44" s="19" t="s">
        <v>92</v>
      </c>
    </row>
    <row r="45" spans="2:16" x14ac:dyDescent="0.25">
      <c r="B45" s="37">
        <v>42</v>
      </c>
      <c r="C45" s="38" t="str">
        <f t="shared" si="0"/>
        <v>R09</v>
      </c>
      <c r="D45" s="39" t="s">
        <v>29</v>
      </c>
      <c r="E45" s="7"/>
      <c r="F45" s="82"/>
      <c r="G45" s="37" t="s">
        <v>153</v>
      </c>
      <c r="H45" s="37">
        <v>255</v>
      </c>
      <c r="I45" s="37">
        <v>185</v>
      </c>
      <c r="J45" s="37">
        <v>15</v>
      </c>
      <c r="K45" s="7"/>
      <c r="L45" s="41">
        <v>0.32</v>
      </c>
      <c r="M45" s="37" t="s">
        <v>32</v>
      </c>
      <c r="N45" s="37">
        <v>0.04</v>
      </c>
      <c r="O45" s="7"/>
      <c r="P45" s="19" t="s">
        <v>93</v>
      </c>
    </row>
    <row r="46" spans="2:16" x14ac:dyDescent="0.25">
      <c r="B46" s="37">
        <v>43</v>
      </c>
      <c r="C46" s="38" t="str">
        <f t="shared" si="0"/>
        <v>R10</v>
      </c>
      <c r="D46" s="39" t="s">
        <v>154</v>
      </c>
      <c r="E46" s="7"/>
      <c r="F46" s="83"/>
      <c r="G46" s="37" t="s">
        <v>155</v>
      </c>
      <c r="H46" s="37">
        <v>0</v>
      </c>
      <c r="I46" s="37">
        <v>255</v>
      </c>
      <c r="J46" s="37">
        <v>0</v>
      </c>
      <c r="K46" s="7"/>
      <c r="L46" s="41">
        <v>0.32</v>
      </c>
      <c r="M46" s="37" t="s">
        <v>32</v>
      </c>
      <c r="N46" s="37">
        <v>0.08</v>
      </c>
      <c r="O46" s="7"/>
      <c r="P46" s="19" t="s">
        <v>94</v>
      </c>
    </row>
    <row r="47" spans="2:16" x14ac:dyDescent="0.25">
      <c r="B47" s="37">
        <v>44</v>
      </c>
      <c r="C47" s="38" t="str">
        <f t="shared" si="0"/>
        <v>R11</v>
      </c>
      <c r="D47" s="39" t="s">
        <v>30</v>
      </c>
      <c r="E47" s="7"/>
      <c r="F47" s="84"/>
      <c r="G47" s="37" t="s">
        <v>156</v>
      </c>
      <c r="H47" s="37">
        <v>0</v>
      </c>
      <c r="I47" s="37">
        <v>255</v>
      </c>
      <c r="J47" s="37">
        <v>255</v>
      </c>
      <c r="K47" s="7"/>
      <c r="L47" s="41">
        <v>0.24</v>
      </c>
      <c r="M47" s="37" t="s">
        <v>32</v>
      </c>
      <c r="N47" s="37">
        <v>0.08</v>
      </c>
      <c r="O47" s="7"/>
      <c r="P47" s="19" t="s">
        <v>61</v>
      </c>
    </row>
  </sheetData>
  <autoFilter ref="B3:P47" xr:uid="{6A842748-D4F3-4029-8D52-34F2FD0D677D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Schedule</vt:lpstr>
      <vt:lpstr>Pasted Bridges</vt:lpstr>
      <vt:lpstr>Data</vt:lpstr>
      <vt:lpstr>BridgeCodes</vt:lpstr>
      <vt:lpstr>JunctionCode</vt:lpstr>
      <vt:lpstr>JunctionXML</vt:lpstr>
      <vt:lpstr>Scheme</vt:lpstr>
      <vt:lpstr>SchemeXML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Thompson, Ross</dc:creator>
  <cp:lastModifiedBy>Thompson, Ross</cp:lastModifiedBy>
  <cp:lastPrinted>2025-10-15T08:58:08Z</cp:lastPrinted>
  <dcterms:created xsi:type="dcterms:W3CDTF">2023-09-24T15:48:57Z</dcterms:created>
  <dcterms:modified xsi:type="dcterms:W3CDTF">2025-11-18T21:32:23Z</dcterms:modified>
</cp:coreProperties>
</file>