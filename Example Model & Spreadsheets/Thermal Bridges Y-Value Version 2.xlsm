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Building Design\CAD &amp; Software\SketchUp\SAP Tools (2024 -)\Excel Tools\"/>
    </mc:Choice>
  </mc:AlternateContent>
  <xr:revisionPtr revIDLastSave="0" documentId="13_ncr:1_{5760053B-8BD2-4902-AC3E-6B773A8A888E}" xr6:coauthVersionLast="47" xr6:coauthVersionMax="47" xr10:uidLastSave="{00000000-0000-0000-0000-000000000000}"/>
  <bookViews>
    <workbookView xWindow="-120" yWindow="-16320" windowWidth="29040" windowHeight="15720" tabRatio="828" xr2:uid="{95697461-1F19-4C3E-A73A-3295C921C874}"/>
  </bookViews>
  <sheets>
    <sheet name="Thermal Bridges" sheetId="2" r:id="rId1"/>
    <sheet name="Pasted Bridges" sheetId="1" r:id="rId2"/>
  </sheets>
  <definedNames>
    <definedName name="_xlpm.AKvals" hidden="1" xlm="1">#NAME?</definedName>
    <definedName name="_xlpm.ALvals" hidden="1" xlm="1">#NAME?</definedName>
    <definedName name="_xlpm.AMvals" hidden="1" xlm="1">#NAME?</definedName>
    <definedName name="_xlpm.Lens" hidden="1" xlm="1">#NAME?</definedName>
    <definedName name="_xlpm.Mvals" hidden="1" xlm="1">#NAME?</definedName>
    <definedName name="_xlpm.Ovals" hidden="1" xlm="1">#NAME?</definedName>
    <definedName name="_xlpm.rng" hidden="1" xlm="1">#NAME?</definedName>
    <definedName name="XMLCodeStart">'Thermal Bridges'!$K$58</definedName>
    <definedName name="XMLImportMarker">'Thermal Bridges'!$K$60</definedName>
    <definedName name="XMLPathStart">'Thermal Bridges'!$K$61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2" l="1"/>
  <c r="F3193" i="1"/>
  <c r="G3193" i="1"/>
  <c r="F3194" i="1"/>
  <c r="G3194" i="1"/>
  <c r="F3195" i="1"/>
  <c r="G3195" i="1"/>
  <c r="F3196" i="1"/>
  <c r="G3196" i="1"/>
  <c r="F3197" i="1"/>
  <c r="G3197" i="1"/>
  <c r="F3198" i="1"/>
  <c r="G3198" i="1"/>
  <c r="F3199" i="1"/>
  <c r="G3199" i="1"/>
  <c r="F3200" i="1"/>
  <c r="G3200" i="1"/>
  <c r="F3201" i="1"/>
  <c r="G3201" i="1"/>
  <c r="F3202" i="1"/>
  <c r="G3202" i="1"/>
  <c r="F3203" i="1"/>
  <c r="G3203" i="1"/>
  <c r="F3204" i="1"/>
  <c r="G3204" i="1"/>
  <c r="F3205" i="1"/>
  <c r="G3205" i="1"/>
  <c r="F3206" i="1"/>
  <c r="G3206" i="1"/>
  <c r="F3207" i="1"/>
  <c r="G3207" i="1"/>
  <c r="F3208" i="1"/>
  <c r="G3208" i="1"/>
  <c r="F3209" i="1"/>
  <c r="G3209" i="1"/>
  <c r="F3210" i="1"/>
  <c r="G3210" i="1"/>
  <c r="F3211" i="1"/>
  <c r="G3211" i="1"/>
  <c r="F3212" i="1"/>
  <c r="G3212" i="1"/>
  <c r="F3213" i="1"/>
  <c r="G3213" i="1"/>
  <c r="F3214" i="1"/>
  <c r="G3214" i="1"/>
  <c r="F3215" i="1"/>
  <c r="G3215" i="1"/>
  <c r="F3216" i="1"/>
  <c r="G3216" i="1"/>
  <c r="F3217" i="1"/>
  <c r="G3217" i="1"/>
  <c r="F3218" i="1"/>
  <c r="G3218" i="1"/>
  <c r="F3219" i="1"/>
  <c r="G3219" i="1"/>
  <c r="F3220" i="1"/>
  <c r="G3220" i="1"/>
  <c r="F3221" i="1"/>
  <c r="G3221" i="1"/>
  <c r="F3222" i="1"/>
  <c r="G3222" i="1"/>
  <c r="F3223" i="1"/>
  <c r="G3223" i="1"/>
  <c r="F3224" i="1"/>
  <c r="G3224" i="1"/>
  <c r="F3225" i="1"/>
  <c r="G3225" i="1"/>
  <c r="F3226" i="1"/>
  <c r="G3226" i="1"/>
  <c r="F3227" i="1"/>
  <c r="G3227" i="1"/>
  <c r="F3228" i="1"/>
  <c r="G3228" i="1"/>
  <c r="F3229" i="1"/>
  <c r="G3229" i="1"/>
  <c r="F3230" i="1"/>
  <c r="G3230" i="1"/>
  <c r="F3231" i="1"/>
  <c r="G3231" i="1"/>
  <c r="F3232" i="1"/>
  <c r="G3232" i="1"/>
  <c r="F3233" i="1"/>
  <c r="G3233" i="1"/>
  <c r="F3234" i="1"/>
  <c r="G3234" i="1"/>
  <c r="F3235" i="1"/>
  <c r="G3235" i="1"/>
  <c r="F3236" i="1"/>
  <c r="G3236" i="1"/>
  <c r="F3237" i="1"/>
  <c r="G3237" i="1"/>
  <c r="F3238" i="1"/>
  <c r="G3238" i="1"/>
  <c r="F3239" i="1"/>
  <c r="G3239" i="1"/>
  <c r="F3240" i="1"/>
  <c r="G3240" i="1"/>
  <c r="F3241" i="1"/>
  <c r="G3241" i="1"/>
  <c r="F3242" i="1"/>
  <c r="G3242" i="1"/>
  <c r="F3243" i="1"/>
  <c r="G3243" i="1"/>
  <c r="F3244" i="1"/>
  <c r="G3244" i="1"/>
  <c r="F3245" i="1"/>
  <c r="G3245" i="1"/>
  <c r="F3246" i="1"/>
  <c r="G3246" i="1"/>
  <c r="F3247" i="1"/>
  <c r="G3247" i="1"/>
  <c r="F3248" i="1"/>
  <c r="G3248" i="1"/>
  <c r="F3249" i="1"/>
  <c r="G3249" i="1"/>
  <c r="F3250" i="1"/>
  <c r="G3250" i="1"/>
  <c r="F3251" i="1"/>
  <c r="G3251" i="1"/>
  <c r="F3252" i="1"/>
  <c r="G3252" i="1"/>
  <c r="F3253" i="1"/>
  <c r="G3253" i="1"/>
  <c r="F3254" i="1"/>
  <c r="G3254" i="1"/>
  <c r="F3255" i="1"/>
  <c r="G3255" i="1"/>
  <c r="F3256" i="1"/>
  <c r="G3256" i="1"/>
  <c r="F3257" i="1"/>
  <c r="G3257" i="1"/>
  <c r="F3258" i="1"/>
  <c r="G3258" i="1"/>
  <c r="F3259" i="1"/>
  <c r="G3259" i="1"/>
  <c r="F3260" i="1"/>
  <c r="G3260" i="1"/>
  <c r="F3261" i="1"/>
  <c r="G3261" i="1"/>
  <c r="F3262" i="1"/>
  <c r="G3262" i="1"/>
  <c r="F3263" i="1"/>
  <c r="G3263" i="1"/>
  <c r="F3264" i="1"/>
  <c r="G3264" i="1"/>
  <c r="F3265" i="1"/>
  <c r="G3265" i="1"/>
  <c r="F3266" i="1"/>
  <c r="G3266" i="1"/>
  <c r="F3267" i="1"/>
  <c r="G3267" i="1"/>
  <c r="F3268" i="1"/>
  <c r="G3268" i="1"/>
  <c r="F3269" i="1"/>
  <c r="G3269" i="1"/>
  <c r="F3270" i="1"/>
  <c r="G3270" i="1"/>
  <c r="F3271" i="1"/>
  <c r="G3271" i="1"/>
  <c r="F3272" i="1"/>
  <c r="G3272" i="1"/>
  <c r="F3273" i="1"/>
  <c r="G3273" i="1"/>
  <c r="F3274" i="1"/>
  <c r="G3274" i="1"/>
  <c r="F3275" i="1"/>
  <c r="G3275" i="1"/>
  <c r="F3276" i="1"/>
  <c r="G3276" i="1"/>
  <c r="F3277" i="1"/>
  <c r="G3277" i="1"/>
  <c r="F3278" i="1"/>
  <c r="G3278" i="1"/>
  <c r="F3279" i="1"/>
  <c r="G3279" i="1"/>
  <c r="F3280" i="1"/>
  <c r="G3280" i="1"/>
  <c r="F3281" i="1"/>
  <c r="G3281" i="1"/>
  <c r="F3282" i="1"/>
  <c r="G3282" i="1"/>
  <c r="F3283" i="1"/>
  <c r="G3283" i="1"/>
  <c r="F3284" i="1"/>
  <c r="G3284" i="1"/>
  <c r="F3285" i="1"/>
  <c r="G3285" i="1"/>
  <c r="F3286" i="1"/>
  <c r="G3286" i="1"/>
  <c r="F3287" i="1"/>
  <c r="G3287" i="1"/>
  <c r="F3288" i="1"/>
  <c r="G3288" i="1"/>
  <c r="F3289" i="1"/>
  <c r="G3289" i="1"/>
  <c r="F3290" i="1"/>
  <c r="G3290" i="1"/>
  <c r="F3291" i="1"/>
  <c r="G3291" i="1"/>
  <c r="F3292" i="1"/>
  <c r="G3292" i="1"/>
  <c r="F3293" i="1"/>
  <c r="G3293" i="1"/>
  <c r="F3294" i="1"/>
  <c r="G3294" i="1"/>
  <c r="F3295" i="1"/>
  <c r="G3295" i="1"/>
  <c r="F3296" i="1"/>
  <c r="G3296" i="1"/>
  <c r="F3297" i="1"/>
  <c r="G3297" i="1"/>
  <c r="F3298" i="1"/>
  <c r="G3298" i="1"/>
  <c r="F3299" i="1"/>
  <c r="G3299" i="1"/>
  <c r="F3300" i="1"/>
  <c r="G3300" i="1"/>
  <c r="F3301" i="1"/>
  <c r="G3301" i="1"/>
  <c r="F3302" i="1"/>
  <c r="G3302" i="1"/>
  <c r="F3303" i="1"/>
  <c r="G3303" i="1"/>
  <c r="F3304" i="1"/>
  <c r="G3304" i="1"/>
  <c r="F3305" i="1"/>
  <c r="G3305" i="1"/>
  <c r="F3306" i="1"/>
  <c r="G3306" i="1"/>
  <c r="F3307" i="1"/>
  <c r="G3307" i="1"/>
  <c r="F3308" i="1"/>
  <c r="G3308" i="1"/>
  <c r="F3309" i="1"/>
  <c r="G3309" i="1"/>
  <c r="F3310" i="1"/>
  <c r="G3310" i="1"/>
  <c r="F3311" i="1"/>
  <c r="G3311" i="1"/>
  <c r="F3312" i="1"/>
  <c r="G3312" i="1"/>
  <c r="F3313" i="1"/>
  <c r="G3313" i="1"/>
  <c r="F3314" i="1"/>
  <c r="G3314" i="1"/>
  <c r="F3315" i="1"/>
  <c r="G3315" i="1"/>
  <c r="F3316" i="1"/>
  <c r="G3316" i="1"/>
  <c r="F3317" i="1"/>
  <c r="G3317" i="1"/>
  <c r="F3318" i="1"/>
  <c r="G3318" i="1"/>
  <c r="F3319" i="1"/>
  <c r="G3319" i="1"/>
  <c r="F3320" i="1"/>
  <c r="G3320" i="1"/>
  <c r="F3321" i="1"/>
  <c r="G3321" i="1"/>
  <c r="F3322" i="1"/>
  <c r="G3322" i="1"/>
  <c r="F3323" i="1"/>
  <c r="G3323" i="1"/>
  <c r="F3324" i="1"/>
  <c r="G3324" i="1"/>
  <c r="F3325" i="1"/>
  <c r="G3325" i="1"/>
  <c r="F3326" i="1"/>
  <c r="G3326" i="1"/>
  <c r="F3327" i="1"/>
  <c r="G3327" i="1"/>
  <c r="F3328" i="1"/>
  <c r="G3328" i="1"/>
  <c r="F3329" i="1"/>
  <c r="G3329" i="1"/>
  <c r="F3330" i="1"/>
  <c r="G3330" i="1"/>
  <c r="F3331" i="1"/>
  <c r="G3331" i="1"/>
  <c r="F3332" i="1"/>
  <c r="G3332" i="1"/>
  <c r="F3333" i="1"/>
  <c r="G3333" i="1"/>
  <c r="F3334" i="1"/>
  <c r="G3334" i="1"/>
  <c r="F3335" i="1"/>
  <c r="G3335" i="1"/>
  <c r="F3336" i="1"/>
  <c r="G3336" i="1"/>
  <c r="F3337" i="1"/>
  <c r="G3337" i="1"/>
  <c r="F3338" i="1"/>
  <c r="G3338" i="1"/>
  <c r="F3339" i="1"/>
  <c r="G3339" i="1"/>
  <c r="F3340" i="1"/>
  <c r="G3340" i="1"/>
  <c r="F3341" i="1"/>
  <c r="G3341" i="1"/>
  <c r="F3342" i="1"/>
  <c r="G3342" i="1"/>
  <c r="F3343" i="1"/>
  <c r="G3343" i="1"/>
  <c r="F3344" i="1"/>
  <c r="G3344" i="1"/>
  <c r="F3345" i="1"/>
  <c r="G3345" i="1"/>
  <c r="F3346" i="1"/>
  <c r="G3346" i="1"/>
  <c r="F3347" i="1"/>
  <c r="G3347" i="1"/>
  <c r="F3348" i="1"/>
  <c r="G3348" i="1"/>
  <c r="F3349" i="1"/>
  <c r="G3349" i="1"/>
  <c r="F3350" i="1"/>
  <c r="G3350" i="1"/>
  <c r="F3351" i="1"/>
  <c r="G3351" i="1"/>
  <c r="F3352" i="1"/>
  <c r="G3352" i="1"/>
  <c r="F3353" i="1"/>
  <c r="G3353" i="1"/>
  <c r="F3354" i="1"/>
  <c r="G3354" i="1"/>
  <c r="F3355" i="1"/>
  <c r="G3355" i="1"/>
  <c r="F3356" i="1"/>
  <c r="G3356" i="1"/>
  <c r="F3357" i="1"/>
  <c r="G3357" i="1"/>
  <c r="F3358" i="1"/>
  <c r="G3358" i="1"/>
  <c r="F3359" i="1"/>
  <c r="G3359" i="1"/>
  <c r="F3360" i="1"/>
  <c r="G3360" i="1"/>
  <c r="F3361" i="1"/>
  <c r="G3361" i="1"/>
  <c r="F3362" i="1"/>
  <c r="G3362" i="1"/>
  <c r="F3363" i="1"/>
  <c r="G3363" i="1"/>
  <c r="F3364" i="1"/>
  <c r="G3364" i="1"/>
  <c r="F3365" i="1"/>
  <c r="G3365" i="1"/>
  <c r="F3366" i="1"/>
  <c r="G3366" i="1"/>
  <c r="F3367" i="1"/>
  <c r="G3367" i="1"/>
  <c r="F3368" i="1"/>
  <c r="G3368" i="1"/>
  <c r="F3369" i="1"/>
  <c r="G3369" i="1"/>
  <c r="F3370" i="1"/>
  <c r="G3370" i="1"/>
  <c r="F3371" i="1"/>
  <c r="G3371" i="1"/>
  <c r="F3372" i="1"/>
  <c r="G3372" i="1"/>
  <c r="F3373" i="1"/>
  <c r="G3373" i="1"/>
  <c r="F3374" i="1"/>
  <c r="G3374" i="1"/>
  <c r="F3375" i="1"/>
  <c r="G3375" i="1"/>
  <c r="F3376" i="1"/>
  <c r="G3376" i="1"/>
  <c r="F3377" i="1"/>
  <c r="G3377" i="1"/>
  <c r="F3378" i="1"/>
  <c r="G3378" i="1"/>
  <c r="F3379" i="1"/>
  <c r="G3379" i="1"/>
  <c r="F3380" i="1"/>
  <c r="G3380" i="1"/>
  <c r="F3381" i="1"/>
  <c r="G3381" i="1"/>
  <c r="F3382" i="1"/>
  <c r="G3382" i="1"/>
  <c r="F3383" i="1"/>
  <c r="G3383" i="1"/>
  <c r="F3384" i="1"/>
  <c r="G3384" i="1"/>
  <c r="F3385" i="1"/>
  <c r="G3385" i="1"/>
  <c r="F3386" i="1"/>
  <c r="G3386" i="1"/>
  <c r="F3387" i="1"/>
  <c r="G3387" i="1"/>
  <c r="F3388" i="1"/>
  <c r="G3388" i="1"/>
  <c r="F3389" i="1"/>
  <c r="G3389" i="1"/>
  <c r="F3390" i="1"/>
  <c r="G3390" i="1"/>
  <c r="F3391" i="1"/>
  <c r="G3391" i="1"/>
  <c r="F3392" i="1"/>
  <c r="G3392" i="1"/>
  <c r="F3393" i="1"/>
  <c r="G3393" i="1"/>
  <c r="F3394" i="1"/>
  <c r="G3394" i="1"/>
  <c r="F3395" i="1"/>
  <c r="G3395" i="1"/>
  <c r="F3396" i="1"/>
  <c r="G3396" i="1"/>
  <c r="F3397" i="1"/>
  <c r="G3397" i="1"/>
  <c r="F3398" i="1"/>
  <c r="G3398" i="1"/>
  <c r="F3399" i="1"/>
  <c r="G3399" i="1"/>
  <c r="F3400" i="1"/>
  <c r="G3400" i="1"/>
  <c r="F3401" i="1"/>
  <c r="G3401" i="1"/>
  <c r="F3402" i="1"/>
  <c r="G3402" i="1"/>
  <c r="F3403" i="1"/>
  <c r="G3403" i="1"/>
  <c r="F3404" i="1"/>
  <c r="G3404" i="1"/>
  <c r="F3405" i="1"/>
  <c r="G3405" i="1"/>
  <c r="F3406" i="1"/>
  <c r="G3406" i="1"/>
  <c r="F3407" i="1"/>
  <c r="G3407" i="1"/>
  <c r="F3408" i="1"/>
  <c r="G3408" i="1"/>
  <c r="F3409" i="1"/>
  <c r="G3409" i="1"/>
  <c r="F3410" i="1"/>
  <c r="G3410" i="1"/>
  <c r="F3411" i="1"/>
  <c r="G3411" i="1"/>
  <c r="F3412" i="1"/>
  <c r="G3412" i="1"/>
  <c r="F3413" i="1"/>
  <c r="G3413" i="1"/>
  <c r="F3414" i="1"/>
  <c r="G3414" i="1"/>
  <c r="F3415" i="1"/>
  <c r="G3415" i="1"/>
  <c r="F3143" i="1" l="1"/>
  <c r="G3143" i="1"/>
  <c r="F3144" i="1"/>
  <c r="G3144" i="1"/>
  <c r="F3145" i="1"/>
  <c r="G3145" i="1"/>
  <c r="F3146" i="1"/>
  <c r="G3146" i="1"/>
  <c r="F3147" i="1"/>
  <c r="G3147" i="1"/>
  <c r="F3148" i="1"/>
  <c r="G3148" i="1"/>
  <c r="F3149" i="1"/>
  <c r="G3149" i="1"/>
  <c r="F3150" i="1"/>
  <c r="G3150" i="1"/>
  <c r="F3151" i="1"/>
  <c r="G3151" i="1"/>
  <c r="F3152" i="1"/>
  <c r="G3152" i="1"/>
  <c r="F3153" i="1"/>
  <c r="G3153" i="1"/>
  <c r="F3154" i="1"/>
  <c r="G3154" i="1"/>
  <c r="F3155" i="1"/>
  <c r="G3155" i="1"/>
  <c r="F3156" i="1"/>
  <c r="G3156" i="1"/>
  <c r="F3157" i="1"/>
  <c r="G3157" i="1"/>
  <c r="F3158" i="1"/>
  <c r="G3158" i="1"/>
  <c r="F3159" i="1"/>
  <c r="G3159" i="1"/>
  <c r="F3160" i="1"/>
  <c r="G3160" i="1"/>
  <c r="F3161" i="1"/>
  <c r="G3161" i="1"/>
  <c r="F3162" i="1"/>
  <c r="G3162" i="1"/>
  <c r="F3163" i="1"/>
  <c r="G3163" i="1"/>
  <c r="F3164" i="1"/>
  <c r="G3164" i="1"/>
  <c r="F3165" i="1"/>
  <c r="G3165" i="1"/>
  <c r="F3166" i="1"/>
  <c r="G3166" i="1"/>
  <c r="F3167" i="1"/>
  <c r="G3167" i="1"/>
  <c r="F3168" i="1"/>
  <c r="G3168" i="1"/>
  <c r="F3169" i="1"/>
  <c r="G3169" i="1"/>
  <c r="F3170" i="1"/>
  <c r="G3170" i="1"/>
  <c r="F3171" i="1"/>
  <c r="G3171" i="1"/>
  <c r="F3172" i="1"/>
  <c r="G3172" i="1"/>
  <c r="F3173" i="1"/>
  <c r="G3173" i="1"/>
  <c r="F3174" i="1"/>
  <c r="G3174" i="1"/>
  <c r="F3175" i="1"/>
  <c r="G3175" i="1"/>
  <c r="F3176" i="1"/>
  <c r="G3176" i="1"/>
  <c r="F3177" i="1"/>
  <c r="G3177" i="1"/>
  <c r="F3178" i="1"/>
  <c r="G3178" i="1"/>
  <c r="F3179" i="1"/>
  <c r="G3179" i="1"/>
  <c r="F3180" i="1"/>
  <c r="G3180" i="1"/>
  <c r="F3181" i="1"/>
  <c r="G3181" i="1"/>
  <c r="F3182" i="1"/>
  <c r="G3182" i="1"/>
  <c r="F3183" i="1"/>
  <c r="G3183" i="1"/>
  <c r="F3184" i="1"/>
  <c r="G3184" i="1"/>
  <c r="F3185" i="1"/>
  <c r="G3185" i="1"/>
  <c r="F3186" i="1"/>
  <c r="G3186" i="1"/>
  <c r="F3187" i="1"/>
  <c r="G3187" i="1"/>
  <c r="F3188" i="1"/>
  <c r="G3188" i="1"/>
  <c r="F3189" i="1"/>
  <c r="G3189" i="1"/>
  <c r="F3190" i="1"/>
  <c r="G3190" i="1"/>
  <c r="F3191" i="1"/>
  <c r="G3191" i="1"/>
  <c r="F3192" i="1"/>
  <c r="G3192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CP25" i="2" s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6" i="1"/>
  <c r="K63" i="2"/>
  <c r="K64" i="2" s="1"/>
  <c r="L63" i="2"/>
  <c r="L64" i="2" s="1"/>
  <c r="M63" i="2"/>
  <c r="M64" i="2" s="1"/>
  <c r="N63" i="2"/>
  <c r="N64" i="2" s="1"/>
  <c r="O63" i="2"/>
  <c r="O64" i="2" s="1"/>
  <c r="P63" i="2"/>
  <c r="P64" i="2" s="1"/>
  <c r="Q63" i="2"/>
  <c r="Q64" i="2" s="1"/>
  <c r="R63" i="2"/>
  <c r="R64" i="2" s="1"/>
  <c r="S63" i="2"/>
  <c r="S64" i="2" s="1"/>
  <c r="T63" i="2"/>
  <c r="T64" i="2" s="1"/>
  <c r="U63" i="2"/>
  <c r="U64" i="2" s="1"/>
  <c r="V63" i="2"/>
  <c r="V64" i="2" s="1"/>
  <c r="W63" i="2"/>
  <c r="W64" i="2" s="1"/>
  <c r="X63" i="2"/>
  <c r="X64" i="2" s="1"/>
  <c r="Y63" i="2"/>
  <c r="Y64" i="2" s="1"/>
  <c r="Z63" i="2"/>
  <c r="Z64" i="2" s="1"/>
  <c r="AA63" i="2"/>
  <c r="AA64" i="2" s="1"/>
  <c r="AB63" i="2"/>
  <c r="AB64" i="2" s="1"/>
  <c r="AC63" i="2"/>
  <c r="AC64" i="2" s="1"/>
  <c r="AD63" i="2"/>
  <c r="AD64" i="2" s="1"/>
  <c r="AE63" i="2"/>
  <c r="AE64" i="2" s="1"/>
  <c r="AF63" i="2"/>
  <c r="AF64" i="2" s="1"/>
  <c r="AG63" i="2"/>
  <c r="AG64" i="2" s="1"/>
  <c r="AH63" i="2"/>
  <c r="AH64" i="2" s="1"/>
  <c r="AI63" i="2"/>
  <c r="AI64" i="2" s="1"/>
  <c r="AJ63" i="2"/>
  <c r="AJ64" i="2" s="1"/>
  <c r="AK63" i="2"/>
  <c r="AK64" i="2" s="1"/>
  <c r="AL63" i="2"/>
  <c r="AL64" i="2" s="1"/>
  <c r="AM63" i="2"/>
  <c r="AM64" i="2" s="1"/>
  <c r="AN63" i="2"/>
  <c r="AN64" i="2" s="1"/>
  <c r="AO63" i="2"/>
  <c r="AO64" i="2" s="1"/>
  <c r="AP63" i="2"/>
  <c r="AP64" i="2" s="1"/>
  <c r="AQ63" i="2"/>
  <c r="AQ64" i="2" s="1"/>
  <c r="AR63" i="2"/>
  <c r="AR64" i="2" s="1"/>
  <c r="AS63" i="2"/>
  <c r="AS64" i="2" s="1"/>
  <c r="AT63" i="2"/>
  <c r="AT64" i="2" s="1"/>
  <c r="AU63" i="2"/>
  <c r="AU64" i="2" s="1"/>
  <c r="AV63" i="2"/>
  <c r="AV64" i="2" s="1"/>
  <c r="AW63" i="2"/>
  <c r="AW64" i="2" s="1"/>
  <c r="AX63" i="2"/>
  <c r="AX64" i="2" s="1"/>
  <c r="AY63" i="2"/>
  <c r="AY64" i="2" s="1"/>
  <c r="AZ63" i="2"/>
  <c r="AZ64" i="2" s="1"/>
  <c r="BA63" i="2"/>
  <c r="BA64" i="2" s="1"/>
  <c r="BB63" i="2"/>
  <c r="BB64" i="2" s="1"/>
  <c r="BC63" i="2"/>
  <c r="BC64" i="2" s="1"/>
  <c r="BD63" i="2"/>
  <c r="BD64" i="2" s="1"/>
  <c r="BE63" i="2"/>
  <c r="BE64" i="2" s="1"/>
  <c r="BF63" i="2"/>
  <c r="BF64" i="2" s="1"/>
  <c r="BG63" i="2"/>
  <c r="BG64" i="2" s="1"/>
  <c r="BH63" i="2"/>
  <c r="BH64" i="2" s="1"/>
  <c r="BI63" i="2"/>
  <c r="BI64" i="2" s="1"/>
  <c r="BJ63" i="2"/>
  <c r="BJ64" i="2" s="1"/>
  <c r="BK63" i="2"/>
  <c r="BK64" i="2" s="1"/>
  <c r="BL63" i="2"/>
  <c r="BL64" i="2" s="1"/>
  <c r="BM63" i="2"/>
  <c r="BM64" i="2" s="1"/>
  <c r="BN63" i="2"/>
  <c r="BN64" i="2" s="1"/>
  <c r="BO63" i="2"/>
  <c r="BO64" i="2" s="1"/>
  <c r="BP63" i="2"/>
  <c r="BP64" i="2" s="1"/>
  <c r="BQ63" i="2"/>
  <c r="BQ64" i="2" s="1"/>
  <c r="BR63" i="2"/>
  <c r="BR64" i="2" s="1"/>
  <c r="BS63" i="2"/>
  <c r="BS64" i="2" s="1"/>
  <c r="BT63" i="2"/>
  <c r="BT64" i="2" s="1"/>
  <c r="BU63" i="2"/>
  <c r="BU64" i="2" s="1"/>
  <c r="BV63" i="2"/>
  <c r="BV64" i="2" s="1"/>
  <c r="BW63" i="2"/>
  <c r="BW64" i="2" s="1"/>
  <c r="BX63" i="2"/>
  <c r="BX64" i="2" s="1"/>
  <c r="BY63" i="2"/>
  <c r="BY64" i="2" s="1"/>
  <c r="BZ63" i="2"/>
  <c r="BZ64" i="2" s="1"/>
  <c r="CA63" i="2"/>
  <c r="CA64" i="2" s="1"/>
  <c r="CB63" i="2"/>
  <c r="CB64" i="2" s="1"/>
  <c r="CC63" i="2"/>
  <c r="CC64" i="2" s="1"/>
  <c r="CD63" i="2"/>
  <c r="CD64" i="2" s="1"/>
  <c r="CE63" i="2"/>
  <c r="CE64" i="2" s="1"/>
  <c r="CF63" i="2"/>
  <c r="CF64" i="2" s="1"/>
  <c r="CG63" i="2"/>
  <c r="CG64" i="2" s="1"/>
  <c r="CH63" i="2"/>
  <c r="CH64" i="2" s="1"/>
  <c r="CI63" i="2"/>
  <c r="CI64" i="2" s="1"/>
  <c r="CJ63" i="2"/>
  <c r="CJ64" i="2" s="1"/>
  <c r="CK63" i="2"/>
  <c r="CK64" i="2" s="1"/>
  <c r="CL63" i="2"/>
  <c r="CL64" i="2" s="1"/>
  <c r="CM63" i="2"/>
  <c r="CM64" i="2" s="1"/>
  <c r="CN63" i="2"/>
  <c r="CN64" i="2" s="1"/>
  <c r="CO63" i="2"/>
  <c r="CO64" i="2" s="1"/>
  <c r="CP63" i="2"/>
  <c r="CP64" i="2" s="1"/>
  <c r="CQ63" i="2"/>
  <c r="CQ64" i="2" s="1"/>
  <c r="CR63" i="2"/>
  <c r="CR64" i="2" s="1"/>
  <c r="CS63" i="2"/>
  <c r="CS64" i="2" s="1"/>
  <c r="CT63" i="2"/>
  <c r="CT64" i="2" s="1"/>
  <c r="CU63" i="2"/>
  <c r="CU64" i="2" s="1"/>
  <c r="CV63" i="2"/>
  <c r="CV64" i="2" s="1"/>
  <c r="CW63" i="2"/>
  <c r="CW64" i="2" s="1"/>
  <c r="CX63" i="2"/>
  <c r="CX64" i="2" s="1"/>
  <c r="CY63" i="2"/>
  <c r="CY64" i="2" s="1"/>
  <c r="CZ63" i="2"/>
  <c r="CZ64" i="2" s="1"/>
  <c r="DA63" i="2"/>
  <c r="DA64" i="2" s="1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Z29" i="2"/>
  <c r="DA29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BD8" i="2" l="1"/>
  <c r="CG34" i="2"/>
  <c r="CU25" i="2"/>
  <c r="CV23" i="2"/>
  <c r="BC22" i="2"/>
  <c r="G3" i="1"/>
  <c r="CE25" i="2"/>
  <c r="DA23" i="2"/>
  <c r="BZ25" i="2"/>
  <c r="CJ8" i="2"/>
  <c r="BT8" i="2"/>
  <c r="CW34" i="2"/>
  <c r="BO25" i="2"/>
  <c r="CP22" i="2"/>
  <c r="BJ25" i="2"/>
  <c r="BS22" i="2"/>
  <c r="AY25" i="2"/>
  <c r="BI20" i="2"/>
  <c r="BE8" i="2"/>
  <c r="CH34" i="2"/>
  <c r="AU25" i="2"/>
  <c r="BD22" i="2"/>
  <c r="CW23" i="2"/>
  <c r="CO25" i="2"/>
  <c r="BY25" i="2"/>
  <c r="BI25" i="2"/>
  <c r="CU23" i="2"/>
  <c r="CO22" i="2"/>
  <c r="BR22" i="2"/>
  <c r="BB22" i="2"/>
  <c r="CI8" i="2"/>
  <c r="BS8" i="2"/>
  <c r="BC8" i="2"/>
  <c r="CV34" i="2"/>
  <c r="CF34" i="2"/>
  <c r="CN25" i="2"/>
  <c r="BX25" i="2"/>
  <c r="BH25" i="2"/>
  <c r="CT23" i="2"/>
  <c r="CN22" i="2"/>
  <c r="BQ22" i="2"/>
  <c r="BA22" i="2"/>
  <c r="CH8" i="2"/>
  <c r="BR8" i="2"/>
  <c r="BB8" i="2"/>
  <c r="CU34" i="2"/>
  <c r="CM25" i="2"/>
  <c r="BW25" i="2"/>
  <c r="BG25" i="2"/>
  <c r="CS23" i="2"/>
  <c r="CM22" i="2"/>
  <c r="BP22" i="2"/>
  <c r="AZ22" i="2"/>
  <c r="CG8" i="2"/>
  <c r="BQ8" i="2"/>
  <c r="BA8" i="2"/>
  <c r="CT34" i="2"/>
  <c r="CL25" i="2"/>
  <c r="BV25" i="2"/>
  <c r="BF25" i="2"/>
  <c r="CR23" i="2"/>
  <c r="CL22" i="2"/>
  <c r="BO22" i="2"/>
  <c r="AY22" i="2"/>
  <c r="CF8" i="2"/>
  <c r="BP8" i="2"/>
  <c r="AZ8" i="2"/>
  <c r="CS34" i="2"/>
  <c r="DA25" i="2"/>
  <c r="CK25" i="2"/>
  <c r="BU25" i="2"/>
  <c r="BE25" i="2"/>
  <c r="CQ23" i="2"/>
  <c r="CK22" i="2"/>
  <c r="BN22" i="2"/>
  <c r="AX22" i="2"/>
  <c r="CU8" i="2"/>
  <c r="CE8" i="2"/>
  <c r="BO8" i="2"/>
  <c r="AY8" i="2"/>
  <c r="CR34" i="2"/>
  <c r="CZ25" i="2"/>
  <c r="CJ25" i="2"/>
  <c r="BT25" i="2"/>
  <c r="BD25" i="2"/>
  <c r="CP23" i="2"/>
  <c r="CJ22" i="2"/>
  <c r="BM22" i="2"/>
  <c r="AW22" i="2"/>
  <c r="CT8" i="2"/>
  <c r="CD8" i="2"/>
  <c r="BN8" i="2"/>
  <c r="AX8" i="2"/>
  <c r="CQ34" i="2"/>
  <c r="CY25" i="2"/>
  <c r="CI25" i="2"/>
  <c r="BS25" i="2"/>
  <c r="BC25" i="2"/>
  <c r="CY22" i="2"/>
  <c r="CI22" i="2"/>
  <c r="BL22" i="2"/>
  <c r="AV22" i="2"/>
  <c r="CS8" i="2"/>
  <c r="CC8" i="2"/>
  <c r="BM8" i="2"/>
  <c r="AW8" i="2"/>
  <c r="CP34" i="2"/>
  <c r="CX25" i="2"/>
  <c r="CH25" i="2"/>
  <c r="BR25" i="2"/>
  <c r="BB25" i="2"/>
  <c r="CX22" i="2"/>
  <c r="CH22" i="2"/>
  <c r="BK22" i="2"/>
  <c r="AU22" i="2"/>
  <c r="CR8" i="2"/>
  <c r="CB8" i="2"/>
  <c r="BL8" i="2"/>
  <c r="AV8" i="2"/>
  <c r="CO34" i="2"/>
  <c r="CW25" i="2"/>
  <c r="CG25" i="2"/>
  <c r="BQ25" i="2"/>
  <c r="BA25" i="2"/>
  <c r="CW22" i="2"/>
  <c r="CG22" i="2"/>
  <c r="BJ22" i="2"/>
  <c r="CQ8" i="2"/>
  <c r="CA8" i="2"/>
  <c r="BK8" i="2"/>
  <c r="CN34" i="2"/>
  <c r="CV25" i="2"/>
  <c r="CF25" i="2"/>
  <c r="BP25" i="2"/>
  <c r="AZ25" i="2"/>
  <c r="CV22" i="2"/>
  <c r="CF22" i="2"/>
  <c r="BI22" i="2"/>
  <c r="CP8" i="2"/>
  <c r="BZ8" i="2"/>
  <c r="BJ8" i="2"/>
  <c r="CM34" i="2"/>
  <c r="CU22" i="2"/>
  <c r="BX22" i="2"/>
  <c r="BH22" i="2"/>
  <c r="CO8" i="2"/>
  <c r="BY8" i="2"/>
  <c r="BI8" i="2"/>
  <c r="CL34" i="2"/>
  <c r="CT25" i="2"/>
  <c r="CD25" i="2"/>
  <c r="BN25" i="2"/>
  <c r="AX25" i="2"/>
  <c r="CZ23" i="2"/>
  <c r="CT22" i="2"/>
  <c r="BW22" i="2"/>
  <c r="BG22" i="2"/>
  <c r="CN8" i="2"/>
  <c r="BX8" i="2"/>
  <c r="BH8" i="2"/>
  <c r="DA34" i="2"/>
  <c r="CK34" i="2"/>
  <c r="CS25" i="2"/>
  <c r="CC25" i="2"/>
  <c r="BM25" i="2"/>
  <c r="AW25" i="2"/>
  <c r="CY23" i="2"/>
  <c r="CS22" i="2"/>
  <c r="BV22" i="2"/>
  <c r="BF22" i="2"/>
  <c r="CM8" i="2"/>
  <c r="BW8" i="2"/>
  <c r="BG8" i="2"/>
  <c r="CZ34" i="2"/>
  <c r="CJ34" i="2"/>
  <c r="CR25" i="2"/>
  <c r="CB25" i="2"/>
  <c r="BL25" i="2"/>
  <c r="AV25" i="2"/>
  <c r="CX23" i="2"/>
  <c r="CR22" i="2"/>
  <c r="BU22" i="2"/>
  <c r="BE22" i="2"/>
  <c r="CL8" i="2"/>
  <c r="BV8" i="2"/>
  <c r="BF8" i="2"/>
  <c r="CY34" i="2"/>
  <c r="CI34" i="2"/>
  <c r="CQ25" i="2"/>
  <c r="CA25" i="2"/>
  <c r="BK25" i="2"/>
  <c r="CQ22" i="2"/>
  <c r="BT22" i="2"/>
  <c r="CK8" i="2"/>
  <c r="BU8" i="2"/>
  <c r="CX34" i="2"/>
  <c r="BO20" i="2"/>
  <c r="BN20" i="2"/>
  <c r="BM20" i="2"/>
  <c r="BL20" i="2"/>
  <c r="BK20" i="2"/>
  <c r="BJ20" i="2"/>
  <c r="U2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U11" i="2"/>
  <c r="U15" i="2"/>
  <c r="U16" i="2"/>
  <c r="U18" i="2"/>
  <c r="U19" i="2"/>
  <c r="U25" i="2"/>
  <c r="U26" i="2"/>
  <c r="U27" i="2"/>
  <c r="U28" i="2"/>
  <c r="U35" i="2"/>
  <c r="U36" i="2"/>
  <c r="U38" i="2"/>
  <c r="U39" i="2"/>
  <c r="U40" i="2"/>
  <c r="U41" i="2"/>
  <c r="U42" i="2"/>
  <c r="U43" i="2"/>
  <c r="U44" i="2"/>
  <c r="U45" i="2"/>
  <c r="U46" i="2"/>
  <c r="U47" i="2"/>
  <c r="U48" i="2"/>
  <c r="U49" i="2"/>
  <c r="U6" i="2"/>
  <c r="CE22" i="2" l="1"/>
  <c r="CE34" i="2"/>
  <c r="CC22" i="2"/>
  <c r="CC34" i="2"/>
  <c r="CD22" i="2"/>
  <c r="CD34" i="2"/>
  <c r="CB22" i="2"/>
  <c r="CB34" i="2"/>
  <c r="CA22" i="2"/>
  <c r="CA34" i="2"/>
  <c r="BZ22" i="2"/>
  <c r="BZ34" i="2"/>
  <c r="BY22" i="2"/>
  <c r="BY34" i="2"/>
  <c r="BH34" i="2"/>
  <c r="BG34" i="2"/>
  <c r="U17" i="2"/>
  <c r="U13" i="2"/>
  <c r="U37" i="2"/>
  <c r="U32" i="2"/>
  <c r="K37" i="2" l="1"/>
  <c r="K38" i="2"/>
  <c r="AN6" i="2" l="1"/>
  <c r="AO6" i="2"/>
  <c r="AP6" i="2"/>
  <c r="AQ6" i="2"/>
  <c r="AR6" i="2"/>
  <c r="AS6" i="2"/>
  <c r="AT6" i="2"/>
  <c r="AN11" i="2"/>
  <c r="AO11" i="2"/>
  <c r="AP11" i="2"/>
  <c r="AQ11" i="2"/>
  <c r="AR11" i="2"/>
  <c r="AS11" i="2"/>
  <c r="AT11" i="2"/>
  <c r="AN13" i="2"/>
  <c r="AO13" i="2"/>
  <c r="AP13" i="2"/>
  <c r="AQ13" i="2"/>
  <c r="AR13" i="2"/>
  <c r="AS13" i="2"/>
  <c r="AT13" i="2"/>
  <c r="AN15" i="2"/>
  <c r="AO15" i="2"/>
  <c r="AP15" i="2"/>
  <c r="AQ15" i="2"/>
  <c r="AR15" i="2"/>
  <c r="AS15" i="2"/>
  <c r="AT15" i="2"/>
  <c r="AN16" i="2"/>
  <c r="AO16" i="2"/>
  <c r="AP16" i="2"/>
  <c r="AQ16" i="2"/>
  <c r="AR16" i="2"/>
  <c r="AS16" i="2"/>
  <c r="AT16" i="2"/>
  <c r="AN17" i="2"/>
  <c r="AO17" i="2"/>
  <c r="AP17" i="2"/>
  <c r="AQ17" i="2"/>
  <c r="AR17" i="2"/>
  <c r="AS17" i="2"/>
  <c r="AT17" i="2"/>
  <c r="AN18" i="2"/>
  <c r="AO18" i="2"/>
  <c r="AP18" i="2"/>
  <c r="AQ18" i="2"/>
  <c r="AR18" i="2"/>
  <c r="AS18" i="2"/>
  <c r="AT18" i="2"/>
  <c r="AN19" i="2"/>
  <c r="AO19" i="2"/>
  <c r="AP19" i="2"/>
  <c r="AQ19" i="2"/>
  <c r="AR19" i="2"/>
  <c r="AS19" i="2"/>
  <c r="AT19" i="2"/>
  <c r="AN24" i="2"/>
  <c r="AO24" i="2"/>
  <c r="AP24" i="2"/>
  <c r="AQ24" i="2"/>
  <c r="AR24" i="2"/>
  <c r="AS24" i="2"/>
  <c r="AT24" i="2"/>
  <c r="AN25" i="2"/>
  <c r="AO25" i="2"/>
  <c r="AP25" i="2"/>
  <c r="AQ25" i="2"/>
  <c r="AR25" i="2"/>
  <c r="AS25" i="2"/>
  <c r="AT25" i="2"/>
  <c r="AN26" i="2"/>
  <c r="AO26" i="2"/>
  <c r="AP26" i="2"/>
  <c r="AQ26" i="2"/>
  <c r="AR26" i="2"/>
  <c r="AS26" i="2"/>
  <c r="AT26" i="2"/>
  <c r="AN27" i="2"/>
  <c r="AO27" i="2"/>
  <c r="AP27" i="2"/>
  <c r="AQ27" i="2"/>
  <c r="AR27" i="2"/>
  <c r="AS27" i="2"/>
  <c r="AT27" i="2"/>
  <c r="AN28" i="2"/>
  <c r="AO28" i="2"/>
  <c r="AP28" i="2"/>
  <c r="AQ28" i="2"/>
  <c r="AR28" i="2"/>
  <c r="AS28" i="2"/>
  <c r="AT28" i="2"/>
  <c r="AN32" i="2"/>
  <c r="AO32" i="2"/>
  <c r="AP32" i="2"/>
  <c r="AQ32" i="2"/>
  <c r="AN35" i="2"/>
  <c r="AO35" i="2"/>
  <c r="AP35" i="2"/>
  <c r="AQ35" i="2"/>
  <c r="AN36" i="2"/>
  <c r="AO36" i="2"/>
  <c r="AP36" i="2"/>
  <c r="AQ36" i="2"/>
  <c r="AN37" i="2"/>
  <c r="AO37" i="2"/>
  <c r="AP37" i="2"/>
  <c r="AQ37" i="2"/>
  <c r="AN38" i="2"/>
  <c r="AO38" i="2"/>
  <c r="AP38" i="2"/>
  <c r="AQ38" i="2"/>
  <c r="AN39" i="2"/>
  <c r="AO39" i="2"/>
  <c r="AP39" i="2"/>
  <c r="AQ39" i="2"/>
  <c r="AN40" i="2"/>
  <c r="AO40" i="2"/>
  <c r="AP40" i="2"/>
  <c r="AQ40" i="2"/>
  <c r="AN41" i="2"/>
  <c r="AO41" i="2"/>
  <c r="AP41" i="2"/>
  <c r="AQ41" i="2"/>
  <c r="AN42" i="2"/>
  <c r="AO42" i="2"/>
  <c r="AP42" i="2"/>
  <c r="AQ42" i="2"/>
  <c r="AN43" i="2"/>
  <c r="AO43" i="2"/>
  <c r="AP43" i="2"/>
  <c r="AQ43" i="2"/>
  <c r="AN44" i="2"/>
  <c r="AO44" i="2"/>
  <c r="AP44" i="2"/>
  <c r="AQ44" i="2"/>
  <c r="AN45" i="2"/>
  <c r="AO45" i="2"/>
  <c r="AP45" i="2"/>
  <c r="AQ45" i="2"/>
  <c r="AN46" i="2"/>
  <c r="AO46" i="2"/>
  <c r="AP46" i="2"/>
  <c r="AQ46" i="2"/>
  <c r="AN47" i="2"/>
  <c r="AO47" i="2"/>
  <c r="AP47" i="2"/>
  <c r="AQ47" i="2"/>
  <c r="AN48" i="2"/>
  <c r="AO48" i="2"/>
  <c r="AP48" i="2"/>
  <c r="AQ48" i="2"/>
  <c r="AN49" i="2"/>
  <c r="AO49" i="2"/>
  <c r="AP49" i="2"/>
  <c r="AQ49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BP20" i="2"/>
  <c r="BQ20" i="2"/>
  <c r="BR20" i="2"/>
  <c r="BG21" i="2"/>
  <c r="BH21" i="2"/>
  <c r="CZ22" i="2"/>
  <c r="AW23" i="2"/>
  <c r="AX23" i="2"/>
  <c r="AY23" i="2"/>
  <c r="AZ23" i="2"/>
  <c r="BA23" i="2"/>
  <c r="BB23" i="2"/>
  <c r="BC23" i="2"/>
  <c r="BD23" i="2"/>
  <c r="BE23" i="2"/>
  <c r="BG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9" i="2"/>
  <c r="CQ29" i="2"/>
  <c r="CR29" i="2"/>
  <c r="CS29" i="2"/>
  <c r="CT29" i="2"/>
  <c r="CU29" i="2"/>
  <c r="CV29" i="2"/>
  <c r="CW29" i="2"/>
  <c r="CX29" i="2"/>
  <c r="CY29" i="2"/>
  <c r="CZ30" i="2"/>
  <c r="DA30" i="2"/>
  <c r="AX33" i="2"/>
  <c r="BG33" i="2"/>
  <c r="BN33" i="2"/>
  <c r="BW33" i="2"/>
  <c r="CD33" i="2"/>
  <c r="CM33" i="2"/>
  <c r="CT33" i="2"/>
  <c r="BS20" i="2"/>
  <c r="BU20" i="2"/>
  <c r="BW20" i="2"/>
  <c r="BX20" i="2"/>
  <c r="BY20" i="2"/>
  <c r="BZ20" i="2"/>
  <c r="CC20" i="2"/>
  <c r="CE20" i="2"/>
  <c r="CF20" i="2"/>
  <c r="CG20" i="2"/>
  <c r="CH20" i="2"/>
  <c r="CI20" i="2"/>
  <c r="CK20" i="2"/>
  <c r="CM20" i="2"/>
  <c r="CN20" i="2"/>
  <c r="CO20" i="2"/>
  <c r="CP20" i="2"/>
  <c r="CQ20" i="2"/>
  <c r="CS20" i="2"/>
  <c r="CU20" i="2"/>
  <c r="CV20" i="2"/>
  <c r="CW20" i="2"/>
  <c r="CX20" i="2"/>
  <c r="CY20" i="2"/>
  <c r="DA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V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L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AR34" i="2"/>
  <c r="AS34" i="2"/>
  <c r="AT34" i="2"/>
  <c r="AU7" i="2"/>
  <c r="BK7" i="2"/>
  <c r="CA7" i="2"/>
  <c r="CQ7" i="2"/>
  <c r="CV8" i="2"/>
  <c r="CW8" i="2"/>
  <c r="CX8" i="2"/>
  <c r="CY8" i="2"/>
  <c r="CZ8" i="2"/>
  <c r="DA8" i="2"/>
  <c r="AU8" i="2"/>
  <c r="CG9" i="2"/>
  <c r="CW9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BR14" i="2"/>
  <c r="BT14" i="2"/>
  <c r="BV14" i="2"/>
  <c r="BY14" i="2"/>
  <c r="CA14" i="2"/>
  <c r="CC14" i="2"/>
  <c r="CH14" i="2"/>
  <c r="CJ14" i="2"/>
  <c r="CL14" i="2"/>
  <c r="CO14" i="2"/>
  <c r="CQ14" i="2"/>
  <c r="CR14" i="2"/>
  <c r="CS14" i="2"/>
  <c r="CX14" i="2"/>
  <c r="CZ14" i="2"/>
  <c r="AU14" i="2"/>
  <c r="AV14" i="2"/>
  <c r="AW14" i="2"/>
  <c r="AX14" i="2"/>
  <c r="AY14" i="2"/>
  <c r="AZ14" i="2"/>
  <c r="BA14" i="2"/>
  <c r="BB14" i="2"/>
  <c r="BC14" i="2"/>
  <c r="BE14" i="2"/>
  <c r="BG14" i="2"/>
  <c r="BH14" i="2"/>
  <c r="BI14" i="2"/>
  <c r="BJ14" i="2"/>
  <c r="BK14" i="2"/>
  <c r="BL14" i="2"/>
  <c r="BM14" i="2"/>
  <c r="BN14" i="2"/>
  <c r="BO14" i="2"/>
  <c r="BF14" i="2" l="1"/>
  <c r="DA14" i="2"/>
  <c r="CK14" i="2"/>
  <c r="BU14" i="2"/>
  <c r="BD14" i="2"/>
  <c r="CM21" i="2"/>
  <c r="BW21" i="2"/>
  <c r="CL20" i="2"/>
  <c r="BV20" i="2"/>
  <c r="CK21" i="2"/>
  <c r="BU21" i="2"/>
  <c r="CZ20" i="2"/>
  <c r="CJ20" i="2"/>
  <c r="BT20" i="2"/>
  <c r="CT14" i="2"/>
  <c r="CD14" i="2"/>
  <c r="CB14" i="2"/>
  <c r="CU9" i="2"/>
  <c r="AY9" i="2"/>
  <c r="CE9" i="2"/>
  <c r="BO9" i="2"/>
  <c r="DA7" i="2"/>
  <c r="CW7" i="2"/>
  <c r="BQ9" i="2"/>
  <c r="BA9" i="2"/>
  <c r="CS7" i="2"/>
  <c r="CC7" i="2"/>
  <c r="BM7" i="2"/>
  <c r="AW7" i="2"/>
  <c r="AV21" i="2"/>
  <c r="AV34" i="2"/>
  <c r="CO33" i="2"/>
  <c r="BY33" i="2"/>
  <c r="BI33" i="2"/>
  <c r="AS33" i="2"/>
  <c r="BH12" i="2"/>
  <c r="BH23" i="2"/>
  <c r="CM12" i="2"/>
  <c r="BW12" i="2"/>
  <c r="AU21" i="2"/>
  <c r="AU34" i="2"/>
  <c r="CN33" i="2"/>
  <c r="BX33" i="2"/>
  <c r="BH33" i="2"/>
  <c r="AR33" i="2"/>
  <c r="BF12" i="2"/>
  <c r="BF23" i="2"/>
  <c r="DA12" i="2"/>
  <c r="DA22" i="2"/>
  <c r="CK12" i="2"/>
  <c r="BU12" i="2"/>
  <c r="CY14" i="2"/>
  <c r="CI14" i="2"/>
  <c r="BS14" i="2"/>
  <c r="CL33" i="2"/>
  <c r="BV33" i="2"/>
  <c r="BF33" i="2"/>
  <c r="DA33" i="2"/>
  <c r="CK33" i="2"/>
  <c r="BU33" i="2"/>
  <c r="BE33" i="2"/>
  <c r="CW14" i="2"/>
  <c r="CG14" i="2"/>
  <c r="BQ14" i="2"/>
  <c r="CZ33" i="2"/>
  <c r="CJ33" i="2"/>
  <c r="BT33" i="2"/>
  <c r="BD33" i="2"/>
  <c r="CV14" i="2"/>
  <c r="CF14" i="2"/>
  <c r="BP14" i="2"/>
  <c r="BF21" i="2"/>
  <c r="BF34" i="2"/>
  <c r="CY33" i="2"/>
  <c r="CI33" i="2"/>
  <c r="BS33" i="2"/>
  <c r="BC33" i="2"/>
  <c r="CU14" i="2"/>
  <c r="CE14" i="2"/>
  <c r="BE21" i="2"/>
  <c r="BE34" i="2"/>
  <c r="CX33" i="2"/>
  <c r="CH33" i="2"/>
  <c r="BR33" i="2"/>
  <c r="BB33" i="2"/>
  <c r="BD21" i="2"/>
  <c r="BD34" i="2"/>
  <c r="CW33" i="2"/>
  <c r="CG33" i="2"/>
  <c r="BQ33" i="2"/>
  <c r="BA33" i="2"/>
  <c r="BC21" i="2"/>
  <c r="BC34" i="2"/>
  <c r="CV33" i="2"/>
  <c r="CF33" i="2"/>
  <c r="BP33" i="2"/>
  <c r="AZ33" i="2"/>
  <c r="BB21" i="2"/>
  <c r="BB34" i="2"/>
  <c r="CU33" i="2"/>
  <c r="CE33" i="2"/>
  <c r="BO33" i="2"/>
  <c r="AY33" i="2"/>
  <c r="CP14" i="2"/>
  <c r="BZ14" i="2"/>
  <c r="AZ21" i="2"/>
  <c r="AZ34" i="2"/>
  <c r="CT20" i="2"/>
  <c r="CD20" i="2"/>
  <c r="CS33" i="2"/>
  <c r="CC33" i="2"/>
  <c r="BM33" i="2"/>
  <c r="AW33" i="2"/>
  <c r="AV12" i="2"/>
  <c r="AV23" i="2"/>
  <c r="AY21" i="2"/>
  <c r="AY34" i="2"/>
  <c r="CR33" i="2"/>
  <c r="CB33" i="2"/>
  <c r="BL33" i="2"/>
  <c r="AV33" i="2"/>
  <c r="AU12" i="2"/>
  <c r="AU23" i="2"/>
  <c r="BA21" i="2"/>
  <c r="BA34" i="2"/>
  <c r="CN14" i="2"/>
  <c r="BX14" i="2"/>
  <c r="AX21" i="2"/>
  <c r="AX34" i="2"/>
  <c r="CR20" i="2"/>
  <c r="CB20" i="2"/>
  <c r="CQ33" i="2"/>
  <c r="CA33" i="2"/>
  <c r="BK33" i="2"/>
  <c r="AU33" i="2"/>
  <c r="CM14" i="2"/>
  <c r="BW14" i="2"/>
  <c r="AW21" i="2"/>
  <c r="AW34" i="2"/>
  <c r="CA20" i="2"/>
  <c r="CP33" i="2"/>
  <c r="BZ33" i="2"/>
  <c r="BJ33" i="2"/>
  <c r="AT33" i="2"/>
  <c r="CV9" i="2"/>
  <c r="CF9" i="2"/>
  <c r="BP9" i="2"/>
  <c r="AZ9" i="2"/>
  <c r="CR7" i="2"/>
  <c r="CB7" i="2"/>
  <c r="BL7" i="2"/>
  <c r="AV7" i="2"/>
  <c r="BG12" i="2"/>
  <c r="CL12" i="2"/>
  <c r="BV12" i="2"/>
  <c r="CT9" i="2"/>
  <c r="AX9" i="2"/>
  <c r="BZ7" i="2"/>
  <c r="BJ7" i="2"/>
  <c r="BE12" i="2"/>
  <c r="CZ12" i="2"/>
  <c r="CJ12" i="2"/>
  <c r="BT12" i="2"/>
  <c r="CD9" i="2"/>
  <c r="BN9" i="2"/>
  <c r="CP7" i="2"/>
  <c r="CS9" i="2"/>
  <c r="CC9" i="2"/>
  <c r="BM9" i="2"/>
  <c r="AW9" i="2"/>
  <c r="CO7" i="2"/>
  <c r="BY7" i="2"/>
  <c r="BI7" i="2"/>
  <c r="BD12" i="2"/>
  <c r="CY12" i="2"/>
  <c r="CI12" i="2"/>
  <c r="BS12" i="2"/>
  <c r="CR9" i="2"/>
  <c r="CB9" i="2"/>
  <c r="BL9" i="2"/>
  <c r="AV9" i="2"/>
  <c r="CN7" i="2"/>
  <c r="BX7" i="2"/>
  <c r="BH7" i="2"/>
  <c r="BC12" i="2"/>
  <c r="CX12" i="2"/>
  <c r="CH12" i="2"/>
  <c r="BR12" i="2"/>
  <c r="CQ9" i="2"/>
  <c r="CA9" i="2"/>
  <c r="BK9" i="2"/>
  <c r="AU9" i="2"/>
  <c r="CM7" i="2"/>
  <c r="BW7" i="2"/>
  <c r="BG7" i="2"/>
  <c r="BB12" i="2"/>
  <c r="CW12" i="2"/>
  <c r="CG12" i="2"/>
  <c r="BQ12" i="2"/>
  <c r="CP9" i="2"/>
  <c r="BZ9" i="2"/>
  <c r="BJ9" i="2"/>
  <c r="CL7" i="2"/>
  <c r="BV7" i="2"/>
  <c r="BF7" i="2"/>
  <c r="BA12" i="2"/>
  <c r="CV12" i="2"/>
  <c r="CF12" i="2"/>
  <c r="BP12" i="2"/>
  <c r="CO9" i="2"/>
  <c r="BY9" i="2"/>
  <c r="BI9" i="2"/>
  <c r="CK7" i="2"/>
  <c r="BU7" i="2"/>
  <c r="BE7" i="2"/>
  <c r="AZ12" i="2"/>
  <c r="CU12" i="2"/>
  <c r="CE12" i="2"/>
  <c r="BO12" i="2"/>
  <c r="CN9" i="2"/>
  <c r="BX9" i="2"/>
  <c r="BH9" i="2"/>
  <c r="CZ7" i="2"/>
  <c r="CJ7" i="2"/>
  <c r="BT7" i="2"/>
  <c r="BD7" i="2"/>
  <c r="AY12" i="2"/>
  <c r="CT12" i="2"/>
  <c r="CD12" i="2"/>
  <c r="BN12" i="2"/>
  <c r="CM9" i="2"/>
  <c r="BW9" i="2"/>
  <c r="BG9" i="2"/>
  <c r="CY7" i="2"/>
  <c r="CI7" i="2"/>
  <c r="BS7" i="2"/>
  <c r="BC7" i="2"/>
  <c r="AX12" i="2"/>
  <c r="CS12" i="2"/>
  <c r="CC12" i="2"/>
  <c r="CC50" i="2" s="1"/>
  <c r="BM12" i="2"/>
  <c r="CL9" i="2"/>
  <c r="BV9" i="2"/>
  <c r="BF9" i="2"/>
  <c r="CX7" i="2"/>
  <c r="CH7" i="2"/>
  <c r="BR7" i="2"/>
  <c r="BB7" i="2"/>
  <c r="AW12" i="2"/>
  <c r="CR12" i="2"/>
  <c r="CB12" i="2"/>
  <c r="BL12" i="2"/>
  <c r="DA9" i="2"/>
  <c r="CK9" i="2"/>
  <c r="BU9" i="2"/>
  <c r="BE9" i="2"/>
  <c r="CG7" i="2"/>
  <c r="BQ7" i="2"/>
  <c r="BA7" i="2"/>
  <c r="CQ12" i="2"/>
  <c r="CA12" i="2"/>
  <c r="BK12" i="2"/>
  <c r="CZ9" i="2"/>
  <c r="CJ9" i="2"/>
  <c r="BT9" i="2"/>
  <c r="BD9" i="2"/>
  <c r="CV7" i="2"/>
  <c r="CF7" i="2"/>
  <c r="BP7" i="2"/>
  <c r="AZ7" i="2"/>
  <c r="CP12" i="2"/>
  <c r="BZ12" i="2"/>
  <c r="BJ12" i="2"/>
  <c r="CI9" i="2"/>
  <c r="BS9" i="2"/>
  <c r="BC9" i="2"/>
  <c r="CU7" i="2"/>
  <c r="CE7" i="2"/>
  <c r="BO7" i="2"/>
  <c r="AY7" i="2"/>
  <c r="CO12" i="2"/>
  <c r="BY12" i="2"/>
  <c r="BI12" i="2"/>
  <c r="CY9" i="2"/>
  <c r="CX9" i="2"/>
  <c r="CH9" i="2"/>
  <c r="BR9" i="2"/>
  <c r="BB9" i="2"/>
  <c r="CT7" i="2"/>
  <c r="CD7" i="2"/>
  <c r="BN7" i="2"/>
  <c r="AX7" i="2"/>
  <c r="CN12" i="2"/>
  <c r="BX12" i="2"/>
  <c r="Z30" i="2"/>
  <c r="AB12" i="2"/>
  <c r="Z33" i="2"/>
  <c r="AD8" i="2"/>
  <c r="AC33" i="2"/>
  <c r="AT22" i="2"/>
  <c r="Y10" i="2"/>
  <c r="AN9" i="2"/>
  <c r="Y30" i="2"/>
  <c r="AQ7" i="2"/>
  <c r="AL14" i="2"/>
  <c r="Z34" i="2"/>
  <c r="Z31" i="2"/>
  <c r="AJ29" i="2"/>
  <c r="AI20" i="2"/>
  <c r="AG34" i="2"/>
  <c r="AG31" i="2"/>
  <c r="AT23" i="2"/>
  <c r="U21" i="2"/>
  <c r="AL34" i="2"/>
  <c r="AL33" i="2"/>
  <c r="AL31" i="2"/>
  <c r="AL30" i="2"/>
  <c r="AL29" i="2"/>
  <c r="AL23" i="2"/>
  <c r="AL22" i="2"/>
  <c r="AL21" i="2"/>
  <c r="AL20" i="2"/>
  <c r="AL12" i="2"/>
  <c r="AL10" i="2"/>
  <c r="AL9" i="2"/>
  <c r="AL8" i="2"/>
  <c r="AL7" i="2"/>
  <c r="AQ31" i="2"/>
  <c r="AO29" i="2"/>
  <c r="AP22" i="2"/>
  <c r="AN20" i="2"/>
  <c r="AT10" i="2"/>
  <c r="AR8" i="2"/>
  <c r="U14" i="2"/>
  <c r="AK34" i="2"/>
  <c r="AK33" i="2"/>
  <c r="AK31" i="2"/>
  <c r="AK30" i="2"/>
  <c r="AK29" i="2"/>
  <c r="AK23" i="2"/>
  <c r="AK22" i="2"/>
  <c r="AK21" i="2"/>
  <c r="AK20" i="2"/>
  <c r="AK14" i="2"/>
  <c r="AK12" i="2"/>
  <c r="AK10" i="2"/>
  <c r="AK9" i="2"/>
  <c r="AK8" i="2"/>
  <c r="AK7" i="2"/>
  <c r="AP31" i="2"/>
  <c r="AN29" i="2"/>
  <c r="AO22" i="2"/>
  <c r="AS10" i="2"/>
  <c r="AQ8" i="2"/>
  <c r="AJ34" i="2"/>
  <c r="AJ33" i="2"/>
  <c r="AJ31" i="2"/>
  <c r="AJ30" i="2"/>
  <c r="AJ23" i="2"/>
  <c r="AJ22" i="2"/>
  <c r="AJ21" i="2"/>
  <c r="AJ20" i="2"/>
  <c r="AJ14" i="2"/>
  <c r="AJ12" i="2"/>
  <c r="AJ10" i="2"/>
  <c r="AJ9" i="2"/>
  <c r="AJ8" i="2"/>
  <c r="AJ7" i="2"/>
  <c r="AQ33" i="2"/>
  <c r="AO31" i="2"/>
  <c r="AN22" i="2"/>
  <c r="AT12" i="2"/>
  <c r="AR10" i="2"/>
  <c r="AP8" i="2"/>
  <c r="U29" i="2"/>
  <c r="AI34" i="2"/>
  <c r="AI33" i="2"/>
  <c r="AI31" i="2"/>
  <c r="AI30" i="2"/>
  <c r="AI29" i="2"/>
  <c r="AI23" i="2"/>
  <c r="AI22" i="2"/>
  <c r="AI21" i="2"/>
  <c r="AI14" i="2"/>
  <c r="AI12" i="2"/>
  <c r="AI10" i="2"/>
  <c r="AI9" i="2"/>
  <c r="AI8" i="2"/>
  <c r="AI7" i="2"/>
  <c r="AP33" i="2"/>
  <c r="AN31" i="2"/>
  <c r="AT21" i="2"/>
  <c r="AS12" i="2"/>
  <c r="AQ10" i="2"/>
  <c r="AO8" i="2"/>
  <c r="U20" i="2"/>
  <c r="AH34" i="2"/>
  <c r="AH33" i="2"/>
  <c r="AH31" i="2"/>
  <c r="AH30" i="2"/>
  <c r="AH29" i="2"/>
  <c r="AH23" i="2"/>
  <c r="AH22" i="2"/>
  <c r="AH21" i="2"/>
  <c r="AH20" i="2"/>
  <c r="AH14" i="2"/>
  <c r="AH12" i="2"/>
  <c r="AH10" i="2"/>
  <c r="AH9" i="2"/>
  <c r="AH8" i="2"/>
  <c r="AH7" i="2"/>
  <c r="AO33" i="2"/>
  <c r="AS21" i="2"/>
  <c r="AT14" i="2"/>
  <c r="AR12" i="2"/>
  <c r="AP10" i="2"/>
  <c r="AN8" i="2"/>
  <c r="AG33" i="2"/>
  <c r="AG30" i="2"/>
  <c r="AG29" i="2"/>
  <c r="AG23" i="2"/>
  <c r="AG22" i="2"/>
  <c r="AG21" i="2"/>
  <c r="AG20" i="2"/>
  <c r="AG14" i="2"/>
  <c r="AG12" i="2"/>
  <c r="AG10" i="2"/>
  <c r="AG9" i="2"/>
  <c r="AG8" i="2"/>
  <c r="AG7" i="2"/>
  <c r="AN33" i="2"/>
  <c r="AR21" i="2"/>
  <c r="AS14" i="2"/>
  <c r="AQ12" i="2"/>
  <c r="AO10" i="2"/>
  <c r="AT7" i="2"/>
  <c r="U34" i="2"/>
  <c r="U31" i="2"/>
  <c r="K31" i="2"/>
  <c r="U23" i="2"/>
  <c r="AF34" i="2"/>
  <c r="AF33" i="2"/>
  <c r="AF31" i="2"/>
  <c r="AF30" i="2"/>
  <c r="AF29" i="2"/>
  <c r="AF23" i="2"/>
  <c r="AF22" i="2"/>
  <c r="AF21" i="2"/>
  <c r="AF20" i="2"/>
  <c r="AF14" i="2"/>
  <c r="AF12" i="2"/>
  <c r="AF10" i="2"/>
  <c r="AF9" i="2"/>
  <c r="AF8" i="2"/>
  <c r="AF7" i="2"/>
  <c r="AS23" i="2"/>
  <c r="AQ21" i="2"/>
  <c r="AR14" i="2"/>
  <c r="AP12" i="2"/>
  <c r="AN10" i="2"/>
  <c r="AS7" i="2"/>
  <c r="AE34" i="2"/>
  <c r="AE33" i="2"/>
  <c r="AE31" i="2"/>
  <c r="AE30" i="2"/>
  <c r="AE29" i="2"/>
  <c r="AE23" i="2"/>
  <c r="AE22" i="2"/>
  <c r="AE21" i="2"/>
  <c r="AE20" i="2"/>
  <c r="AE14" i="2"/>
  <c r="AE12" i="2"/>
  <c r="AE10" i="2"/>
  <c r="AE9" i="2"/>
  <c r="AE8" i="2"/>
  <c r="AE7" i="2"/>
  <c r="AQ30" i="2"/>
  <c r="AR23" i="2"/>
  <c r="AP21" i="2"/>
  <c r="AQ14" i="2"/>
  <c r="AO12" i="2"/>
  <c r="AT9" i="2"/>
  <c r="AR7" i="2"/>
  <c r="AD34" i="2"/>
  <c r="AD33" i="2"/>
  <c r="AD31" i="2"/>
  <c r="AD30" i="2"/>
  <c r="AD29" i="2"/>
  <c r="AD23" i="2"/>
  <c r="AD22" i="2"/>
  <c r="AD21" i="2"/>
  <c r="AD20" i="2"/>
  <c r="AD14" i="2"/>
  <c r="AD12" i="2"/>
  <c r="AD10" i="2"/>
  <c r="AD9" i="2"/>
  <c r="AD7" i="2"/>
  <c r="AP30" i="2"/>
  <c r="AQ23" i="2"/>
  <c r="AO21" i="2"/>
  <c r="AP14" i="2"/>
  <c r="AN12" i="2"/>
  <c r="AS9" i="2"/>
  <c r="U7" i="2"/>
  <c r="U8" i="2"/>
  <c r="AC34" i="2"/>
  <c r="AC31" i="2"/>
  <c r="AC30" i="2"/>
  <c r="AC29" i="2"/>
  <c r="AC23" i="2"/>
  <c r="AC22" i="2"/>
  <c r="AC21" i="2"/>
  <c r="AC20" i="2"/>
  <c r="AC14" i="2"/>
  <c r="AC12" i="2"/>
  <c r="AC10" i="2"/>
  <c r="AC9" i="2"/>
  <c r="AC8" i="2"/>
  <c r="AC7" i="2"/>
  <c r="AO30" i="2"/>
  <c r="AP23" i="2"/>
  <c r="AN21" i="2"/>
  <c r="AO14" i="2"/>
  <c r="AR9" i="2"/>
  <c r="AP7" i="2"/>
  <c r="U33" i="2"/>
  <c r="K33" i="2"/>
  <c r="AB34" i="2"/>
  <c r="AB33" i="2"/>
  <c r="AB31" i="2"/>
  <c r="AB30" i="2"/>
  <c r="AB29" i="2"/>
  <c r="AB23" i="2"/>
  <c r="AB22" i="2"/>
  <c r="AB21" i="2"/>
  <c r="AB20" i="2"/>
  <c r="AB14" i="2"/>
  <c r="AB10" i="2"/>
  <c r="AB9" i="2"/>
  <c r="AB8" i="2"/>
  <c r="AB7" i="2"/>
  <c r="AN30" i="2"/>
  <c r="AO23" i="2"/>
  <c r="AT20" i="2"/>
  <c r="AN14" i="2"/>
  <c r="AQ9" i="2"/>
  <c r="AO7" i="2"/>
  <c r="U12" i="2"/>
  <c r="AA34" i="2"/>
  <c r="AA33" i="2"/>
  <c r="AA31" i="2"/>
  <c r="AA30" i="2"/>
  <c r="AA29" i="2"/>
  <c r="AA23" i="2"/>
  <c r="AA22" i="2"/>
  <c r="AA21" i="2"/>
  <c r="AA20" i="2"/>
  <c r="AA14" i="2"/>
  <c r="AA12" i="2"/>
  <c r="AA10" i="2"/>
  <c r="AA9" i="2"/>
  <c r="AA8" i="2"/>
  <c r="AA7" i="2"/>
  <c r="AQ34" i="2"/>
  <c r="AN23" i="2"/>
  <c r="AS20" i="2"/>
  <c r="AP9" i="2"/>
  <c r="AN7" i="2"/>
  <c r="Z29" i="2"/>
  <c r="Z23" i="2"/>
  <c r="Z22" i="2"/>
  <c r="Z21" i="2"/>
  <c r="Z20" i="2"/>
  <c r="Z14" i="2"/>
  <c r="Z12" i="2"/>
  <c r="Z10" i="2"/>
  <c r="Z9" i="2"/>
  <c r="Z8" i="2"/>
  <c r="Z7" i="2"/>
  <c r="AP34" i="2"/>
  <c r="AR20" i="2"/>
  <c r="AO9" i="2"/>
  <c r="U22" i="2"/>
  <c r="Y34" i="2"/>
  <c r="Y33" i="2"/>
  <c r="Y31" i="2"/>
  <c r="Y29" i="2"/>
  <c r="Y23" i="2"/>
  <c r="Y22" i="2"/>
  <c r="Y21" i="2"/>
  <c r="Y20" i="2"/>
  <c r="Y14" i="2"/>
  <c r="Y12" i="2"/>
  <c r="Y9" i="2"/>
  <c r="Y8" i="2"/>
  <c r="Y7" i="2"/>
  <c r="AO34" i="2"/>
  <c r="AS22" i="2"/>
  <c r="AQ20" i="2"/>
  <c r="U10" i="2"/>
  <c r="U9" i="2"/>
  <c r="U30" i="2"/>
  <c r="X34" i="2"/>
  <c r="X33" i="2"/>
  <c r="X31" i="2"/>
  <c r="X30" i="2"/>
  <c r="X29" i="2"/>
  <c r="X23" i="2"/>
  <c r="X22" i="2"/>
  <c r="X21" i="2"/>
  <c r="X20" i="2"/>
  <c r="X14" i="2"/>
  <c r="X12" i="2"/>
  <c r="X10" i="2"/>
  <c r="X9" i="2"/>
  <c r="X8" i="2"/>
  <c r="X7" i="2"/>
  <c r="AN34" i="2"/>
  <c r="AQ29" i="2"/>
  <c r="AR22" i="2"/>
  <c r="AP20" i="2"/>
  <c r="AT8" i="2"/>
  <c r="AM34" i="2"/>
  <c r="AM33" i="2"/>
  <c r="AM31" i="2"/>
  <c r="AM30" i="2"/>
  <c r="AM29" i="2"/>
  <c r="AM23" i="2"/>
  <c r="AM22" i="2"/>
  <c r="AM21" i="2"/>
  <c r="AM20" i="2"/>
  <c r="AM14" i="2"/>
  <c r="AM12" i="2"/>
  <c r="AM10" i="2"/>
  <c r="AM9" i="2"/>
  <c r="AM8" i="2"/>
  <c r="AM7" i="2"/>
  <c r="AP29" i="2"/>
  <c r="AQ22" i="2"/>
  <c r="AO20" i="2"/>
  <c r="AS8" i="2"/>
  <c r="CA50" i="2" l="1"/>
  <c r="CW50" i="2"/>
  <c r="CS58" i="2" a="1"/>
  <c r="CS58" i="2" s="1"/>
  <c r="DA54" i="2"/>
  <c r="AW58" i="2" a="1"/>
  <c r="AW58" i="2" s="1"/>
  <c r="CA54" i="2"/>
  <c r="CQ50" i="2"/>
  <c r="CW58" i="2" a="1"/>
  <c r="CW58" i="2" s="1"/>
  <c r="BM58" i="2" a="1"/>
  <c r="BM58" i="2" s="1"/>
  <c r="AU58" i="2" a="1"/>
  <c r="AU58" i="2" s="1"/>
  <c r="CA58" i="2" a="1"/>
  <c r="CA58" i="2" s="1"/>
  <c r="CC58" i="2" a="1"/>
  <c r="CC58" i="2" s="1"/>
  <c r="AU54" i="2"/>
  <c r="AU50" i="2"/>
  <c r="CW54" i="2"/>
  <c r="CS50" i="2"/>
  <c r="CC54" i="2"/>
  <c r="CS54" i="2"/>
  <c r="BK58" i="2" a="1"/>
  <c r="BK58" i="2" s="1"/>
  <c r="AW50" i="2"/>
  <c r="AM58" i="2" a="1"/>
  <c r="AM58" i="2" s="1"/>
  <c r="Y58" i="2" a="1"/>
  <c r="Y58" i="2" s="1"/>
  <c r="AD58" i="2" a="1"/>
  <c r="AD58" i="2" s="1"/>
  <c r="CD58" i="2" a="1"/>
  <c r="CD58" i="2" s="1"/>
  <c r="CD50" i="2"/>
  <c r="CD54" i="2"/>
  <c r="CQ54" i="2"/>
  <c r="BE54" i="2"/>
  <c r="BE50" i="2"/>
  <c r="BE58" i="2" a="1"/>
  <c r="BE58" i="2" s="1"/>
  <c r="BF50" i="2"/>
  <c r="BF54" i="2"/>
  <c r="BF58" i="2" a="1"/>
  <c r="BF58" i="2" s="1"/>
  <c r="AJ58" i="2" a="1"/>
  <c r="AJ58" i="2" s="1"/>
  <c r="CT50" i="2"/>
  <c r="CT54" i="2"/>
  <c r="CT58" i="2" a="1"/>
  <c r="CT58" i="2" s="1"/>
  <c r="CQ58" i="2" a="1"/>
  <c r="CQ58" i="2" s="1"/>
  <c r="BU58" i="2" a="1"/>
  <c r="BU58" i="2" s="1"/>
  <c r="BU54" i="2"/>
  <c r="BU50" i="2"/>
  <c r="BV50" i="2"/>
  <c r="BV54" i="2"/>
  <c r="BV58" i="2" a="1"/>
  <c r="BV58" i="2" s="1"/>
  <c r="BK54" i="2"/>
  <c r="BJ54" i="2"/>
  <c r="BJ58" i="2" a="1"/>
  <c r="BJ58" i="2" s="1"/>
  <c r="BJ50" i="2"/>
  <c r="AQ58" i="2" a="1"/>
  <c r="AQ58" i="2" s="1"/>
  <c r="BD58" i="2" a="1"/>
  <c r="BD58" i="2" s="1"/>
  <c r="BD54" i="2"/>
  <c r="BD50" i="2"/>
  <c r="CK54" i="2"/>
  <c r="CK50" i="2"/>
  <c r="CK58" i="2" a="1"/>
  <c r="CK58" i="2" s="1"/>
  <c r="CL54" i="2"/>
  <c r="CL50" i="2"/>
  <c r="CL58" i="2" a="1"/>
  <c r="CL58" i="2" s="1"/>
  <c r="BK50" i="2"/>
  <c r="BZ58" i="2" a="1"/>
  <c r="BZ58" i="2" s="1"/>
  <c r="BZ54" i="2"/>
  <c r="BZ50" i="2"/>
  <c r="BT58" i="2" a="1"/>
  <c r="BT58" i="2" s="1"/>
  <c r="BT54" i="2"/>
  <c r="BT50" i="2"/>
  <c r="DA58" i="2" a="1"/>
  <c r="DA58" i="2" s="1"/>
  <c r="BI50" i="2"/>
  <c r="BI58" i="2" a="1"/>
  <c r="BI58" i="2" s="1"/>
  <c r="BI54" i="2"/>
  <c r="AG58" i="2" a="1"/>
  <c r="AG58" i="2" s="1"/>
  <c r="AK58" i="2" a="1"/>
  <c r="AK58" i="2" s="1"/>
  <c r="AR58" i="2" a="1"/>
  <c r="AR58" i="2" s="1"/>
  <c r="BC58" i="2" a="1"/>
  <c r="BC58" i="2" s="1"/>
  <c r="BC50" i="2"/>
  <c r="BC54" i="2"/>
  <c r="CJ58" i="2" a="1"/>
  <c r="CJ58" i="2" s="1"/>
  <c r="CJ50" i="2"/>
  <c r="CJ54" i="2"/>
  <c r="DA50" i="2"/>
  <c r="BY58" i="2" a="1"/>
  <c r="BY58" i="2" s="1"/>
  <c r="BY50" i="2"/>
  <c r="BY54" i="2"/>
  <c r="AS58" i="2" a="1"/>
  <c r="AS58" i="2" s="1"/>
  <c r="AE58" i="2" a="1"/>
  <c r="AE58" i="2" s="1"/>
  <c r="BA58" i="2" a="1"/>
  <c r="BA58" i="2" s="1"/>
  <c r="BA54" i="2"/>
  <c r="BA50" i="2"/>
  <c r="BS50" i="2"/>
  <c r="BS54" i="2"/>
  <c r="BS58" i="2" a="1"/>
  <c r="BS58" i="2" s="1"/>
  <c r="CZ58" i="2" a="1"/>
  <c r="CZ58" i="2" s="1"/>
  <c r="CZ54" i="2"/>
  <c r="CZ50" i="2"/>
  <c r="CO58" i="2" a="1"/>
  <c r="CO58" i="2" s="1"/>
  <c r="CO50" i="2"/>
  <c r="CO54" i="2"/>
  <c r="AP58" i="2" a="1"/>
  <c r="AP58" i="2" s="1"/>
  <c r="AH58" i="2" a="1"/>
  <c r="AH58" i="2" s="1"/>
  <c r="BQ58" i="2" a="1"/>
  <c r="BQ58" i="2" s="1"/>
  <c r="BQ54" i="2"/>
  <c r="BQ50" i="2"/>
  <c r="CI58" i="2" a="1"/>
  <c r="CI58" i="2" s="1"/>
  <c r="CI50" i="2"/>
  <c r="CI54" i="2"/>
  <c r="AB58" i="2" a="1"/>
  <c r="AB58" i="2" s="1"/>
  <c r="AZ58" i="2" a="1"/>
  <c r="AZ58" i="2" s="1"/>
  <c r="AZ54" i="2"/>
  <c r="AZ50" i="2"/>
  <c r="CG54" i="2"/>
  <c r="CG50" i="2"/>
  <c r="CG58" i="2" a="1"/>
  <c r="CG58" i="2" s="1"/>
  <c r="CY58" i="2" a="1"/>
  <c r="CY58" i="2" s="1"/>
  <c r="CY50" i="2"/>
  <c r="CY54" i="2"/>
  <c r="X58" i="2" a="1"/>
  <c r="X58" i="2" s="1"/>
  <c r="BP58" i="2" a="1"/>
  <c r="BP58" i="2" s="1"/>
  <c r="BP54" i="2"/>
  <c r="BP50" i="2"/>
  <c r="BH54" i="2"/>
  <c r="BH58" i="2" a="1"/>
  <c r="BH58" i="2" s="1"/>
  <c r="BH50" i="2"/>
  <c r="AV58" i="2" a="1"/>
  <c r="AV58" i="2" s="1"/>
  <c r="AV54" i="2"/>
  <c r="AV50" i="2"/>
  <c r="AN58" i="2" a="1"/>
  <c r="AN58" i="2" s="1"/>
  <c r="CF58" i="2" a="1"/>
  <c r="CF58" i="2" s="1"/>
  <c r="CF54" i="2"/>
  <c r="CF50" i="2"/>
  <c r="BB50" i="2"/>
  <c r="BB58" i="2" a="1"/>
  <c r="BB58" i="2" s="1"/>
  <c r="BB54" i="2"/>
  <c r="AW54" i="2"/>
  <c r="BM50" i="2"/>
  <c r="BX58" i="2" a="1"/>
  <c r="BX58" i="2" s="1"/>
  <c r="BX50" i="2"/>
  <c r="BX54" i="2"/>
  <c r="BL58" i="2" a="1"/>
  <c r="BL58" i="2" s="1"/>
  <c r="BL54" i="2"/>
  <c r="BL50" i="2"/>
  <c r="AC58" i="2" a="1"/>
  <c r="AC58" i="2" s="1"/>
  <c r="AF58" i="2" a="1"/>
  <c r="AF58" i="2" s="1"/>
  <c r="AL58" i="2" a="1"/>
  <c r="AL58" i="2" s="1"/>
  <c r="AY50" i="2"/>
  <c r="AY58" i="2" a="1"/>
  <c r="AY58" i="2" s="1"/>
  <c r="AY54" i="2"/>
  <c r="CV54" i="2"/>
  <c r="CV50" i="2"/>
  <c r="CV58" i="2" a="1"/>
  <c r="CV58" i="2" s="1"/>
  <c r="BR58" i="2" a="1"/>
  <c r="BR58" i="2" s="1"/>
  <c r="BR50" i="2"/>
  <c r="BR54" i="2"/>
  <c r="BM54" i="2"/>
  <c r="BG54" i="2"/>
  <c r="BG50" i="2"/>
  <c r="BG58" i="2" a="1"/>
  <c r="BG58" i="2" s="1"/>
  <c r="CN58" i="2" a="1"/>
  <c r="CN58" i="2" s="1"/>
  <c r="CN50" i="2"/>
  <c r="CN54" i="2"/>
  <c r="CP50" i="2"/>
  <c r="CP54" i="2"/>
  <c r="CP58" i="2" a="1"/>
  <c r="CP58" i="2" s="1"/>
  <c r="CB58" i="2" a="1"/>
  <c r="CB58" i="2" s="1"/>
  <c r="CB54" i="2"/>
  <c r="CB50" i="2"/>
  <c r="BO50" i="2"/>
  <c r="BO58" i="2" a="1"/>
  <c r="BO58" i="2" s="1"/>
  <c r="BO54" i="2"/>
  <c r="CH58" i="2" a="1"/>
  <c r="CH58" i="2" s="1"/>
  <c r="CH54" i="2"/>
  <c r="CH50" i="2"/>
  <c r="BW54" i="2"/>
  <c r="BW50" i="2"/>
  <c r="BW58" i="2" a="1"/>
  <c r="BW58" i="2" s="1"/>
  <c r="CR54" i="2"/>
  <c r="CR50" i="2"/>
  <c r="CR58" i="2" a="1"/>
  <c r="CR58" i="2" s="1"/>
  <c r="AI58" i="2" a="1"/>
  <c r="AI58" i="2" s="1"/>
  <c r="CE50" i="2"/>
  <c r="CE58" i="2" a="1"/>
  <c r="CE58" i="2" s="1"/>
  <c r="CE54" i="2"/>
  <c r="CX50" i="2"/>
  <c r="CX58" i="2" a="1"/>
  <c r="CX58" i="2" s="1"/>
  <c r="CX54" i="2"/>
  <c r="CM54" i="2"/>
  <c r="CM50" i="2"/>
  <c r="CM58" i="2" a="1"/>
  <c r="CM58" i="2" s="1"/>
  <c r="CU58" i="2" a="1"/>
  <c r="CU58" i="2" s="1"/>
  <c r="CU54" i="2"/>
  <c r="CU50" i="2"/>
  <c r="Z58" i="2" a="1"/>
  <c r="Z58" i="2" s="1"/>
  <c r="AO58" i="2" a="1"/>
  <c r="AO58" i="2" s="1"/>
  <c r="AX58" i="2" a="1"/>
  <c r="AX58" i="2" s="1"/>
  <c r="AX54" i="2"/>
  <c r="AX50" i="2"/>
  <c r="AT58" i="2" a="1"/>
  <c r="AT58" i="2" s="1"/>
  <c r="AA58" i="2" a="1"/>
  <c r="AA58" i="2" s="1"/>
  <c r="BN58" i="2" a="1"/>
  <c r="BN58" i="2" s="1"/>
  <c r="BN54" i="2"/>
  <c r="BN50" i="2"/>
  <c r="U58" i="2" a="1"/>
  <c r="U58" i="2" s="1"/>
  <c r="AI50" i="2"/>
  <c r="AL50" i="2"/>
  <c r="AQ50" i="2"/>
  <c r="Y50" i="2"/>
  <c r="AN54" i="2"/>
  <c r="X54" i="2"/>
  <c r="AE50" i="2"/>
  <c r="AG50" i="2"/>
  <c r="AH50" i="2"/>
  <c r="AJ50" i="2"/>
  <c r="AK50" i="2"/>
  <c r="AB50" i="2"/>
  <c r="AD50" i="2"/>
  <c r="AT54" i="2"/>
  <c r="Z50" i="2"/>
  <c r="AA50" i="2"/>
  <c r="AO50" i="2"/>
  <c r="AC50" i="2"/>
  <c r="AF50" i="2"/>
  <c r="AM50" i="2"/>
  <c r="AQ54" i="2"/>
  <c r="AS50" i="2"/>
  <c r="AN50" i="2"/>
  <c r="X50" i="2"/>
  <c r="AO54" i="2"/>
  <c r="AP50" i="2"/>
  <c r="AP54" i="2"/>
  <c r="AR50" i="2"/>
  <c r="AT50" i="2"/>
  <c r="AM54" i="2"/>
  <c r="AR54" i="2"/>
  <c r="U54" i="2"/>
  <c r="U50" i="2"/>
  <c r="AS54" i="2"/>
  <c r="K6" i="2"/>
  <c r="L6" i="2"/>
  <c r="M6" i="2"/>
  <c r="N6" i="2"/>
  <c r="O6" i="2"/>
  <c r="P6" i="2"/>
  <c r="Q6" i="2"/>
  <c r="R6" i="2"/>
  <c r="S6" i="2"/>
  <c r="T6" i="2"/>
  <c r="V6" i="2"/>
  <c r="W6" i="2"/>
  <c r="K11" i="2"/>
  <c r="L11" i="2"/>
  <c r="M11" i="2"/>
  <c r="N11" i="2"/>
  <c r="O11" i="2"/>
  <c r="P11" i="2"/>
  <c r="Q11" i="2"/>
  <c r="R11" i="2"/>
  <c r="S11" i="2"/>
  <c r="T11" i="2"/>
  <c r="V11" i="2"/>
  <c r="W11" i="2"/>
  <c r="G12" i="2"/>
  <c r="H12" i="2"/>
  <c r="K13" i="2"/>
  <c r="L13" i="2"/>
  <c r="M13" i="2"/>
  <c r="N13" i="2"/>
  <c r="O13" i="2"/>
  <c r="P13" i="2"/>
  <c r="Q13" i="2"/>
  <c r="R13" i="2"/>
  <c r="S13" i="2"/>
  <c r="T13" i="2"/>
  <c r="V13" i="2"/>
  <c r="W13" i="2"/>
  <c r="H14" i="2"/>
  <c r="K15" i="2"/>
  <c r="L15" i="2"/>
  <c r="M15" i="2"/>
  <c r="N15" i="2"/>
  <c r="O15" i="2"/>
  <c r="P15" i="2"/>
  <c r="Q15" i="2"/>
  <c r="R15" i="2"/>
  <c r="S15" i="2"/>
  <c r="T15" i="2"/>
  <c r="V15" i="2"/>
  <c r="W15" i="2"/>
  <c r="K16" i="2"/>
  <c r="L16" i="2"/>
  <c r="M16" i="2"/>
  <c r="N16" i="2"/>
  <c r="O16" i="2"/>
  <c r="P16" i="2"/>
  <c r="Q16" i="2"/>
  <c r="R16" i="2"/>
  <c r="S16" i="2"/>
  <c r="T16" i="2"/>
  <c r="V16" i="2"/>
  <c r="W16" i="2"/>
  <c r="K17" i="2"/>
  <c r="L17" i="2"/>
  <c r="M17" i="2"/>
  <c r="N17" i="2"/>
  <c r="O17" i="2"/>
  <c r="P17" i="2"/>
  <c r="Q17" i="2"/>
  <c r="R17" i="2"/>
  <c r="S17" i="2"/>
  <c r="T17" i="2"/>
  <c r="V17" i="2"/>
  <c r="W17" i="2"/>
  <c r="K18" i="2"/>
  <c r="L18" i="2"/>
  <c r="M18" i="2"/>
  <c r="N18" i="2"/>
  <c r="O18" i="2"/>
  <c r="P18" i="2"/>
  <c r="Q18" i="2"/>
  <c r="R18" i="2"/>
  <c r="S18" i="2"/>
  <c r="T18" i="2"/>
  <c r="V18" i="2"/>
  <c r="W18" i="2"/>
  <c r="K19" i="2"/>
  <c r="L19" i="2"/>
  <c r="M19" i="2"/>
  <c r="N19" i="2"/>
  <c r="O19" i="2"/>
  <c r="P19" i="2"/>
  <c r="Q19" i="2"/>
  <c r="R19" i="2"/>
  <c r="S19" i="2"/>
  <c r="T19" i="2"/>
  <c r="V19" i="2"/>
  <c r="W19" i="2"/>
  <c r="G23" i="2"/>
  <c r="H23" i="2"/>
  <c r="K24" i="2"/>
  <c r="L24" i="2"/>
  <c r="M24" i="2"/>
  <c r="N24" i="2"/>
  <c r="O24" i="2"/>
  <c r="P24" i="2"/>
  <c r="Q24" i="2"/>
  <c r="R24" i="2"/>
  <c r="S24" i="2"/>
  <c r="T24" i="2"/>
  <c r="V24" i="2"/>
  <c r="W24" i="2"/>
  <c r="K27" i="2"/>
  <c r="L27" i="2"/>
  <c r="M27" i="2"/>
  <c r="N27" i="2"/>
  <c r="O27" i="2"/>
  <c r="P27" i="2"/>
  <c r="Q27" i="2"/>
  <c r="R27" i="2"/>
  <c r="S27" i="2"/>
  <c r="T27" i="2"/>
  <c r="V27" i="2"/>
  <c r="W27" i="2"/>
  <c r="K28" i="2"/>
  <c r="L28" i="2"/>
  <c r="M28" i="2"/>
  <c r="N28" i="2"/>
  <c r="O28" i="2"/>
  <c r="P28" i="2"/>
  <c r="Q28" i="2"/>
  <c r="R28" i="2"/>
  <c r="S28" i="2"/>
  <c r="T28" i="2"/>
  <c r="V28" i="2"/>
  <c r="W28" i="2"/>
  <c r="G30" i="2"/>
  <c r="G31" i="2"/>
  <c r="K32" i="2"/>
  <c r="L32" i="2"/>
  <c r="M32" i="2"/>
  <c r="N32" i="2"/>
  <c r="O32" i="2"/>
  <c r="P32" i="2"/>
  <c r="Q32" i="2"/>
  <c r="R32" i="2"/>
  <c r="S32" i="2"/>
  <c r="T32" i="2"/>
  <c r="V32" i="2"/>
  <c r="W32" i="2"/>
  <c r="G34" i="2"/>
  <c r="K35" i="2"/>
  <c r="L35" i="2"/>
  <c r="M35" i="2"/>
  <c r="N35" i="2"/>
  <c r="O35" i="2"/>
  <c r="P35" i="2"/>
  <c r="Q35" i="2"/>
  <c r="R35" i="2"/>
  <c r="S35" i="2"/>
  <c r="T35" i="2"/>
  <c r="V35" i="2"/>
  <c r="W35" i="2"/>
  <c r="K36" i="2"/>
  <c r="L36" i="2"/>
  <c r="M36" i="2"/>
  <c r="N36" i="2"/>
  <c r="O36" i="2"/>
  <c r="P36" i="2"/>
  <c r="Q36" i="2"/>
  <c r="R36" i="2"/>
  <c r="S36" i="2"/>
  <c r="T36" i="2"/>
  <c r="V36" i="2"/>
  <c r="W36" i="2"/>
  <c r="L37" i="2"/>
  <c r="M37" i="2"/>
  <c r="N37" i="2"/>
  <c r="O37" i="2"/>
  <c r="P37" i="2"/>
  <c r="Q37" i="2"/>
  <c r="R37" i="2"/>
  <c r="S37" i="2"/>
  <c r="T37" i="2"/>
  <c r="V37" i="2"/>
  <c r="W37" i="2"/>
  <c r="G38" i="2"/>
  <c r="K39" i="2"/>
  <c r="L39" i="2"/>
  <c r="M39" i="2"/>
  <c r="N39" i="2"/>
  <c r="O39" i="2"/>
  <c r="P39" i="2"/>
  <c r="Q39" i="2"/>
  <c r="R39" i="2"/>
  <c r="S39" i="2"/>
  <c r="T39" i="2"/>
  <c r="V39" i="2"/>
  <c r="W39" i="2"/>
  <c r="K40" i="2"/>
  <c r="L40" i="2"/>
  <c r="M40" i="2"/>
  <c r="N40" i="2"/>
  <c r="O40" i="2"/>
  <c r="P40" i="2"/>
  <c r="Q40" i="2"/>
  <c r="R40" i="2"/>
  <c r="S40" i="2"/>
  <c r="T40" i="2"/>
  <c r="V40" i="2"/>
  <c r="W40" i="2"/>
  <c r="K41" i="2"/>
  <c r="L41" i="2"/>
  <c r="M41" i="2"/>
  <c r="N41" i="2"/>
  <c r="O41" i="2"/>
  <c r="P41" i="2"/>
  <c r="Q41" i="2"/>
  <c r="R41" i="2"/>
  <c r="S41" i="2"/>
  <c r="T41" i="2"/>
  <c r="V41" i="2"/>
  <c r="W41" i="2"/>
  <c r="K42" i="2"/>
  <c r="L42" i="2"/>
  <c r="M42" i="2"/>
  <c r="N42" i="2"/>
  <c r="O42" i="2"/>
  <c r="P42" i="2"/>
  <c r="Q42" i="2"/>
  <c r="R42" i="2"/>
  <c r="S42" i="2"/>
  <c r="T42" i="2"/>
  <c r="V42" i="2"/>
  <c r="W42" i="2"/>
  <c r="K43" i="2"/>
  <c r="L43" i="2"/>
  <c r="M43" i="2"/>
  <c r="N43" i="2"/>
  <c r="O43" i="2"/>
  <c r="P43" i="2"/>
  <c r="Q43" i="2"/>
  <c r="R43" i="2"/>
  <c r="S43" i="2"/>
  <c r="T43" i="2"/>
  <c r="V43" i="2"/>
  <c r="W43" i="2"/>
  <c r="K44" i="2"/>
  <c r="L44" i="2"/>
  <c r="M44" i="2"/>
  <c r="N44" i="2"/>
  <c r="O44" i="2"/>
  <c r="P44" i="2"/>
  <c r="Q44" i="2"/>
  <c r="R44" i="2"/>
  <c r="S44" i="2"/>
  <c r="T44" i="2"/>
  <c r="V44" i="2"/>
  <c r="W44" i="2"/>
  <c r="K45" i="2"/>
  <c r="L45" i="2"/>
  <c r="M45" i="2"/>
  <c r="N45" i="2"/>
  <c r="O45" i="2"/>
  <c r="P45" i="2"/>
  <c r="Q45" i="2"/>
  <c r="R45" i="2"/>
  <c r="S45" i="2"/>
  <c r="T45" i="2"/>
  <c r="V45" i="2"/>
  <c r="W45" i="2"/>
  <c r="K46" i="2"/>
  <c r="L46" i="2"/>
  <c r="M46" i="2"/>
  <c r="N46" i="2"/>
  <c r="O46" i="2"/>
  <c r="P46" i="2"/>
  <c r="Q46" i="2"/>
  <c r="R46" i="2"/>
  <c r="S46" i="2"/>
  <c r="T46" i="2"/>
  <c r="V46" i="2"/>
  <c r="W46" i="2"/>
  <c r="K47" i="2"/>
  <c r="L47" i="2"/>
  <c r="M47" i="2"/>
  <c r="N47" i="2"/>
  <c r="O47" i="2"/>
  <c r="P47" i="2"/>
  <c r="Q47" i="2"/>
  <c r="R47" i="2"/>
  <c r="S47" i="2"/>
  <c r="T47" i="2"/>
  <c r="V47" i="2"/>
  <c r="W47" i="2"/>
  <c r="K48" i="2"/>
  <c r="L48" i="2"/>
  <c r="M48" i="2"/>
  <c r="N48" i="2"/>
  <c r="O48" i="2"/>
  <c r="P48" i="2"/>
  <c r="Q48" i="2"/>
  <c r="R48" i="2"/>
  <c r="S48" i="2"/>
  <c r="T48" i="2"/>
  <c r="V48" i="2"/>
  <c r="W48" i="2"/>
  <c r="K49" i="2"/>
  <c r="L49" i="2"/>
  <c r="M49" i="2"/>
  <c r="N49" i="2"/>
  <c r="O49" i="2"/>
  <c r="P49" i="2"/>
  <c r="Q49" i="2"/>
  <c r="R49" i="2"/>
  <c r="S49" i="2"/>
  <c r="T49" i="2"/>
  <c r="V49" i="2"/>
  <c r="W49" i="2"/>
  <c r="CU53" i="2" l="1"/>
  <c r="CT53" i="2"/>
  <c r="BU53" i="2"/>
  <c r="BT53" i="2"/>
  <c r="CE53" i="2"/>
  <c r="CQ53" i="2"/>
  <c r="BE53" i="2"/>
  <c r="BO53" i="2"/>
  <c r="CD53" i="2"/>
  <c r="CN53" i="2"/>
  <c r="AY53" i="2"/>
  <c r="CA53" i="2"/>
  <c r="BX53" i="2"/>
  <c r="CX53" i="2"/>
  <c r="CF53" i="2"/>
  <c r="AX53" i="2"/>
  <c r="BH53" i="2"/>
  <c r="CH53" i="2"/>
  <c r="BP53" i="2"/>
  <c r="CZ53" i="2"/>
  <c r="BR53" i="2"/>
  <c r="AZ53" i="2"/>
  <c r="CC53" i="2"/>
  <c r="BM53" i="2"/>
  <c r="CJ53" i="2"/>
  <c r="BB53" i="2"/>
  <c r="CO53" i="2"/>
  <c r="AW53" i="2"/>
  <c r="CS53" i="2"/>
  <c r="BY53" i="2"/>
  <c r="CL53" i="2"/>
  <c r="BD53" i="2"/>
  <c r="CR53" i="2"/>
  <c r="BI53" i="2"/>
  <c r="BV53" i="2"/>
  <c r="CB53" i="2"/>
  <c r="BF53" i="2"/>
  <c r="CW53" i="2"/>
  <c r="CY53" i="2"/>
  <c r="BQ53" i="2"/>
  <c r="BL53" i="2"/>
  <c r="CG53" i="2"/>
  <c r="CM53" i="2"/>
  <c r="AV53" i="2"/>
  <c r="CP53" i="2"/>
  <c r="CI53" i="2"/>
  <c r="BA53" i="2"/>
  <c r="BK53" i="2"/>
  <c r="BZ53" i="2"/>
  <c r="AU53" i="2"/>
  <c r="BJ53" i="2"/>
  <c r="BW53" i="2"/>
  <c r="DA53" i="2"/>
  <c r="BS53" i="2"/>
  <c r="BN53" i="2"/>
  <c r="BG53" i="2"/>
  <c r="CK53" i="2"/>
  <c r="BC53" i="2"/>
  <c r="CV53" i="2"/>
  <c r="U53" i="2"/>
  <c r="AP53" i="2"/>
  <c r="X53" i="2"/>
  <c r="AO53" i="2"/>
  <c r="AR53" i="2"/>
  <c r="AQ53" i="2"/>
  <c r="AS53" i="2"/>
  <c r="AT53" i="2"/>
  <c r="AM53" i="2"/>
  <c r="AN53" i="2"/>
  <c r="K14" i="2" l="1"/>
  <c r="L14" i="2"/>
  <c r="M14" i="2"/>
  <c r="N14" i="2"/>
  <c r="O14" i="2"/>
  <c r="P14" i="2"/>
  <c r="Q14" i="2"/>
  <c r="R14" i="2"/>
  <c r="S14" i="2"/>
  <c r="T14" i="2"/>
  <c r="V14" i="2"/>
  <c r="W14" i="2"/>
  <c r="W25" i="2"/>
  <c r="K25" i="2"/>
  <c r="R25" i="2"/>
  <c r="L25" i="2"/>
  <c r="M25" i="2"/>
  <c r="N25" i="2"/>
  <c r="O25" i="2"/>
  <c r="P25" i="2"/>
  <c r="Q25" i="2"/>
  <c r="V25" i="2"/>
  <c r="S25" i="2"/>
  <c r="T25" i="2"/>
  <c r="M12" i="2"/>
  <c r="N12" i="2"/>
  <c r="O12" i="2"/>
  <c r="P12" i="2"/>
  <c r="Q12" i="2"/>
  <c r="R12" i="2"/>
  <c r="S12" i="2"/>
  <c r="T12" i="2"/>
  <c r="L12" i="2"/>
  <c r="V12" i="2"/>
  <c r="W12" i="2"/>
  <c r="K12" i="2"/>
  <c r="L31" i="2"/>
  <c r="M31" i="2"/>
  <c r="V31" i="2"/>
  <c r="N31" i="2"/>
  <c r="O31" i="2"/>
  <c r="P31" i="2"/>
  <c r="Q31" i="2"/>
  <c r="R31" i="2"/>
  <c r="S31" i="2"/>
  <c r="T31" i="2"/>
  <c r="W31" i="2"/>
  <c r="L38" i="2"/>
  <c r="M38" i="2"/>
  <c r="N38" i="2"/>
  <c r="O38" i="2"/>
  <c r="P38" i="2"/>
  <c r="S38" i="2"/>
  <c r="Q38" i="2"/>
  <c r="R38" i="2"/>
  <c r="T38" i="2"/>
  <c r="V38" i="2"/>
  <c r="W38" i="2"/>
  <c r="P29" i="2"/>
  <c r="Q29" i="2"/>
  <c r="N29" i="2"/>
  <c r="R29" i="2"/>
  <c r="S29" i="2"/>
  <c r="T29" i="2"/>
  <c r="V29" i="2"/>
  <c r="M29" i="2"/>
  <c r="W29" i="2"/>
  <c r="O29" i="2"/>
  <c r="K29" i="2"/>
  <c r="L29" i="2"/>
  <c r="K8" i="2"/>
  <c r="L8" i="2"/>
  <c r="M8" i="2"/>
  <c r="N8" i="2"/>
  <c r="O8" i="2"/>
  <c r="P8" i="2"/>
  <c r="Q8" i="2"/>
  <c r="R8" i="2"/>
  <c r="W8" i="2"/>
  <c r="S8" i="2"/>
  <c r="T8" i="2"/>
  <c r="V8" i="2"/>
  <c r="K22" i="2"/>
  <c r="L22" i="2"/>
  <c r="M22" i="2"/>
  <c r="N22" i="2"/>
  <c r="O22" i="2"/>
  <c r="W22" i="2"/>
  <c r="P22" i="2"/>
  <c r="Q22" i="2"/>
  <c r="R22" i="2"/>
  <c r="S22" i="2"/>
  <c r="T22" i="2"/>
  <c r="V22" i="2"/>
  <c r="V34" i="2"/>
  <c r="W34" i="2"/>
  <c r="L34" i="2"/>
  <c r="O34" i="2"/>
  <c r="K34" i="2"/>
  <c r="P34" i="2"/>
  <c r="T34" i="2"/>
  <c r="M34" i="2"/>
  <c r="S34" i="2"/>
  <c r="N34" i="2"/>
  <c r="R34" i="2"/>
  <c r="Q34" i="2"/>
  <c r="L23" i="2"/>
  <c r="M23" i="2"/>
  <c r="N23" i="2"/>
  <c r="O23" i="2"/>
  <c r="P23" i="2"/>
  <c r="Q23" i="2"/>
  <c r="R23" i="2"/>
  <c r="S23" i="2"/>
  <c r="T23" i="2"/>
  <c r="V23" i="2"/>
  <c r="W23" i="2"/>
  <c r="K23" i="2"/>
  <c r="N26" i="2"/>
  <c r="O26" i="2"/>
  <c r="P26" i="2"/>
  <c r="Q26" i="2"/>
  <c r="L26" i="2"/>
  <c r="R26" i="2"/>
  <c r="S26" i="2"/>
  <c r="T26" i="2"/>
  <c r="V26" i="2"/>
  <c r="W26" i="2"/>
  <c r="M26" i="2"/>
  <c r="K26" i="2"/>
  <c r="V30" i="2"/>
  <c r="T30" i="2"/>
  <c r="W30" i="2"/>
  <c r="P30" i="2"/>
  <c r="K30" i="2"/>
  <c r="L30" i="2"/>
  <c r="S30" i="2"/>
  <c r="R30" i="2"/>
  <c r="M30" i="2"/>
  <c r="N30" i="2"/>
  <c r="O30" i="2"/>
  <c r="Q30" i="2"/>
  <c r="R21" i="2"/>
  <c r="S21" i="2"/>
  <c r="T21" i="2"/>
  <c r="V21" i="2"/>
  <c r="W21" i="2"/>
  <c r="O21" i="2"/>
  <c r="K21" i="2"/>
  <c r="Q21" i="2"/>
  <c r="L21" i="2"/>
  <c r="M21" i="2"/>
  <c r="N21" i="2"/>
  <c r="P21" i="2"/>
  <c r="L20" i="2"/>
  <c r="M20" i="2"/>
  <c r="N20" i="2"/>
  <c r="K20" i="2"/>
  <c r="O20" i="2"/>
  <c r="P20" i="2"/>
  <c r="Q20" i="2"/>
  <c r="R20" i="2"/>
  <c r="S20" i="2"/>
  <c r="T20" i="2"/>
  <c r="V20" i="2"/>
  <c r="W20" i="2"/>
  <c r="M9" i="2"/>
  <c r="N9" i="2"/>
  <c r="O9" i="2"/>
  <c r="P9" i="2"/>
  <c r="Q9" i="2"/>
  <c r="R9" i="2"/>
  <c r="S9" i="2"/>
  <c r="T9" i="2"/>
  <c r="V9" i="2"/>
  <c r="W9" i="2"/>
  <c r="L9" i="2"/>
  <c r="K9" i="2"/>
  <c r="Q7" i="2"/>
  <c r="R7" i="2"/>
  <c r="S7" i="2"/>
  <c r="T7" i="2"/>
  <c r="V7" i="2"/>
  <c r="W7" i="2"/>
  <c r="L7" i="2"/>
  <c r="M7" i="2"/>
  <c r="N7" i="2"/>
  <c r="P7" i="2"/>
  <c r="O7" i="2"/>
  <c r="S10" i="2"/>
  <c r="T10" i="2"/>
  <c r="V10" i="2"/>
  <c r="W10" i="2"/>
  <c r="K10" i="2"/>
  <c r="R10" i="2"/>
  <c r="L10" i="2"/>
  <c r="M10" i="2"/>
  <c r="N10" i="2"/>
  <c r="O10" i="2"/>
  <c r="P10" i="2"/>
  <c r="Q10" i="2"/>
  <c r="I3" i="2"/>
  <c r="V33" i="2"/>
  <c r="W33" i="2"/>
  <c r="M33" i="2"/>
  <c r="L33" i="2"/>
  <c r="N33" i="2"/>
  <c r="O33" i="2"/>
  <c r="R33" i="2"/>
  <c r="P33" i="2"/>
  <c r="Q33" i="2"/>
  <c r="S33" i="2"/>
  <c r="T33" i="2"/>
  <c r="I2" i="2" l="1"/>
  <c r="Q58" i="2" a="1"/>
  <c r="Q58" i="2" s="1"/>
  <c r="O58" i="2" a="1"/>
  <c r="O58" i="2" s="1"/>
  <c r="P58" i="2" a="1"/>
  <c r="P58" i="2" s="1"/>
  <c r="N58" i="2" a="1"/>
  <c r="N58" i="2" s="1"/>
  <c r="L58" i="2" a="1"/>
  <c r="L58" i="2" s="1"/>
  <c r="M58" i="2" a="1"/>
  <c r="M58" i="2" s="1"/>
  <c r="W58" i="2" a="1"/>
  <c r="W58" i="2" s="1"/>
  <c r="V58" i="2" a="1"/>
  <c r="V58" i="2" s="1"/>
  <c r="T58" i="2" a="1"/>
  <c r="T58" i="2" s="1"/>
  <c r="S58" i="2" a="1"/>
  <c r="S58" i="2" s="1"/>
  <c r="R58" i="2" a="1"/>
  <c r="R58" i="2" s="1"/>
  <c r="K58" i="2" a="1"/>
  <c r="K58" i="2" s="1"/>
  <c r="K54" i="2"/>
  <c r="AJ54" i="2"/>
  <c r="AF54" i="2"/>
  <c r="N54" i="2"/>
  <c r="R54" i="2"/>
  <c r="AD54" i="2"/>
  <c r="O54" i="2"/>
  <c r="L54" i="2"/>
  <c r="T54" i="2"/>
  <c r="AK54" i="2"/>
  <c r="M54" i="2"/>
  <c r="S54" i="2"/>
  <c r="AA54" i="2"/>
  <c r="AI54" i="2"/>
  <c r="AB54" i="2"/>
  <c r="Q54" i="2"/>
  <c r="Z54" i="2"/>
  <c r="AL54" i="2"/>
  <c r="AH54" i="2"/>
  <c r="Y54" i="2"/>
  <c r="AC54" i="2"/>
  <c r="P54" i="2"/>
  <c r="AE54" i="2"/>
  <c r="W54" i="2"/>
  <c r="AG54" i="2"/>
  <c r="V54" i="2"/>
  <c r="K53" i="2"/>
  <c r="AL53" i="2"/>
  <c r="AG53" i="2"/>
  <c r="O50" i="2"/>
  <c r="O53" i="2"/>
  <c r="Q53" i="2"/>
  <c r="Q50" i="2"/>
  <c r="AJ53" i="2"/>
  <c r="AC53" i="2"/>
  <c r="AF53" i="2"/>
  <c r="N53" i="2"/>
  <c r="N50" i="2"/>
  <c r="AD53" i="2"/>
  <c r="L50" i="2"/>
  <c r="L53" i="2"/>
  <c r="AK53" i="2"/>
  <c r="M53" i="2"/>
  <c r="M50" i="2"/>
  <c r="S53" i="2"/>
  <c r="S50" i="2"/>
  <c r="AA53" i="2"/>
  <c r="K50" i="2"/>
  <c r="AB53" i="2"/>
  <c r="AI53" i="2"/>
  <c r="Z53" i="2"/>
  <c r="T50" i="2"/>
  <c r="T53" i="2"/>
  <c r="AH53" i="2"/>
  <c r="Y53" i="2"/>
  <c r="P53" i="2"/>
  <c r="P50" i="2"/>
  <c r="AE53" i="2"/>
  <c r="R53" i="2"/>
  <c r="R50" i="2"/>
  <c r="W53" i="2"/>
  <c r="W50" i="2"/>
  <c r="V50" i="2"/>
  <c r="V5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<sst xmlns="http://schemas.openxmlformats.org/spreadsheetml/2006/main" count="7289" uniqueCount="493">
  <si>
    <t>E04 Jamb</t>
  </si>
  <si>
    <t>P03 Intermediate floor between dwellings (in blocks of flats)</t>
  </si>
  <si>
    <t>E05 Ground floor (normal)</t>
  </si>
  <si>
    <t>E07 Party floor between dwellings (in blocks of flats)</t>
  </si>
  <si>
    <t>P01 Ground floor</t>
  </si>
  <si>
    <t>E16 Corner (normal)</t>
  </si>
  <si>
    <t>E17 Corner (inverted – internal area greater than external area)</t>
  </si>
  <si>
    <t>E02 Other lintels (including other steel lintels)</t>
  </si>
  <si>
    <t>E15 Flat roof with parapet</t>
  </si>
  <si>
    <t>E24 Eaves (insulation at ceiling level - inverted)</t>
  </si>
  <si>
    <t>E03 Sill</t>
  </si>
  <si>
    <t>E01 Steel lintel with perforated steel base plate</t>
  </si>
  <si>
    <t>E06 Intermediate floor within a dwelling</t>
  </si>
  <si>
    <t>E08 Balcony within a dwelling, wall insulation continuous</t>
  </si>
  <si>
    <t>E10 Eaves (insulation at ceiling level)</t>
  </si>
  <si>
    <t>E11 Eaves (insulation at rafter level)</t>
  </si>
  <si>
    <t>E12 Gable (insulation at ceiling level)</t>
  </si>
  <si>
    <t>E13 Gable (insulation at rafter level)</t>
  </si>
  <si>
    <t>E14 Flat roof</t>
  </si>
  <si>
    <t>E19 Ground floor (inverted)</t>
  </si>
  <si>
    <t>E22 Basement floor</t>
  </si>
  <si>
    <t>E23 Balcony within or between dwellings, balcony support penetrates wall insulation</t>
  </si>
  <si>
    <t>E25 Staggered party wall between dwellings</t>
  </si>
  <si>
    <t>P02 Intermediate floor within a dwelling</t>
  </si>
  <si>
    <t>P05 Roof (insulation at rafter level)</t>
  </si>
  <si>
    <t>P06 Ground floor (inverted)</t>
  </si>
  <si>
    <t>P07 Exposed floor (normal)</t>
  </si>
  <si>
    <t>R01 Head of roof window</t>
  </si>
  <si>
    <t>R02 Sill of roof window</t>
  </si>
  <si>
    <t>R03 Jamb of roof window</t>
  </si>
  <si>
    <t>R04 Ridge (vaulted ceiling)</t>
  </si>
  <si>
    <t>R05 Ridge (inverted)</t>
  </si>
  <si>
    <t>R06 Flat ceiling</t>
  </si>
  <si>
    <t>R07 Flat ceiling (inverted)</t>
  </si>
  <si>
    <t>R08 Roof to wall (rafter)</t>
  </si>
  <si>
    <t>R09 Roof to wall (flat ceiling)</t>
  </si>
  <si>
    <t>R10 All other roof or room-in-roof junctions</t>
  </si>
  <si>
    <t>R11 Upstands or kerbs of rooflights</t>
  </si>
  <si>
    <t>SAP Order</t>
  </si>
  <si>
    <t>Default</t>
  </si>
  <si>
    <t>Accredited</t>
  </si>
  <si>
    <t>Notional</t>
  </si>
  <si>
    <t>-</t>
  </si>
  <si>
    <t>Ref</t>
  </si>
  <si>
    <t>Junction</t>
  </si>
  <si>
    <t>Layer</t>
  </si>
  <si>
    <t>Parent Hierarchy</t>
  </si>
  <si>
    <t>E18 Party wall between dwellings</t>
  </si>
  <si>
    <t>Apartment</t>
  </si>
  <si>
    <t>Length (m)</t>
  </si>
  <si>
    <t>Total in Sheet (m)</t>
  </si>
  <si>
    <t>Total in Export (m)</t>
  </si>
  <si>
    <t>E09 Balcony between dwellings, wall insulation continuous</t>
  </si>
  <si>
    <t>P04 Roof (insulation at ceiling level)</t>
  </si>
  <si>
    <t>Edge Persistent ID</t>
  </si>
  <si>
    <t>E20 Exposed floor (normal)</t>
  </si>
  <si>
    <t>E21 Exposed floor (inverted)</t>
  </si>
  <si>
    <t>P08 Exposed floor (inverted)</t>
  </si>
  <si>
    <t>A6.13.04</t>
  </si>
  <si>
    <t>A6.09.03</t>
  </si>
  <si>
    <t>A6.09.06</t>
  </si>
  <si>
    <t>E2.34.02</t>
  </si>
  <si>
    <t>E2.34.03</t>
  </si>
  <si>
    <t>A6.09.02</t>
  </si>
  <si>
    <t>A6.09.07</t>
  </si>
  <si>
    <t>A6.09.05</t>
  </si>
  <si>
    <t>A6.13.03</t>
  </si>
  <si>
    <t>A6.09.04</t>
  </si>
  <si>
    <t>A6.09.01</t>
  </si>
  <si>
    <t>C1.08.06</t>
  </si>
  <si>
    <t>C1.08.01</t>
  </si>
  <si>
    <t>C1.01.02</t>
  </si>
  <si>
    <t>C1.09.08</t>
  </si>
  <si>
    <t>C1.01.05</t>
  </si>
  <si>
    <t>C1.09.07</t>
  </si>
  <si>
    <t>C1.14.05</t>
  </si>
  <si>
    <t>C1.14.02</t>
  </si>
  <si>
    <t>C1.14.06</t>
  </si>
  <si>
    <t>C1.14.01</t>
  </si>
  <si>
    <t>C1.08.03</t>
  </si>
  <si>
    <t>C1.01.03</t>
  </si>
  <si>
    <t>C1.14.03</t>
  </si>
  <si>
    <t>C1.08.04</t>
  </si>
  <si>
    <t>C1.01.04</t>
  </si>
  <si>
    <t>C1.01.01</t>
  </si>
  <si>
    <t>C1.14.04</t>
  </si>
  <si>
    <t>C1.08.07</t>
  </si>
  <si>
    <t>C1.01.06</t>
  </si>
  <si>
    <t>C1.08.02</t>
  </si>
  <si>
    <t>C1.08.08</t>
  </si>
  <si>
    <t>C1.08.05</t>
  </si>
  <si>
    <t>E2.01.02</t>
  </si>
  <si>
    <t>E2.01.04</t>
  </si>
  <si>
    <t>E2.01.03</t>
  </si>
  <si>
    <t>E2.01.01</t>
  </si>
  <si>
    <t>E2.15.06</t>
  </si>
  <si>
    <t>E2.15.01</t>
  </si>
  <si>
    <t>E2.15.03</t>
  </si>
  <si>
    <t>E2.15.05</t>
  </si>
  <si>
    <t>E2.15.04</t>
  </si>
  <si>
    <t>E2.15.07</t>
  </si>
  <si>
    <t>E2.15.02</t>
  </si>
  <si>
    <t>E2.34.01</t>
  </si>
  <si>
    <t>E2.34.04</t>
  </si>
  <si>
    <t>E2.34.05</t>
  </si>
  <si>
    <t>E2.34.06</t>
  </si>
  <si>
    <t>D1.08.03</t>
  </si>
  <si>
    <t>D1.09.03</t>
  </si>
  <si>
    <t>D1.09.02</t>
  </si>
  <si>
    <t>D1.08.02</t>
  </si>
  <si>
    <t>D1.08.05</t>
  </si>
  <si>
    <t>D1.12.02</t>
  </si>
  <si>
    <t>D1.08.01</t>
  </si>
  <si>
    <t>D1.12.01</t>
  </si>
  <si>
    <t>D1.08.04</t>
  </si>
  <si>
    <t>B1.11.02</t>
  </si>
  <si>
    <t>B1.07.01</t>
  </si>
  <si>
    <t>B1.07.02</t>
  </si>
  <si>
    <t>B1.07.03</t>
  </si>
  <si>
    <t>B1.07.04</t>
  </si>
  <si>
    <t>B1.11.01</t>
  </si>
  <si>
    <t>B1.08.03</t>
  </si>
  <si>
    <t>A3.10.01</t>
  </si>
  <si>
    <t>A3.10.04</t>
  </si>
  <si>
    <t>A3.10.02</t>
  </si>
  <si>
    <t>B1.07.05</t>
  </si>
  <si>
    <t>A3.10.05</t>
  </si>
  <si>
    <t>A3.07.05</t>
  </si>
  <si>
    <t>A3.10.03</t>
  </si>
  <si>
    <t>B1.08.02</t>
  </si>
  <si>
    <t>A3.07.02</t>
  </si>
  <si>
    <t>A3.07.08</t>
  </si>
  <si>
    <t>A6.13.01</t>
  </si>
  <si>
    <t>A3.07.06</t>
  </si>
  <si>
    <t>A3.07.03</t>
  </si>
  <si>
    <t>A6.13.02</t>
  </si>
  <si>
    <t>A3.07.01</t>
  </si>
  <si>
    <t>A3.07.04</t>
  </si>
  <si>
    <t>A6.10.04</t>
  </si>
  <si>
    <t>A3.07.07</t>
  </si>
  <si>
    <t>B1.02.02</t>
  </si>
  <si>
    <t>B1.02.01</t>
  </si>
  <si>
    <t>D1.02.02</t>
  </si>
  <si>
    <t>D1.02.03</t>
  </si>
  <si>
    <t>A6.01.01</t>
  </si>
  <si>
    <t>D1.02.04</t>
  </si>
  <si>
    <t>D1.02.05</t>
  </si>
  <si>
    <t>D1.02.01</t>
  </si>
  <si>
    <t>A6.01.02</t>
  </si>
  <si>
    <t>A3.01.02</t>
  </si>
  <si>
    <t>A3.01.01</t>
  </si>
  <si>
    <t>A3.08.02</t>
  </si>
  <si>
    <t>A3.08.03</t>
  </si>
  <si>
    <t>XML Name</t>
  </si>
  <si>
    <t>SteelLintel</t>
  </si>
  <si>
    <t>OtherLintels</t>
  </si>
  <si>
    <t>Sill</t>
  </si>
  <si>
    <t>Jamb</t>
  </si>
  <si>
    <t>GroundFloorNormal</t>
  </si>
  <si>
    <t>InternalFloor</t>
  </si>
  <si>
    <t>PartyFloor</t>
  </si>
  <si>
    <t>Balcony</t>
  </si>
  <si>
    <t>BalconyBetweenDwellings</t>
  </si>
  <si>
    <t>EavesAtCeiling</t>
  </si>
  <si>
    <t>EavesAtRafter</t>
  </si>
  <si>
    <t>GableAtCeiling</t>
  </si>
  <si>
    <t>GableAtRafter</t>
  </si>
  <si>
    <t>FlatRoof</t>
  </si>
  <si>
    <t>FlatRoofWithParapet</t>
  </si>
  <si>
    <t>CornerNormal</t>
  </si>
  <si>
    <t>CornerInverted</t>
  </si>
  <si>
    <t>PartyWall</t>
  </si>
  <si>
    <t>GroundFloorInverted</t>
  </si>
  <si>
    <t>ExposedFloorNormal</t>
  </si>
  <si>
    <t>ExposedFloorInverted</t>
  </si>
  <si>
    <t>BasementFloor</t>
  </si>
  <si>
    <t>BalconyBetweenDwellingsPenetrates</t>
  </si>
  <si>
    <t>EavesAtCeilingInverted</t>
  </si>
  <si>
    <t>StaggeredPart</t>
  </si>
  <si>
    <t>GroundFloorWithPartyWall</t>
  </si>
  <si>
    <t>InternalFloorWithPartyWall</t>
  </si>
  <si>
    <t>PartyFloorWithPartyWall</t>
  </si>
  <si>
    <t>RoofAtCeilingWithPartyWall</t>
  </si>
  <si>
    <t>RoofAtRafterWithPartyWall</t>
  </si>
  <si>
    <t>GroundFloorWithPartyWallInverted</t>
  </si>
  <si>
    <t>ExposedFloorWithPartyWall</t>
  </si>
  <si>
    <t>ExposedFloorInvertedWithPartyWall</t>
  </si>
  <si>
    <t>RoofHead</t>
  </si>
  <si>
    <t>RoofSill</t>
  </si>
  <si>
    <t>RoofJamb</t>
  </si>
  <si>
    <t>RoofRidgeVaulted</t>
  </si>
  <si>
    <t>RoofRidgeInverted</t>
  </si>
  <si>
    <t>RoofFlat</t>
  </si>
  <si>
    <t>RoofFlatInverted</t>
  </si>
  <si>
    <t>RoofWallRafter</t>
  </si>
  <si>
    <t>RoofWallCeling</t>
  </si>
  <si>
    <t>RoofAllOther</t>
  </si>
  <si>
    <t>RoofUpstands</t>
  </si>
  <si>
    <t>XML EXPORT</t>
  </si>
  <si>
    <t xml:space="preserve"> </t>
  </si>
  <si>
    <t>Default Heat Loss (W/K)</t>
  </si>
  <si>
    <t>Notional Heat Loss (W/K)</t>
  </si>
  <si>
    <r>
      <t xml:space="preserve">Cleaned Plot Number </t>
    </r>
    <r>
      <rPr>
        <sz val="9"/>
        <color theme="1"/>
        <rFont val="Aptos Narrow"/>
        <family val="2"/>
      </rPr>
      <t>→</t>
    </r>
  </si>
  <si>
    <r>
      <t xml:space="preserve">Plot Number Check </t>
    </r>
    <r>
      <rPr>
        <sz val="9"/>
        <color theme="1"/>
        <rFont val="Aptos Narrow"/>
        <family val="2"/>
      </rPr>
      <t>→</t>
    </r>
  </si>
  <si>
    <t>XML Code →</t>
  </si>
  <si>
    <t>E2.01.04 Thermal Bridges (ID: 660533)</t>
  </si>
  <si>
    <t>E2.01.03 Thermal Bridges (ID: 660695)</t>
  </si>
  <si>
    <t>E2.01.01 Thermal Bridges (ID: 660835)</t>
  </si>
  <si>
    <t>E2.01.02 Thermal Bridges (ID: 660985)</t>
  </si>
  <si>
    <t>E2.15.02 Thermal Bridges (ID: 661114)</t>
  </si>
  <si>
    <t>E2.15.03 Thermal Bridges (ID: 661297)</t>
  </si>
  <si>
    <t>E2.15.01 Thermal Bridges (ID: 661464)</t>
  </si>
  <si>
    <t>E2.15.06 Thermal Bridges (ID: 661612)</t>
  </si>
  <si>
    <t>E2.15.05 Thermal Bridges (ID: 661803)</t>
  </si>
  <si>
    <t>E2.15.07 Thermal Bridges (ID: 661951)</t>
  </si>
  <si>
    <t>E2.15.04 Thermal Bridges (ID: 662110)</t>
  </si>
  <si>
    <t>E2.34.05 Thermal Bridges (ID: 662258)</t>
  </si>
  <si>
    <t>E2.34.06 Thermal Bridges (ID: 662442)</t>
  </si>
  <si>
    <t>E2.34.04 Thermal Bridges (ID: 662592)</t>
  </si>
  <si>
    <t>E2.34.01 Thermal Bridges (ID: 662742)</t>
  </si>
  <si>
    <t>E2.34.02 Thermal Bridges (ID: 662895)</t>
  </si>
  <si>
    <t>E2.34.03 Thermal Bridges (ID: 663086)</t>
  </si>
  <si>
    <t>D1.09.02 Thermal Bridges (ID: 663239)</t>
  </si>
  <si>
    <t>D1.09.03 Thermal Bridges (ID: 663394)</t>
  </si>
  <si>
    <t>D1.12.01 Thermal Bridges (ID: 663534)</t>
  </si>
  <si>
    <t>D1.12.02 Thermal Bridges (ID: 663686)</t>
  </si>
  <si>
    <t>D1.08.04 Thermal Bridges (ID: 663764)</t>
  </si>
  <si>
    <t>D1.08.05 Thermal Bridges (ID: 663896)</t>
  </si>
  <si>
    <t>D1.08.02 Thermal Bridges (ID: 663994)</t>
  </si>
  <si>
    <t>D1.08.01 Thermal Bridges (ID: 664159)</t>
  </si>
  <si>
    <t>D1.08.03 Thermal Bridges (ID: 664242)</t>
  </si>
  <si>
    <t>B1.11.01 Thermal Bridges (ID: 664396)</t>
  </si>
  <si>
    <t>B1.11.02 Thermal Bridges (ID: 664517)</t>
  </si>
  <si>
    <t>B1.07.01 Thermal Bridges (ID: 664595)</t>
  </si>
  <si>
    <t>B1.07.02 Thermal Bridges (ID: 664688)</t>
  </si>
  <si>
    <t>B1.07.03 Thermal Bridges (ID: 664837)</t>
  </si>
  <si>
    <t>B1.07.04 Thermal Bridges (ID: 664954)</t>
  </si>
  <si>
    <t>B1.07.05 Thermal Bridges (ID: 665044)</t>
  </si>
  <si>
    <t>B1.08.02 Thermal Bridges (ID: 665135)</t>
  </si>
  <si>
    <t>B1.08.03 Thermal Bridges (ID: 665280)</t>
  </si>
  <si>
    <t>A3.10.01 Thermal Bridges (ID: 665393)</t>
  </si>
  <si>
    <t>A3.10.05 Thermal Bridges (ID: 665542)</t>
  </si>
  <si>
    <t>A3.10.04 Thermal Bridges (ID: 665691)</t>
  </si>
  <si>
    <t>A3.10.03 Thermal Bridges (ID: 665785)</t>
  </si>
  <si>
    <t>A3.10.02 Thermal Bridges (ID: 665938)</t>
  </si>
  <si>
    <t>A3.07.05 Thermal Bridges (ID: 666083)</t>
  </si>
  <si>
    <t>A3.07.04 Thermal Bridges (ID: 666250)</t>
  </si>
  <si>
    <t>A3.07.08 Thermal Bridges (ID: 666403)</t>
  </si>
  <si>
    <t>A3.07.01 Thermal Bridges (ID: 666570)</t>
  </si>
  <si>
    <t>A3.07.02 Thermal Bridges (ID: 666727)</t>
  </si>
  <si>
    <t>A3.07.07 Thermal Bridges (ID: 666904)</t>
  </si>
  <si>
    <t>A3.07.03 Thermal Bridges (ID: 667006)</t>
  </si>
  <si>
    <t>A3.07.06 Thermal Bridges (ID: 667179)</t>
  </si>
  <si>
    <t>A6.10.04 Thermal Bridges (ID: 667281)</t>
  </si>
  <si>
    <t>A6.13.01 Thermal Bridges (ID: 667513)</t>
  </si>
  <si>
    <t>A6.13.02 Thermal Bridges (ID: 667706)</t>
  </si>
  <si>
    <t>A6.13.03 Thermal Bridges (ID: 667855)</t>
  </si>
  <si>
    <t>A6.13.04 Thermal Bridges (ID: 668012)</t>
  </si>
  <si>
    <t>A6.09.06 Thermal Bridges (ID: 668215)</t>
  </si>
  <si>
    <t>A6.09.07 Thermal Bridges (ID: 668403)</t>
  </si>
  <si>
    <t>A6.09.02 Thermal Bridges (ID: 668610)</t>
  </si>
  <si>
    <t>A6.09.03 Thermal Bridges (ID: 668818)</t>
  </si>
  <si>
    <t>A6.09.04 Thermal Bridges (ID: 668936)</t>
  </si>
  <si>
    <t>A6.09.01 Thermal Bridges (ID: 669180)</t>
  </si>
  <si>
    <t>A6.09.05 Thermal Bridges (ID: 669377)</t>
  </si>
  <si>
    <t>B1.02.01 Thermal Bridges (ID: 669499)</t>
  </si>
  <si>
    <t>B1.02.02 Thermal Bridges (ID: 669578)</t>
  </si>
  <si>
    <t>D1.02.02 Thermal Bridges (ID: 669712)</t>
  </si>
  <si>
    <t>D1.02.01 Thermal Bridges (ID: 669868)</t>
  </si>
  <si>
    <t>D1.02.04 Thermal Bridges (ID: 669963)</t>
  </si>
  <si>
    <t>D1.02.03 Thermal Bridges (ID: 670076)</t>
  </si>
  <si>
    <t>D1.02.05 Thermal Bridges (ID: 670211)</t>
  </si>
  <si>
    <t>A6.01.01 Thermal Bridges (ID: 670298)</t>
  </si>
  <si>
    <t>A6.01.02 Thermal Bridges (ID: 670430)</t>
  </si>
  <si>
    <t>A3.01.02 Thermal Bridges (ID: 670571)</t>
  </si>
  <si>
    <t>A3.01.01 Thermal Bridges (ID: 670705)</t>
  </si>
  <si>
    <t>A3.08.03 Thermal Bridges (ID: 670841)</t>
  </si>
  <si>
    <t>A3.08.02 Thermal Bridges (ID: 671006)</t>
  </si>
  <si>
    <t>C1.14.05 Thermal Bridges (ID: 671167)</t>
  </si>
  <si>
    <t>C1.14.06 Thermal Bridges (ID: 671331)</t>
  </si>
  <si>
    <t>C1.14.01 Thermal Bridges (ID: 671480)</t>
  </si>
  <si>
    <t>C1.14.02 Thermal Bridges (ID: 671655)</t>
  </si>
  <si>
    <t>C1.14.03 Thermal Bridges (ID: 671804)</t>
  </si>
  <si>
    <t>C1.14.04 Thermal Bridges (ID: 671886)</t>
  </si>
  <si>
    <t>C1.08.05 Thermal Bridges (ID: 671968)</t>
  </si>
  <si>
    <t>C1.08.06 Thermal Bridges (ID: 672121)</t>
  </si>
  <si>
    <t>C1.08.02 Thermal Bridges (ID: 672294)</t>
  </si>
  <si>
    <t>C1.08.03 Thermal Bridges (ID: 672451)</t>
  </si>
  <si>
    <t>C1.08.04 Thermal Bridges (ID: 672541)</t>
  </si>
  <si>
    <t>C1.08.01 Thermal Bridges (ID: 672631)</t>
  </si>
  <si>
    <t>C1.09.08 Thermal Bridges (ID: 672792)</t>
  </si>
  <si>
    <t>C1.09.07 Thermal Bridges (ID: 672941)</t>
  </si>
  <si>
    <t>C1.08.08 Thermal Bridges (ID: 673090)</t>
  </si>
  <si>
    <t>C1.08.07 Thermal Bridges (ID: 673247)</t>
  </si>
  <si>
    <t>C1.01.02 Thermal Bridges (ID: 673404)</t>
  </si>
  <si>
    <t>C1.01.03 Thermal Bridges (ID: 673542)</t>
  </si>
  <si>
    <t>C1.01.04 Thermal Bridges (ID: 673617)</t>
  </si>
  <si>
    <t>C1.01.05 Thermal Bridges (ID: 673692)</t>
  </si>
  <si>
    <t>C1.01.06 Thermal Bridges (ID: 673799)</t>
  </si>
  <si>
    <t>C1.01.01 Thermal Bridges (ID: 673906)</t>
  </si>
  <si>
    <t>Y VALUE METHOD</t>
  </si>
  <si>
    <t>THERMAL BRIDGE SCHEDULE</t>
  </si>
  <si>
    <t>Exported: 2026-02-06 16:50:09, Model: ASDA Version 16, Edges: 3410</t>
  </si>
  <si>
    <t>A3.01.01_2026-02-07_11-02-21-8753.xml</t>
  </si>
  <si>
    <t>C:\Users\rosst\Desktop\Version 1a Be Green\A3.01.01_2026-02-07_11-02-21-8753.xml</t>
  </si>
  <si>
    <t>A3.01.02_2026-02-07_11-02-21-9065.xml</t>
  </si>
  <si>
    <t>C:\Users\rosst\Desktop\Version 1a Be Green\A3.01.02_2026-02-07_11-02-21-9065.xml</t>
  </si>
  <si>
    <t>A3.07.01_2026-02-07_11-02-21-9378.xml</t>
  </si>
  <si>
    <t>C:\Users\rosst\Desktop\Version 1a Be Green\A3.07.01_2026-02-07_11-02-21-9378.xml</t>
  </si>
  <si>
    <t>A3.07.02_2026-02-07_11-02-21-9534.xml</t>
  </si>
  <si>
    <t>C:\Users\rosst\Desktop\Version 1a Be Green\A3.07.02_2026-02-07_11-02-21-9534.xml</t>
  </si>
  <si>
    <t>A3.07.03_2026-02-07_11-02-21-9847.xml</t>
  </si>
  <si>
    <t>C:\Users\rosst\Desktop\Version 1a Be Green\A3.07.03_2026-02-07_11-02-21-9847.xml</t>
  </si>
  <si>
    <t>A3.07.04_2026-02-07_11-02-22-0159.xml</t>
  </si>
  <si>
    <t>C:\Users\rosst\Desktop\Version 1a Be Green\A3.07.04_2026-02-07_11-02-22-0159.xml</t>
  </si>
  <si>
    <t>A3.07.05_2026-02-07_11-02-22-0472.xml</t>
  </si>
  <si>
    <t>C:\Users\rosst\Desktop\Version 1a Be Green\A3.07.05_2026-02-07_11-02-22-0472.xml</t>
  </si>
  <si>
    <t>A3.07.06_2026-02-07_11-02-22-0784.xml</t>
  </si>
  <si>
    <t>C:\Users\rosst\Desktop\Version 1a Be Green\A3.07.06_2026-02-07_11-02-22-0784.xml</t>
  </si>
  <si>
    <t>A3.07.07_2026-02-07_11-02-22-1100.xml</t>
  </si>
  <si>
    <t>C:\Users\rosst\Desktop\Version 1a Be Green\A3.07.07_2026-02-07_11-02-22-1100.xml</t>
  </si>
  <si>
    <t>A3.07.08_2026-02-07_11-02-22-1412.xml</t>
  </si>
  <si>
    <t>C:\Users\rosst\Desktop\Version 1a Be Green\A3.07.08_2026-02-07_11-02-22-1412.xml</t>
  </si>
  <si>
    <t>A3.08.02_2026-02-07_11-02-22-1724.xml</t>
  </si>
  <si>
    <t>C:\Users\rosst\Desktop\Version 1a Be Green\A3.08.02_2026-02-07_11-02-22-1724.xml</t>
  </si>
  <si>
    <t>A3.08.03_2026-02-07_11-02-22-2037.xml</t>
  </si>
  <si>
    <t>C:\Users\rosst\Desktop\Version 1a Be Green\A3.08.03_2026-02-07_11-02-22-2037.xml</t>
  </si>
  <si>
    <t>A3.10.01_2026-02-07_11-02-22-2193.xml</t>
  </si>
  <si>
    <t>C:\Users\rosst\Desktop\Version 1a Be Green\A3.10.01_2026-02-07_11-02-22-2193.xml</t>
  </si>
  <si>
    <t>A3.10.02_2026-02-07_11-02-22-2505.xml</t>
  </si>
  <si>
    <t>C:\Users\rosst\Desktop\Version 1a Be Green\A3.10.02_2026-02-07_11-02-22-2505.xml</t>
  </si>
  <si>
    <t>A3.10.03_2026-02-07_11-02-22-2818.xml</t>
  </si>
  <si>
    <t>C:\Users\rosst\Desktop\Version 1a Be Green\A3.10.03_2026-02-07_11-02-22-2818.xml</t>
  </si>
  <si>
    <t>A3.10.04_2026-02-07_11-02-22-3131.xml</t>
  </si>
  <si>
    <t>C:\Users\rosst\Desktop\Version 1a Be Green\A3.10.04_2026-02-07_11-02-22-3131.xml</t>
  </si>
  <si>
    <t>A3.10.05_2026-02-07_11-02-22-3473.xml</t>
  </si>
  <si>
    <t>C:\Users\rosst\Desktop\Version 1a Be Green\A3.10.05_2026-02-07_11-02-22-3473.xml</t>
  </si>
  <si>
    <t>A6.01.01_2026-02-07_11-02-22-3662.xml</t>
  </si>
  <si>
    <t>C:\Users\rosst\Desktop\Version 1a Be Green\A6.01.01_2026-02-07_11-02-22-3662.xml</t>
  </si>
  <si>
    <t>A6.01.02_2026-02-07_11-02-22-3975.xml</t>
  </si>
  <si>
    <t>C:\Users\rosst\Desktop\Version 1a Be Green\A6.01.02_2026-02-07_11-02-22-3975.xml</t>
  </si>
  <si>
    <t>A6.09.01_2026-02-07_11-02-22-4287.xml</t>
  </si>
  <si>
    <t>C:\Users\rosst\Desktop\Version 1a Be Green\A6.09.01_2026-02-07_11-02-22-4287.xml</t>
  </si>
  <si>
    <t>A6.09.02_2026-02-07_11-02-22-4600.xml</t>
  </si>
  <si>
    <t>C:\Users\rosst\Desktop\Version 1a Be Green\A6.09.02_2026-02-07_11-02-22-4600.xml</t>
  </si>
  <si>
    <t>A6.09.03_2026-02-07_11-02-22-4912.xml</t>
  </si>
  <si>
    <t>C:\Users\rosst\Desktop\Version 1a Be Green\A6.09.03_2026-02-07_11-02-22-4912.xml</t>
  </si>
  <si>
    <t>A6.09.04_2026-02-07_11-02-22-5069.xml</t>
  </si>
  <si>
    <t>C:\Users\rosst\Desktop\Version 1a Be Green\A6.09.04_2026-02-07_11-02-22-5069.xml</t>
  </si>
  <si>
    <t>A6.09.05_2026-02-07_11-02-22-5381.xml</t>
  </si>
  <si>
    <t>C:\Users\rosst\Desktop\Version 1a Be Green\A6.09.05_2026-02-07_11-02-22-5381.xml</t>
  </si>
  <si>
    <t>A6.09.06_2026-02-07_11-02-22-5694.xml</t>
  </si>
  <si>
    <t>C:\Users\rosst\Desktop\Version 1a Be Green\A6.09.06_2026-02-07_11-02-22-5694.xml</t>
  </si>
  <si>
    <t>A6.09.07_2026-02-07_11-02-22-6058.xml</t>
  </si>
  <si>
    <t>C:\Users\rosst\Desktop\Version 1a Be Green\A6.09.07_2026-02-07_11-02-22-6058.xml</t>
  </si>
  <si>
    <t>A6.10.04_2026-02-07_11-02-22-6227.xml</t>
  </si>
  <si>
    <t>C:\Users\rosst\Desktop\Version 1a Be Green\A6.10.04_2026-02-07_11-02-22-6227.xml</t>
  </si>
  <si>
    <t>A6.13.01_2026-02-07_11-02-22-6539.xml</t>
  </si>
  <si>
    <t>C:\Users\rosst\Desktop\Version 1a Be Green\A6.13.01_2026-02-07_11-02-22-6539.xml</t>
  </si>
  <si>
    <t>A6.13.02_2026-02-07_11-02-22-7195.xml</t>
  </si>
  <si>
    <t>C:\Users\rosst\Desktop\Version 1a Be Green\A6.13.02_2026-02-07_11-02-22-7195.xml</t>
  </si>
  <si>
    <t>A6.13.03_2026-02-07_11-02-22-7664.xml</t>
  </si>
  <si>
    <t>C:\Users\rosst\Desktop\Version 1a Be Green\A6.13.03_2026-02-07_11-02-22-7664.xml</t>
  </si>
  <si>
    <t>A6.13.04_2026-02-07_11-02-22-8445.xml</t>
  </si>
  <si>
    <t>C:\Users\rosst\Desktop\Version 1a Be Green\A6.13.04_2026-02-07_11-02-22-8445.xml</t>
  </si>
  <si>
    <t>B1.02.01_2026-02-07_11-02-22-8914.xml</t>
  </si>
  <si>
    <t>C:\Users\rosst\Desktop\Version 1a Be Green\B1.02.01_2026-02-07_11-02-22-8914.xml</t>
  </si>
  <si>
    <t>B1.02.02_2026-02-07_11-02-22-9227.xml</t>
  </si>
  <si>
    <t>C:\Users\rosst\Desktop\Version 1a Be Green\B1.02.02_2026-02-07_11-02-22-9227.xml</t>
  </si>
  <si>
    <t>B1.07.01_2026-02-07_11-02-22-9383.xml</t>
  </si>
  <si>
    <t>C:\Users\rosst\Desktop\Version 1a Be Green\B1.07.01_2026-02-07_11-02-22-9383.xml</t>
  </si>
  <si>
    <t>B1.07.02_2026-02-07_11-02-22-9695.xml</t>
  </si>
  <si>
    <t>C:\Users\rosst\Desktop\Version 1a Be Green\B1.07.02_2026-02-07_11-02-22-9695.xml</t>
  </si>
  <si>
    <t>B1.07.03_2026-02-07_11-02-23-0010.xml</t>
  </si>
  <si>
    <t>C:\Users\rosst\Desktop\Version 1a Be Green\B1.07.03_2026-02-07_11-02-23-0010.xml</t>
  </si>
  <si>
    <t>B1.07.04_2026-02-07_11-02-23-0323.xml</t>
  </si>
  <si>
    <t>C:\Users\rosst\Desktop\Version 1a Be Green\B1.07.04_2026-02-07_11-02-23-0323.xml</t>
  </si>
  <si>
    <t>B1.07.05_2026-02-07_11-02-23-0635.xml</t>
  </si>
  <si>
    <t>C:\Users\rosst\Desktop\Version 1a Be Green\B1.07.05_2026-02-07_11-02-23-0635.xml</t>
  </si>
  <si>
    <t>B1.08.02_2026-02-07_11-02-23-1104.xml</t>
  </si>
  <si>
    <t>C:\Users\rosst\Desktop\Version 1a Be Green\B1.08.02_2026-02-07_11-02-23-1104.xml</t>
  </si>
  <si>
    <t>B1.08.03_2026-02-07_11-02-23-1417.xml</t>
  </si>
  <si>
    <t>C:\Users\rosst\Desktop\Version 1a Be Green\B1.08.03_2026-02-07_11-02-23-1417.xml</t>
  </si>
  <si>
    <t>B1.11.01_2026-02-07_11-02-23-1729.xml</t>
  </si>
  <si>
    <t>C:\Users\rosst\Desktop\Version 1a Be Green\B1.11.01_2026-02-07_11-02-23-1729.xml</t>
  </si>
  <si>
    <t>B1.11.02_2026-02-07_11-02-23-2042.xml</t>
  </si>
  <si>
    <t>C:\Users\rosst\Desktop\Version 1a Be Green\B1.11.02_2026-02-07_11-02-23-2042.xml</t>
  </si>
  <si>
    <t>C1.01.01_2026-02-07_11-02-23-2354.xml</t>
  </si>
  <si>
    <t>C:\Users\rosst\Desktop\Version 1a Be Green\C1.01.01_2026-02-07_11-02-23-2354.xml</t>
  </si>
  <si>
    <t>C1.01.02_2026-02-07_11-02-23-2667.xml</t>
  </si>
  <si>
    <t>C:\Users\rosst\Desktop\Version 1a Be Green\C1.01.02_2026-02-07_11-02-23-2667.xml</t>
  </si>
  <si>
    <t>C1.01.03_2026-02-07_11-02-23-2979.xml</t>
  </si>
  <si>
    <t>C:\Users\rosst\Desktop\Version 1a Be Green\C1.01.03_2026-02-07_11-02-23-2979.xml</t>
  </si>
  <si>
    <t>C1.01.04_2026-02-07_11-02-23-3136.xml</t>
  </si>
  <si>
    <t>C:\Users\rosst\Desktop\Version 1a Be Green\C1.01.04_2026-02-07_11-02-23-3136.xml</t>
  </si>
  <si>
    <t>C1.01.05_2026-02-07_11-02-23-3604.xml</t>
  </si>
  <si>
    <t>C:\Users\rosst\Desktop\Version 1a Be Green\C1.01.05_2026-02-07_11-02-23-3604.xml</t>
  </si>
  <si>
    <t>C1.01.06_2026-02-07_11-02-23-3760.xml</t>
  </si>
  <si>
    <t>C:\Users\rosst\Desktop\Version 1a Be Green\C1.01.06_2026-02-07_11-02-23-3760.xml</t>
  </si>
  <si>
    <t>C1.08.01_2026-02-07_11-02-23-4073.xml</t>
  </si>
  <si>
    <t>C:\Users\rosst\Desktop\Version 1a Be Green\C1.08.01_2026-02-07_11-02-23-4073.xml</t>
  </si>
  <si>
    <t>C1.08.02_2026-02-07_11-02-23-4386.xml</t>
  </si>
  <si>
    <t>C:\Users\rosst\Desktop\Version 1a Be Green\C1.08.02_2026-02-07_11-02-23-4386.xml</t>
  </si>
  <si>
    <t>C1.08.03_2026-02-07_11-02-23-4698.xml</t>
  </si>
  <si>
    <t>C:\Users\rosst\Desktop\Version 1a Be Green\C1.08.03_2026-02-07_11-02-23-4698.xml</t>
  </si>
  <si>
    <t>C1.08.04_2026-02-07_11-02-23-5010.xml</t>
  </si>
  <si>
    <t>C:\Users\rosst\Desktop\Version 1a Be Green\C1.08.04_2026-02-07_11-02-23-5010.xml</t>
  </si>
  <si>
    <t>C1.08.05_2026-02-07_11-02-23-5323.xml</t>
  </si>
  <si>
    <t>C:\Users\rosst\Desktop\Version 1a Be Green\C1.08.05_2026-02-07_11-02-23-5323.xml</t>
  </si>
  <si>
    <t>C1.08.06_2026-02-07_11-02-23-5479.xml</t>
  </si>
  <si>
    <t>C:\Users\rosst\Desktop\Version 1a Be Green\C1.08.06_2026-02-07_11-02-23-5479.xml</t>
  </si>
  <si>
    <t>C1.08.07_2026-02-07_11-02-23-5903.xml</t>
  </si>
  <si>
    <t>C:\Users\rosst\Desktop\Version 1a Be Green\C1.08.07_2026-02-07_11-02-23-5903.xml</t>
  </si>
  <si>
    <t>C1.08.08_2026-02-07_11-02-23-6059.xml</t>
  </si>
  <si>
    <t>C:\Users\rosst\Desktop\Version 1a Be Green\C1.08.08_2026-02-07_11-02-23-6059.xml</t>
  </si>
  <si>
    <t>C1.09.07_2026-02-07_11-02-23-6372.xml</t>
  </si>
  <si>
    <t>C:\Users\rosst\Desktop\Version 1a Be Green\C1.09.07_2026-02-07_11-02-23-6372.xml</t>
  </si>
  <si>
    <t>C1.09.08_2026-02-07_11-02-23-6684.xml</t>
  </si>
  <si>
    <t>C:\Users\rosst\Desktop\Version 1a Be Green\C1.09.08_2026-02-07_11-02-23-6684.xml</t>
  </si>
  <si>
    <t>C1.14.01_2026-02-07_11-02-23-7038.xml</t>
  </si>
  <si>
    <t>C:\Users\rosst\Desktop\Version 1a Be Green\C1.14.01_2026-02-07_11-02-23-7038.xml</t>
  </si>
  <si>
    <t>C1.14.02_2026-02-07_11-02-23-7199.xml</t>
  </si>
  <si>
    <t>C:\Users\rosst\Desktop\Version 1a Be Green\C1.14.02_2026-02-07_11-02-23-7199.xml</t>
  </si>
  <si>
    <t>C1.14.03_2026-02-07_11-02-23-7512.xml</t>
  </si>
  <si>
    <t>C:\Users\rosst\Desktop\Version 1a Be Green\C1.14.03_2026-02-07_11-02-23-7512.xml</t>
  </si>
  <si>
    <t>C1.14.04_2026-02-07_11-02-23-7824.xml</t>
  </si>
  <si>
    <t>C:\Users\rosst\Desktop\Version 1a Be Green\C1.14.04_2026-02-07_11-02-23-7824.xml</t>
  </si>
  <si>
    <t>C1.14.05_2026-02-07_11-02-23-8137.xml</t>
  </si>
  <si>
    <t>C:\Users\rosst\Desktop\Version 1a Be Green\C1.14.05_2026-02-07_11-02-23-8137.xml</t>
  </si>
  <si>
    <t>C1.14.06_2026-02-07_11-02-23-8293.xml</t>
  </si>
  <si>
    <t>C:\Users\rosst\Desktop\Version 1a Be Green\C1.14.06_2026-02-07_11-02-23-8293.xml</t>
  </si>
  <si>
    <t>D1.02.01_2026-02-07_11-02-23-8606.xml</t>
  </si>
  <si>
    <t>C:\Users\rosst\Desktop\Version 1a Be Green\D1.02.01_2026-02-07_11-02-23-8606.xml</t>
  </si>
  <si>
    <t>D1.02.02_2026-02-07_11-02-23-8925.xml</t>
  </si>
  <si>
    <t>C:\Users\rosst\Desktop\Version 1a Be Green\D1.02.02_2026-02-07_11-02-23-8925.xml</t>
  </si>
  <si>
    <t>D1.02.03_2026-02-07_11-02-23-9238.xml</t>
  </si>
  <si>
    <t>C:\Users\rosst\Desktop\Version 1a Be Green\D1.02.03_2026-02-07_11-02-23-9238.xml</t>
  </si>
  <si>
    <t>D1.02.04_2026-02-07_11-02-23-9394.xml</t>
  </si>
  <si>
    <t>C:\Users\rosst\Desktop\Version 1a Be Green\D1.02.04_2026-02-07_11-02-23-9394.xml</t>
  </si>
  <si>
    <t>D1.02.05_2026-02-07_11-02-23-9714.xml</t>
  </si>
  <si>
    <t>C:\Users\rosst\Desktop\Version 1a Be Green\D1.02.05_2026-02-07_11-02-23-9714.xml</t>
  </si>
  <si>
    <t>D1.08.01_2026-02-07_11-02-24-0024.xml</t>
  </si>
  <si>
    <t>C:\Users\rosst\Desktop\Version 1a Be Green\D1.08.01_2026-02-07_11-02-24-0024.xml</t>
  </si>
  <si>
    <t>D1.08.02_2026-02-07_11-02-24-0336.xml</t>
  </si>
  <si>
    <t>C:\Users\rosst\Desktop\Version 1a Be Green\D1.08.02_2026-02-07_11-02-24-0336.xml</t>
  </si>
  <si>
    <t>D1.08.03_2026-02-07_11-02-24-0493.xml</t>
  </si>
  <si>
    <t>C:\Users\rosst\Desktop\Version 1a Be Green\D1.08.03_2026-02-07_11-02-24-0493.xml</t>
  </si>
  <si>
    <t>D1.08.04_2026-02-07_11-02-24-0805.xml</t>
  </si>
  <si>
    <t>C:\Users\rosst\Desktop\Version 1a Be Green\D1.08.04_2026-02-07_11-02-24-0805.xml</t>
  </si>
  <si>
    <t>D1.08.05_2026-02-07_11-02-24-1458.xml</t>
  </si>
  <si>
    <t>C:\Users\rosst\Desktop\Version 1a Be Green\D1.08.05_2026-02-07_11-02-24-1458.xml</t>
  </si>
  <si>
    <t>D1.09.02_2026-02-07_11-02-24-1771.xml</t>
  </si>
  <si>
    <t>C:\Users\rosst\Desktop\Version 1a Be Green\D1.09.02_2026-02-07_11-02-24-1771.xml</t>
  </si>
  <si>
    <t>D1.09.03_2026-02-07_11-02-24-2083.xml</t>
  </si>
  <si>
    <t>C:\Users\rosst\Desktop\Version 1a Be Green\D1.09.03_2026-02-07_11-02-24-2083.xml</t>
  </si>
  <si>
    <t>D1.12.01_2026-02-07_11-02-24-2396.xml</t>
  </si>
  <si>
    <t>C:\Users\rosst\Desktop\Version 1a Be Green\D1.12.01_2026-02-07_11-02-24-2396.xml</t>
  </si>
  <si>
    <t>D1.12.02_2026-02-07_11-02-24-2552.xml</t>
  </si>
  <si>
    <t>C:\Users\rosst\Desktop\Version 1a Be Green\D1.12.02_2026-02-07_11-02-24-2552.xml</t>
  </si>
  <si>
    <t>E2.01.01_2026-02-07_11-02-24-2864.xml</t>
  </si>
  <si>
    <t>C:\Users\rosst\Desktop\Version 1a Be Green\E2.01.01_2026-02-07_11-02-24-2864.xml</t>
  </si>
  <si>
    <t>E2.01.02_2026-02-07_11-02-24-3177.xml</t>
  </si>
  <si>
    <t>C:\Users\rosst\Desktop\Version 1a Be Green\E2.01.02_2026-02-07_11-02-24-3177.xml</t>
  </si>
  <si>
    <t>E2.01.03_2026-02-07_11-02-24-3489.xml</t>
  </si>
  <si>
    <t>C:\Users\rosst\Desktop\Version 1a Be Green\E2.01.03_2026-02-07_11-02-24-3489.xml</t>
  </si>
  <si>
    <t>E2.01.04_2026-02-07_11-02-24-3802.xml</t>
  </si>
  <si>
    <t>C:\Users\rosst\Desktop\Version 1a Be Green\E2.01.04_2026-02-07_11-02-24-3802.xml</t>
  </si>
  <si>
    <t>E2.15.01_2026-02-07_11-02-24-3958.xml</t>
  </si>
  <si>
    <t>C:\Users\rosst\Desktop\Version 1a Be Green\E2.15.01_2026-02-07_11-02-24-3958.xml</t>
  </si>
  <si>
    <t>E2.15.02_2026-02-07_11-02-24-4271.xml</t>
  </si>
  <si>
    <t>C:\Users\rosst\Desktop\Version 1a Be Green\E2.15.02_2026-02-07_11-02-24-4271.xml</t>
  </si>
  <si>
    <t>E2.15.03_2026-02-07_11-02-24-4690.xml</t>
  </si>
  <si>
    <t>C:\Users\rosst\Desktop\Version 1a Be Green\E2.15.03_2026-02-07_11-02-24-4690.xml</t>
  </si>
  <si>
    <t>E2.15.04_2026-02-07_11-02-24-4847.xml</t>
  </si>
  <si>
    <t>C:\Users\rosst\Desktop\Version 1a Be Green\E2.15.04_2026-02-07_11-02-24-4847.xml</t>
  </si>
  <si>
    <t>E2.15.05_2026-02-07_11-02-24-5159.xml</t>
  </si>
  <si>
    <t>C:\Users\rosst\Desktop\Version 1a Be Green\E2.15.05_2026-02-07_11-02-24-5159.xml</t>
  </si>
  <si>
    <t>E2.15.06_2026-02-07_11-02-24-5472.xml</t>
  </si>
  <si>
    <t>C:\Users\rosst\Desktop\Version 1a Be Green\E2.15.06_2026-02-07_11-02-24-5472.xml</t>
  </si>
  <si>
    <t>E2.15.07_2026-02-07_11-02-24-5784.xml</t>
  </si>
  <si>
    <t>C:\Users\rosst\Desktop\Version 1a Be Green\E2.15.07_2026-02-07_11-02-24-5784.xml</t>
  </si>
  <si>
    <t>E2.34.01_2026-02-07_11-02-24-6062.xml</t>
  </si>
  <si>
    <t>C:\Users\rosst\Desktop\Version 1a Be Green\E2.34.01_2026-02-07_11-02-24-6062.xml</t>
  </si>
  <si>
    <t>E2.34.02_2026-02-07_11-02-24-6340.xml</t>
  </si>
  <si>
    <t>C:\Users\rosst\Desktop\Version 1a Be Green\E2.34.02_2026-02-07_11-02-24-6340.xml</t>
  </si>
  <si>
    <t>E2.34.03_2026-02-07_11-02-24-6653.xml</t>
  </si>
  <si>
    <t>C:\Users\rosst\Desktop\Version 1a Be Green\E2.34.03_2026-02-07_11-02-24-6653.xml</t>
  </si>
  <si>
    <t>E2.34.04_2026-02-07_11-02-24-6809.xml</t>
  </si>
  <si>
    <t>C:\Users\rosst\Desktop\Version 1a Be Green\E2.34.04_2026-02-07_11-02-24-6809.xml</t>
  </si>
  <si>
    <t>E2.34.05_2026-02-07_11-02-24-7203.xml</t>
  </si>
  <si>
    <t>C:\Users\rosst\Desktop\Version 1a Be Green\E2.34.05_2026-02-07_11-02-24-7203.xml</t>
  </si>
  <si>
    <t>E2.34.06_2026-02-07_11-02-24-7359.xml</t>
  </si>
  <si>
    <t>C:\Users\rosst\Desktop\Version 1a Be Green\E2.34.06_2026-02-07_11-02-24-7359.xml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</si>
</sst>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&gt;0]0.00;[&lt;0]\-0.00;0"/>
  </numFmts>
  <fonts count="25" x14ac:knownFonts="1">
    <font>
      <sz val="11"/>
      <color theme="1"/>
      <name val="Arial"/>
      <family val="2"/>
      <scheme val="minor"/>
    </font>
    <font>
      <sz val="8"/>
      <name val="Arial"/>
      <family val="2"/>
      <scheme val="minor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rgb="FF6A662D"/>
      <name val="Arial"/>
      <family val="2"/>
    </font>
    <font>
      <sz val="9"/>
      <color rgb="FF632B1F"/>
      <name val="Arial"/>
      <family val="2"/>
    </font>
    <font>
      <sz val="9"/>
      <color rgb="FF426D2B"/>
      <name val="Arial"/>
      <family val="2"/>
    </font>
    <font>
      <sz val="9"/>
      <color rgb="FF424054"/>
      <name val="Arial"/>
      <family val="2"/>
    </font>
    <font>
      <sz val="9"/>
      <color rgb="FF2E6486"/>
      <name val="Arial"/>
      <family val="2"/>
    </font>
    <font>
      <sz val="9"/>
      <color rgb="FF2A4C2F"/>
      <name val="Arial"/>
      <family val="2"/>
    </font>
    <font>
      <sz val="9"/>
      <color rgb="FF473E38"/>
      <name val="Arial"/>
      <family val="2"/>
    </font>
    <font>
      <sz val="9"/>
      <color rgb="FF7A4E64"/>
      <name val="Arial"/>
      <family val="2"/>
    </font>
    <font>
      <sz val="9"/>
      <color rgb="FF586169"/>
      <name val="Arial"/>
      <family val="2"/>
    </font>
    <font>
      <sz val="9"/>
      <color rgb="FF8A1A1A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rgb="FF9C4E08"/>
      <name val="Arial"/>
      <family val="2"/>
      <scheme val="minor"/>
    </font>
    <font>
      <sz val="11"/>
      <color rgb="FF000000"/>
      <name val="Arial"/>
      <family val="2"/>
    </font>
    <font>
      <sz val="9"/>
      <color theme="1"/>
      <name val="Aptos Narrow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2"/>
      <color rgb="FF000000"/>
      <name val="Arial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rgb="FFFF5733"/>
        <bgColor indexed="64"/>
      </patternFill>
    </fill>
    <fill>
      <patternFill patternType="solid">
        <fgColor rgb="FFFFBD33"/>
        <bgColor indexed="64"/>
      </patternFill>
    </fill>
    <fill>
      <patternFill patternType="solid">
        <fgColor rgb="FFFF3366"/>
        <bgColor indexed="64"/>
      </patternFill>
    </fill>
    <fill>
      <patternFill patternType="solid">
        <fgColor rgb="FFFF8533"/>
        <bgColor indexed="64"/>
      </patternFill>
    </fill>
    <fill>
      <patternFill patternType="solid">
        <fgColor rgb="FFFF5A36"/>
        <bgColor indexed="64"/>
      </patternFill>
    </fill>
    <fill>
      <patternFill patternType="solid">
        <fgColor rgb="FFE55381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A55EBF"/>
        <bgColor indexed="64"/>
      </patternFill>
    </fill>
    <fill>
      <patternFill patternType="solid">
        <fgColor rgb="FF5C5CAA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5CADFF"/>
        <bgColor indexed="64"/>
      </patternFill>
    </fill>
    <fill>
      <patternFill patternType="solid">
        <fgColor rgb="FF33A1C9"/>
        <bgColor indexed="64"/>
      </patternFill>
    </fill>
    <fill>
      <patternFill patternType="solid">
        <fgColor rgb="FF007BA7"/>
        <bgColor indexed="64"/>
      </patternFill>
    </fill>
    <fill>
      <patternFill patternType="solid">
        <fgColor rgb="FF22A7F0"/>
        <bgColor indexed="64"/>
      </patternFill>
    </fill>
    <fill>
      <patternFill patternType="solid">
        <fgColor rgb="FF33FFEC"/>
        <bgColor indexed="64"/>
      </patternFill>
    </fill>
    <fill>
      <patternFill patternType="solid">
        <fgColor rgb="FF33D9B2"/>
        <bgColor indexed="64"/>
      </patternFill>
    </fill>
    <fill>
      <patternFill patternType="solid">
        <fgColor rgb="FF33FF5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33FF99"/>
        <bgColor indexed="64"/>
      </patternFill>
    </fill>
    <fill>
      <patternFill patternType="solid">
        <fgColor rgb="FF33CC45"/>
        <bgColor indexed="64"/>
      </patternFill>
    </fill>
    <fill>
      <patternFill patternType="solid">
        <fgColor rgb="FF36B55C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65C6BB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EE7C1"/>
        <bgColor indexed="64"/>
      </patternFill>
    </fill>
    <fill>
      <patternFill patternType="solid">
        <fgColor rgb="FFF2F9FD"/>
        <bgColor indexed="64"/>
      </patternFill>
    </fill>
    <fill>
      <patternFill patternType="solid">
        <fgColor rgb="FFD8F4FC"/>
        <bgColor indexed="64"/>
      </patternFill>
    </fill>
    <fill>
      <patternFill patternType="solid">
        <fgColor rgb="FFFBECA2"/>
        <bgColor indexed="64"/>
      </patternFill>
    </fill>
    <fill>
      <patternFill patternType="solid">
        <fgColor rgb="FFE1FFBF"/>
        <bgColor indexed="64"/>
      </patternFill>
    </fill>
    <fill>
      <patternFill patternType="solid">
        <fgColor rgb="FFFBC7BD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CEAF5"/>
        <bgColor indexed="64"/>
      </patternFill>
    </fill>
    <fill>
      <patternFill patternType="solid">
        <fgColor rgb="FFFBC9CE"/>
        <bgColor indexed="64"/>
      </patternFill>
    </fill>
    <fill>
      <patternFill patternType="solid">
        <fgColor rgb="FFDBDAEF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CD3AE"/>
        <bgColor indexed="64"/>
      </patternFill>
    </fill>
    <fill>
      <patternFill patternType="solid">
        <fgColor rgb="FFAA4600"/>
        <bgColor indexed="64"/>
      </patternFill>
    </fill>
  </fills>
  <borders count="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</borders>
  <cellStyleXfs count="12">
    <xf numFmtId="0" fontId="0" fillId="0" borderId="0"/>
    <xf numFmtId="0" fontId="10" fillId="42" borderId="1">
      <alignment horizontal="left" vertical="center"/>
    </xf>
    <xf numFmtId="0" fontId="13" fillId="43" borderId="1">
      <alignment horizontal="left" vertical="center"/>
    </xf>
    <xf numFmtId="0" fontId="9" fillId="44" borderId="1">
      <alignment horizontal="left" vertical="center"/>
    </xf>
    <xf numFmtId="0" fontId="5" fillId="45" borderId="1">
      <alignment horizontal="left" vertical="center"/>
    </xf>
    <xf numFmtId="0" fontId="7" fillId="46" borderId="1">
      <alignment horizontal="left" vertical="center"/>
    </xf>
    <xf numFmtId="0" fontId="6" fillId="47" borderId="1">
      <alignment horizontal="left" vertical="center"/>
    </xf>
    <xf numFmtId="0" fontId="11" fillId="48" borderId="1">
      <alignment horizontal="left" vertical="center"/>
    </xf>
    <xf numFmtId="0" fontId="12" fillId="49" borderId="1">
      <alignment horizontal="left" vertical="center"/>
    </xf>
    <xf numFmtId="0" fontId="14" fillId="50" borderId="1">
      <alignment horizontal="left" vertical="center"/>
    </xf>
    <xf numFmtId="0" fontId="8" fillId="51" borderId="1">
      <alignment horizontal="left" vertical="center"/>
    </xf>
    <xf numFmtId="0" fontId="18" fillId="54" borderId="1">
      <alignment horizontal="left" vertical="center"/>
    </xf>
  </cellStyleXfs>
  <cellXfs count="80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2" fontId="2" fillId="0" borderId="1" xfId="0" applyNumberFormat="1" applyFont="1" applyBorder="1" applyAlignment="1">
      <alignment horizontal="center" vertical="center"/>
    </xf>
    <xf numFmtId="164" fontId="2" fillId="41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2" fillId="0" borderId="0" xfId="0" applyFont="1" applyAlignment="1">
      <alignment vertical="center" wrapText="1"/>
    </xf>
    <xf numFmtId="0" fontId="2" fillId="41" borderId="1" xfId="0" applyFont="1" applyFill="1" applyBorder="1" applyAlignment="1">
      <alignment horizontal="center" vertical="center" textRotation="90" wrapText="1"/>
    </xf>
    <xf numFmtId="0" fontId="17" fillId="0" borderId="0" xfId="0" applyFont="1"/>
    <xf numFmtId="0" fontId="2" fillId="0" borderId="0" xfId="0" applyFont="1" applyAlignment="1">
      <alignment horizontal="right"/>
    </xf>
    <xf numFmtId="0" fontId="2" fillId="41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165" fontId="2" fillId="0" borderId="1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17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17" fillId="41" borderId="1" xfId="0" applyFont="1" applyFill="1" applyBorder="1" applyAlignment="1">
      <alignment horizontal="left" vertical="center"/>
    </xf>
    <xf numFmtId="0" fontId="2" fillId="41" borderId="1" xfId="0" applyFont="1" applyFill="1" applyBorder="1" applyAlignment="1">
      <alignment vertical="center"/>
    </xf>
    <xf numFmtId="0" fontId="2" fillId="41" borderId="2" xfId="0" applyFont="1" applyFill="1" applyBorder="1" applyAlignment="1">
      <alignment vertical="center"/>
    </xf>
    <xf numFmtId="0" fontId="2" fillId="41" borderId="3" xfId="0" applyFont="1" applyFill="1" applyBorder="1" applyAlignment="1">
      <alignment vertical="center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2" fillId="41" borderId="1" xfId="0" applyFont="1" applyFill="1" applyBorder="1" applyAlignment="1">
      <alignment horizontal="center" vertical="center"/>
    </xf>
    <xf numFmtId="0" fontId="22" fillId="0" borderId="0" xfId="0" quotePrefix="1" applyFont="1"/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/>
    <xf numFmtId="0" fontId="24" fillId="0" borderId="0" xfId="0" applyFont="1" applyAlignment="1">
      <alignment vertical="center"/>
    </xf>
    <xf numFmtId="0" fontId="23" fillId="41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5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3" borderId="1" xfId="0" applyFill="1" applyBorder="1"/>
    <xf numFmtId="0" fontId="0" fillId="5" borderId="1" xfId="0" applyFill="1" applyBorder="1"/>
    <xf numFmtId="0" fontId="0" fillId="37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20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35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55" borderId="1" xfId="0" applyFill="1" applyBorder="1"/>
    <xf numFmtId="0" fontId="0" fillId="27" borderId="1" xfId="0" applyFill="1" applyBorder="1"/>
    <xf numFmtId="0" fontId="0" fillId="3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13" borderId="1" xfId="0" applyFill="1" applyBorder="1"/>
    <xf numFmtId="0" fontId="0" fillId="36" borderId="1" xfId="0" applyFill="1" applyBorder="1"/>
    <xf numFmtId="0" fontId="0" fillId="6" borderId="1" xfId="0" applyFill="1" applyBorder="1"/>
    <xf numFmtId="0" fontId="0" fillId="28" borderId="1" xfId="0" applyFill="1" applyBorder="1"/>
    <xf numFmtId="0" fontId="0" fillId="39" borderId="1" xfId="0" applyFill="1" applyBorder="1"/>
    <xf numFmtId="0" fontId="0" fillId="40" borderId="1" xfId="0" applyFill="1" applyBorder="1"/>
  </cellXfs>
  <cellStyles count="12">
    <cellStyle name="Normal" xfId="0" builtinId="0"/>
    <cellStyle name="OXBD Blue" xfId="3" xr:uid="{A069FDDA-FEA6-4AF6-94E1-B4D17406BCB2}"/>
    <cellStyle name="OXBD Brown" xfId="6" xr:uid="{E8A69F73-7539-449A-957F-3E2A434C5573}"/>
    <cellStyle name="OXBD Green" xfId="1" xr:uid="{421835BB-F20B-4D1D-9038-E64A1D9343DA}"/>
    <cellStyle name="OXBD Grey" xfId="7" xr:uid="{3015D779-F962-4C3F-BA2F-DD6C77702E07}"/>
    <cellStyle name="OXBD Light Blue" xfId="2" xr:uid="{931A4F2C-090F-4230-8A20-41BFB2419EEA}"/>
    <cellStyle name="OXBD Light Green" xfId="5" xr:uid="{8360D96A-0E3F-4C69-849A-53F0E2965EC9}"/>
    <cellStyle name="OXBD Orange" xfId="11" xr:uid="{F0D01CED-C88C-454E-AA29-6EBEE9B5EC19}"/>
    <cellStyle name="OXBD Pink" xfId="8" xr:uid="{12BE99D3-2D7B-410F-857F-87FB8B836B54}"/>
    <cellStyle name="OXBD Purple" xfId="10" xr:uid="{D0E269BF-A338-49DC-990C-9891DBFCF359}"/>
    <cellStyle name="OXBD Red" xfId="9" xr:uid="{90153EF8-DDAE-43E2-AD13-87B5D4C99BF9}"/>
    <cellStyle name="OXBD Yellow" xfId="4" xr:uid="{C68D38DB-4AA2-4635-BC78-398FBDF9A2D1}"/>
  </cellStyles>
  <dxfs count="4"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A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59</xdr:row>
          <xdr:rowOff>7620</xdr:rowOff>
        </xdr:from>
        <xdr:to>
          <xdr:col>8</xdr:col>
          <xdr:colOff>449580</xdr:colOff>
          <xdr:row>61</xdr:row>
          <xdr:rowOff>45720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XML File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65</xdr:row>
          <xdr:rowOff>0</xdr:rowOff>
        </xdr:from>
        <xdr:to>
          <xdr:col>8</xdr:col>
          <xdr:colOff>441960</xdr:colOff>
          <xdr:row>67</xdr:row>
          <xdr:rowOff>68580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Bridges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51</xdr:row>
      <xdr:rowOff>19049</xdr:rowOff>
    </xdr:from>
    <xdr:to>
      <xdr:col>4</xdr:col>
      <xdr:colOff>0</xdr:colOff>
      <xdr:row>70</xdr:row>
      <xdr:rowOff>161924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6E2496C-94AD-1BC5-E76E-EFD0BD0F4390}"/>
            </a:ext>
          </a:extLst>
        </xdr:cNvPr>
        <xdr:cNvSpPr txBox="1"/>
      </xdr:nvSpPr>
      <xdr:spPr>
        <a:xfrm>
          <a:off x="476250" y="7953374"/>
          <a:ext cx="2924175" cy="3609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NOTES:</a:t>
          </a:r>
        </a:p>
        <a:p>
          <a:r>
            <a:rPr lang="en-GB" sz="1000"/>
            <a:t>The y-value and</a:t>
          </a:r>
          <a:r>
            <a:rPr lang="en-GB" sz="1000" baseline="0"/>
            <a:t> calculated bridges method works differently in terms of the xml code. This is for y-values only.</a:t>
          </a:r>
        </a:p>
        <a:p>
          <a:endParaRPr lang="en-GB" sz="1000" baseline="0"/>
        </a:p>
        <a:p>
          <a:r>
            <a:rPr lang="en-GB" sz="1000" baseline="0"/>
            <a:t>There will always be one entry per bridge type here that simplifies things.</a:t>
          </a:r>
        </a:p>
        <a:p>
          <a:endParaRPr lang="en-GB" sz="1000" baseline="0"/>
        </a:p>
        <a:p>
          <a:r>
            <a:rPr lang="en-GB" sz="1000" baseline="0"/>
            <a:t>A formula generates the XML from bridge type and length.</a:t>
          </a:r>
        </a:p>
        <a:p>
          <a:endParaRPr lang="en-GB" sz="1000" baseline="0"/>
        </a:p>
        <a:p>
          <a:r>
            <a:rPr lang="en-GB" sz="1000" baseline="0"/>
            <a:t>To sync with xml files, these file names are first imported.</a:t>
          </a:r>
        </a:p>
        <a:p>
          <a:endParaRPr lang="en-GB" sz="1000" baseline="0"/>
        </a:p>
        <a:p>
          <a:r>
            <a:rPr lang="en-GB" sz="1000" baseline="0"/>
            <a:t>Then these are matched to plot numbers to check alignment.</a:t>
          </a:r>
        </a:p>
        <a:p>
          <a:endParaRPr lang="en-GB" sz="1000" baseline="0"/>
        </a:p>
        <a:p>
          <a:r>
            <a:rPr lang="en-GB" sz="1000" baseline="0"/>
            <a:t>Then an export tools rewrites the thermal bridge section.</a:t>
          </a:r>
        </a:p>
        <a:p>
          <a:endParaRPr lang="en-GB" sz="1000" baseline="0"/>
        </a:p>
        <a:p>
          <a:r>
            <a:rPr lang="en-GB" sz="1000"/>
            <a:t>The code</a:t>
          </a:r>
          <a:r>
            <a:rPr lang="en-GB" sz="1000" baseline="0"/>
            <a:t> uses named cells for the macro to find correct positions.</a:t>
          </a:r>
        </a:p>
        <a:p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534146</xdr:colOff>
      <xdr:row>9</xdr:row>
      <xdr:rowOff>0</xdr:rowOff>
    </xdr:from>
    <xdr:to>
      <xdr:col>47</xdr:col>
      <xdr:colOff>232209</xdr:colOff>
      <xdr:row>42</xdr:row>
      <xdr:rowOff>72890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CF201-D696-44FC-B191-92F7FDCE0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698696" y="1628775"/>
          <a:ext cx="11044243" cy="57650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129F6-C1E1-41D5-8355-E4628003FDE4}">
  <sheetPr codeName="Sheet1"/>
  <dimension ref="A1:DB64"/>
  <sheetViews>
    <sheetView showGridLines="0" tabSelected="1" topLeftCell="A25" workbookViewId="0">
      <selection activeCell="D3" sqref="D3"/>
    </sheetView>
  </sheetViews>
  <sheetFormatPr defaultRowHeight="13.8" x14ac:dyDescent="0.25"/>
  <cols>
    <col min="1" max="1" width="5.296875" style="4" customWidth="1"/>
    <col min="2" max="2" width="3.8984375" style="4" customWidth="1"/>
    <col min="3" max="3" width="29.69921875" style="4" customWidth="1"/>
    <col min="4" max="4" width="5.796875" style="4" customWidth="1"/>
    <col min="5" max="5" width="1.69921875" style="4" customWidth="1"/>
    <col min="6" max="6" width="4.796875" style="4" customWidth="1"/>
    <col min="7" max="7" width="4.09765625" style="4" bestFit="1" customWidth="1"/>
    <col min="8" max="8" width="5.09765625" style="4" bestFit="1" customWidth="1"/>
    <col min="9" max="9" width="6.19921875" style="4" customWidth="1"/>
    <col min="10" max="10" width="3.19921875" style="4" customWidth="1"/>
    <col min="11" max="11" width="5.5" style="3" customWidth="1"/>
    <col min="12" max="44" width="4.8984375" style="3" customWidth="1"/>
    <col min="45" max="46" width="5.19921875" style="3" bestFit="1" customWidth="1"/>
    <col min="47" max="105" width="5" style="3" bestFit="1" customWidth="1"/>
    <col min="106" max="16384" width="8.796875" style="4"/>
  </cols>
  <sheetData>
    <row r="1" spans="1:105" x14ac:dyDescent="0.25"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</row>
    <row r="2" spans="1:105" s="1" customFormat="1" ht="16.8" customHeight="1" x14ac:dyDescent="0.25">
      <c r="B2" s="7" t="s">
        <v>301</v>
      </c>
      <c r="F2" s="26" t="s">
        <v>50</v>
      </c>
      <c r="G2" s="27"/>
      <c r="H2" s="28"/>
      <c r="I2" s="6">
        <f>SUM(K6:DA49)</f>
        <v>10234.289999999985</v>
      </c>
      <c r="J2" s="10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</row>
    <row r="3" spans="1:105" s="1" customFormat="1" ht="16.8" customHeight="1" x14ac:dyDescent="0.25">
      <c r="B3" s="7" t="s">
        <v>300</v>
      </c>
      <c r="F3" s="26" t="s">
        <v>51</v>
      </c>
      <c r="G3" s="27"/>
      <c r="H3" s="28"/>
      <c r="I3" s="6">
        <f>'Pasted Bridges'!G3</f>
        <v>10234.29000000009</v>
      </c>
      <c r="J3" s="10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</row>
    <row r="4" spans="1:105" s="1" customFormat="1" ht="11.4" x14ac:dyDescent="0.2"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</row>
    <row r="5" spans="1:105" s="1" customFormat="1" ht="48.6" customHeight="1" x14ac:dyDescent="0.2">
      <c r="B5" s="12" t="s">
        <v>43</v>
      </c>
      <c r="C5" s="12" t="s">
        <v>44</v>
      </c>
      <c r="D5" s="12" t="s">
        <v>153</v>
      </c>
      <c r="F5" s="9" t="s">
        <v>38</v>
      </c>
      <c r="G5" s="9" t="s">
        <v>39</v>
      </c>
      <c r="H5" s="9" t="s">
        <v>40</v>
      </c>
      <c r="I5" s="9" t="s">
        <v>41</v>
      </c>
      <c r="J5" s="8"/>
      <c r="K5" s="9" t="s">
        <v>150</v>
      </c>
      <c r="L5" s="9" t="s">
        <v>149</v>
      </c>
      <c r="M5" s="9" t="s">
        <v>136</v>
      </c>
      <c r="N5" s="9" t="s">
        <v>130</v>
      </c>
      <c r="O5" s="9" t="s">
        <v>134</v>
      </c>
      <c r="P5" s="9" t="s">
        <v>137</v>
      </c>
      <c r="Q5" s="9" t="s">
        <v>127</v>
      </c>
      <c r="R5" s="9" t="s">
        <v>133</v>
      </c>
      <c r="S5" s="9" t="s">
        <v>139</v>
      </c>
      <c r="T5" s="9" t="s">
        <v>131</v>
      </c>
      <c r="U5" s="9" t="s">
        <v>151</v>
      </c>
      <c r="V5" s="9" t="s">
        <v>152</v>
      </c>
      <c r="W5" s="9" t="s">
        <v>122</v>
      </c>
      <c r="X5" s="9" t="s">
        <v>124</v>
      </c>
      <c r="Y5" s="9" t="s">
        <v>128</v>
      </c>
      <c r="Z5" s="9" t="s">
        <v>123</v>
      </c>
      <c r="AA5" s="9" t="s">
        <v>126</v>
      </c>
      <c r="AB5" s="9" t="s">
        <v>144</v>
      </c>
      <c r="AC5" s="9" t="s">
        <v>148</v>
      </c>
      <c r="AD5" s="9" t="s">
        <v>68</v>
      </c>
      <c r="AE5" s="9" t="s">
        <v>63</v>
      </c>
      <c r="AF5" s="9" t="s">
        <v>59</v>
      </c>
      <c r="AG5" s="9" t="s">
        <v>67</v>
      </c>
      <c r="AH5" s="9" t="s">
        <v>65</v>
      </c>
      <c r="AI5" s="9" t="s">
        <v>60</v>
      </c>
      <c r="AJ5" s="9" t="s">
        <v>64</v>
      </c>
      <c r="AK5" s="9" t="s">
        <v>138</v>
      </c>
      <c r="AL5" s="9" t="s">
        <v>132</v>
      </c>
      <c r="AM5" s="9" t="s">
        <v>135</v>
      </c>
      <c r="AN5" s="9" t="s">
        <v>66</v>
      </c>
      <c r="AO5" s="9" t="s">
        <v>58</v>
      </c>
      <c r="AP5" s="9" t="s">
        <v>141</v>
      </c>
      <c r="AQ5" s="9" t="s">
        <v>140</v>
      </c>
      <c r="AR5" s="9" t="s">
        <v>116</v>
      </c>
      <c r="AS5" s="9" t="s">
        <v>117</v>
      </c>
      <c r="AT5" s="9" t="s">
        <v>118</v>
      </c>
      <c r="AU5" s="9" t="s">
        <v>119</v>
      </c>
      <c r="AV5" s="9" t="s">
        <v>125</v>
      </c>
      <c r="AW5" s="9" t="s">
        <v>129</v>
      </c>
      <c r="AX5" s="9" t="s">
        <v>121</v>
      </c>
      <c r="AY5" s="9" t="s">
        <v>120</v>
      </c>
      <c r="AZ5" s="9" t="s">
        <v>115</v>
      </c>
      <c r="BA5" s="9" t="s">
        <v>84</v>
      </c>
      <c r="BB5" s="9" t="s">
        <v>71</v>
      </c>
      <c r="BC5" s="9" t="s">
        <v>80</v>
      </c>
      <c r="BD5" s="9" t="s">
        <v>83</v>
      </c>
      <c r="BE5" s="9" t="s">
        <v>73</v>
      </c>
      <c r="BF5" s="9" t="s">
        <v>87</v>
      </c>
      <c r="BG5" s="9" t="s">
        <v>70</v>
      </c>
      <c r="BH5" s="9" t="s">
        <v>88</v>
      </c>
      <c r="BI5" s="9" t="s">
        <v>79</v>
      </c>
      <c r="BJ5" s="9" t="s">
        <v>82</v>
      </c>
      <c r="BK5" s="9" t="s">
        <v>90</v>
      </c>
      <c r="BL5" s="9" t="s">
        <v>69</v>
      </c>
      <c r="BM5" s="9" t="s">
        <v>86</v>
      </c>
      <c r="BN5" s="9" t="s">
        <v>89</v>
      </c>
      <c r="BO5" s="9" t="s">
        <v>74</v>
      </c>
      <c r="BP5" s="9" t="s">
        <v>72</v>
      </c>
      <c r="BQ5" s="9" t="s">
        <v>78</v>
      </c>
      <c r="BR5" s="9" t="s">
        <v>76</v>
      </c>
      <c r="BS5" s="9" t="s">
        <v>81</v>
      </c>
      <c r="BT5" s="9" t="s">
        <v>85</v>
      </c>
      <c r="BU5" s="9" t="s">
        <v>75</v>
      </c>
      <c r="BV5" s="9" t="s">
        <v>77</v>
      </c>
      <c r="BW5" s="9" t="s">
        <v>147</v>
      </c>
      <c r="BX5" s="9" t="s">
        <v>142</v>
      </c>
      <c r="BY5" s="9" t="s">
        <v>143</v>
      </c>
      <c r="BZ5" s="9" t="s">
        <v>145</v>
      </c>
      <c r="CA5" s="9" t="s">
        <v>146</v>
      </c>
      <c r="CB5" s="9" t="s">
        <v>112</v>
      </c>
      <c r="CC5" s="9" t="s">
        <v>109</v>
      </c>
      <c r="CD5" s="9" t="s">
        <v>106</v>
      </c>
      <c r="CE5" s="9" t="s">
        <v>114</v>
      </c>
      <c r="CF5" s="9" t="s">
        <v>110</v>
      </c>
      <c r="CG5" s="9" t="s">
        <v>108</v>
      </c>
      <c r="CH5" s="9" t="s">
        <v>107</v>
      </c>
      <c r="CI5" s="9" t="s">
        <v>113</v>
      </c>
      <c r="CJ5" s="9" t="s">
        <v>111</v>
      </c>
      <c r="CK5" s="9" t="s">
        <v>94</v>
      </c>
      <c r="CL5" s="9" t="s">
        <v>91</v>
      </c>
      <c r="CM5" s="9" t="s">
        <v>93</v>
      </c>
      <c r="CN5" s="9" t="s">
        <v>92</v>
      </c>
      <c r="CO5" s="9" t="s">
        <v>96</v>
      </c>
      <c r="CP5" s="9" t="s">
        <v>101</v>
      </c>
      <c r="CQ5" s="9" t="s">
        <v>97</v>
      </c>
      <c r="CR5" s="9" t="s">
        <v>99</v>
      </c>
      <c r="CS5" s="9" t="s">
        <v>98</v>
      </c>
      <c r="CT5" s="9" t="s">
        <v>95</v>
      </c>
      <c r="CU5" s="9" t="s">
        <v>100</v>
      </c>
      <c r="CV5" s="9" t="s">
        <v>102</v>
      </c>
      <c r="CW5" s="9" t="s">
        <v>61</v>
      </c>
      <c r="CX5" s="9" t="s">
        <v>62</v>
      </c>
      <c r="CY5" s="9" t="s">
        <v>103</v>
      </c>
      <c r="CZ5" s="9" t="s">
        <v>104</v>
      </c>
      <c r="DA5" s="9" t="s">
        <v>105</v>
      </c>
    </row>
    <row r="6" spans="1:105" s="1" customFormat="1" x14ac:dyDescent="0.25">
      <c r="A6" s="10"/>
      <c r="B6" s="38"/>
      <c r="C6" s="19" t="s">
        <v>11</v>
      </c>
      <c r="D6" s="19" t="s">
        <v>154</v>
      </c>
      <c r="E6" s="13" t="s">
        <v>199</v>
      </c>
      <c r="F6" s="2">
        <v>1</v>
      </c>
      <c r="G6" s="5">
        <v>1</v>
      </c>
      <c r="H6" s="2">
        <v>0.5</v>
      </c>
      <c r="I6" s="2">
        <v>0.05</v>
      </c>
      <c r="J6" s="3"/>
      <c r="K6" s="17">
        <f>SUMIFS('Pasted Bridges'!$G:$G,'Pasted Bridges'!$B:$B,$C6,'Pasted Bridges'!$F:$F,K$5)</f>
        <v>0</v>
      </c>
      <c r="L6" s="17">
        <f>SUMIFS('Pasted Bridges'!$G:$G,'Pasted Bridges'!$B:$B,$C6,'Pasted Bridges'!$F:$F,L$5)</f>
        <v>0</v>
      </c>
      <c r="M6" s="17">
        <f>SUMIFS('Pasted Bridges'!$G:$G,'Pasted Bridges'!$B:$B,$C6,'Pasted Bridges'!$F:$F,M$5)</f>
        <v>0</v>
      </c>
      <c r="N6" s="17">
        <f>SUMIFS('Pasted Bridges'!$G:$G,'Pasted Bridges'!$B:$B,$C6,'Pasted Bridges'!$F:$F,N$5)</f>
        <v>0</v>
      </c>
      <c r="O6" s="17">
        <f>SUMIFS('Pasted Bridges'!$G:$G,'Pasted Bridges'!$B:$B,$C6,'Pasted Bridges'!$F:$F,O$5)</f>
        <v>0</v>
      </c>
      <c r="P6" s="17">
        <f>SUMIFS('Pasted Bridges'!$G:$G,'Pasted Bridges'!$B:$B,$C6,'Pasted Bridges'!$F:$F,P$5)</f>
        <v>0</v>
      </c>
      <c r="Q6" s="17">
        <f>SUMIFS('Pasted Bridges'!$G:$G,'Pasted Bridges'!$B:$B,$C6,'Pasted Bridges'!$F:$F,Q$5)</f>
        <v>0</v>
      </c>
      <c r="R6" s="17">
        <f>SUMIFS('Pasted Bridges'!$G:$G,'Pasted Bridges'!$B:$B,$C6,'Pasted Bridges'!$F:$F,R$5)</f>
        <v>0</v>
      </c>
      <c r="S6" s="17">
        <f>SUMIFS('Pasted Bridges'!$G:$G,'Pasted Bridges'!$B:$B,$C6,'Pasted Bridges'!$F:$F,S$5)</f>
        <v>0</v>
      </c>
      <c r="T6" s="17">
        <f>SUMIFS('Pasted Bridges'!$G:$G,'Pasted Bridges'!$B:$B,$C6,'Pasted Bridges'!$F:$F,T$5)</f>
        <v>0</v>
      </c>
      <c r="U6" s="17">
        <f>SUMIFS('Pasted Bridges'!$G:$G,'Pasted Bridges'!$B:$B,$C6,'Pasted Bridges'!$F:$F,U$5)</f>
        <v>0</v>
      </c>
      <c r="V6" s="17">
        <f>SUMIFS('Pasted Bridges'!$G:$G,'Pasted Bridges'!$B:$B,$C6,'Pasted Bridges'!$F:$F,V$5)</f>
        <v>0</v>
      </c>
      <c r="W6" s="17">
        <f>SUMIFS('Pasted Bridges'!$G:$G,'Pasted Bridges'!$B:$B,$C6,'Pasted Bridges'!$F:$F,W$5)</f>
        <v>0</v>
      </c>
      <c r="X6" s="17">
        <f>SUMIFS('Pasted Bridges'!$G:$G,'Pasted Bridges'!$B:$B,$C6,'Pasted Bridges'!$F:$F,X$5)</f>
        <v>0</v>
      </c>
      <c r="Y6" s="17">
        <f>SUMIFS('Pasted Bridges'!$G:$G,'Pasted Bridges'!$B:$B,$C6,'Pasted Bridges'!$F:$F,Y$5)</f>
        <v>0</v>
      </c>
      <c r="Z6" s="17">
        <f>SUMIFS('Pasted Bridges'!$G:$G,'Pasted Bridges'!$B:$B,$C6,'Pasted Bridges'!$F:$F,Z$5)</f>
        <v>0</v>
      </c>
      <c r="AA6" s="17">
        <f>SUMIFS('Pasted Bridges'!$G:$G,'Pasted Bridges'!$B:$B,$C6,'Pasted Bridges'!$F:$F,AA$5)</f>
        <v>0</v>
      </c>
      <c r="AB6" s="17">
        <f>SUMIFS('Pasted Bridges'!$G:$G,'Pasted Bridges'!$B:$B,$C6,'Pasted Bridges'!$F:$F,AB$5)</f>
        <v>0</v>
      </c>
      <c r="AC6" s="17">
        <f>SUMIFS('Pasted Bridges'!$G:$G,'Pasted Bridges'!$B:$B,$C6,'Pasted Bridges'!$F:$F,AC$5)</f>
        <v>0</v>
      </c>
      <c r="AD6" s="17">
        <f>SUMIFS('Pasted Bridges'!$G:$G,'Pasted Bridges'!$B:$B,$C6,'Pasted Bridges'!$F:$F,AD$5)</f>
        <v>0</v>
      </c>
      <c r="AE6" s="17">
        <f>SUMIFS('Pasted Bridges'!$G:$G,'Pasted Bridges'!$B:$B,$C6,'Pasted Bridges'!$F:$F,AE$5)</f>
        <v>0</v>
      </c>
      <c r="AF6" s="17">
        <f>SUMIFS('Pasted Bridges'!$G:$G,'Pasted Bridges'!$B:$B,$C6,'Pasted Bridges'!$F:$F,AF$5)</f>
        <v>0</v>
      </c>
      <c r="AG6" s="17">
        <f>SUMIFS('Pasted Bridges'!$G:$G,'Pasted Bridges'!$B:$B,$C6,'Pasted Bridges'!$F:$F,AG$5)</f>
        <v>0</v>
      </c>
      <c r="AH6" s="17">
        <f>SUMIFS('Pasted Bridges'!$G:$G,'Pasted Bridges'!$B:$B,$C6,'Pasted Bridges'!$F:$F,AH$5)</f>
        <v>0</v>
      </c>
      <c r="AI6" s="17">
        <f>SUMIFS('Pasted Bridges'!$G:$G,'Pasted Bridges'!$B:$B,$C6,'Pasted Bridges'!$F:$F,AI$5)</f>
        <v>0</v>
      </c>
      <c r="AJ6" s="17">
        <f>SUMIFS('Pasted Bridges'!$G:$G,'Pasted Bridges'!$B:$B,$C6,'Pasted Bridges'!$F:$F,AJ$5)</f>
        <v>0</v>
      </c>
      <c r="AK6" s="17">
        <f>SUMIFS('Pasted Bridges'!$G:$G,'Pasted Bridges'!$B:$B,$C6,'Pasted Bridges'!$F:$F,AK$5)</f>
        <v>0</v>
      </c>
      <c r="AL6" s="17">
        <f>SUMIFS('Pasted Bridges'!$G:$G,'Pasted Bridges'!$B:$B,$C6,'Pasted Bridges'!$F:$F,AL$5)</f>
        <v>0</v>
      </c>
      <c r="AM6" s="17">
        <f>SUMIFS('Pasted Bridges'!$G:$G,'Pasted Bridges'!$B:$B,$C6,'Pasted Bridges'!$F:$F,AM$5)</f>
        <v>0</v>
      </c>
      <c r="AN6" s="17">
        <f>SUMIFS('Pasted Bridges'!$G:$G,'Pasted Bridges'!$B:$B,$C6,'Pasted Bridges'!$F:$F,AN$5)</f>
        <v>0</v>
      </c>
      <c r="AO6" s="17">
        <f>SUMIFS('Pasted Bridges'!$G:$G,'Pasted Bridges'!$B:$B,$C6,'Pasted Bridges'!$F:$F,AO$5)</f>
        <v>0</v>
      </c>
      <c r="AP6" s="17">
        <f>SUMIFS('Pasted Bridges'!$G:$G,'Pasted Bridges'!$B:$B,$C6,'Pasted Bridges'!$F:$F,AP$5)</f>
        <v>0</v>
      </c>
      <c r="AQ6" s="17">
        <f>SUMIFS('Pasted Bridges'!$G:$G,'Pasted Bridges'!$B:$B,$C6,'Pasted Bridges'!$F:$F,AQ$5)</f>
        <v>0</v>
      </c>
      <c r="AR6" s="17">
        <f>SUMIFS('Pasted Bridges'!$G:$G,'Pasted Bridges'!$B:$B,$C6,'Pasted Bridges'!$F:$F,AR$5)</f>
        <v>0</v>
      </c>
      <c r="AS6" s="17">
        <f>SUMIFS('Pasted Bridges'!$G:$G,'Pasted Bridges'!$B:$B,$C6,'Pasted Bridges'!$F:$F,AS$5)</f>
        <v>0</v>
      </c>
      <c r="AT6" s="17">
        <f>SUMIFS('Pasted Bridges'!$G:$G,'Pasted Bridges'!$B:$B,$C6,'Pasted Bridges'!$F:$F,AT$5)</f>
        <v>0</v>
      </c>
      <c r="AU6" s="17">
        <f>SUMIFS('Pasted Bridges'!$G:$G,'Pasted Bridges'!$B:$B,$C6,'Pasted Bridges'!$F:$F,AU$5)</f>
        <v>0</v>
      </c>
      <c r="AV6" s="17">
        <f>SUMIFS('Pasted Bridges'!$G:$G,'Pasted Bridges'!$B:$B,$C6,'Pasted Bridges'!$F:$F,AV$5)</f>
        <v>0</v>
      </c>
      <c r="AW6" s="17">
        <f>SUMIFS('Pasted Bridges'!$G:$G,'Pasted Bridges'!$B:$B,$C6,'Pasted Bridges'!$F:$F,AW$5)</f>
        <v>0</v>
      </c>
      <c r="AX6" s="17">
        <f>SUMIFS('Pasted Bridges'!$G:$G,'Pasted Bridges'!$B:$B,$C6,'Pasted Bridges'!$F:$F,AX$5)</f>
        <v>0</v>
      </c>
      <c r="AY6" s="17">
        <f>SUMIFS('Pasted Bridges'!$G:$G,'Pasted Bridges'!$B:$B,$C6,'Pasted Bridges'!$F:$F,AY$5)</f>
        <v>0</v>
      </c>
      <c r="AZ6" s="17">
        <f>SUMIFS('Pasted Bridges'!$G:$G,'Pasted Bridges'!$B:$B,$C6,'Pasted Bridges'!$F:$F,AZ$5)</f>
        <v>0</v>
      </c>
      <c r="BA6" s="17">
        <f>SUMIFS('Pasted Bridges'!$G:$G,'Pasted Bridges'!$B:$B,$C6,'Pasted Bridges'!$F:$F,BA$5)</f>
        <v>0</v>
      </c>
      <c r="BB6" s="17">
        <f>SUMIFS('Pasted Bridges'!$G:$G,'Pasted Bridges'!$B:$B,$C6,'Pasted Bridges'!$F:$F,BB$5)</f>
        <v>0</v>
      </c>
      <c r="BC6" s="17">
        <f>SUMIFS('Pasted Bridges'!$G:$G,'Pasted Bridges'!$B:$B,$C6,'Pasted Bridges'!$F:$F,BC$5)</f>
        <v>0</v>
      </c>
      <c r="BD6" s="17">
        <f>SUMIFS('Pasted Bridges'!$G:$G,'Pasted Bridges'!$B:$B,$C6,'Pasted Bridges'!$F:$F,BD$5)</f>
        <v>0</v>
      </c>
      <c r="BE6" s="17">
        <f>SUMIFS('Pasted Bridges'!$G:$G,'Pasted Bridges'!$B:$B,$C6,'Pasted Bridges'!$F:$F,BE$5)</f>
        <v>0</v>
      </c>
      <c r="BF6" s="17">
        <f>SUMIFS('Pasted Bridges'!$G:$G,'Pasted Bridges'!$B:$B,$C6,'Pasted Bridges'!$F:$F,BF$5)</f>
        <v>0</v>
      </c>
      <c r="BG6" s="17">
        <f>SUMIFS('Pasted Bridges'!$G:$G,'Pasted Bridges'!$B:$B,$C6,'Pasted Bridges'!$F:$F,BG$5)</f>
        <v>0</v>
      </c>
      <c r="BH6" s="17">
        <f>SUMIFS('Pasted Bridges'!$G:$G,'Pasted Bridges'!$B:$B,$C6,'Pasted Bridges'!$F:$F,BH$5)</f>
        <v>0</v>
      </c>
      <c r="BI6" s="17">
        <f>SUMIFS('Pasted Bridges'!$G:$G,'Pasted Bridges'!$B:$B,$C6,'Pasted Bridges'!$F:$F,BI$5)</f>
        <v>0</v>
      </c>
      <c r="BJ6" s="17">
        <f>SUMIFS('Pasted Bridges'!$G:$G,'Pasted Bridges'!$B:$B,$C6,'Pasted Bridges'!$F:$F,BJ$5)</f>
        <v>0</v>
      </c>
      <c r="BK6" s="17">
        <f>SUMIFS('Pasted Bridges'!$G:$G,'Pasted Bridges'!$B:$B,$C6,'Pasted Bridges'!$F:$F,BK$5)</f>
        <v>0</v>
      </c>
      <c r="BL6" s="17">
        <f>SUMIFS('Pasted Bridges'!$G:$G,'Pasted Bridges'!$B:$B,$C6,'Pasted Bridges'!$F:$F,BL$5)</f>
        <v>0</v>
      </c>
      <c r="BM6" s="17">
        <f>SUMIFS('Pasted Bridges'!$G:$G,'Pasted Bridges'!$B:$B,$C6,'Pasted Bridges'!$F:$F,BM$5)</f>
        <v>0</v>
      </c>
      <c r="BN6" s="17">
        <f>SUMIFS('Pasted Bridges'!$G:$G,'Pasted Bridges'!$B:$B,$C6,'Pasted Bridges'!$F:$F,BN$5)</f>
        <v>0</v>
      </c>
      <c r="BO6" s="17">
        <f>SUMIFS('Pasted Bridges'!$G:$G,'Pasted Bridges'!$B:$B,$C6,'Pasted Bridges'!$F:$F,BO$5)</f>
        <v>0</v>
      </c>
      <c r="BP6" s="17">
        <f>SUMIFS('Pasted Bridges'!$G:$G,'Pasted Bridges'!$B:$B,$C6,'Pasted Bridges'!$F:$F,BP$5)</f>
        <v>0</v>
      </c>
      <c r="BQ6" s="17">
        <f>SUMIFS('Pasted Bridges'!$G:$G,'Pasted Bridges'!$B:$B,$C6,'Pasted Bridges'!$F:$F,BQ$5)</f>
        <v>0</v>
      </c>
      <c r="BR6" s="17">
        <f>SUMIFS('Pasted Bridges'!$G:$G,'Pasted Bridges'!$B:$B,$C6,'Pasted Bridges'!$F:$F,BR$5)</f>
        <v>0</v>
      </c>
      <c r="BS6" s="17">
        <f>SUMIFS('Pasted Bridges'!$G:$G,'Pasted Bridges'!$B:$B,$C6,'Pasted Bridges'!$F:$F,BS$5)</f>
        <v>0</v>
      </c>
      <c r="BT6" s="17">
        <f>SUMIFS('Pasted Bridges'!$G:$G,'Pasted Bridges'!$B:$B,$C6,'Pasted Bridges'!$F:$F,BT$5)</f>
        <v>0</v>
      </c>
      <c r="BU6" s="17">
        <f>SUMIFS('Pasted Bridges'!$G:$G,'Pasted Bridges'!$B:$B,$C6,'Pasted Bridges'!$F:$F,BU$5)</f>
        <v>0</v>
      </c>
      <c r="BV6" s="17">
        <f>SUMIFS('Pasted Bridges'!$G:$G,'Pasted Bridges'!$B:$B,$C6,'Pasted Bridges'!$F:$F,BV$5)</f>
        <v>0</v>
      </c>
      <c r="BW6" s="17">
        <f>SUMIFS('Pasted Bridges'!$G:$G,'Pasted Bridges'!$B:$B,$C6,'Pasted Bridges'!$F:$F,BW$5)</f>
        <v>0</v>
      </c>
      <c r="BX6" s="17">
        <f>SUMIFS('Pasted Bridges'!$G:$G,'Pasted Bridges'!$B:$B,$C6,'Pasted Bridges'!$F:$F,BX$5)</f>
        <v>0</v>
      </c>
      <c r="BY6" s="17">
        <f>SUMIFS('Pasted Bridges'!$G:$G,'Pasted Bridges'!$B:$B,$C6,'Pasted Bridges'!$F:$F,BY$5)</f>
        <v>0</v>
      </c>
      <c r="BZ6" s="17">
        <f>SUMIFS('Pasted Bridges'!$G:$G,'Pasted Bridges'!$B:$B,$C6,'Pasted Bridges'!$F:$F,BZ$5)</f>
        <v>0</v>
      </c>
      <c r="CA6" s="17">
        <f>SUMIFS('Pasted Bridges'!$G:$G,'Pasted Bridges'!$B:$B,$C6,'Pasted Bridges'!$F:$F,CA$5)</f>
        <v>0</v>
      </c>
      <c r="CB6" s="17">
        <f>SUMIFS('Pasted Bridges'!$G:$G,'Pasted Bridges'!$B:$B,$C6,'Pasted Bridges'!$F:$F,CB$5)</f>
        <v>0</v>
      </c>
      <c r="CC6" s="17">
        <f>SUMIFS('Pasted Bridges'!$G:$G,'Pasted Bridges'!$B:$B,$C6,'Pasted Bridges'!$F:$F,CC$5)</f>
        <v>0</v>
      </c>
      <c r="CD6" s="17">
        <f>SUMIFS('Pasted Bridges'!$G:$G,'Pasted Bridges'!$B:$B,$C6,'Pasted Bridges'!$F:$F,CD$5)</f>
        <v>0</v>
      </c>
      <c r="CE6" s="17">
        <f>SUMIFS('Pasted Bridges'!$G:$G,'Pasted Bridges'!$B:$B,$C6,'Pasted Bridges'!$F:$F,CE$5)</f>
        <v>0</v>
      </c>
      <c r="CF6" s="17">
        <f>SUMIFS('Pasted Bridges'!$G:$G,'Pasted Bridges'!$B:$B,$C6,'Pasted Bridges'!$F:$F,CF$5)</f>
        <v>0</v>
      </c>
      <c r="CG6" s="17">
        <f>SUMIFS('Pasted Bridges'!$G:$G,'Pasted Bridges'!$B:$B,$C6,'Pasted Bridges'!$F:$F,CG$5)</f>
        <v>0</v>
      </c>
      <c r="CH6" s="17">
        <f>SUMIFS('Pasted Bridges'!$G:$G,'Pasted Bridges'!$B:$B,$C6,'Pasted Bridges'!$F:$F,CH$5)</f>
        <v>0</v>
      </c>
      <c r="CI6" s="17">
        <f>SUMIFS('Pasted Bridges'!$G:$G,'Pasted Bridges'!$B:$B,$C6,'Pasted Bridges'!$F:$F,CI$5)</f>
        <v>0</v>
      </c>
      <c r="CJ6" s="17">
        <f>SUMIFS('Pasted Bridges'!$G:$G,'Pasted Bridges'!$B:$B,$C6,'Pasted Bridges'!$F:$F,CJ$5)</f>
        <v>0</v>
      </c>
      <c r="CK6" s="17">
        <f>SUMIFS('Pasted Bridges'!$G:$G,'Pasted Bridges'!$B:$B,$C6,'Pasted Bridges'!$F:$F,CK$5)</f>
        <v>0</v>
      </c>
      <c r="CL6" s="17">
        <f>SUMIFS('Pasted Bridges'!$G:$G,'Pasted Bridges'!$B:$B,$C6,'Pasted Bridges'!$F:$F,CL$5)</f>
        <v>0</v>
      </c>
      <c r="CM6" s="17">
        <f>SUMIFS('Pasted Bridges'!$G:$G,'Pasted Bridges'!$B:$B,$C6,'Pasted Bridges'!$F:$F,CM$5)</f>
        <v>0</v>
      </c>
      <c r="CN6" s="17">
        <f>SUMIFS('Pasted Bridges'!$G:$G,'Pasted Bridges'!$B:$B,$C6,'Pasted Bridges'!$F:$F,CN$5)</f>
        <v>0</v>
      </c>
      <c r="CO6" s="17">
        <f>SUMIFS('Pasted Bridges'!$G:$G,'Pasted Bridges'!$B:$B,$C6,'Pasted Bridges'!$F:$F,CO$5)</f>
        <v>0</v>
      </c>
      <c r="CP6" s="17">
        <f>SUMIFS('Pasted Bridges'!$G:$G,'Pasted Bridges'!$B:$B,$C6,'Pasted Bridges'!$F:$F,CP$5)</f>
        <v>0</v>
      </c>
      <c r="CQ6" s="17">
        <f>SUMIFS('Pasted Bridges'!$G:$G,'Pasted Bridges'!$B:$B,$C6,'Pasted Bridges'!$F:$F,CQ$5)</f>
        <v>0</v>
      </c>
      <c r="CR6" s="17">
        <f>SUMIFS('Pasted Bridges'!$G:$G,'Pasted Bridges'!$B:$B,$C6,'Pasted Bridges'!$F:$F,CR$5)</f>
        <v>0</v>
      </c>
      <c r="CS6" s="17">
        <f>SUMIFS('Pasted Bridges'!$G:$G,'Pasted Bridges'!$B:$B,$C6,'Pasted Bridges'!$F:$F,CS$5)</f>
        <v>0</v>
      </c>
      <c r="CT6" s="17">
        <f>SUMIFS('Pasted Bridges'!$G:$G,'Pasted Bridges'!$B:$B,$C6,'Pasted Bridges'!$F:$F,CT$5)</f>
        <v>0</v>
      </c>
      <c r="CU6" s="17">
        <f>SUMIFS('Pasted Bridges'!$G:$G,'Pasted Bridges'!$B:$B,$C6,'Pasted Bridges'!$F:$F,CU$5)</f>
        <v>0</v>
      </c>
      <c r="CV6" s="17">
        <f>SUMIFS('Pasted Bridges'!$G:$G,'Pasted Bridges'!$B:$B,$C6,'Pasted Bridges'!$F:$F,CV$5)</f>
        <v>0</v>
      </c>
      <c r="CW6" s="17">
        <f>SUMIFS('Pasted Bridges'!$G:$G,'Pasted Bridges'!$B:$B,$C6,'Pasted Bridges'!$F:$F,CW$5)</f>
        <v>0</v>
      </c>
      <c r="CX6" s="17">
        <f>SUMIFS('Pasted Bridges'!$G:$G,'Pasted Bridges'!$B:$B,$C6,'Pasted Bridges'!$F:$F,CX$5)</f>
        <v>0</v>
      </c>
      <c r="CY6" s="17">
        <f>SUMIFS('Pasted Bridges'!$G:$G,'Pasted Bridges'!$B:$B,$C6,'Pasted Bridges'!$F:$F,CY$5)</f>
        <v>0</v>
      </c>
      <c r="CZ6" s="17">
        <f>SUMIFS('Pasted Bridges'!$G:$G,'Pasted Bridges'!$B:$B,$C6,'Pasted Bridges'!$F:$F,CZ$5)</f>
        <v>0</v>
      </c>
      <c r="DA6" s="17">
        <f>SUMIFS('Pasted Bridges'!$G:$G,'Pasted Bridges'!$B:$B,$C6,'Pasted Bridges'!$F:$F,DA$5)</f>
        <v>0</v>
      </c>
    </row>
    <row r="7" spans="1:105" s="1" customFormat="1" x14ac:dyDescent="0.25">
      <c r="A7" s="10"/>
      <c r="B7" s="38"/>
      <c r="C7" s="19" t="s">
        <v>7</v>
      </c>
      <c r="D7" s="19" t="s">
        <v>155</v>
      </c>
      <c r="E7" s="13" t="s">
        <v>199</v>
      </c>
      <c r="F7" s="2">
        <v>2</v>
      </c>
      <c r="G7" s="5">
        <v>1</v>
      </c>
      <c r="H7" s="2">
        <v>0.3</v>
      </c>
      <c r="I7" s="2">
        <v>0.05</v>
      </c>
      <c r="J7" s="3"/>
      <c r="K7" s="17">
        <f>SUMIFS('Pasted Bridges'!$G:$G,'Pasted Bridges'!$B:$B,$C7,'Pasted Bridges'!$F:$F,K$5)</f>
        <v>4.9800000000000004</v>
      </c>
      <c r="L7" s="17">
        <f>SUMIFS('Pasted Bridges'!$G:$G,'Pasted Bridges'!$B:$B,$C7,'Pasted Bridges'!$F:$F,L$5)</f>
        <v>4.9800000000000004</v>
      </c>
      <c r="M7" s="17">
        <f>SUMIFS('Pasted Bridges'!$G:$G,'Pasted Bridges'!$B:$B,$C7,'Pasted Bridges'!$F:$F,M$5)</f>
        <v>6.34</v>
      </c>
      <c r="N7" s="17">
        <f>SUMIFS('Pasted Bridges'!$G:$G,'Pasted Bridges'!$B:$B,$C7,'Pasted Bridges'!$F:$F,N$5)</f>
        <v>8.17</v>
      </c>
      <c r="O7" s="17">
        <f>SUMIFS('Pasted Bridges'!$G:$G,'Pasted Bridges'!$B:$B,$C7,'Pasted Bridges'!$F:$F,O$5)</f>
        <v>8.17</v>
      </c>
      <c r="P7" s="17">
        <f>SUMIFS('Pasted Bridges'!$G:$G,'Pasted Bridges'!$B:$B,$C7,'Pasted Bridges'!$F:$F,P$5)</f>
        <v>6.3400000000000007</v>
      </c>
      <c r="Q7" s="17">
        <f>SUMIFS('Pasted Bridges'!$G:$G,'Pasted Bridges'!$B:$B,$C7,'Pasted Bridges'!$F:$F,Q$5)</f>
        <v>6.01</v>
      </c>
      <c r="R7" s="17">
        <f>SUMIFS('Pasted Bridges'!$G:$G,'Pasted Bridges'!$B:$B,$C7,'Pasted Bridges'!$F:$F,R$5)</f>
        <v>3.51</v>
      </c>
      <c r="S7" s="17">
        <f>SUMIFS('Pasted Bridges'!$G:$G,'Pasted Bridges'!$B:$B,$C7,'Pasted Bridges'!$F:$F,S$5)</f>
        <v>3.51</v>
      </c>
      <c r="T7" s="17">
        <f>SUMIFS('Pasted Bridges'!$G:$G,'Pasted Bridges'!$B:$B,$C7,'Pasted Bridges'!$F:$F,T$5)</f>
        <v>6.01</v>
      </c>
      <c r="U7" s="17">
        <f>SUMIFS('Pasted Bridges'!$G:$G,'Pasted Bridges'!$B:$B,$C7,'Pasted Bridges'!$F:$F,U$5)</f>
        <v>8.17</v>
      </c>
      <c r="V7" s="17">
        <f>SUMIFS('Pasted Bridges'!$G:$G,'Pasted Bridges'!$B:$B,$C7,'Pasted Bridges'!$F:$F,V$5)</f>
        <v>8.17</v>
      </c>
      <c r="W7" s="17">
        <f>SUMIFS('Pasted Bridges'!$G:$G,'Pasted Bridges'!$B:$B,$C7,'Pasted Bridges'!$F:$F,W$5)</f>
        <v>6.34</v>
      </c>
      <c r="X7" s="17">
        <f>SUMIFS('Pasted Bridges'!$G:$G,'Pasted Bridges'!$B:$B,$C7,'Pasted Bridges'!$F:$F,X$5)</f>
        <v>6.3400000000000007</v>
      </c>
      <c r="Y7" s="17">
        <f>SUMIFS('Pasted Bridges'!$G:$G,'Pasted Bridges'!$B:$B,$C7,'Pasted Bridges'!$F:$F,Y$5)</f>
        <v>6.01</v>
      </c>
      <c r="Z7" s="17">
        <f>SUMIFS('Pasted Bridges'!$G:$G,'Pasted Bridges'!$B:$B,$C7,'Pasted Bridges'!$F:$F,Z$5)</f>
        <v>3.85</v>
      </c>
      <c r="AA7" s="17">
        <f>SUMIFS('Pasted Bridges'!$G:$G,'Pasted Bridges'!$B:$B,$C7,'Pasted Bridges'!$F:$F,AA$5)</f>
        <v>6.01</v>
      </c>
      <c r="AB7" s="17">
        <f>SUMIFS('Pasted Bridges'!$G:$G,'Pasted Bridges'!$B:$B,$C7,'Pasted Bridges'!$F:$F,AB$5)</f>
        <v>4.87</v>
      </c>
      <c r="AC7" s="17">
        <f>SUMIFS('Pasted Bridges'!$G:$G,'Pasted Bridges'!$B:$B,$C7,'Pasted Bridges'!$F:$F,AC$5)</f>
        <v>4.87</v>
      </c>
      <c r="AD7" s="17">
        <f>SUMIFS('Pasted Bridges'!$G:$G,'Pasted Bridges'!$B:$B,$C7,'Pasted Bridges'!$F:$F,AD$5)</f>
        <v>8.73</v>
      </c>
      <c r="AE7" s="17">
        <f>SUMIFS('Pasted Bridges'!$G:$G,'Pasted Bridges'!$B:$B,$C7,'Pasted Bridges'!$F:$F,AE$5)</f>
        <v>6.23</v>
      </c>
      <c r="AF7" s="17">
        <f>SUMIFS('Pasted Bridges'!$G:$G,'Pasted Bridges'!$B:$B,$C7,'Pasted Bridges'!$F:$F,AF$5)</f>
        <v>4.76</v>
      </c>
      <c r="AG7" s="17">
        <f>SUMIFS('Pasted Bridges'!$G:$G,'Pasted Bridges'!$B:$B,$C7,'Pasted Bridges'!$F:$F,AG$5)</f>
        <v>11.91</v>
      </c>
      <c r="AH7" s="17">
        <f>SUMIFS('Pasted Bridges'!$G:$G,'Pasted Bridges'!$B:$B,$C7,'Pasted Bridges'!$F:$F,AH$5)</f>
        <v>4.9800000000000004</v>
      </c>
      <c r="AI7" s="17">
        <f>SUMIFS('Pasted Bridges'!$G:$G,'Pasted Bridges'!$B:$B,$C7,'Pasted Bridges'!$F:$F,AI$5)</f>
        <v>6.3400000000000007</v>
      </c>
      <c r="AJ7" s="17">
        <f>SUMIFS('Pasted Bridges'!$G:$G,'Pasted Bridges'!$B:$B,$C7,'Pasted Bridges'!$F:$F,AJ$5)</f>
        <v>8.73</v>
      </c>
      <c r="AK7" s="17">
        <f>SUMIFS('Pasted Bridges'!$G:$G,'Pasted Bridges'!$B:$B,$C7,'Pasted Bridges'!$F:$F,AK$5)</f>
        <v>11.91</v>
      </c>
      <c r="AL7" s="17">
        <f>SUMIFS('Pasted Bridges'!$G:$G,'Pasted Bridges'!$B:$B,$C7,'Pasted Bridges'!$F:$F,AL$5)</f>
        <v>8.73</v>
      </c>
      <c r="AM7" s="17">
        <f>SUMIFS('Pasted Bridges'!$G:$G,'Pasted Bridges'!$B:$B,$C7,'Pasted Bridges'!$F:$F,AM$5)</f>
        <v>6.3400000000000007</v>
      </c>
      <c r="AN7" s="17">
        <f>SUMIFS('Pasted Bridges'!$G:$G,'Pasted Bridges'!$B:$B,$C7,'Pasted Bridges'!$F:$F,AN$5)</f>
        <v>6.3400000000000007</v>
      </c>
      <c r="AO7" s="17">
        <f>SUMIFS('Pasted Bridges'!$G:$G,'Pasted Bridges'!$B:$B,$C7,'Pasted Bridges'!$F:$F,AO$5)</f>
        <v>8.73</v>
      </c>
      <c r="AP7" s="17">
        <f>SUMIFS('Pasted Bridges'!$G:$G,'Pasted Bridges'!$B:$B,$C7,'Pasted Bridges'!$F:$F,AP$5)</f>
        <v>3.62</v>
      </c>
      <c r="AQ7" s="17">
        <f>SUMIFS('Pasted Bridges'!$G:$G,'Pasted Bridges'!$B:$B,$C7,'Pasted Bridges'!$F:$F,AQ$5)</f>
        <v>7.2500000000000009</v>
      </c>
      <c r="AR7" s="17">
        <f>SUMIFS('Pasted Bridges'!$G:$G,'Pasted Bridges'!$B:$B,$C7,'Pasted Bridges'!$F:$F,AR$5)</f>
        <v>3.62</v>
      </c>
      <c r="AS7" s="17">
        <f>SUMIFS('Pasted Bridges'!$G:$G,'Pasted Bridges'!$B:$B,$C7,'Pasted Bridges'!$F:$F,AS$5)</f>
        <v>7.2500000000000009</v>
      </c>
      <c r="AT7" s="17">
        <f>SUMIFS('Pasted Bridges'!$G:$G,'Pasted Bridges'!$B:$B,$C7,'Pasted Bridges'!$F:$F,AT$5)</f>
        <v>5.89</v>
      </c>
      <c r="AU7" s="17">
        <f>SUMIFS('Pasted Bridges'!$G:$G,'Pasted Bridges'!$B:$B,$C7,'Pasted Bridges'!$F:$F,AU$5)</f>
        <v>3.62</v>
      </c>
      <c r="AV7" s="17">
        <f>SUMIFS('Pasted Bridges'!$G:$G,'Pasted Bridges'!$B:$B,$C7,'Pasted Bridges'!$F:$F,AV$5)</f>
        <v>3.62</v>
      </c>
      <c r="AW7" s="17">
        <f>SUMIFS('Pasted Bridges'!$G:$G,'Pasted Bridges'!$B:$B,$C7,'Pasted Bridges'!$F:$F,AW$5)</f>
        <v>7.25</v>
      </c>
      <c r="AX7" s="17">
        <f>SUMIFS('Pasted Bridges'!$G:$G,'Pasted Bridges'!$B:$B,$C7,'Pasted Bridges'!$F:$F,AX$5)</f>
        <v>5.89</v>
      </c>
      <c r="AY7" s="17">
        <f>SUMIFS('Pasted Bridges'!$G:$G,'Pasted Bridges'!$B:$B,$C7,'Pasted Bridges'!$F:$F,AY$5)</f>
        <v>5.8900000000000006</v>
      </c>
      <c r="AZ7" s="17">
        <f>SUMIFS('Pasted Bridges'!$G:$G,'Pasted Bridges'!$B:$B,$C7,'Pasted Bridges'!$F:$F,AZ$5)</f>
        <v>3.62</v>
      </c>
      <c r="BA7" s="17">
        <f>SUMIFS('Pasted Bridges'!$G:$G,'Pasted Bridges'!$B:$B,$C7,'Pasted Bridges'!$F:$F,BA$5)</f>
        <v>8.15</v>
      </c>
      <c r="BB7" s="17">
        <f>SUMIFS('Pasted Bridges'!$G:$G,'Pasted Bridges'!$B:$B,$C7,'Pasted Bridges'!$F:$F,BB$5)</f>
        <v>8.379999999999999</v>
      </c>
      <c r="BC7" s="17">
        <f>SUMIFS('Pasted Bridges'!$G:$G,'Pasted Bridges'!$B:$B,$C7,'Pasted Bridges'!$F:$F,BC$5)</f>
        <v>3.8499999999999996</v>
      </c>
      <c r="BD7" s="17">
        <f>SUMIFS('Pasted Bridges'!$G:$G,'Pasted Bridges'!$B:$B,$C7,'Pasted Bridges'!$F:$F,BD$5)</f>
        <v>3.8499999999999996</v>
      </c>
      <c r="BE7" s="17">
        <f>SUMIFS('Pasted Bridges'!$G:$G,'Pasted Bridges'!$B:$B,$C7,'Pasted Bridges'!$F:$F,BE$5)</f>
        <v>4.9800000000000004</v>
      </c>
      <c r="BF7" s="17">
        <f>SUMIFS('Pasted Bridges'!$G:$G,'Pasted Bridges'!$B:$B,$C7,'Pasted Bridges'!$F:$F,BF$5)</f>
        <v>4.75</v>
      </c>
      <c r="BG7" s="17">
        <f>SUMIFS('Pasted Bridges'!$G:$G,'Pasted Bridges'!$B:$B,$C7,'Pasted Bridges'!$F:$F,BG$5)</f>
        <v>8.15</v>
      </c>
      <c r="BH7" s="17">
        <f>SUMIFS('Pasted Bridges'!$G:$G,'Pasted Bridges'!$B:$B,$C7,'Pasted Bridges'!$F:$F,BH$5)</f>
        <v>8.379999999999999</v>
      </c>
      <c r="BI7" s="17">
        <f>SUMIFS('Pasted Bridges'!$G:$G,'Pasted Bridges'!$B:$B,$C7,'Pasted Bridges'!$F:$F,BI$5)</f>
        <v>3.8499999999999996</v>
      </c>
      <c r="BJ7" s="17">
        <f>SUMIFS('Pasted Bridges'!$G:$G,'Pasted Bridges'!$B:$B,$C7,'Pasted Bridges'!$F:$F,BJ$5)</f>
        <v>3.8499999999999996</v>
      </c>
      <c r="BK7" s="17">
        <f>SUMIFS('Pasted Bridges'!$G:$G,'Pasted Bridges'!$B:$B,$C7,'Pasted Bridges'!$F:$F,BK$5)</f>
        <v>7.92</v>
      </c>
      <c r="BL7" s="17">
        <f>SUMIFS('Pasted Bridges'!$G:$G,'Pasted Bridges'!$B:$B,$C7,'Pasted Bridges'!$F:$F,BL$5)</f>
        <v>7.6899999999999995</v>
      </c>
      <c r="BM7" s="17">
        <f>SUMIFS('Pasted Bridges'!$G:$G,'Pasted Bridges'!$B:$B,$C7,'Pasted Bridges'!$F:$F,BM$5)</f>
        <v>7.8</v>
      </c>
      <c r="BN7" s="17">
        <f>SUMIFS('Pasted Bridges'!$G:$G,'Pasted Bridges'!$B:$B,$C7,'Pasted Bridges'!$F:$F,BN$5)</f>
        <v>7.7999999999999989</v>
      </c>
      <c r="BO7" s="17">
        <f>SUMIFS('Pasted Bridges'!$G:$G,'Pasted Bridges'!$B:$B,$C7,'Pasted Bridges'!$F:$F,BO$5)</f>
        <v>7.8</v>
      </c>
      <c r="BP7" s="17">
        <f>SUMIFS('Pasted Bridges'!$G:$G,'Pasted Bridges'!$B:$B,$C7,'Pasted Bridges'!$F:$F,BP$5)</f>
        <v>7.8</v>
      </c>
      <c r="BQ7" s="17">
        <f>SUMIFS('Pasted Bridges'!$G:$G,'Pasted Bridges'!$B:$B,$C7,'Pasted Bridges'!$F:$F,BQ$5)</f>
        <v>9.6199999999999992</v>
      </c>
      <c r="BR7" s="17">
        <f>SUMIFS('Pasted Bridges'!$G:$G,'Pasted Bridges'!$B:$B,$C7,'Pasted Bridges'!$F:$F,BR$5)</f>
        <v>8.379999999999999</v>
      </c>
      <c r="BS7" s="17">
        <f>SUMIFS('Pasted Bridges'!$G:$G,'Pasted Bridges'!$B:$B,$C7,'Pasted Bridges'!$F:$F,BS$5)</f>
        <v>3.8499999999999996</v>
      </c>
      <c r="BT7" s="17">
        <f>SUMIFS('Pasted Bridges'!$G:$G,'Pasted Bridges'!$B:$B,$C7,'Pasted Bridges'!$F:$F,BT$5)</f>
        <v>3.8499999999999996</v>
      </c>
      <c r="BU7" s="17">
        <f>SUMIFS('Pasted Bridges'!$G:$G,'Pasted Bridges'!$B:$B,$C7,'Pasted Bridges'!$F:$F,BU$5)</f>
        <v>7.92</v>
      </c>
      <c r="BV7" s="17">
        <f>SUMIFS('Pasted Bridges'!$G:$G,'Pasted Bridges'!$B:$B,$C7,'Pasted Bridges'!$F:$F,BV$5)</f>
        <v>7.6899999999999995</v>
      </c>
      <c r="BW7" s="17">
        <f>SUMIFS('Pasted Bridges'!$G:$G,'Pasted Bridges'!$B:$B,$C7,'Pasted Bridges'!$F:$F,BW$5)</f>
        <v>3.62</v>
      </c>
      <c r="BX7" s="17">
        <f>SUMIFS('Pasted Bridges'!$G:$G,'Pasted Bridges'!$B:$B,$C7,'Pasted Bridges'!$F:$F,BX$5)</f>
        <v>7.7000000000000011</v>
      </c>
      <c r="BY7" s="17">
        <f>SUMIFS('Pasted Bridges'!$G:$G,'Pasted Bridges'!$B:$B,$C7,'Pasted Bridges'!$F:$F,BY$5)</f>
        <v>6.3400000000000007</v>
      </c>
      <c r="BZ7" s="17">
        <f>SUMIFS('Pasted Bridges'!$G:$G,'Pasted Bridges'!$B:$B,$C7,'Pasted Bridges'!$F:$F,BZ$5)</f>
        <v>4.9800000000000004</v>
      </c>
      <c r="CA7" s="17">
        <f>SUMIFS('Pasted Bridges'!$G:$G,'Pasted Bridges'!$B:$B,$C7,'Pasted Bridges'!$F:$F,CA$5)</f>
        <v>4.9800000000000004</v>
      </c>
      <c r="CB7" s="17">
        <f>SUMIFS('Pasted Bridges'!$G:$G,'Pasted Bridges'!$B:$B,$C7,'Pasted Bridges'!$F:$F,CB$5)</f>
        <v>3.62</v>
      </c>
      <c r="CC7" s="17">
        <f>SUMIFS('Pasted Bridges'!$G:$G,'Pasted Bridges'!$B:$B,$C7,'Pasted Bridges'!$F:$F,CC$5)</f>
        <v>7.7</v>
      </c>
      <c r="CD7" s="17">
        <f>SUMIFS('Pasted Bridges'!$G:$G,'Pasted Bridges'!$B:$B,$C7,'Pasted Bridges'!$F:$F,CD$5)</f>
        <v>6.3400000000000007</v>
      </c>
      <c r="CE7" s="17">
        <f>SUMIFS('Pasted Bridges'!$G:$G,'Pasted Bridges'!$B:$B,$C7,'Pasted Bridges'!$F:$F,CE$5)</f>
        <v>4.9800000000000004</v>
      </c>
      <c r="CF7" s="17">
        <f>SUMIFS('Pasted Bridges'!$G:$G,'Pasted Bridges'!$B:$B,$C7,'Pasted Bridges'!$F:$F,CF$5)</f>
        <v>4.9800000000000004</v>
      </c>
      <c r="CG7" s="17">
        <f>SUMIFS('Pasted Bridges'!$G:$G,'Pasted Bridges'!$B:$B,$C7,'Pasted Bridges'!$F:$F,CG$5)</f>
        <v>7.7000000000000011</v>
      </c>
      <c r="CH7" s="17">
        <f>SUMIFS('Pasted Bridges'!$G:$G,'Pasted Bridges'!$B:$B,$C7,'Pasted Bridges'!$F:$F,CH$5)</f>
        <v>6.3400000000000007</v>
      </c>
      <c r="CI7" s="17">
        <f>SUMIFS('Pasted Bridges'!$G:$G,'Pasted Bridges'!$B:$B,$C7,'Pasted Bridges'!$F:$F,CI$5)</f>
        <v>6.3400000000000007</v>
      </c>
      <c r="CJ7" s="17">
        <f>SUMIFS('Pasted Bridges'!$G:$G,'Pasted Bridges'!$B:$B,$C7,'Pasted Bridges'!$F:$F,CJ$5)</f>
        <v>3.62</v>
      </c>
      <c r="CK7" s="17">
        <f>SUMIFS('Pasted Bridges'!$G:$G,'Pasted Bridges'!$B:$B,$C7,'Pasted Bridges'!$F:$F,CK$5)</f>
        <v>7.2700000000000014</v>
      </c>
      <c r="CL7" s="17">
        <f>SUMIFS('Pasted Bridges'!$G:$G,'Pasted Bridges'!$B:$B,$C7,'Pasted Bridges'!$F:$F,CL$5)</f>
        <v>5.91</v>
      </c>
      <c r="CM7" s="17">
        <f>SUMIFS('Pasted Bridges'!$G:$G,'Pasted Bridges'!$B:$B,$C7,'Pasted Bridges'!$F:$F,CM$5)</f>
        <v>5.91</v>
      </c>
      <c r="CN7" s="17">
        <f>SUMIFS('Pasted Bridges'!$G:$G,'Pasted Bridges'!$B:$B,$C7,'Pasted Bridges'!$F:$F,CN$5)</f>
        <v>7.2700000000000014</v>
      </c>
      <c r="CO7" s="17">
        <f>SUMIFS('Pasted Bridges'!$G:$G,'Pasted Bridges'!$B:$B,$C7,'Pasted Bridges'!$F:$F,CO$5)</f>
        <v>5.91</v>
      </c>
      <c r="CP7" s="17">
        <f>SUMIFS('Pasted Bridges'!$G:$G,'Pasted Bridges'!$B:$B,$C7,'Pasted Bridges'!$F:$F,CP$5)</f>
        <v>7.2700000000000005</v>
      </c>
      <c r="CQ7" s="17">
        <f>SUMIFS('Pasted Bridges'!$G:$G,'Pasted Bridges'!$B:$B,$C7,'Pasted Bridges'!$F:$F,CQ$5)</f>
        <v>7.2700000000000005</v>
      </c>
      <c r="CR7" s="17">
        <f>SUMIFS('Pasted Bridges'!$G:$G,'Pasted Bridges'!$B:$B,$C7,'Pasted Bridges'!$F:$F,CR$5)</f>
        <v>5.91</v>
      </c>
      <c r="CS7" s="17">
        <f>SUMIFS('Pasted Bridges'!$G:$G,'Pasted Bridges'!$B:$B,$C7,'Pasted Bridges'!$F:$F,CS$5)</f>
        <v>5.910000000000001</v>
      </c>
      <c r="CT7" s="17">
        <f>SUMIFS('Pasted Bridges'!$G:$G,'Pasted Bridges'!$B:$B,$C7,'Pasted Bridges'!$F:$F,CT$5)</f>
        <v>8.6300000000000008</v>
      </c>
      <c r="CU7" s="17">
        <f>SUMIFS('Pasted Bridges'!$G:$G,'Pasted Bridges'!$B:$B,$C7,'Pasted Bridges'!$F:$F,CU$5)</f>
        <v>7.2700000000000014</v>
      </c>
      <c r="CV7" s="17">
        <f>SUMIFS('Pasted Bridges'!$G:$G,'Pasted Bridges'!$B:$B,$C7,'Pasted Bridges'!$F:$F,CV$5)</f>
        <v>5.910000000000001</v>
      </c>
      <c r="CW7" s="17">
        <f>SUMIFS('Pasted Bridges'!$G:$G,'Pasted Bridges'!$B:$B,$C7,'Pasted Bridges'!$F:$F,CW$5)</f>
        <v>8.6300000000000008</v>
      </c>
      <c r="CX7" s="17">
        <f>SUMIFS('Pasted Bridges'!$G:$G,'Pasted Bridges'!$B:$B,$C7,'Pasted Bridges'!$F:$F,CX$5)</f>
        <v>7.2700000000000005</v>
      </c>
      <c r="CY7" s="17">
        <f>SUMIFS('Pasted Bridges'!$G:$G,'Pasted Bridges'!$B:$B,$C7,'Pasted Bridges'!$F:$F,CY$5)</f>
        <v>5.910000000000001</v>
      </c>
      <c r="CZ7" s="17">
        <f>SUMIFS('Pasted Bridges'!$G:$G,'Pasted Bridges'!$B:$B,$C7,'Pasted Bridges'!$F:$F,CZ$5)</f>
        <v>8.6300000000000008</v>
      </c>
      <c r="DA7" s="17">
        <f>SUMIFS('Pasted Bridges'!$G:$G,'Pasted Bridges'!$B:$B,$C7,'Pasted Bridges'!$F:$F,DA$5)</f>
        <v>7.2700000000000014</v>
      </c>
    </row>
    <row r="8" spans="1:105" s="1" customFormat="1" x14ac:dyDescent="0.25">
      <c r="A8" s="10"/>
      <c r="B8" s="38"/>
      <c r="C8" s="19" t="s">
        <v>10</v>
      </c>
      <c r="D8" s="19" t="s">
        <v>156</v>
      </c>
      <c r="E8" s="13" t="s">
        <v>199</v>
      </c>
      <c r="F8" s="2">
        <v>3</v>
      </c>
      <c r="G8" s="5">
        <v>0.1</v>
      </c>
      <c r="H8" s="2">
        <v>0.04</v>
      </c>
      <c r="I8" s="2">
        <v>0.05</v>
      </c>
      <c r="J8" s="3"/>
      <c r="K8" s="17">
        <f>SUMIFS('Pasted Bridges'!$G:$G,'Pasted Bridges'!$B:$B,$C8,'Pasted Bridges'!$F:$F,K$5)</f>
        <v>2.72</v>
      </c>
      <c r="L8" s="17">
        <f>SUMIFS('Pasted Bridges'!$G:$G,'Pasted Bridges'!$B:$B,$C8,'Pasted Bridges'!$F:$F,L$5)</f>
        <v>2.72</v>
      </c>
      <c r="M8" s="17">
        <f>SUMIFS('Pasted Bridges'!$G:$G,'Pasted Bridges'!$B:$B,$C8,'Pasted Bridges'!$F:$F,M$5)</f>
        <v>4.08</v>
      </c>
      <c r="N8" s="17">
        <f>SUMIFS('Pasted Bridges'!$G:$G,'Pasted Bridges'!$B:$B,$C8,'Pasted Bridges'!$F:$F,N$5)</f>
        <v>5.91</v>
      </c>
      <c r="O8" s="17">
        <f>SUMIFS('Pasted Bridges'!$G:$G,'Pasted Bridges'!$B:$B,$C8,'Pasted Bridges'!$F:$F,O$5)</f>
        <v>5.91</v>
      </c>
      <c r="P8" s="17">
        <f>SUMIFS('Pasted Bridges'!$G:$G,'Pasted Bridges'!$B:$B,$C8,'Pasted Bridges'!$F:$F,P$5)</f>
        <v>4.08</v>
      </c>
      <c r="Q8" s="17">
        <f>SUMIFS('Pasted Bridges'!$G:$G,'Pasted Bridges'!$B:$B,$C8,'Pasted Bridges'!$F:$F,Q$5)</f>
        <v>3.75</v>
      </c>
      <c r="R8" s="17">
        <f>SUMIFS('Pasted Bridges'!$G:$G,'Pasted Bridges'!$B:$B,$C8,'Pasted Bridges'!$F:$F,R$5)</f>
        <v>1.25</v>
      </c>
      <c r="S8" s="17">
        <f>SUMIFS('Pasted Bridges'!$G:$G,'Pasted Bridges'!$B:$B,$C8,'Pasted Bridges'!$F:$F,S$5)</f>
        <v>1.25</v>
      </c>
      <c r="T8" s="17">
        <f>SUMIFS('Pasted Bridges'!$G:$G,'Pasted Bridges'!$B:$B,$C8,'Pasted Bridges'!$F:$F,T$5)</f>
        <v>3.75</v>
      </c>
      <c r="U8" s="17">
        <f>SUMIFS('Pasted Bridges'!$G:$G,'Pasted Bridges'!$B:$B,$C8,'Pasted Bridges'!$F:$F,U$5)</f>
        <v>5.91</v>
      </c>
      <c r="V8" s="17">
        <f>SUMIFS('Pasted Bridges'!$G:$G,'Pasted Bridges'!$B:$B,$C8,'Pasted Bridges'!$F:$F,V$5)</f>
        <v>5.91</v>
      </c>
      <c r="W8" s="17">
        <f>SUMIFS('Pasted Bridges'!$G:$G,'Pasted Bridges'!$B:$B,$C8,'Pasted Bridges'!$F:$F,W$5)</f>
        <v>4.08</v>
      </c>
      <c r="X8" s="17">
        <f>SUMIFS('Pasted Bridges'!$G:$G,'Pasted Bridges'!$B:$B,$C8,'Pasted Bridges'!$F:$F,X$5)</f>
        <v>4.08</v>
      </c>
      <c r="Y8" s="17">
        <f>SUMIFS('Pasted Bridges'!$G:$G,'Pasted Bridges'!$B:$B,$C8,'Pasted Bridges'!$F:$F,Y$5)</f>
        <v>3.75</v>
      </c>
      <c r="Z8" s="17">
        <f>SUMIFS('Pasted Bridges'!$G:$G,'Pasted Bridges'!$B:$B,$C8,'Pasted Bridges'!$F:$F,Z$5)</f>
        <v>2.5</v>
      </c>
      <c r="AA8" s="17">
        <f>SUMIFS('Pasted Bridges'!$G:$G,'Pasted Bridges'!$B:$B,$C8,'Pasted Bridges'!$F:$F,AA$5)</f>
        <v>3.75</v>
      </c>
      <c r="AB8" s="17">
        <f>SUMIFS('Pasted Bridges'!$G:$G,'Pasted Bridges'!$B:$B,$C8,'Pasted Bridges'!$F:$F,AB$5)</f>
        <v>2.6100000000000003</v>
      </c>
      <c r="AC8" s="17">
        <f>SUMIFS('Pasted Bridges'!$G:$G,'Pasted Bridges'!$B:$B,$C8,'Pasted Bridges'!$F:$F,AC$5)</f>
        <v>2.6100000000000003</v>
      </c>
      <c r="AD8" s="17">
        <f>SUMIFS('Pasted Bridges'!$G:$G,'Pasted Bridges'!$B:$B,$C8,'Pasted Bridges'!$F:$F,AD$5)</f>
        <v>6.4700000000000006</v>
      </c>
      <c r="AE8" s="17">
        <f>SUMIFS('Pasted Bridges'!$G:$G,'Pasted Bridges'!$B:$B,$C8,'Pasted Bridges'!$F:$F,AE$5)</f>
        <v>3.9700000000000006</v>
      </c>
      <c r="AF8" s="17">
        <f>SUMIFS('Pasted Bridges'!$G:$G,'Pasted Bridges'!$B:$B,$C8,'Pasted Bridges'!$F:$F,AF$5)</f>
        <v>2.5</v>
      </c>
      <c r="AG8" s="17">
        <f>SUMIFS('Pasted Bridges'!$G:$G,'Pasted Bridges'!$B:$B,$C8,'Pasted Bridges'!$F:$F,AG$5)</f>
        <v>9.65</v>
      </c>
      <c r="AH8" s="17">
        <f>SUMIFS('Pasted Bridges'!$G:$G,'Pasted Bridges'!$B:$B,$C8,'Pasted Bridges'!$F:$F,AH$5)</f>
        <v>2.72</v>
      </c>
      <c r="AI8" s="17">
        <f>SUMIFS('Pasted Bridges'!$G:$G,'Pasted Bridges'!$B:$B,$C8,'Pasted Bridges'!$F:$F,AI$5)</f>
        <v>4.08</v>
      </c>
      <c r="AJ8" s="17">
        <f>SUMIFS('Pasted Bridges'!$G:$G,'Pasted Bridges'!$B:$B,$C8,'Pasted Bridges'!$F:$F,AJ$5)</f>
        <v>6.4700000000000006</v>
      </c>
      <c r="AK8" s="17">
        <f>SUMIFS('Pasted Bridges'!$G:$G,'Pasted Bridges'!$B:$B,$C8,'Pasted Bridges'!$F:$F,AK$5)</f>
        <v>9.6500000000000021</v>
      </c>
      <c r="AL8" s="17">
        <f>SUMIFS('Pasted Bridges'!$G:$G,'Pasted Bridges'!$B:$B,$C8,'Pasted Bridges'!$F:$F,AL$5)</f>
        <v>6.4700000000000006</v>
      </c>
      <c r="AM8" s="17">
        <f>SUMIFS('Pasted Bridges'!$G:$G,'Pasted Bridges'!$B:$B,$C8,'Pasted Bridges'!$F:$F,AM$5)</f>
        <v>4.08</v>
      </c>
      <c r="AN8" s="17">
        <f>SUMIFS('Pasted Bridges'!$G:$G,'Pasted Bridges'!$B:$B,$C8,'Pasted Bridges'!$F:$F,AN$5)</f>
        <v>4.08</v>
      </c>
      <c r="AO8" s="17">
        <f>SUMIFS('Pasted Bridges'!$G:$G,'Pasted Bridges'!$B:$B,$C8,'Pasted Bridges'!$F:$F,AO$5)</f>
        <v>6.4700000000000006</v>
      </c>
      <c r="AP8" s="17">
        <f>SUMIFS('Pasted Bridges'!$G:$G,'Pasted Bridges'!$B:$B,$C8,'Pasted Bridges'!$F:$F,AP$5)</f>
        <v>1.36</v>
      </c>
      <c r="AQ8" s="17">
        <f>SUMIFS('Pasted Bridges'!$G:$G,'Pasted Bridges'!$B:$B,$C8,'Pasted Bridges'!$F:$F,AQ$5)</f>
        <v>4.99</v>
      </c>
      <c r="AR8" s="17">
        <f>SUMIFS('Pasted Bridges'!$G:$G,'Pasted Bridges'!$B:$B,$C8,'Pasted Bridges'!$F:$F,AR$5)</f>
        <v>1.36</v>
      </c>
      <c r="AS8" s="17">
        <f>SUMIFS('Pasted Bridges'!$G:$G,'Pasted Bridges'!$B:$B,$C8,'Pasted Bridges'!$F:$F,AS$5)</f>
        <v>4.99</v>
      </c>
      <c r="AT8" s="17">
        <f>SUMIFS('Pasted Bridges'!$G:$G,'Pasted Bridges'!$B:$B,$C8,'Pasted Bridges'!$F:$F,AT$5)</f>
        <v>3.63</v>
      </c>
      <c r="AU8" s="17">
        <f>SUMIFS('Pasted Bridges'!$G:$G,'Pasted Bridges'!$B:$B,$C8,'Pasted Bridges'!$F:$F,AU$5)</f>
        <v>1.36</v>
      </c>
      <c r="AV8" s="17">
        <f>SUMIFS('Pasted Bridges'!$G:$G,'Pasted Bridges'!$B:$B,$C8,'Pasted Bridges'!$F:$F,AV$5)</f>
        <v>1.36</v>
      </c>
      <c r="AW8" s="17">
        <f>SUMIFS('Pasted Bridges'!$G:$G,'Pasted Bridges'!$B:$B,$C8,'Pasted Bridges'!$F:$F,AW$5)</f>
        <v>4.99</v>
      </c>
      <c r="AX8" s="17">
        <f>SUMIFS('Pasted Bridges'!$G:$G,'Pasted Bridges'!$B:$B,$C8,'Pasted Bridges'!$F:$F,AX$5)</f>
        <v>3.63</v>
      </c>
      <c r="AY8" s="17">
        <f>SUMIFS('Pasted Bridges'!$G:$G,'Pasted Bridges'!$B:$B,$C8,'Pasted Bridges'!$F:$F,AY$5)</f>
        <v>3.6300000000000003</v>
      </c>
      <c r="AZ8" s="17">
        <f>SUMIFS('Pasted Bridges'!$G:$G,'Pasted Bridges'!$B:$B,$C8,'Pasted Bridges'!$F:$F,AZ$5)</f>
        <v>1.36</v>
      </c>
      <c r="BA8" s="17">
        <f>SUMIFS('Pasted Bridges'!$G:$G,'Pasted Bridges'!$B:$B,$C8,'Pasted Bridges'!$F:$F,BA$5)</f>
        <v>6</v>
      </c>
      <c r="BB8" s="17">
        <f>SUMIFS('Pasted Bridges'!$G:$G,'Pasted Bridges'!$B:$B,$C8,'Pasted Bridges'!$F:$F,BB$5)</f>
        <v>6.23</v>
      </c>
      <c r="BC8" s="17">
        <f>SUMIFS('Pasted Bridges'!$G:$G,'Pasted Bridges'!$B:$B,$C8,'Pasted Bridges'!$F:$F,BC$5)</f>
        <v>1.7</v>
      </c>
      <c r="BD8" s="17">
        <f>SUMIFS('Pasted Bridges'!$G:$G,'Pasted Bridges'!$B:$B,$C8,'Pasted Bridges'!$F:$F,BD$5)</f>
        <v>1.7</v>
      </c>
      <c r="BE8" s="17">
        <f>SUMIFS('Pasted Bridges'!$G:$G,'Pasted Bridges'!$B:$B,$C8,'Pasted Bridges'!$F:$F,BE$5)</f>
        <v>2.83</v>
      </c>
      <c r="BF8" s="17">
        <f>SUMIFS('Pasted Bridges'!$G:$G,'Pasted Bridges'!$B:$B,$C8,'Pasted Bridges'!$F:$F,BF$5)</f>
        <v>2.5999999999999996</v>
      </c>
      <c r="BG8" s="17">
        <f>SUMIFS('Pasted Bridges'!$G:$G,'Pasted Bridges'!$B:$B,$C8,'Pasted Bridges'!$F:$F,BG$5)</f>
        <v>6</v>
      </c>
      <c r="BH8" s="17">
        <f>SUMIFS('Pasted Bridges'!$G:$G,'Pasted Bridges'!$B:$B,$C8,'Pasted Bridges'!$F:$F,BH$5)</f>
        <v>6.23</v>
      </c>
      <c r="BI8" s="17">
        <f>SUMIFS('Pasted Bridges'!$G:$G,'Pasted Bridges'!$B:$B,$C8,'Pasted Bridges'!$F:$F,BI$5)</f>
        <v>1.7</v>
      </c>
      <c r="BJ8" s="17">
        <f>SUMIFS('Pasted Bridges'!$G:$G,'Pasted Bridges'!$B:$B,$C8,'Pasted Bridges'!$F:$F,BJ$5)</f>
        <v>1.7</v>
      </c>
      <c r="BK8" s="17">
        <f>SUMIFS('Pasted Bridges'!$G:$G,'Pasted Bridges'!$B:$B,$C8,'Pasted Bridges'!$F:$F,BK$5)</f>
        <v>5.7700000000000005</v>
      </c>
      <c r="BL8" s="17">
        <f>SUMIFS('Pasted Bridges'!$G:$G,'Pasted Bridges'!$B:$B,$C8,'Pasted Bridges'!$F:$F,BL$5)</f>
        <v>5.54</v>
      </c>
      <c r="BM8" s="17">
        <f>SUMIFS('Pasted Bridges'!$G:$G,'Pasted Bridges'!$B:$B,$C8,'Pasted Bridges'!$F:$F,BM$5)</f>
        <v>5.88</v>
      </c>
      <c r="BN8" s="17">
        <f>SUMIFS('Pasted Bridges'!$G:$G,'Pasted Bridges'!$B:$B,$C8,'Pasted Bridges'!$F:$F,BN$5)</f>
        <v>5.88</v>
      </c>
      <c r="BO8" s="17">
        <f>SUMIFS('Pasted Bridges'!$G:$G,'Pasted Bridges'!$B:$B,$C8,'Pasted Bridges'!$F:$F,BO$5)</f>
        <v>5.88</v>
      </c>
      <c r="BP8" s="17">
        <f>SUMIFS('Pasted Bridges'!$G:$G,'Pasted Bridges'!$B:$B,$C8,'Pasted Bridges'!$F:$F,BP$5)</f>
        <v>5.88</v>
      </c>
      <c r="BQ8" s="17">
        <f>SUMIFS('Pasted Bridges'!$G:$G,'Pasted Bridges'!$B:$B,$C8,'Pasted Bridges'!$F:$F,BQ$5)</f>
        <v>7.4700000000000006</v>
      </c>
      <c r="BR8" s="17">
        <f>SUMIFS('Pasted Bridges'!$G:$G,'Pasted Bridges'!$B:$B,$C8,'Pasted Bridges'!$F:$F,BR$5)</f>
        <v>6.23</v>
      </c>
      <c r="BS8" s="17">
        <f>SUMIFS('Pasted Bridges'!$G:$G,'Pasted Bridges'!$B:$B,$C8,'Pasted Bridges'!$F:$F,BS$5)</f>
        <v>1.7</v>
      </c>
      <c r="BT8" s="17">
        <f>SUMIFS('Pasted Bridges'!$G:$G,'Pasted Bridges'!$B:$B,$C8,'Pasted Bridges'!$F:$F,BT$5)</f>
        <v>1.7</v>
      </c>
      <c r="BU8" s="17">
        <f>SUMIFS('Pasted Bridges'!$G:$G,'Pasted Bridges'!$B:$B,$C8,'Pasted Bridges'!$F:$F,BU$5)</f>
        <v>5.7700000000000005</v>
      </c>
      <c r="BV8" s="17">
        <f>SUMIFS('Pasted Bridges'!$G:$G,'Pasted Bridges'!$B:$B,$C8,'Pasted Bridges'!$F:$F,BV$5)</f>
        <v>5.54</v>
      </c>
      <c r="BW8" s="17">
        <f>SUMIFS('Pasted Bridges'!$G:$G,'Pasted Bridges'!$B:$B,$C8,'Pasted Bridges'!$F:$F,BW$5)</f>
        <v>1.36</v>
      </c>
      <c r="BX8" s="17">
        <f>SUMIFS('Pasted Bridges'!$G:$G,'Pasted Bridges'!$B:$B,$C8,'Pasted Bridges'!$F:$F,BX$5)</f>
        <v>5.44</v>
      </c>
      <c r="BY8" s="17">
        <f>SUMIFS('Pasted Bridges'!$G:$G,'Pasted Bridges'!$B:$B,$C8,'Pasted Bridges'!$F:$F,BY$5)</f>
        <v>4.08</v>
      </c>
      <c r="BZ8" s="17">
        <f>SUMIFS('Pasted Bridges'!$G:$G,'Pasted Bridges'!$B:$B,$C8,'Pasted Bridges'!$F:$F,BZ$5)</f>
        <v>6.6</v>
      </c>
      <c r="CA8" s="17">
        <f>SUMIFS('Pasted Bridges'!$G:$G,'Pasted Bridges'!$B:$B,$C8,'Pasted Bridges'!$F:$F,CA$5)</f>
        <v>2.72</v>
      </c>
      <c r="CB8" s="17">
        <f>SUMIFS('Pasted Bridges'!$G:$G,'Pasted Bridges'!$B:$B,$C8,'Pasted Bridges'!$F:$F,CB$5)</f>
        <v>1.36</v>
      </c>
      <c r="CC8" s="17">
        <f>SUMIFS('Pasted Bridges'!$G:$G,'Pasted Bridges'!$B:$B,$C8,'Pasted Bridges'!$F:$F,CC$5)</f>
        <v>5.44</v>
      </c>
      <c r="CD8" s="17">
        <f>SUMIFS('Pasted Bridges'!$G:$G,'Pasted Bridges'!$B:$B,$C8,'Pasted Bridges'!$F:$F,CD$5)</f>
        <v>4.08</v>
      </c>
      <c r="CE8" s="17">
        <f>SUMIFS('Pasted Bridges'!$G:$G,'Pasted Bridges'!$B:$B,$C8,'Pasted Bridges'!$F:$F,CE$5)</f>
        <v>2.72</v>
      </c>
      <c r="CF8" s="17">
        <f>SUMIFS('Pasted Bridges'!$G:$G,'Pasted Bridges'!$B:$B,$C8,'Pasted Bridges'!$F:$F,CF$5)</f>
        <v>2.72</v>
      </c>
      <c r="CG8" s="17">
        <f>SUMIFS('Pasted Bridges'!$G:$G,'Pasted Bridges'!$B:$B,$C8,'Pasted Bridges'!$F:$F,CG$5)</f>
        <v>5.44</v>
      </c>
      <c r="CH8" s="17">
        <f>SUMIFS('Pasted Bridges'!$G:$G,'Pasted Bridges'!$B:$B,$C8,'Pasted Bridges'!$F:$F,CH$5)</f>
        <v>4.08</v>
      </c>
      <c r="CI8" s="17">
        <f>SUMIFS('Pasted Bridges'!$G:$G,'Pasted Bridges'!$B:$B,$C8,'Pasted Bridges'!$F:$F,CI$5)</f>
        <v>4.08</v>
      </c>
      <c r="CJ8" s="17">
        <f>SUMIFS('Pasted Bridges'!$G:$G,'Pasted Bridges'!$B:$B,$C8,'Pasted Bridges'!$F:$F,CJ$5)</f>
        <v>1.36</v>
      </c>
      <c r="CK8" s="17">
        <f>SUMIFS('Pasted Bridges'!$G:$G,'Pasted Bridges'!$B:$B,$C8,'Pasted Bridges'!$F:$F,CK$5)</f>
        <v>8.49</v>
      </c>
      <c r="CL8" s="17">
        <f>SUMIFS('Pasted Bridges'!$G:$G,'Pasted Bridges'!$B:$B,$C8,'Pasted Bridges'!$F:$F,CL$5)</f>
        <v>4.08</v>
      </c>
      <c r="CM8" s="17">
        <f>SUMIFS('Pasted Bridges'!$G:$G,'Pasted Bridges'!$B:$B,$C8,'Pasted Bridges'!$F:$F,CM$5)</f>
        <v>4.08</v>
      </c>
      <c r="CN8" s="17">
        <f>SUMIFS('Pasted Bridges'!$G:$G,'Pasted Bridges'!$B:$B,$C8,'Pasted Bridges'!$F:$F,CN$5)</f>
        <v>5.44</v>
      </c>
      <c r="CO8" s="17">
        <f>SUMIFS('Pasted Bridges'!$G:$G,'Pasted Bridges'!$B:$B,$C8,'Pasted Bridges'!$F:$F,CO$5)</f>
        <v>4.08</v>
      </c>
      <c r="CP8" s="17">
        <f>SUMIFS('Pasted Bridges'!$G:$G,'Pasted Bridges'!$B:$B,$C8,'Pasted Bridges'!$F:$F,CP$5)</f>
        <v>5.44</v>
      </c>
      <c r="CQ8" s="17">
        <f>SUMIFS('Pasted Bridges'!$G:$G,'Pasted Bridges'!$B:$B,$C8,'Pasted Bridges'!$F:$F,CQ$5)</f>
        <v>5.44</v>
      </c>
      <c r="CR8" s="17">
        <f>SUMIFS('Pasted Bridges'!$G:$G,'Pasted Bridges'!$B:$B,$C8,'Pasted Bridges'!$F:$F,CR$5)</f>
        <v>4.08</v>
      </c>
      <c r="CS8" s="17">
        <f>SUMIFS('Pasted Bridges'!$G:$G,'Pasted Bridges'!$B:$B,$C8,'Pasted Bridges'!$F:$F,CS$5)</f>
        <v>4.08</v>
      </c>
      <c r="CT8" s="17">
        <f>SUMIFS('Pasted Bridges'!$G:$G,'Pasted Bridges'!$B:$B,$C8,'Pasted Bridges'!$F:$F,CT$5)</f>
        <v>6.8000000000000007</v>
      </c>
      <c r="CU8" s="17">
        <f>SUMIFS('Pasted Bridges'!$G:$G,'Pasted Bridges'!$B:$B,$C8,'Pasted Bridges'!$F:$F,CU$5)</f>
        <v>5.44</v>
      </c>
      <c r="CV8" s="17">
        <f>SUMIFS('Pasted Bridges'!$G:$G,'Pasted Bridges'!$B:$B,$C8,'Pasted Bridges'!$F:$F,CV$5)</f>
        <v>3.1900000000000004</v>
      </c>
      <c r="CW8" s="17">
        <f>SUMIFS('Pasted Bridges'!$G:$G,'Pasted Bridges'!$B:$B,$C8,'Pasted Bridges'!$F:$F,CW$5)</f>
        <v>1.36</v>
      </c>
      <c r="CX8" s="17">
        <f>SUMIFS('Pasted Bridges'!$G:$G,'Pasted Bridges'!$B:$B,$C8,'Pasted Bridges'!$F:$F,CX$5)</f>
        <v>1.36</v>
      </c>
      <c r="CY8" s="17">
        <f>SUMIFS('Pasted Bridges'!$G:$G,'Pasted Bridges'!$B:$B,$C8,'Pasted Bridges'!$F:$F,CY$5)</f>
        <v>1.36</v>
      </c>
      <c r="CZ8" s="17">
        <f>SUMIFS('Pasted Bridges'!$G:$G,'Pasted Bridges'!$B:$B,$C8,'Pasted Bridges'!$F:$F,CZ$5)</f>
        <v>1.36</v>
      </c>
      <c r="DA8" s="17">
        <f>SUMIFS('Pasted Bridges'!$G:$G,'Pasted Bridges'!$B:$B,$C8,'Pasted Bridges'!$F:$F,DA$5)</f>
        <v>1.36</v>
      </c>
    </row>
    <row r="9" spans="1:105" s="1" customFormat="1" x14ac:dyDescent="0.25">
      <c r="A9" s="10"/>
      <c r="B9" s="39"/>
      <c r="C9" s="19" t="s">
        <v>0</v>
      </c>
      <c r="D9" s="19" t="s">
        <v>157</v>
      </c>
      <c r="E9" s="13" t="s">
        <v>199</v>
      </c>
      <c r="F9" s="2">
        <v>4</v>
      </c>
      <c r="G9" s="5">
        <v>0.1</v>
      </c>
      <c r="H9" s="2">
        <v>0.05</v>
      </c>
      <c r="I9" s="2">
        <v>0.05</v>
      </c>
      <c r="J9" s="3"/>
      <c r="K9" s="17">
        <f>SUMIFS('Pasted Bridges'!$G:$G,'Pasted Bridges'!$B:$B,$C9,'Pasted Bridges'!$F:$F,K$5)</f>
        <v>12.000000000000002</v>
      </c>
      <c r="L9" s="17">
        <f>SUMIFS('Pasted Bridges'!$G:$G,'Pasted Bridges'!$B:$B,$C9,'Pasted Bridges'!$F:$F,L$5)</f>
        <v>12.000000000000002</v>
      </c>
      <c r="M9" s="17">
        <f>SUMIFS('Pasted Bridges'!$G:$G,'Pasted Bridges'!$B:$B,$C9,'Pasted Bridges'!$F:$F,M$5)</f>
        <v>15.600000000000001</v>
      </c>
      <c r="N9" s="17">
        <f>SUMIFS('Pasted Bridges'!$G:$G,'Pasted Bridges'!$B:$B,$C9,'Pasted Bridges'!$F:$F,N$5)</f>
        <v>22.800000000000004</v>
      </c>
      <c r="O9" s="17">
        <f>SUMIFS('Pasted Bridges'!$G:$G,'Pasted Bridges'!$B:$B,$C9,'Pasted Bridges'!$F:$F,O$5)</f>
        <v>22.800000000000004</v>
      </c>
      <c r="P9" s="17">
        <f>SUMIFS('Pasted Bridges'!$G:$G,'Pasted Bridges'!$B:$B,$C9,'Pasted Bridges'!$F:$F,P$5)</f>
        <v>15.600000000000003</v>
      </c>
      <c r="Q9" s="17">
        <f>SUMIFS('Pasted Bridges'!$G:$G,'Pasted Bridges'!$B:$B,$C9,'Pasted Bridges'!$F:$F,Q$5)</f>
        <v>15.600000000000001</v>
      </c>
      <c r="R9" s="17">
        <f>SUMIFS('Pasted Bridges'!$G:$G,'Pasted Bridges'!$B:$B,$C9,'Pasted Bridges'!$F:$F,R$5)</f>
        <v>8.4</v>
      </c>
      <c r="S9" s="17">
        <f>SUMIFS('Pasted Bridges'!$G:$G,'Pasted Bridges'!$B:$B,$C9,'Pasted Bridges'!$F:$F,S$5)</f>
        <v>8.4</v>
      </c>
      <c r="T9" s="17">
        <f>SUMIFS('Pasted Bridges'!$G:$G,'Pasted Bridges'!$B:$B,$C9,'Pasted Bridges'!$F:$F,T$5)</f>
        <v>15.600000000000001</v>
      </c>
      <c r="U9" s="17">
        <f>SUMIFS('Pasted Bridges'!$G:$G,'Pasted Bridges'!$B:$B,$C9,'Pasted Bridges'!$F:$F,U$5)</f>
        <v>22.800000000000004</v>
      </c>
      <c r="V9" s="17">
        <f>SUMIFS('Pasted Bridges'!$G:$G,'Pasted Bridges'!$B:$B,$C9,'Pasted Bridges'!$F:$F,V$5)</f>
        <v>22.800000000000004</v>
      </c>
      <c r="W9" s="17">
        <f>SUMIFS('Pasted Bridges'!$G:$G,'Pasted Bridges'!$B:$B,$C9,'Pasted Bridges'!$F:$F,W$5)</f>
        <v>15.600000000000001</v>
      </c>
      <c r="X9" s="17">
        <f>SUMIFS('Pasted Bridges'!$G:$G,'Pasted Bridges'!$B:$B,$C9,'Pasted Bridges'!$F:$F,X$5)</f>
        <v>15.600000000000003</v>
      </c>
      <c r="Y9" s="17">
        <f>SUMIFS('Pasted Bridges'!$G:$G,'Pasted Bridges'!$B:$B,$C9,'Pasted Bridges'!$F:$F,Y$5)</f>
        <v>15.600000000000001</v>
      </c>
      <c r="Z9" s="17">
        <f>SUMIFS('Pasted Bridges'!$G:$G,'Pasted Bridges'!$B:$B,$C9,'Pasted Bridges'!$F:$F,Z$5)</f>
        <v>12.000000000000002</v>
      </c>
      <c r="AA9" s="17">
        <f>SUMIFS('Pasted Bridges'!$G:$G,'Pasted Bridges'!$B:$B,$C9,'Pasted Bridges'!$F:$F,AA$5)</f>
        <v>15.600000000000001</v>
      </c>
      <c r="AB9" s="17">
        <f>SUMIFS('Pasted Bridges'!$G:$G,'Pasted Bridges'!$B:$B,$C9,'Pasted Bridges'!$F:$F,AB$5)</f>
        <v>10.940000000000001</v>
      </c>
      <c r="AC9" s="17">
        <f>SUMIFS('Pasted Bridges'!$G:$G,'Pasted Bridges'!$B:$B,$C9,'Pasted Bridges'!$F:$F,AC$5)</f>
        <v>10.94</v>
      </c>
      <c r="AD9" s="17">
        <f>SUMIFS('Pasted Bridges'!$G:$G,'Pasted Bridges'!$B:$B,$C9,'Pasted Bridges'!$F:$F,AD$5)</f>
        <v>22.800000000000004</v>
      </c>
      <c r="AE9" s="17">
        <f>SUMIFS('Pasted Bridges'!$G:$G,'Pasted Bridges'!$B:$B,$C9,'Pasted Bridges'!$F:$F,AE$5)</f>
        <v>15.600000000000001</v>
      </c>
      <c r="AF9" s="17">
        <f>SUMIFS('Pasted Bridges'!$G:$G,'Pasted Bridges'!$B:$B,$C9,'Pasted Bridges'!$F:$F,AF$5)</f>
        <v>12.000000000000002</v>
      </c>
      <c r="AG9" s="17">
        <f>SUMIFS('Pasted Bridges'!$G:$G,'Pasted Bridges'!$B:$B,$C9,'Pasted Bridges'!$F:$F,AG$5)</f>
        <v>31.480000000000004</v>
      </c>
      <c r="AH9" s="17">
        <f>SUMIFS('Pasted Bridges'!$G:$G,'Pasted Bridges'!$B:$B,$C9,'Pasted Bridges'!$F:$F,AH$5)</f>
        <v>12</v>
      </c>
      <c r="AI9" s="17">
        <f>SUMIFS('Pasted Bridges'!$G:$G,'Pasted Bridges'!$B:$B,$C9,'Pasted Bridges'!$F:$F,AI$5)</f>
        <v>15.600000000000003</v>
      </c>
      <c r="AJ9" s="17">
        <f>SUMIFS('Pasted Bridges'!$G:$G,'Pasted Bridges'!$B:$B,$C9,'Pasted Bridges'!$F:$F,AJ$5)</f>
        <v>22.800000000000004</v>
      </c>
      <c r="AK9" s="17">
        <f>SUMIFS('Pasted Bridges'!$G:$G,'Pasted Bridges'!$B:$B,$C9,'Pasted Bridges'!$F:$F,AK$5)</f>
        <v>31.480000000000004</v>
      </c>
      <c r="AL9" s="17">
        <f>SUMIFS('Pasted Bridges'!$G:$G,'Pasted Bridges'!$B:$B,$C9,'Pasted Bridges'!$F:$F,AL$5)</f>
        <v>22.800000000000004</v>
      </c>
      <c r="AM9" s="17">
        <f>SUMIFS('Pasted Bridges'!$G:$G,'Pasted Bridges'!$B:$B,$C9,'Pasted Bridges'!$F:$F,AM$5)</f>
        <v>15.600000000000001</v>
      </c>
      <c r="AN9" s="17">
        <f>SUMIFS('Pasted Bridges'!$G:$G,'Pasted Bridges'!$B:$B,$C9,'Pasted Bridges'!$F:$F,AN$5)</f>
        <v>15.600000000000003</v>
      </c>
      <c r="AO9" s="17">
        <f>SUMIFS('Pasted Bridges'!$G:$G,'Pasted Bridges'!$B:$B,$C9,'Pasted Bridges'!$F:$F,AO$5)</f>
        <v>22.800000000000004</v>
      </c>
      <c r="AP9" s="17">
        <f>SUMIFS('Pasted Bridges'!$G:$G,'Pasted Bridges'!$B:$B,$C9,'Pasted Bridges'!$F:$F,AP$5)</f>
        <v>8.4</v>
      </c>
      <c r="AQ9" s="17">
        <f>SUMIFS('Pasted Bridges'!$G:$G,'Pasted Bridges'!$B:$B,$C9,'Pasted Bridges'!$F:$F,AQ$5)</f>
        <v>19.200000000000003</v>
      </c>
      <c r="AR9" s="17">
        <f>SUMIFS('Pasted Bridges'!$G:$G,'Pasted Bridges'!$B:$B,$C9,'Pasted Bridges'!$F:$F,AR$5)</f>
        <v>8.4</v>
      </c>
      <c r="AS9" s="17">
        <f>SUMIFS('Pasted Bridges'!$G:$G,'Pasted Bridges'!$B:$B,$C9,'Pasted Bridges'!$F:$F,AS$5)</f>
        <v>19.200000000000003</v>
      </c>
      <c r="AT9" s="17">
        <f>SUMIFS('Pasted Bridges'!$G:$G,'Pasted Bridges'!$B:$B,$C9,'Pasted Bridges'!$F:$F,AT$5)</f>
        <v>15.600000000000003</v>
      </c>
      <c r="AU9" s="17">
        <f>SUMIFS('Pasted Bridges'!$G:$G,'Pasted Bridges'!$B:$B,$C9,'Pasted Bridges'!$F:$F,AU$5)</f>
        <v>8.4</v>
      </c>
      <c r="AV9" s="17">
        <f>SUMIFS('Pasted Bridges'!$G:$G,'Pasted Bridges'!$B:$B,$C9,'Pasted Bridges'!$F:$F,AV$5)</f>
        <v>8.4</v>
      </c>
      <c r="AW9" s="17">
        <f>SUMIFS('Pasted Bridges'!$G:$G,'Pasted Bridges'!$B:$B,$C9,'Pasted Bridges'!$F:$F,AW$5)</f>
        <v>19.200000000000003</v>
      </c>
      <c r="AX9" s="17">
        <f>SUMIFS('Pasted Bridges'!$G:$G,'Pasted Bridges'!$B:$B,$C9,'Pasted Bridges'!$F:$F,AX$5)</f>
        <v>15.600000000000003</v>
      </c>
      <c r="AY9" s="17">
        <f>SUMIFS('Pasted Bridges'!$G:$G,'Pasted Bridges'!$B:$B,$C9,'Pasted Bridges'!$F:$F,AY$5)</f>
        <v>15.600000000000003</v>
      </c>
      <c r="AZ9" s="17">
        <f>SUMIFS('Pasted Bridges'!$G:$G,'Pasted Bridges'!$B:$B,$C9,'Pasted Bridges'!$F:$F,AZ$5)</f>
        <v>8.4</v>
      </c>
      <c r="BA9" s="17">
        <f>SUMIFS('Pasted Bridges'!$G:$G,'Pasted Bridges'!$B:$B,$C9,'Pasted Bridges'!$F:$F,BA$5)</f>
        <v>19.46</v>
      </c>
      <c r="BB9" s="17">
        <f>SUMIFS('Pasted Bridges'!$G:$G,'Pasted Bridges'!$B:$B,$C9,'Pasted Bridges'!$F:$F,BB$5)</f>
        <v>19.66</v>
      </c>
      <c r="BC9" s="17">
        <f>SUMIFS('Pasted Bridges'!$G:$G,'Pasted Bridges'!$B:$B,$C9,'Pasted Bridges'!$F:$F,BC$5)</f>
        <v>8.5</v>
      </c>
      <c r="BD9" s="17">
        <f>SUMIFS('Pasted Bridges'!$G:$G,'Pasted Bridges'!$B:$B,$C9,'Pasted Bridges'!$F:$F,BD$5)</f>
        <v>8.5</v>
      </c>
      <c r="BE9" s="17">
        <f>SUMIFS('Pasted Bridges'!$G:$G,'Pasted Bridges'!$B:$B,$C9,'Pasted Bridges'!$F:$F,BE$5)</f>
        <v>12.219999999999999</v>
      </c>
      <c r="BF9" s="17">
        <f>SUMIFS('Pasted Bridges'!$G:$G,'Pasted Bridges'!$B:$B,$C9,'Pasted Bridges'!$F:$F,BF$5)</f>
        <v>12.02</v>
      </c>
      <c r="BG9" s="17">
        <f>SUMIFS('Pasted Bridges'!$G:$G,'Pasted Bridges'!$B:$B,$C9,'Pasted Bridges'!$F:$F,BG$5)</f>
        <v>19.46</v>
      </c>
      <c r="BH9" s="17">
        <f>SUMIFS('Pasted Bridges'!$G:$G,'Pasted Bridges'!$B:$B,$C9,'Pasted Bridges'!$F:$F,BH$5)</f>
        <v>19.66</v>
      </c>
      <c r="BI9" s="17">
        <f>SUMIFS('Pasted Bridges'!$G:$G,'Pasted Bridges'!$B:$B,$C9,'Pasted Bridges'!$F:$F,BI$5)</f>
        <v>8.5</v>
      </c>
      <c r="BJ9" s="17">
        <f>SUMIFS('Pasted Bridges'!$G:$G,'Pasted Bridges'!$B:$B,$C9,'Pasted Bridges'!$F:$F,BJ$5)</f>
        <v>8.5</v>
      </c>
      <c r="BK9" s="17">
        <f>SUMIFS('Pasted Bridges'!$G:$G,'Pasted Bridges'!$B:$B,$C9,'Pasted Bridges'!$F:$F,BK$5)</f>
        <v>19.259999999999998</v>
      </c>
      <c r="BL9" s="17">
        <f>SUMIFS('Pasted Bridges'!$G:$G,'Pasted Bridges'!$B:$B,$C9,'Pasted Bridges'!$F:$F,BL$5)</f>
        <v>19.060000000000002</v>
      </c>
      <c r="BM9" s="17">
        <f>SUMIFS('Pasted Bridges'!$G:$G,'Pasted Bridges'!$B:$B,$C9,'Pasted Bridges'!$F:$F,BM$5)</f>
        <v>18.860000000000003</v>
      </c>
      <c r="BN9" s="17">
        <f>SUMIFS('Pasted Bridges'!$G:$G,'Pasted Bridges'!$B:$B,$C9,'Pasted Bridges'!$F:$F,BN$5)</f>
        <v>18.860000000000003</v>
      </c>
      <c r="BO9" s="17">
        <f>SUMIFS('Pasted Bridges'!$G:$G,'Pasted Bridges'!$B:$B,$C9,'Pasted Bridges'!$F:$F,BO$5)</f>
        <v>18.860000000000003</v>
      </c>
      <c r="BP9" s="17">
        <f>SUMIFS('Pasted Bridges'!$G:$G,'Pasted Bridges'!$B:$B,$C9,'Pasted Bridges'!$F:$F,BP$5)</f>
        <v>18.860000000000003</v>
      </c>
      <c r="BQ9" s="17">
        <f>SUMIFS('Pasted Bridges'!$G:$G,'Pasted Bridges'!$B:$B,$C9,'Pasted Bridges'!$F:$F,BQ$5)</f>
        <v>22.980000000000004</v>
      </c>
      <c r="BR9" s="17">
        <f>SUMIFS('Pasted Bridges'!$G:$G,'Pasted Bridges'!$B:$B,$C9,'Pasted Bridges'!$F:$F,BR$5)</f>
        <v>19.66</v>
      </c>
      <c r="BS9" s="17">
        <f>SUMIFS('Pasted Bridges'!$G:$G,'Pasted Bridges'!$B:$B,$C9,'Pasted Bridges'!$F:$F,BS$5)</f>
        <v>8.5</v>
      </c>
      <c r="BT9" s="17">
        <f>SUMIFS('Pasted Bridges'!$G:$G,'Pasted Bridges'!$B:$B,$C9,'Pasted Bridges'!$F:$F,BT$5)</f>
        <v>8.5</v>
      </c>
      <c r="BU9" s="17">
        <f>SUMIFS('Pasted Bridges'!$G:$G,'Pasted Bridges'!$B:$B,$C9,'Pasted Bridges'!$F:$F,BU$5)</f>
        <v>19.259999999999998</v>
      </c>
      <c r="BV9" s="17">
        <f>SUMIFS('Pasted Bridges'!$G:$G,'Pasted Bridges'!$B:$B,$C9,'Pasted Bridges'!$F:$F,BV$5)</f>
        <v>19.060000000000002</v>
      </c>
      <c r="BW9" s="17">
        <f>SUMIFS('Pasted Bridges'!$G:$G,'Pasted Bridges'!$B:$B,$C9,'Pasted Bridges'!$F:$F,BW$5)</f>
        <v>8.4</v>
      </c>
      <c r="BX9" s="17">
        <f>SUMIFS('Pasted Bridges'!$G:$G,'Pasted Bridges'!$B:$B,$C9,'Pasted Bridges'!$F:$F,BX$5)</f>
        <v>19.200000000000003</v>
      </c>
      <c r="BY9" s="17">
        <f>SUMIFS('Pasted Bridges'!$G:$G,'Pasted Bridges'!$B:$B,$C9,'Pasted Bridges'!$F:$F,BY$5)</f>
        <v>15.600000000000003</v>
      </c>
      <c r="BZ9" s="17">
        <f>SUMIFS('Pasted Bridges'!$G:$G,'Pasted Bridges'!$B:$B,$C9,'Pasted Bridges'!$F:$F,BZ$5)</f>
        <v>12.000000000000002</v>
      </c>
      <c r="CA9" s="17">
        <f>SUMIFS('Pasted Bridges'!$G:$G,'Pasted Bridges'!$B:$B,$C9,'Pasted Bridges'!$F:$F,CA$5)</f>
        <v>12.000000000000002</v>
      </c>
      <c r="CB9" s="17">
        <f>SUMIFS('Pasted Bridges'!$G:$G,'Pasted Bridges'!$B:$B,$C9,'Pasted Bridges'!$F:$F,CB$5)</f>
        <v>8.4</v>
      </c>
      <c r="CC9" s="17">
        <f>SUMIFS('Pasted Bridges'!$G:$G,'Pasted Bridges'!$B:$B,$C9,'Pasted Bridges'!$F:$F,CC$5)</f>
        <v>19.200000000000003</v>
      </c>
      <c r="CD9" s="17">
        <f>SUMIFS('Pasted Bridges'!$G:$G,'Pasted Bridges'!$B:$B,$C9,'Pasted Bridges'!$F:$F,CD$5)</f>
        <v>15.600000000000003</v>
      </c>
      <c r="CE9" s="17">
        <f>SUMIFS('Pasted Bridges'!$G:$G,'Pasted Bridges'!$B:$B,$C9,'Pasted Bridges'!$F:$F,CE$5)</f>
        <v>12.000000000000002</v>
      </c>
      <c r="CF9" s="17">
        <f>SUMIFS('Pasted Bridges'!$G:$G,'Pasted Bridges'!$B:$B,$C9,'Pasted Bridges'!$F:$F,CF$5)</f>
        <v>12.000000000000002</v>
      </c>
      <c r="CG9" s="17">
        <f>SUMIFS('Pasted Bridges'!$G:$G,'Pasted Bridges'!$B:$B,$C9,'Pasted Bridges'!$F:$F,CG$5)</f>
        <v>19.200000000000003</v>
      </c>
      <c r="CH9" s="17">
        <f>SUMIFS('Pasted Bridges'!$G:$G,'Pasted Bridges'!$B:$B,$C9,'Pasted Bridges'!$F:$F,CH$5)</f>
        <v>15.600000000000003</v>
      </c>
      <c r="CI9" s="17">
        <f>SUMIFS('Pasted Bridges'!$G:$G,'Pasted Bridges'!$B:$B,$C9,'Pasted Bridges'!$F:$F,CI$5)</f>
        <v>15.600000000000003</v>
      </c>
      <c r="CJ9" s="17">
        <f>SUMIFS('Pasted Bridges'!$G:$G,'Pasted Bridges'!$B:$B,$C9,'Pasted Bridges'!$F:$F,CJ$5)</f>
        <v>8.4</v>
      </c>
      <c r="CK9" s="17">
        <f>SUMIFS('Pasted Bridges'!$G:$G,'Pasted Bridges'!$B:$B,$C9,'Pasted Bridges'!$F:$F,CK$5)</f>
        <v>19.200000000000003</v>
      </c>
      <c r="CL9" s="17">
        <f>SUMIFS('Pasted Bridges'!$G:$G,'Pasted Bridges'!$B:$B,$C9,'Pasted Bridges'!$F:$F,CL$5)</f>
        <v>15.600000000000001</v>
      </c>
      <c r="CM9" s="17">
        <f>SUMIFS('Pasted Bridges'!$G:$G,'Pasted Bridges'!$B:$B,$C9,'Pasted Bridges'!$F:$F,CM$5)</f>
        <v>15.600000000000003</v>
      </c>
      <c r="CN9" s="17">
        <f>SUMIFS('Pasted Bridges'!$G:$G,'Pasted Bridges'!$B:$B,$C9,'Pasted Bridges'!$F:$F,CN$5)</f>
        <v>19.200000000000003</v>
      </c>
      <c r="CO9" s="17">
        <f>SUMIFS('Pasted Bridges'!$G:$G,'Pasted Bridges'!$B:$B,$C9,'Pasted Bridges'!$F:$F,CO$5)</f>
        <v>15.600000000000001</v>
      </c>
      <c r="CP9" s="17">
        <f>SUMIFS('Pasted Bridges'!$G:$G,'Pasted Bridges'!$B:$B,$C9,'Pasted Bridges'!$F:$F,CP$5)</f>
        <v>19.200000000000003</v>
      </c>
      <c r="CQ9" s="17">
        <f>SUMIFS('Pasted Bridges'!$G:$G,'Pasted Bridges'!$B:$B,$C9,'Pasted Bridges'!$F:$F,CQ$5)</f>
        <v>19.200000000000003</v>
      </c>
      <c r="CR9" s="17">
        <f>SUMIFS('Pasted Bridges'!$G:$G,'Pasted Bridges'!$B:$B,$C9,'Pasted Bridges'!$F:$F,CR$5)</f>
        <v>15.600000000000001</v>
      </c>
      <c r="CS9" s="17">
        <f>SUMIFS('Pasted Bridges'!$G:$G,'Pasted Bridges'!$B:$B,$C9,'Pasted Bridges'!$F:$F,CS$5)</f>
        <v>15.600000000000003</v>
      </c>
      <c r="CT9" s="17">
        <f>SUMIFS('Pasted Bridges'!$G:$G,'Pasted Bridges'!$B:$B,$C9,'Pasted Bridges'!$F:$F,CT$5)</f>
        <v>22.800000000000004</v>
      </c>
      <c r="CU9" s="17">
        <f>SUMIFS('Pasted Bridges'!$G:$G,'Pasted Bridges'!$B:$B,$C9,'Pasted Bridges'!$F:$F,CU$5)</f>
        <v>19.200000000000003</v>
      </c>
      <c r="CV9" s="17">
        <f>SUMIFS('Pasted Bridges'!$G:$G,'Pasted Bridges'!$B:$B,$C9,'Pasted Bridges'!$F:$F,CV$5)</f>
        <v>18</v>
      </c>
      <c r="CW9" s="17">
        <f>SUMIFS('Pasted Bridges'!$G:$G,'Pasted Bridges'!$B:$B,$C9,'Pasted Bridges'!$F:$F,CW$5)</f>
        <v>27.599999999999998</v>
      </c>
      <c r="CX9" s="17">
        <f>SUMIFS('Pasted Bridges'!$G:$G,'Pasted Bridges'!$B:$B,$C9,'Pasted Bridges'!$F:$F,CX$5)</f>
        <v>22.8</v>
      </c>
      <c r="CY9" s="17">
        <f>SUMIFS('Pasted Bridges'!$G:$G,'Pasted Bridges'!$B:$B,$C9,'Pasted Bridges'!$F:$F,CY$5)</f>
        <v>18</v>
      </c>
      <c r="CZ9" s="17">
        <f>SUMIFS('Pasted Bridges'!$G:$G,'Pasted Bridges'!$B:$B,$C9,'Pasted Bridges'!$F:$F,CZ$5)</f>
        <v>27.599999999999994</v>
      </c>
      <c r="DA9" s="17">
        <f>SUMIFS('Pasted Bridges'!$G:$G,'Pasted Bridges'!$B:$B,$C9,'Pasted Bridges'!$F:$F,DA$5)</f>
        <v>22.799999999999997</v>
      </c>
    </row>
    <row r="10" spans="1:105" s="1" customFormat="1" x14ac:dyDescent="0.25">
      <c r="A10" s="10"/>
      <c r="B10" s="40"/>
      <c r="C10" s="19" t="s">
        <v>2</v>
      </c>
      <c r="D10" s="19" t="s">
        <v>158</v>
      </c>
      <c r="E10" s="13" t="s">
        <v>199</v>
      </c>
      <c r="F10" s="2">
        <v>5</v>
      </c>
      <c r="G10" s="5">
        <v>0.32</v>
      </c>
      <c r="H10" s="2">
        <v>0.16</v>
      </c>
      <c r="I10" s="2">
        <v>0.16</v>
      </c>
      <c r="J10" s="3"/>
      <c r="K10" s="17">
        <f>SUMIFS('Pasted Bridges'!$G:$G,'Pasted Bridges'!$B:$B,$C10,'Pasted Bridges'!$F:$F,K$5)</f>
        <v>0</v>
      </c>
      <c r="L10" s="17">
        <f>SUMIFS('Pasted Bridges'!$G:$G,'Pasted Bridges'!$B:$B,$C10,'Pasted Bridges'!$F:$F,L$5)</f>
        <v>0</v>
      </c>
      <c r="M10" s="17">
        <f>SUMIFS('Pasted Bridges'!$G:$G,'Pasted Bridges'!$B:$B,$C10,'Pasted Bridges'!$F:$F,M$5)</f>
        <v>0</v>
      </c>
      <c r="N10" s="17">
        <f>SUMIFS('Pasted Bridges'!$G:$G,'Pasted Bridges'!$B:$B,$C10,'Pasted Bridges'!$F:$F,N$5)</f>
        <v>0</v>
      </c>
      <c r="O10" s="17">
        <f>SUMIFS('Pasted Bridges'!$G:$G,'Pasted Bridges'!$B:$B,$C10,'Pasted Bridges'!$F:$F,O$5)</f>
        <v>0</v>
      </c>
      <c r="P10" s="17">
        <f>SUMIFS('Pasted Bridges'!$G:$G,'Pasted Bridges'!$B:$B,$C10,'Pasted Bridges'!$F:$F,P$5)</f>
        <v>0</v>
      </c>
      <c r="Q10" s="17">
        <f>SUMIFS('Pasted Bridges'!$G:$G,'Pasted Bridges'!$B:$B,$C10,'Pasted Bridges'!$F:$F,Q$5)</f>
        <v>0</v>
      </c>
      <c r="R10" s="17">
        <f>SUMIFS('Pasted Bridges'!$G:$G,'Pasted Bridges'!$B:$B,$C10,'Pasted Bridges'!$F:$F,R$5)</f>
        <v>0</v>
      </c>
      <c r="S10" s="17">
        <f>SUMIFS('Pasted Bridges'!$G:$G,'Pasted Bridges'!$B:$B,$C10,'Pasted Bridges'!$F:$F,S$5)</f>
        <v>0</v>
      </c>
      <c r="T10" s="17">
        <f>SUMIFS('Pasted Bridges'!$G:$G,'Pasted Bridges'!$B:$B,$C10,'Pasted Bridges'!$F:$F,T$5)</f>
        <v>0</v>
      </c>
      <c r="U10" s="17">
        <f>SUMIFS('Pasted Bridges'!$G:$G,'Pasted Bridges'!$B:$B,$C10,'Pasted Bridges'!$F:$F,U$5)</f>
        <v>0</v>
      </c>
      <c r="V10" s="17">
        <f>SUMIFS('Pasted Bridges'!$G:$G,'Pasted Bridges'!$B:$B,$C10,'Pasted Bridges'!$F:$F,V$5)</f>
        <v>0</v>
      </c>
      <c r="W10" s="17">
        <f>SUMIFS('Pasted Bridges'!$G:$G,'Pasted Bridges'!$B:$B,$C10,'Pasted Bridges'!$F:$F,W$5)</f>
        <v>0</v>
      </c>
      <c r="X10" s="17">
        <f>SUMIFS('Pasted Bridges'!$G:$G,'Pasted Bridges'!$B:$B,$C10,'Pasted Bridges'!$F:$F,X$5)</f>
        <v>0</v>
      </c>
      <c r="Y10" s="17">
        <f>SUMIFS('Pasted Bridges'!$G:$G,'Pasted Bridges'!$B:$B,$C10,'Pasted Bridges'!$F:$F,Y$5)</f>
        <v>0</v>
      </c>
      <c r="Z10" s="17">
        <f>SUMIFS('Pasted Bridges'!$G:$G,'Pasted Bridges'!$B:$B,$C10,'Pasted Bridges'!$F:$F,Z$5)</f>
        <v>0</v>
      </c>
      <c r="AA10" s="17">
        <f>SUMIFS('Pasted Bridges'!$G:$G,'Pasted Bridges'!$B:$B,$C10,'Pasted Bridges'!$F:$F,AA$5)</f>
        <v>0</v>
      </c>
      <c r="AB10" s="17">
        <f>SUMIFS('Pasted Bridges'!$G:$G,'Pasted Bridges'!$B:$B,$C10,'Pasted Bridges'!$F:$F,AB$5)</f>
        <v>0</v>
      </c>
      <c r="AC10" s="17">
        <f>SUMIFS('Pasted Bridges'!$G:$G,'Pasted Bridges'!$B:$B,$C10,'Pasted Bridges'!$F:$F,AC$5)</f>
        <v>0</v>
      </c>
      <c r="AD10" s="17">
        <f>SUMIFS('Pasted Bridges'!$G:$G,'Pasted Bridges'!$B:$B,$C10,'Pasted Bridges'!$F:$F,AD$5)</f>
        <v>0</v>
      </c>
      <c r="AE10" s="17">
        <f>SUMIFS('Pasted Bridges'!$G:$G,'Pasted Bridges'!$B:$B,$C10,'Pasted Bridges'!$F:$F,AE$5)</f>
        <v>0</v>
      </c>
      <c r="AF10" s="17">
        <f>SUMIFS('Pasted Bridges'!$G:$G,'Pasted Bridges'!$B:$B,$C10,'Pasted Bridges'!$F:$F,AF$5)</f>
        <v>0</v>
      </c>
      <c r="AG10" s="17">
        <f>SUMIFS('Pasted Bridges'!$G:$G,'Pasted Bridges'!$B:$B,$C10,'Pasted Bridges'!$F:$F,AG$5)</f>
        <v>0</v>
      </c>
      <c r="AH10" s="17">
        <f>SUMIFS('Pasted Bridges'!$G:$G,'Pasted Bridges'!$B:$B,$C10,'Pasted Bridges'!$F:$F,AH$5)</f>
        <v>0</v>
      </c>
      <c r="AI10" s="17">
        <f>SUMIFS('Pasted Bridges'!$G:$G,'Pasted Bridges'!$B:$B,$C10,'Pasted Bridges'!$F:$F,AI$5)</f>
        <v>0</v>
      </c>
      <c r="AJ10" s="17">
        <f>SUMIFS('Pasted Bridges'!$G:$G,'Pasted Bridges'!$B:$B,$C10,'Pasted Bridges'!$F:$F,AJ$5)</f>
        <v>0</v>
      </c>
      <c r="AK10" s="17">
        <f>SUMIFS('Pasted Bridges'!$G:$G,'Pasted Bridges'!$B:$B,$C10,'Pasted Bridges'!$F:$F,AK$5)</f>
        <v>0</v>
      </c>
      <c r="AL10" s="17">
        <f>SUMIFS('Pasted Bridges'!$G:$G,'Pasted Bridges'!$B:$B,$C10,'Pasted Bridges'!$F:$F,AL$5)</f>
        <v>0</v>
      </c>
      <c r="AM10" s="17">
        <f>SUMIFS('Pasted Bridges'!$G:$G,'Pasted Bridges'!$B:$B,$C10,'Pasted Bridges'!$F:$F,AM$5)</f>
        <v>0</v>
      </c>
      <c r="AN10" s="17">
        <f>SUMIFS('Pasted Bridges'!$G:$G,'Pasted Bridges'!$B:$B,$C10,'Pasted Bridges'!$F:$F,AN$5)</f>
        <v>0</v>
      </c>
      <c r="AO10" s="17">
        <f>SUMIFS('Pasted Bridges'!$G:$G,'Pasted Bridges'!$B:$B,$C10,'Pasted Bridges'!$F:$F,AO$5)</f>
        <v>0</v>
      </c>
      <c r="AP10" s="17">
        <f>SUMIFS('Pasted Bridges'!$G:$G,'Pasted Bridges'!$B:$B,$C10,'Pasted Bridges'!$F:$F,AP$5)</f>
        <v>0</v>
      </c>
      <c r="AQ10" s="17">
        <f>SUMIFS('Pasted Bridges'!$G:$G,'Pasted Bridges'!$B:$B,$C10,'Pasted Bridges'!$F:$F,AQ$5)</f>
        <v>0</v>
      </c>
      <c r="AR10" s="17">
        <f>SUMIFS('Pasted Bridges'!$G:$G,'Pasted Bridges'!$B:$B,$C10,'Pasted Bridges'!$F:$F,AR$5)</f>
        <v>0</v>
      </c>
      <c r="AS10" s="17">
        <f>SUMIFS('Pasted Bridges'!$G:$G,'Pasted Bridges'!$B:$B,$C10,'Pasted Bridges'!$F:$F,AS$5)</f>
        <v>0</v>
      </c>
      <c r="AT10" s="17">
        <f>SUMIFS('Pasted Bridges'!$G:$G,'Pasted Bridges'!$B:$B,$C10,'Pasted Bridges'!$F:$F,AT$5)</f>
        <v>0</v>
      </c>
      <c r="AU10" s="17">
        <f>SUMIFS('Pasted Bridges'!$G:$G,'Pasted Bridges'!$B:$B,$C10,'Pasted Bridges'!$F:$F,AU$5)</f>
        <v>0</v>
      </c>
      <c r="AV10" s="17">
        <f>SUMIFS('Pasted Bridges'!$G:$G,'Pasted Bridges'!$B:$B,$C10,'Pasted Bridges'!$F:$F,AV$5)</f>
        <v>0</v>
      </c>
      <c r="AW10" s="17">
        <f>SUMIFS('Pasted Bridges'!$G:$G,'Pasted Bridges'!$B:$B,$C10,'Pasted Bridges'!$F:$F,AW$5)</f>
        <v>0</v>
      </c>
      <c r="AX10" s="17">
        <f>SUMIFS('Pasted Bridges'!$G:$G,'Pasted Bridges'!$B:$B,$C10,'Pasted Bridges'!$F:$F,AX$5)</f>
        <v>0</v>
      </c>
      <c r="AY10" s="17">
        <f>SUMIFS('Pasted Bridges'!$G:$G,'Pasted Bridges'!$B:$B,$C10,'Pasted Bridges'!$F:$F,AY$5)</f>
        <v>0</v>
      </c>
      <c r="AZ10" s="17">
        <f>SUMIFS('Pasted Bridges'!$G:$G,'Pasted Bridges'!$B:$B,$C10,'Pasted Bridges'!$F:$F,AZ$5)</f>
        <v>0</v>
      </c>
      <c r="BA10" s="17">
        <f>SUMIFS('Pasted Bridges'!$G:$G,'Pasted Bridges'!$B:$B,$C10,'Pasted Bridges'!$F:$F,BA$5)</f>
        <v>0</v>
      </c>
      <c r="BB10" s="17">
        <f>SUMIFS('Pasted Bridges'!$G:$G,'Pasted Bridges'!$B:$B,$C10,'Pasted Bridges'!$F:$F,BB$5)</f>
        <v>0</v>
      </c>
      <c r="BC10" s="17">
        <f>SUMIFS('Pasted Bridges'!$G:$G,'Pasted Bridges'!$B:$B,$C10,'Pasted Bridges'!$F:$F,BC$5)</f>
        <v>0</v>
      </c>
      <c r="BD10" s="17">
        <f>SUMIFS('Pasted Bridges'!$G:$G,'Pasted Bridges'!$B:$B,$C10,'Pasted Bridges'!$F:$F,BD$5)</f>
        <v>0</v>
      </c>
      <c r="BE10" s="17">
        <f>SUMIFS('Pasted Bridges'!$G:$G,'Pasted Bridges'!$B:$B,$C10,'Pasted Bridges'!$F:$F,BE$5)</f>
        <v>0</v>
      </c>
      <c r="BF10" s="17">
        <f>SUMIFS('Pasted Bridges'!$G:$G,'Pasted Bridges'!$B:$B,$C10,'Pasted Bridges'!$F:$F,BF$5)</f>
        <v>0</v>
      </c>
      <c r="BG10" s="17">
        <f>SUMIFS('Pasted Bridges'!$G:$G,'Pasted Bridges'!$B:$B,$C10,'Pasted Bridges'!$F:$F,BG$5)</f>
        <v>0</v>
      </c>
      <c r="BH10" s="17">
        <f>SUMIFS('Pasted Bridges'!$G:$G,'Pasted Bridges'!$B:$B,$C10,'Pasted Bridges'!$F:$F,BH$5)</f>
        <v>0</v>
      </c>
      <c r="BI10" s="17">
        <f>SUMIFS('Pasted Bridges'!$G:$G,'Pasted Bridges'!$B:$B,$C10,'Pasted Bridges'!$F:$F,BI$5)</f>
        <v>0</v>
      </c>
      <c r="BJ10" s="17">
        <f>SUMIFS('Pasted Bridges'!$G:$G,'Pasted Bridges'!$B:$B,$C10,'Pasted Bridges'!$F:$F,BJ$5)</f>
        <v>0</v>
      </c>
      <c r="BK10" s="17">
        <f>SUMIFS('Pasted Bridges'!$G:$G,'Pasted Bridges'!$B:$B,$C10,'Pasted Bridges'!$F:$F,BK$5)</f>
        <v>0</v>
      </c>
      <c r="BL10" s="17">
        <f>SUMIFS('Pasted Bridges'!$G:$G,'Pasted Bridges'!$B:$B,$C10,'Pasted Bridges'!$F:$F,BL$5)</f>
        <v>0</v>
      </c>
      <c r="BM10" s="17">
        <f>SUMIFS('Pasted Bridges'!$G:$G,'Pasted Bridges'!$B:$B,$C10,'Pasted Bridges'!$F:$F,BM$5)</f>
        <v>0</v>
      </c>
      <c r="BN10" s="17">
        <f>SUMIFS('Pasted Bridges'!$G:$G,'Pasted Bridges'!$B:$B,$C10,'Pasted Bridges'!$F:$F,BN$5)</f>
        <v>0</v>
      </c>
      <c r="BO10" s="17">
        <f>SUMIFS('Pasted Bridges'!$G:$G,'Pasted Bridges'!$B:$B,$C10,'Pasted Bridges'!$F:$F,BO$5)</f>
        <v>0</v>
      </c>
      <c r="BP10" s="17">
        <f>SUMIFS('Pasted Bridges'!$G:$G,'Pasted Bridges'!$B:$B,$C10,'Pasted Bridges'!$F:$F,BP$5)</f>
        <v>0</v>
      </c>
      <c r="BQ10" s="17">
        <f>SUMIFS('Pasted Bridges'!$G:$G,'Pasted Bridges'!$B:$B,$C10,'Pasted Bridges'!$F:$F,BQ$5)</f>
        <v>0</v>
      </c>
      <c r="BR10" s="17">
        <f>SUMIFS('Pasted Bridges'!$G:$G,'Pasted Bridges'!$B:$B,$C10,'Pasted Bridges'!$F:$F,BR$5)</f>
        <v>0</v>
      </c>
      <c r="BS10" s="17">
        <f>SUMIFS('Pasted Bridges'!$G:$G,'Pasted Bridges'!$B:$B,$C10,'Pasted Bridges'!$F:$F,BS$5)</f>
        <v>0</v>
      </c>
      <c r="BT10" s="17">
        <f>SUMIFS('Pasted Bridges'!$G:$G,'Pasted Bridges'!$B:$B,$C10,'Pasted Bridges'!$F:$F,BT$5)</f>
        <v>0</v>
      </c>
      <c r="BU10" s="17">
        <f>SUMIFS('Pasted Bridges'!$G:$G,'Pasted Bridges'!$B:$B,$C10,'Pasted Bridges'!$F:$F,BU$5)</f>
        <v>0</v>
      </c>
      <c r="BV10" s="17">
        <f>SUMIFS('Pasted Bridges'!$G:$G,'Pasted Bridges'!$B:$B,$C10,'Pasted Bridges'!$F:$F,BV$5)</f>
        <v>0</v>
      </c>
      <c r="BW10" s="17">
        <f>SUMIFS('Pasted Bridges'!$G:$G,'Pasted Bridges'!$B:$B,$C10,'Pasted Bridges'!$F:$F,BW$5)</f>
        <v>0</v>
      </c>
      <c r="BX10" s="17">
        <f>SUMIFS('Pasted Bridges'!$G:$G,'Pasted Bridges'!$B:$B,$C10,'Pasted Bridges'!$F:$F,BX$5)</f>
        <v>0</v>
      </c>
      <c r="BY10" s="17">
        <f>SUMIFS('Pasted Bridges'!$G:$G,'Pasted Bridges'!$B:$B,$C10,'Pasted Bridges'!$F:$F,BY$5)</f>
        <v>0</v>
      </c>
      <c r="BZ10" s="17">
        <f>SUMIFS('Pasted Bridges'!$G:$G,'Pasted Bridges'!$B:$B,$C10,'Pasted Bridges'!$F:$F,BZ$5)</f>
        <v>0</v>
      </c>
      <c r="CA10" s="17">
        <f>SUMIFS('Pasted Bridges'!$G:$G,'Pasted Bridges'!$B:$B,$C10,'Pasted Bridges'!$F:$F,CA$5)</f>
        <v>0</v>
      </c>
      <c r="CB10" s="17">
        <f>SUMIFS('Pasted Bridges'!$G:$G,'Pasted Bridges'!$B:$B,$C10,'Pasted Bridges'!$F:$F,CB$5)</f>
        <v>0</v>
      </c>
      <c r="CC10" s="17">
        <f>SUMIFS('Pasted Bridges'!$G:$G,'Pasted Bridges'!$B:$B,$C10,'Pasted Bridges'!$F:$F,CC$5)</f>
        <v>0</v>
      </c>
      <c r="CD10" s="17">
        <f>SUMIFS('Pasted Bridges'!$G:$G,'Pasted Bridges'!$B:$B,$C10,'Pasted Bridges'!$F:$F,CD$5)</f>
        <v>0</v>
      </c>
      <c r="CE10" s="17">
        <f>SUMIFS('Pasted Bridges'!$G:$G,'Pasted Bridges'!$B:$B,$C10,'Pasted Bridges'!$F:$F,CE$5)</f>
        <v>0</v>
      </c>
      <c r="CF10" s="17">
        <f>SUMIFS('Pasted Bridges'!$G:$G,'Pasted Bridges'!$B:$B,$C10,'Pasted Bridges'!$F:$F,CF$5)</f>
        <v>0</v>
      </c>
      <c r="CG10" s="17">
        <f>SUMIFS('Pasted Bridges'!$G:$G,'Pasted Bridges'!$B:$B,$C10,'Pasted Bridges'!$F:$F,CG$5)</f>
        <v>0</v>
      </c>
      <c r="CH10" s="17">
        <f>SUMIFS('Pasted Bridges'!$G:$G,'Pasted Bridges'!$B:$B,$C10,'Pasted Bridges'!$F:$F,CH$5)</f>
        <v>0</v>
      </c>
      <c r="CI10" s="17">
        <f>SUMIFS('Pasted Bridges'!$G:$G,'Pasted Bridges'!$B:$B,$C10,'Pasted Bridges'!$F:$F,CI$5)</f>
        <v>0</v>
      </c>
      <c r="CJ10" s="17">
        <f>SUMIFS('Pasted Bridges'!$G:$G,'Pasted Bridges'!$B:$B,$C10,'Pasted Bridges'!$F:$F,CJ$5)</f>
        <v>0</v>
      </c>
      <c r="CK10" s="17">
        <f>SUMIFS('Pasted Bridges'!$G:$G,'Pasted Bridges'!$B:$B,$C10,'Pasted Bridges'!$F:$F,CK$5)</f>
        <v>0</v>
      </c>
      <c r="CL10" s="17">
        <f>SUMIFS('Pasted Bridges'!$G:$G,'Pasted Bridges'!$B:$B,$C10,'Pasted Bridges'!$F:$F,CL$5)</f>
        <v>0</v>
      </c>
      <c r="CM10" s="17">
        <f>SUMIFS('Pasted Bridges'!$G:$G,'Pasted Bridges'!$B:$B,$C10,'Pasted Bridges'!$F:$F,CM$5)</f>
        <v>0</v>
      </c>
      <c r="CN10" s="17">
        <f>SUMIFS('Pasted Bridges'!$G:$G,'Pasted Bridges'!$B:$B,$C10,'Pasted Bridges'!$F:$F,CN$5)</f>
        <v>0</v>
      </c>
      <c r="CO10" s="17">
        <f>SUMIFS('Pasted Bridges'!$G:$G,'Pasted Bridges'!$B:$B,$C10,'Pasted Bridges'!$F:$F,CO$5)</f>
        <v>0</v>
      </c>
      <c r="CP10" s="17">
        <f>SUMIFS('Pasted Bridges'!$G:$G,'Pasted Bridges'!$B:$B,$C10,'Pasted Bridges'!$F:$F,CP$5)</f>
        <v>0</v>
      </c>
      <c r="CQ10" s="17">
        <f>SUMIFS('Pasted Bridges'!$G:$G,'Pasted Bridges'!$B:$B,$C10,'Pasted Bridges'!$F:$F,CQ$5)</f>
        <v>0</v>
      </c>
      <c r="CR10" s="17">
        <f>SUMIFS('Pasted Bridges'!$G:$G,'Pasted Bridges'!$B:$B,$C10,'Pasted Bridges'!$F:$F,CR$5)</f>
        <v>0</v>
      </c>
      <c r="CS10" s="17">
        <f>SUMIFS('Pasted Bridges'!$G:$G,'Pasted Bridges'!$B:$B,$C10,'Pasted Bridges'!$F:$F,CS$5)</f>
        <v>0</v>
      </c>
      <c r="CT10" s="17">
        <f>SUMIFS('Pasted Bridges'!$G:$G,'Pasted Bridges'!$B:$B,$C10,'Pasted Bridges'!$F:$F,CT$5)</f>
        <v>0</v>
      </c>
      <c r="CU10" s="17">
        <f>SUMIFS('Pasted Bridges'!$G:$G,'Pasted Bridges'!$B:$B,$C10,'Pasted Bridges'!$F:$F,CU$5)</f>
        <v>0</v>
      </c>
      <c r="CV10" s="17">
        <f>SUMIFS('Pasted Bridges'!$G:$G,'Pasted Bridges'!$B:$B,$C10,'Pasted Bridges'!$F:$F,CV$5)</f>
        <v>0</v>
      </c>
      <c r="CW10" s="17">
        <f>SUMIFS('Pasted Bridges'!$G:$G,'Pasted Bridges'!$B:$B,$C10,'Pasted Bridges'!$F:$F,CW$5)</f>
        <v>0</v>
      </c>
      <c r="CX10" s="17">
        <f>SUMIFS('Pasted Bridges'!$G:$G,'Pasted Bridges'!$B:$B,$C10,'Pasted Bridges'!$F:$F,CX$5)</f>
        <v>0</v>
      </c>
      <c r="CY10" s="17">
        <f>SUMIFS('Pasted Bridges'!$G:$G,'Pasted Bridges'!$B:$B,$C10,'Pasted Bridges'!$F:$F,CY$5)</f>
        <v>0</v>
      </c>
      <c r="CZ10" s="17">
        <f>SUMIFS('Pasted Bridges'!$G:$G,'Pasted Bridges'!$B:$B,$C10,'Pasted Bridges'!$F:$F,CZ$5)</f>
        <v>0</v>
      </c>
      <c r="DA10" s="17">
        <f>SUMIFS('Pasted Bridges'!$G:$G,'Pasted Bridges'!$B:$B,$C10,'Pasted Bridges'!$F:$F,DA$5)</f>
        <v>0</v>
      </c>
    </row>
    <row r="11" spans="1:105" s="1" customFormat="1" x14ac:dyDescent="0.25">
      <c r="A11" s="10"/>
      <c r="B11" s="41"/>
      <c r="C11" s="19" t="s">
        <v>12</v>
      </c>
      <c r="D11" s="19" t="s">
        <v>159</v>
      </c>
      <c r="E11" s="13" t="s">
        <v>199</v>
      </c>
      <c r="F11" s="2">
        <v>10</v>
      </c>
      <c r="G11" s="5">
        <v>0.14000000000000001</v>
      </c>
      <c r="H11" s="2">
        <v>7.0000000000000007E-2</v>
      </c>
      <c r="I11" s="2">
        <v>0</v>
      </c>
      <c r="J11" s="3"/>
      <c r="K11" s="17">
        <f>SUMIFS('Pasted Bridges'!$G:$G,'Pasted Bridges'!$B:$B,$C11,'Pasted Bridges'!$F:$F,K$5)</f>
        <v>0</v>
      </c>
      <c r="L11" s="17">
        <f>SUMIFS('Pasted Bridges'!$G:$G,'Pasted Bridges'!$B:$B,$C11,'Pasted Bridges'!$F:$F,L$5)</f>
        <v>0</v>
      </c>
      <c r="M11" s="17">
        <f>SUMIFS('Pasted Bridges'!$G:$G,'Pasted Bridges'!$B:$B,$C11,'Pasted Bridges'!$F:$F,M$5)</f>
        <v>0</v>
      </c>
      <c r="N11" s="17">
        <f>SUMIFS('Pasted Bridges'!$G:$G,'Pasted Bridges'!$B:$B,$C11,'Pasted Bridges'!$F:$F,N$5)</f>
        <v>0</v>
      </c>
      <c r="O11" s="17">
        <f>SUMIFS('Pasted Bridges'!$G:$G,'Pasted Bridges'!$B:$B,$C11,'Pasted Bridges'!$F:$F,O$5)</f>
        <v>0</v>
      </c>
      <c r="P11" s="17">
        <f>SUMIFS('Pasted Bridges'!$G:$G,'Pasted Bridges'!$B:$B,$C11,'Pasted Bridges'!$F:$F,P$5)</f>
        <v>0</v>
      </c>
      <c r="Q11" s="17">
        <f>SUMIFS('Pasted Bridges'!$G:$G,'Pasted Bridges'!$B:$B,$C11,'Pasted Bridges'!$F:$F,Q$5)</f>
        <v>0</v>
      </c>
      <c r="R11" s="17">
        <f>SUMIFS('Pasted Bridges'!$G:$G,'Pasted Bridges'!$B:$B,$C11,'Pasted Bridges'!$F:$F,R$5)</f>
        <v>0</v>
      </c>
      <c r="S11" s="17">
        <f>SUMIFS('Pasted Bridges'!$G:$G,'Pasted Bridges'!$B:$B,$C11,'Pasted Bridges'!$F:$F,S$5)</f>
        <v>0</v>
      </c>
      <c r="T11" s="17">
        <f>SUMIFS('Pasted Bridges'!$G:$G,'Pasted Bridges'!$B:$B,$C11,'Pasted Bridges'!$F:$F,T$5)</f>
        <v>0</v>
      </c>
      <c r="U11" s="17">
        <f>SUMIFS('Pasted Bridges'!$G:$G,'Pasted Bridges'!$B:$B,$C11,'Pasted Bridges'!$F:$F,U$5)</f>
        <v>0</v>
      </c>
      <c r="V11" s="17">
        <f>SUMIFS('Pasted Bridges'!$G:$G,'Pasted Bridges'!$B:$B,$C11,'Pasted Bridges'!$F:$F,V$5)</f>
        <v>0</v>
      </c>
      <c r="W11" s="17">
        <f>SUMIFS('Pasted Bridges'!$G:$G,'Pasted Bridges'!$B:$B,$C11,'Pasted Bridges'!$F:$F,W$5)</f>
        <v>0</v>
      </c>
      <c r="X11" s="17">
        <f>SUMIFS('Pasted Bridges'!$G:$G,'Pasted Bridges'!$B:$B,$C11,'Pasted Bridges'!$F:$F,X$5)</f>
        <v>0</v>
      </c>
      <c r="Y11" s="17">
        <f>SUMIFS('Pasted Bridges'!$G:$G,'Pasted Bridges'!$B:$B,$C11,'Pasted Bridges'!$F:$F,Y$5)</f>
        <v>0</v>
      </c>
      <c r="Z11" s="17">
        <f>SUMIFS('Pasted Bridges'!$G:$G,'Pasted Bridges'!$B:$B,$C11,'Pasted Bridges'!$F:$F,Z$5)</f>
        <v>0</v>
      </c>
      <c r="AA11" s="17">
        <f>SUMIFS('Pasted Bridges'!$G:$G,'Pasted Bridges'!$B:$B,$C11,'Pasted Bridges'!$F:$F,AA$5)</f>
        <v>0</v>
      </c>
      <c r="AB11" s="17">
        <f>SUMIFS('Pasted Bridges'!$G:$G,'Pasted Bridges'!$B:$B,$C11,'Pasted Bridges'!$F:$F,AB$5)</f>
        <v>0</v>
      </c>
      <c r="AC11" s="17">
        <f>SUMIFS('Pasted Bridges'!$G:$G,'Pasted Bridges'!$B:$B,$C11,'Pasted Bridges'!$F:$F,AC$5)</f>
        <v>0</v>
      </c>
      <c r="AD11" s="17">
        <f>SUMIFS('Pasted Bridges'!$G:$G,'Pasted Bridges'!$B:$B,$C11,'Pasted Bridges'!$F:$F,AD$5)</f>
        <v>0</v>
      </c>
      <c r="AE11" s="17">
        <f>SUMIFS('Pasted Bridges'!$G:$G,'Pasted Bridges'!$B:$B,$C11,'Pasted Bridges'!$F:$F,AE$5)</f>
        <v>0</v>
      </c>
      <c r="AF11" s="17">
        <f>SUMIFS('Pasted Bridges'!$G:$G,'Pasted Bridges'!$B:$B,$C11,'Pasted Bridges'!$F:$F,AF$5)</f>
        <v>0</v>
      </c>
      <c r="AG11" s="17">
        <f>SUMIFS('Pasted Bridges'!$G:$G,'Pasted Bridges'!$B:$B,$C11,'Pasted Bridges'!$F:$F,AG$5)</f>
        <v>0</v>
      </c>
      <c r="AH11" s="17">
        <f>SUMIFS('Pasted Bridges'!$G:$G,'Pasted Bridges'!$B:$B,$C11,'Pasted Bridges'!$F:$F,AH$5)</f>
        <v>0</v>
      </c>
      <c r="AI11" s="17">
        <f>SUMIFS('Pasted Bridges'!$G:$G,'Pasted Bridges'!$B:$B,$C11,'Pasted Bridges'!$F:$F,AI$5)</f>
        <v>0</v>
      </c>
      <c r="AJ11" s="17">
        <f>SUMIFS('Pasted Bridges'!$G:$G,'Pasted Bridges'!$B:$B,$C11,'Pasted Bridges'!$F:$F,AJ$5)</f>
        <v>0</v>
      </c>
      <c r="AK11" s="17">
        <f>SUMIFS('Pasted Bridges'!$G:$G,'Pasted Bridges'!$B:$B,$C11,'Pasted Bridges'!$F:$F,AK$5)</f>
        <v>0</v>
      </c>
      <c r="AL11" s="17">
        <f>SUMIFS('Pasted Bridges'!$G:$G,'Pasted Bridges'!$B:$B,$C11,'Pasted Bridges'!$F:$F,AL$5)</f>
        <v>0</v>
      </c>
      <c r="AM11" s="17">
        <f>SUMIFS('Pasted Bridges'!$G:$G,'Pasted Bridges'!$B:$B,$C11,'Pasted Bridges'!$F:$F,AM$5)</f>
        <v>0</v>
      </c>
      <c r="AN11" s="17">
        <f>SUMIFS('Pasted Bridges'!$G:$G,'Pasted Bridges'!$B:$B,$C11,'Pasted Bridges'!$F:$F,AN$5)</f>
        <v>0</v>
      </c>
      <c r="AO11" s="17">
        <f>SUMIFS('Pasted Bridges'!$G:$G,'Pasted Bridges'!$B:$B,$C11,'Pasted Bridges'!$F:$F,AO$5)</f>
        <v>0</v>
      </c>
      <c r="AP11" s="17">
        <f>SUMIFS('Pasted Bridges'!$G:$G,'Pasted Bridges'!$B:$B,$C11,'Pasted Bridges'!$F:$F,AP$5)</f>
        <v>0</v>
      </c>
      <c r="AQ11" s="17">
        <f>SUMIFS('Pasted Bridges'!$G:$G,'Pasted Bridges'!$B:$B,$C11,'Pasted Bridges'!$F:$F,AQ$5)</f>
        <v>0</v>
      </c>
      <c r="AR11" s="17">
        <f>SUMIFS('Pasted Bridges'!$G:$G,'Pasted Bridges'!$B:$B,$C11,'Pasted Bridges'!$F:$F,AR$5)</f>
        <v>0</v>
      </c>
      <c r="AS11" s="17">
        <f>SUMIFS('Pasted Bridges'!$G:$G,'Pasted Bridges'!$B:$B,$C11,'Pasted Bridges'!$F:$F,AS$5)</f>
        <v>0</v>
      </c>
      <c r="AT11" s="17">
        <f>SUMIFS('Pasted Bridges'!$G:$G,'Pasted Bridges'!$B:$B,$C11,'Pasted Bridges'!$F:$F,AT$5)</f>
        <v>0</v>
      </c>
      <c r="AU11" s="17">
        <f>SUMIFS('Pasted Bridges'!$G:$G,'Pasted Bridges'!$B:$B,$C11,'Pasted Bridges'!$F:$F,AU$5)</f>
        <v>0</v>
      </c>
      <c r="AV11" s="17">
        <f>SUMIFS('Pasted Bridges'!$G:$G,'Pasted Bridges'!$B:$B,$C11,'Pasted Bridges'!$F:$F,AV$5)</f>
        <v>0</v>
      </c>
      <c r="AW11" s="17">
        <f>SUMIFS('Pasted Bridges'!$G:$G,'Pasted Bridges'!$B:$B,$C11,'Pasted Bridges'!$F:$F,AW$5)</f>
        <v>0</v>
      </c>
      <c r="AX11" s="17">
        <f>SUMIFS('Pasted Bridges'!$G:$G,'Pasted Bridges'!$B:$B,$C11,'Pasted Bridges'!$F:$F,AX$5)</f>
        <v>0</v>
      </c>
      <c r="AY11" s="17">
        <f>SUMIFS('Pasted Bridges'!$G:$G,'Pasted Bridges'!$B:$B,$C11,'Pasted Bridges'!$F:$F,AY$5)</f>
        <v>0</v>
      </c>
      <c r="AZ11" s="17">
        <f>SUMIFS('Pasted Bridges'!$G:$G,'Pasted Bridges'!$B:$B,$C11,'Pasted Bridges'!$F:$F,AZ$5)</f>
        <v>0</v>
      </c>
      <c r="BA11" s="17">
        <f>SUMIFS('Pasted Bridges'!$G:$G,'Pasted Bridges'!$B:$B,$C11,'Pasted Bridges'!$F:$F,BA$5)</f>
        <v>0</v>
      </c>
      <c r="BB11" s="17">
        <f>SUMIFS('Pasted Bridges'!$G:$G,'Pasted Bridges'!$B:$B,$C11,'Pasted Bridges'!$F:$F,BB$5)</f>
        <v>0</v>
      </c>
      <c r="BC11" s="17">
        <f>SUMIFS('Pasted Bridges'!$G:$G,'Pasted Bridges'!$B:$B,$C11,'Pasted Bridges'!$F:$F,BC$5)</f>
        <v>0</v>
      </c>
      <c r="BD11" s="17">
        <f>SUMIFS('Pasted Bridges'!$G:$G,'Pasted Bridges'!$B:$B,$C11,'Pasted Bridges'!$F:$F,BD$5)</f>
        <v>0</v>
      </c>
      <c r="BE11" s="17">
        <f>SUMIFS('Pasted Bridges'!$G:$G,'Pasted Bridges'!$B:$B,$C11,'Pasted Bridges'!$F:$F,BE$5)</f>
        <v>0</v>
      </c>
      <c r="BF11" s="17">
        <f>SUMIFS('Pasted Bridges'!$G:$G,'Pasted Bridges'!$B:$B,$C11,'Pasted Bridges'!$F:$F,BF$5)</f>
        <v>0</v>
      </c>
      <c r="BG11" s="17">
        <f>SUMIFS('Pasted Bridges'!$G:$G,'Pasted Bridges'!$B:$B,$C11,'Pasted Bridges'!$F:$F,BG$5)</f>
        <v>0</v>
      </c>
      <c r="BH11" s="17">
        <f>SUMIFS('Pasted Bridges'!$G:$G,'Pasted Bridges'!$B:$B,$C11,'Pasted Bridges'!$F:$F,BH$5)</f>
        <v>0</v>
      </c>
      <c r="BI11" s="17">
        <f>SUMIFS('Pasted Bridges'!$G:$G,'Pasted Bridges'!$B:$B,$C11,'Pasted Bridges'!$F:$F,BI$5)</f>
        <v>0</v>
      </c>
      <c r="BJ11" s="17">
        <f>SUMIFS('Pasted Bridges'!$G:$G,'Pasted Bridges'!$B:$B,$C11,'Pasted Bridges'!$F:$F,BJ$5)</f>
        <v>0</v>
      </c>
      <c r="BK11" s="17">
        <f>SUMIFS('Pasted Bridges'!$G:$G,'Pasted Bridges'!$B:$B,$C11,'Pasted Bridges'!$F:$F,BK$5)</f>
        <v>0</v>
      </c>
      <c r="BL11" s="17">
        <f>SUMIFS('Pasted Bridges'!$G:$G,'Pasted Bridges'!$B:$B,$C11,'Pasted Bridges'!$F:$F,BL$5)</f>
        <v>0</v>
      </c>
      <c r="BM11" s="17">
        <f>SUMIFS('Pasted Bridges'!$G:$G,'Pasted Bridges'!$B:$B,$C11,'Pasted Bridges'!$F:$F,BM$5)</f>
        <v>0</v>
      </c>
      <c r="BN11" s="17">
        <f>SUMIFS('Pasted Bridges'!$G:$G,'Pasted Bridges'!$B:$B,$C11,'Pasted Bridges'!$F:$F,BN$5)</f>
        <v>0</v>
      </c>
      <c r="BO11" s="17">
        <f>SUMIFS('Pasted Bridges'!$G:$G,'Pasted Bridges'!$B:$B,$C11,'Pasted Bridges'!$F:$F,BO$5)</f>
        <v>0</v>
      </c>
      <c r="BP11" s="17">
        <f>SUMIFS('Pasted Bridges'!$G:$G,'Pasted Bridges'!$B:$B,$C11,'Pasted Bridges'!$F:$F,BP$5)</f>
        <v>0</v>
      </c>
      <c r="BQ11" s="17">
        <f>SUMIFS('Pasted Bridges'!$G:$G,'Pasted Bridges'!$B:$B,$C11,'Pasted Bridges'!$F:$F,BQ$5)</f>
        <v>0</v>
      </c>
      <c r="BR11" s="17">
        <f>SUMIFS('Pasted Bridges'!$G:$G,'Pasted Bridges'!$B:$B,$C11,'Pasted Bridges'!$F:$F,BR$5)</f>
        <v>0</v>
      </c>
      <c r="BS11" s="17">
        <f>SUMIFS('Pasted Bridges'!$G:$G,'Pasted Bridges'!$B:$B,$C11,'Pasted Bridges'!$F:$F,BS$5)</f>
        <v>0</v>
      </c>
      <c r="BT11" s="17">
        <f>SUMIFS('Pasted Bridges'!$G:$G,'Pasted Bridges'!$B:$B,$C11,'Pasted Bridges'!$F:$F,BT$5)</f>
        <v>0</v>
      </c>
      <c r="BU11" s="17">
        <f>SUMIFS('Pasted Bridges'!$G:$G,'Pasted Bridges'!$B:$B,$C11,'Pasted Bridges'!$F:$F,BU$5)</f>
        <v>0</v>
      </c>
      <c r="BV11" s="17">
        <f>SUMIFS('Pasted Bridges'!$G:$G,'Pasted Bridges'!$B:$B,$C11,'Pasted Bridges'!$F:$F,BV$5)</f>
        <v>0</v>
      </c>
      <c r="BW11" s="17">
        <f>SUMIFS('Pasted Bridges'!$G:$G,'Pasted Bridges'!$B:$B,$C11,'Pasted Bridges'!$F:$F,BW$5)</f>
        <v>0</v>
      </c>
      <c r="BX11" s="17">
        <f>SUMIFS('Pasted Bridges'!$G:$G,'Pasted Bridges'!$B:$B,$C11,'Pasted Bridges'!$F:$F,BX$5)</f>
        <v>0</v>
      </c>
      <c r="BY11" s="17">
        <f>SUMIFS('Pasted Bridges'!$G:$G,'Pasted Bridges'!$B:$B,$C11,'Pasted Bridges'!$F:$F,BY$5)</f>
        <v>0</v>
      </c>
      <c r="BZ11" s="17">
        <f>SUMIFS('Pasted Bridges'!$G:$G,'Pasted Bridges'!$B:$B,$C11,'Pasted Bridges'!$F:$F,BZ$5)</f>
        <v>0</v>
      </c>
      <c r="CA11" s="17">
        <f>SUMIFS('Pasted Bridges'!$G:$G,'Pasted Bridges'!$B:$B,$C11,'Pasted Bridges'!$F:$F,CA$5)</f>
        <v>0</v>
      </c>
      <c r="CB11" s="17">
        <f>SUMIFS('Pasted Bridges'!$G:$G,'Pasted Bridges'!$B:$B,$C11,'Pasted Bridges'!$F:$F,CB$5)</f>
        <v>0</v>
      </c>
      <c r="CC11" s="17">
        <f>SUMIFS('Pasted Bridges'!$G:$G,'Pasted Bridges'!$B:$B,$C11,'Pasted Bridges'!$F:$F,CC$5)</f>
        <v>0</v>
      </c>
      <c r="CD11" s="17">
        <f>SUMIFS('Pasted Bridges'!$G:$G,'Pasted Bridges'!$B:$B,$C11,'Pasted Bridges'!$F:$F,CD$5)</f>
        <v>0</v>
      </c>
      <c r="CE11" s="17">
        <f>SUMIFS('Pasted Bridges'!$G:$G,'Pasted Bridges'!$B:$B,$C11,'Pasted Bridges'!$F:$F,CE$5)</f>
        <v>0</v>
      </c>
      <c r="CF11" s="17">
        <f>SUMIFS('Pasted Bridges'!$G:$G,'Pasted Bridges'!$B:$B,$C11,'Pasted Bridges'!$F:$F,CF$5)</f>
        <v>0</v>
      </c>
      <c r="CG11" s="17">
        <f>SUMIFS('Pasted Bridges'!$G:$G,'Pasted Bridges'!$B:$B,$C11,'Pasted Bridges'!$F:$F,CG$5)</f>
        <v>0</v>
      </c>
      <c r="CH11" s="17">
        <f>SUMIFS('Pasted Bridges'!$G:$G,'Pasted Bridges'!$B:$B,$C11,'Pasted Bridges'!$F:$F,CH$5)</f>
        <v>0</v>
      </c>
      <c r="CI11" s="17">
        <f>SUMIFS('Pasted Bridges'!$G:$G,'Pasted Bridges'!$B:$B,$C11,'Pasted Bridges'!$F:$F,CI$5)</f>
        <v>0</v>
      </c>
      <c r="CJ11" s="17">
        <f>SUMIFS('Pasted Bridges'!$G:$G,'Pasted Bridges'!$B:$B,$C11,'Pasted Bridges'!$F:$F,CJ$5)</f>
        <v>0</v>
      </c>
      <c r="CK11" s="17">
        <f>SUMIFS('Pasted Bridges'!$G:$G,'Pasted Bridges'!$B:$B,$C11,'Pasted Bridges'!$F:$F,CK$5)</f>
        <v>0</v>
      </c>
      <c r="CL11" s="17">
        <f>SUMIFS('Pasted Bridges'!$G:$G,'Pasted Bridges'!$B:$B,$C11,'Pasted Bridges'!$F:$F,CL$5)</f>
        <v>0</v>
      </c>
      <c r="CM11" s="17">
        <f>SUMIFS('Pasted Bridges'!$G:$G,'Pasted Bridges'!$B:$B,$C11,'Pasted Bridges'!$F:$F,CM$5)</f>
        <v>0</v>
      </c>
      <c r="CN11" s="17">
        <f>SUMIFS('Pasted Bridges'!$G:$G,'Pasted Bridges'!$B:$B,$C11,'Pasted Bridges'!$F:$F,CN$5)</f>
        <v>0</v>
      </c>
      <c r="CO11" s="17">
        <f>SUMIFS('Pasted Bridges'!$G:$G,'Pasted Bridges'!$B:$B,$C11,'Pasted Bridges'!$F:$F,CO$5)</f>
        <v>0</v>
      </c>
      <c r="CP11" s="17">
        <f>SUMIFS('Pasted Bridges'!$G:$G,'Pasted Bridges'!$B:$B,$C11,'Pasted Bridges'!$F:$F,CP$5)</f>
        <v>0</v>
      </c>
      <c r="CQ11" s="17">
        <f>SUMIFS('Pasted Bridges'!$G:$G,'Pasted Bridges'!$B:$B,$C11,'Pasted Bridges'!$F:$F,CQ$5)</f>
        <v>0</v>
      </c>
      <c r="CR11" s="17">
        <f>SUMIFS('Pasted Bridges'!$G:$G,'Pasted Bridges'!$B:$B,$C11,'Pasted Bridges'!$F:$F,CR$5)</f>
        <v>0</v>
      </c>
      <c r="CS11" s="17">
        <f>SUMIFS('Pasted Bridges'!$G:$G,'Pasted Bridges'!$B:$B,$C11,'Pasted Bridges'!$F:$F,CS$5)</f>
        <v>0</v>
      </c>
      <c r="CT11" s="17">
        <f>SUMIFS('Pasted Bridges'!$G:$G,'Pasted Bridges'!$B:$B,$C11,'Pasted Bridges'!$F:$F,CT$5)</f>
        <v>0</v>
      </c>
      <c r="CU11" s="17">
        <f>SUMIFS('Pasted Bridges'!$G:$G,'Pasted Bridges'!$B:$B,$C11,'Pasted Bridges'!$F:$F,CU$5)</f>
        <v>0</v>
      </c>
      <c r="CV11" s="17">
        <f>SUMIFS('Pasted Bridges'!$G:$G,'Pasted Bridges'!$B:$B,$C11,'Pasted Bridges'!$F:$F,CV$5)</f>
        <v>0</v>
      </c>
      <c r="CW11" s="17">
        <f>SUMIFS('Pasted Bridges'!$G:$G,'Pasted Bridges'!$B:$B,$C11,'Pasted Bridges'!$F:$F,CW$5)</f>
        <v>0</v>
      </c>
      <c r="CX11" s="17">
        <f>SUMIFS('Pasted Bridges'!$G:$G,'Pasted Bridges'!$B:$B,$C11,'Pasted Bridges'!$F:$F,CX$5)</f>
        <v>0</v>
      </c>
      <c r="CY11" s="17">
        <f>SUMIFS('Pasted Bridges'!$G:$G,'Pasted Bridges'!$B:$B,$C11,'Pasted Bridges'!$F:$F,CY$5)</f>
        <v>0</v>
      </c>
      <c r="CZ11" s="17">
        <f>SUMIFS('Pasted Bridges'!$G:$G,'Pasted Bridges'!$B:$B,$C11,'Pasted Bridges'!$F:$F,CZ$5)</f>
        <v>0</v>
      </c>
      <c r="DA11" s="17">
        <f>SUMIFS('Pasted Bridges'!$G:$G,'Pasted Bridges'!$B:$B,$C11,'Pasted Bridges'!$F:$F,DA$5)</f>
        <v>0</v>
      </c>
    </row>
    <row r="12" spans="1:105" s="1" customFormat="1" x14ac:dyDescent="0.25">
      <c r="A12" s="10"/>
      <c r="B12" s="42"/>
      <c r="C12" s="19" t="s">
        <v>3</v>
      </c>
      <c r="D12" s="19" t="s">
        <v>160</v>
      </c>
      <c r="E12" s="13" t="s">
        <v>199</v>
      </c>
      <c r="F12" s="2">
        <v>11</v>
      </c>
      <c r="G12" s="14">
        <f>2*0.14</f>
        <v>0.28000000000000003</v>
      </c>
      <c r="H12" s="15">
        <f>2*0.07</f>
        <v>0.14000000000000001</v>
      </c>
      <c r="I12" s="2">
        <v>7.0000000000000007E-2</v>
      </c>
      <c r="J12" s="3"/>
      <c r="K12" s="17">
        <f>SUMIFS('Pasted Bridges'!$G:$G,'Pasted Bridges'!$B:$B,$C12,'Pasted Bridges'!$F:$F,K$5)</f>
        <v>21.04</v>
      </c>
      <c r="L12" s="17">
        <f>SUMIFS('Pasted Bridges'!$G:$G,'Pasted Bridges'!$B:$B,$C12,'Pasted Bridges'!$F:$F,L$5)</f>
        <v>21.05</v>
      </c>
      <c r="M12" s="17">
        <f>SUMIFS('Pasted Bridges'!$G:$G,'Pasted Bridges'!$B:$B,$C12,'Pasted Bridges'!$F:$F,M$5)</f>
        <v>24.899999999999995</v>
      </c>
      <c r="N12" s="17">
        <f>SUMIFS('Pasted Bridges'!$G:$G,'Pasted Bridges'!$B:$B,$C12,'Pasted Bridges'!$F:$F,N$5)</f>
        <v>26.44</v>
      </c>
      <c r="O12" s="17">
        <f>SUMIFS('Pasted Bridges'!$G:$G,'Pasted Bridges'!$B:$B,$C12,'Pasted Bridges'!$F:$F,O$5)</f>
        <v>27.3</v>
      </c>
      <c r="P12" s="17">
        <f>SUMIFS('Pasted Bridges'!$G:$G,'Pasted Bridges'!$B:$B,$C12,'Pasted Bridges'!$F:$F,P$5)</f>
        <v>24.9</v>
      </c>
      <c r="Q12" s="17">
        <f>SUMIFS('Pasted Bridges'!$G:$G,'Pasted Bridges'!$B:$B,$C12,'Pasted Bridges'!$F:$F,Q$5)</f>
        <v>24.730000000000004</v>
      </c>
      <c r="R12" s="17">
        <f>SUMIFS('Pasted Bridges'!$G:$G,'Pasted Bridges'!$B:$B,$C12,'Pasted Bridges'!$F:$F,R$5)</f>
        <v>8.56</v>
      </c>
      <c r="S12" s="17">
        <f>SUMIFS('Pasted Bridges'!$G:$G,'Pasted Bridges'!$B:$B,$C12,'Pasted Bridges'!$F:$F,S$5)</f>
        <v>8.58</v>
      </c>
      <c r="T12" s="17">
        <f>SUMIFS('Pasted Bridges'!$G:$G,'Pasted Bridges'!$B:$B,$C12,'Pasted Bridges'!$F:$F,T$5)</f>
        <v>23.4</v>
      </c>
      <c r="U12" s="17">
        <f>SUMIFS('Pasted Bridges'!$G:$G,'Pasted Bridges'!$B:$B,$C12,'Pasted Bridges'!$F:$F,U$5)</f>
        <v>12.8</v>
      </c>
      <c r="V12" s="17">
        <f>SUMIFS('Pasted Bridges'!$G:$G,'Pasted Bridges'!$B:$B,$C12,'Pasted Bridges'!$F:$F,V$5)</f>
        <v>12.8</v>
      </c>
      <c r="W12" s="17">
        <f>SUMIFS('Pasted Bridges'!$G:$G,'Pasted Bridges'!$B:$B,$C12,'Pasted Bridges'!$F:$F,W$5)</f>
        <v>12.450000000000001</v>
      </c>
      <c r="X12" s="17">
        <f>SUMIFS('Pasted Bridges'!$G:$G,'Pasted Bridges'!$B:$B,$C12,'Pasted Bridges'!$F:$F,X$5)</f>
        <v>12.45</v>
      </c>
      <c r="Y12" s="17">
        <f>SUMIFS('Pasted Bridges'!$G:$G,'Pasted Bridges'!$B:$B,$C12,'Pasted Bridges'!$F:$F,Y$5)</f>
        <v>12.45</v>
      </c>
      <c r="Z12" s="17">
        <f>SUMIFS('Pasted Bridges'!$G:$G,'Pasted Bridges'!$B:$B,$C12,'Pasted Bridges'!$F:$F,Z$5)</f>
        <v>7.8900000000000006</v>
      </c>
      <c r="AA12" s="17">
        <f>SUMIFS('Pasted Bridges'!$G:$G,'Pasted Bridges'!$B:$B,$C12,'Pasted Bridges'!$F:$F,AA$5)</f>
        <v>12.440000000000001</v>
      </c>
      <c r="AB12" s="17">
        <f>SUMIFS('Pasted Bridges'!$G:$G,'Pasted Bridges'!$B:$B,$C12,'Pasted Bridges'!$F:$F,AB$5)</f>
        <v>20.32</v>
      </c>
      <c r="AC12" s="17">
        <f>SUMIFS('Pasted Bridges'!$G:$G,'Pasted Bridges'!$B:$B,$C12,'Pasted Bridges'!$F:$F,AC$5)</f>
        <v>17.12</v>
      </c>
      <c r="AD12" s="17">
        <f>SUMIFS('Pasted Bridges'!$G:$G,'Pasted Bridges'!$B:$B,$C12,'Pasted Bridges'!$F:$F,AD$5)</f>
        <v>28.779999999999998</v>
      </c>
      <c r="AE12" s="17">
        <f>SUMIFS('Pasted Bridges'!$G:$G,'Pasted Bridges'!$B:$B,$C12,'Pasted Bridges'!$F:$F,AE$5)</f>
        <v>22.160000000000004</v>
      </c>
      <c r="AF12" s="17">
        <f>SUMIFS('Pasted Bridges'!$G:$G,'Pasted Bridges'!$B:$B,$C12,'Pasted Bridges'!$F:$F,AF$5)</f>
        <v>10.26</v>
      </c>
      <c r="AG12" s="17">
        <f>SUMIFS('Pasted Bridges'!$G:$G,'Pasted Bridges'!$B:$B,$C12,'Pasted Bridges'!$F:$F,AG$5)</f>
        <v>44.41</v>
      </c>
      <c r="AH12" s="17">
        <f>SUMIFS('Pasted Bridges'!$G:$G,'Pasted Bridges'!$B:$B,$C12,'Pasted Bridges'!$F:$F,AH$5)</f>
        <v>10.26</v>
      </c>
      <c r="AI12" s="17">
        <f>SUMIFS('Pasted Bridges'!$G:$G,'Pasted Bridges'!$B:$B,$C12,'Pasted Bridges'!$F:$F,AI$5)</f>
        <v>22.77</v>
      </c>
      <c r="AJ12" s="17">
        <f>SUMIFS('Pasted Bridges'!$G:$G,'Pasted Bridges'!$B:$B,$C12,'Pasted Bridges'!$F:$F,AJ$5)</f>
        <v>28.779999999999998</v>
      </c>
      <c r="AK12" s="17">
        <f>SUMIFS('Pasted Bridges'!$G:$G,'Pasted Bridges'!$B:$B,$C12,'Pasted Bridges'!$F:$F,AK$5)</f>
        <v>21.869999999999997</v>
      </c>
      <c r="AL12" s="17">
        <f>SUMIFS('Pasted Bridges'!$G:$G,'Pasted Bridges'!$B:$B,$C12,'Pasted Bridges'!$F:$F,AL$5)</f>
        <v>14.39</v>
      </c>
      <c r="AM12" s="17">
        <f>SUMIFS('Pasted Bridges'!$G:$G,'Pasted Bridges'!$B:$B,$C12,'Pasted Bridges'!$F:$F,AM$5)</f>
        <v>16.07</v>
      </c>
      <c r="AN12" s="17">
        <f>SUMIFS('Pasted Bridges'!$G:$G,'Pasted Bridges'!$B:$B,$C12,'Pasted Bridges'!$F:$F,AN$5)</f>
        <v>16.07</v>
      </c>
      <c r="AO12" s="17">
        <f>SUMIFS('Pasted Bridges'!$G:$G,'Pasted Bridges'!$B:$B,$C12,'Pasted Bridges'!$F:$F,AO$5)</f>
        <v>14.39</v>
      </c>
      <c r="AP12" s="17">
        <f>SUMIFS('Pasted Bridges'!$G:$G,'Pasted Bridges'!$B:$B,$C12,'Pasted Bridges'!$F:$F,AP$5)</f>
        <v>4.38</v>
      </c>
      <c r="AQ12" s="17">
        <f>SUMIFS('Pasted Bridges'!$G:$G,'Pasted Bridges'!$B:$B,$C12,'Pasted Bridges'!$F:$F,AQ$5)</f>
        <v>12.3</v>
      </c>
      <c r="AR12" s="17">
        <f>SUMIFS('Pasted Bridges'!$G:$G,'Pasted Bridges'!$B:$B,$C12,'Pasted Bridges'!$F:$F,AR$5)</f>
        <v>21.41</v>
      </c>
      <c r="AS12" s="17">
        <f>SUMIFS('Pasted Bridges'!$G:$G,'Pasted Bridges'!$B:$B,$C12,'Pasted Bridges'!$F:$F,AS$5)</f>
        <v>24.599999999999998</v>
      </c>
      <c r="AT12" s="17">
        <f>SUMIFS('Pasted Bridges'!$G:$G,'Pasted Bridges'!$B:$B,$C12,'Pasted Bridges'!$F:$F,AT$5)</f>
        <v>22.02</v>
      </c>
      <c r="AU12" s="17">
        <f>SUMIFS('Pasted Bridges'!$G:$G,'Pasted Bridges'!$B:$B,$C12,'Pasted Bridges'!$F:$F,AU$5)</f>
        <v>8.74</v>
      </c>
      <c r="AV12" s="17">
        <f>SUMIFS('Pasted Bridges'!$G:$G,'Pasted Bridges'!$B:$B,$C12,'Pasted Bridges'!$F:$F,AV$5)</f>
        <v>8.76</v>
      </c>
      <c r="AW12" s="17">
        <f>SUMIFS('Pasted Bridges'!$G:$G,'Pasted Bridges'!$B:$B,$C12,'Pasted Bridges'!$F:$F,AW$5)</f>
        <v>12.3</v>
      </c>
      <c r="AX12" s="17">
        <f>SUMIFS('Pasted Bridges'!$G:$G,'Pasted Bridges'!$B:$B,$C12,'Pasted Bridges'!$F:$F,AX$5)</f>
        <v>11.01</v>
      </c>
      <c r="AY12" s="17">
        <f>SUMIFS('Pasted Bridges'!$G:$G,'Pasted Bridges'!$B:$B,$C12,'Pasted Bridges'!$F:$F,AY$5)</f>
        <v>10.98</v>
      </c>
      <c r="AZ12" s="17">
        <f>SUMIFS('Pasted Bridges'!$G:$G,'Pasted Bridges'!$B:$B,$C12,'Pasted Bridges'!$F:$F,AZ$5)</f>
        <v>4.3</v>
      </c>
      <c r="BA12" s="17">
        <f>SUMIFS('Pasted Bridges'!$G:$G,'Pasted Bridges'!$B:$B,$C12,'Pasted Bridges'!$F:$F,BA$5)</f>
        <v>13.36</v>
      </c>
      <c r="BB12" s="17">
        <f>SUMIFS('Pasted Bridges'!$G:$G,'Pasted Bridges'!$B:$B,$C12,'Pasted Bridges'!$F:$F,BB$5)</f>
        <v>12.579999999999998</v>
      </c>
      <c r="BC12" s="17">
        <f>SUMIFS('Pasted Bridges'!$G:$G,'Pasted Bridges'!$B:$B,$C12,'Pasted Bridges'!$F:$F,BC$5)</f>
        <v>4.6500000000000004</v>
      </c>
      <c r="BD12" s="17">
        <f>SUMIFS('Pasted Bridges'!$G:$G,'Pasted Bridges'!$B:$B,$C12,'Pasted Bridges'!$F:$F,BD$5)</f>
        <v>4.6500000000000004</v>
      </c>
      <c r="BE12" s="17">
        <f>SUMIFS('Pasted Bridges'!$G:$G,'Pasted Bridges'!$B:$B,$C12,'Pasted Bridges'!$F:$F,BE$5)</f>
        <v>4.3900000000000006</v>
      </c>
      <c r="BF12" s="17">
        <f>SUMIFS('Pasted Bridges'!$G:$G,'Pasted Bridges'!$B:$B,$C12,'Pasted Bridges'!$F:$F,BF$5)</f>
        <v>5.57</v>
      </c>
      <c r="BG12" s="17">
        <f>SUMIFS('Pasted Bridges'!$G:$G,'Pasted Bridges'!$B:$B,$C12,'Pasted Bridges'!$F:$F,BG$5)</f>
        <v>29.08</v>
      </c>
      <c r="BH12" s="17">
        <f>SUMIFS('Pasted Bridges'!$G:$G,'Pasted Bridges'!$B:$B,$C12,'Pasted Bridges'!$F:$F,BH$5)</f>
        <v>24.39</v>
      </c>
      <c r="BI12" s="17">
        <f>SUMIFS('Pasted Bridges'!$G:$G,'Pasted Bridges'!$B:$B,$C12,'Pasted Bridges'!$F:$F,BI$5)</f>
        <v>8.5500000000000007</v>
      </c>
      <c r="BJ12" s="17">
        <f>SUMIFS('Pasted Bridges'!$G:$G,'Pasted Bridges'!$B:$B,$C12,'Pasted Bridges'!$F:$F,BJ$5)</f>
        <v>9.3000000000000007</v>
      </c>
      <c r="BK12" s="17">
        <f>SUMIFS('Pasted Bridges'!$G:$G,'Pasted Bridges'!$B:$B,$C12,'Pasted Bridges'!$F:$F,BK$5)</f>
        <v>25.22</v>
      </c>
      <c r="BL12" s="17">
        <f>SUMIFS('Pasted Bridges'!$G:$G,'Pasted Bridges'!$B:$B,$C12,'Pasted Bridges'!$F:$F,BL$5)</f>
        <v>23.09</v>
      </c>
      <c r="BM12" s="17">
        <f>SUMIFS('Pasted Bridges'!$G:$G,'Pasted Bridges'!$B:$B,$C12,'Pasted Bridges'!$F:$F,BM$5)</f>
        <v>28.439999999999998</v>
      </c>
      <c r="BN12" s="17">
        <f>SUMIFS('Pasted Bridges'!$G:$G,'Pasted Bridges'!$B:$B,$C12,'Pasted Bridges'!$F:$F,BN$5)</f>
        <v>28.439999999999998</v>
      </c>
      <c r="BO12" s="17">
        <f>SUMIFS('Pasted Bridges'!$G:$G,'Pasted Bridges'!$B:$B,$C12,'Pasted Bridges'!$F:$F,BO$5)</f>
        <v>13.77</v>
      </c>
      <c r="BP12" s="17">
        <f>SUMIFS('Pasted Bridges'!$G:$G,'Pasted Bridges'!$B:$B,$C12,'Pasted Bridges'!$F:$F,BP$5)</f>
        <v>13.77</v>
      </c>
      <c r="BQ12" s="17">
        <f>SUMIFS('Pasted Bridges'!$G:$G,'Pasted Bridges'!$B:$B,$C12,'Pasted Bridges'!$F:$F,BQ$5)</f>
        <v>14.54</v>
      </c>
      <c r="BR12" s="17">
        <f>SUMIFS('Pasted Bridges'!$G:$G,'Pasted Bridges'!$B:$B,$C12,'Pasted Bridges'!$F:$F,BR$5)</f>
        <v>11.809999999999999</v>
      </c>
      <c r="BS12" s="17">
        <f>SUMIFS('Pasted Bridges'!$G:$G,'Pasted Bridges'!$B:$B,$C12,'Pasted Bridges'!$F:$F,BS$5)</f>
        <v>3.9</v>
      </c>
      <c r="BT12" s="17">
        <f>SUMIFS('Pasted Bridges'!$G:$G,'Pasted Bridges'!$B:$B,$C12,'Pasted Bridges'!$F:$F,BT$5)</f>
        <v>4.6500000000000004</v>
      </c>
      <c r="BU12" s="17">
        <f>SUMIFS('Pasted Bridges'!$G:$G,'Pasted Bridges'!$B:$B,$C12,'Pasted Bridges'!$F:$F,BU$5)</f>
        <v>12.59</v>
      </c>
      <c r="BV12" s="17">
        <f>SUMIFS('Pasted Bridges'!$G:$G,'Pasted Bridges'!$B:$B,$C12,'Pasted Bridges'!$F:$F,BV$5)</f>
        <v>11.55</v>
      </c>
      <c r="BW12" s="17">
        <f>SUMIFS('Pasted Bridges'!$G:$G,'Pasted Bridges'!$B:$B,$C12,'Pasted Bridges'!$F:$F,BW$5)</f>
        <v>7.62</v>
      </c>
      <c r="BX12" s="17">
        <f>SUMIFS('Pasted Bridges'!$G:$G,'Pasted Bridges'!$B:$B,$C12,'Pasted Bridges'!$F:$F,BX$5)</f>
        <v>14.52</v>
      </c>
      <c r="BY12" s="17">
        <f>SUMIFS('Pasted Bridges'!$G:$G,'Pasted Bridges'!$B:$B,$C12,'Pasted Bridges'!$F:$F,BY$5)</f>
        <v>13.219999999999999</v>
      </c>
      <c r="BZ12" s="17">
        <f>SUMIFS('Pasted Bridges'!$G:$G,'Pasted Bridges'!$B:$B,$C12,'Pasted Bridges'!$F:$F,BZ$5)</f>
        <v>7.9</v>
      </c>
      <c r="CA12" s="17">
        <f>SUMIFS('Pasted Bridges'!$G:$G,'Pasted Bridges'!$B:$B,$C12,'Pasted Bridges'!$F:$F,CA$5)</f>
        <v>6.88</v>
      </c>
      <c r="CB12" s="17">
        <f>SUMIFS('Pasted Bridges'!$G:$G,'Pasted Bridges'!$B:$B,$C12,'Pasted Bridges'!$F:$F,CB$5)</f>
        <v>8.74</v>
      </c>
      <c r="CC12" s="17">
        <f>SUMIFS('Pasted Bridges'!$G:$G,'Pasted Bridges'!$B:$B,$C12,'Pasted Bridges'!$F:$F,CC$5)</f>
        <v>27.89</v>
      </c>
      <c r="CD12" s="17">
        <f>SUMIFS('Pasted Bridges'!$G:$G,'Pasted Bridges'!$B:$B,$C12,'Pasted Bridges'!$F:$F,CD$5)</f>
        <v>25.72</v>
      </c>
      <c r="CE12" s="17">
        <f>SUMIFS('Pasted Bridges'!$G:$G,'Pasted Bridges'!$B:$B,$C12,'Pasted Bridges'!$F:$F,CE$5)</f>
        <v>15.8</v>
      </c>
      <c r="CF12" s="17">
        <f>SUMIFS('Pasted Bridges'!$G:$G,'Pasted Bridges'!$B:$B,$C12,'Pasted Bridges'!$F:$F,CF$5)</f>
        <v>13.76</v>
      </c>
      <c r="CG12" s="17">
        <f>SUMIFS('Pasted Bridges'!$G:$G,'Pasted Bridges'!$B:$B,$C12,'Pasted Bridges'!$F:$F,CG$5)</f>
        <v>13.370000000000001</v>
      </c>
      <c r="CH12" s="17">
        <f>SUMIFS('Pasted Bridges'!$G:$G,'Pasted Bridges'!$B:$B,$C12,'Pasted Bridges'!$F:$F,CH$5)</f>
        <v>12.86</v>
      </c>
      <c r="CI12" s="17">
        <f>SUMIFS('Pasted Bridges'!$G:$G,'Pasted Bridges'!$B:$B,$C12,'Pasted Bridges'!$F:$F,CI$5)</f>
        <v>22.94</v>
      </c>
      <c r="CJ12" s="17">
        <f>SUMIFS('Pasted Bridges'!$G:$G,'Pasted Bridges'!$B:$B,$C12,'Pasted Bridges'!$F:$F,CJ$5)</f>
        <v>2.57</v>
      </c>
      <c r="CK12" s="17">
        <f>SUMIFS('Pasted Bridges'!$G:$G,'Pasted Bridges'!$B:$B,$C12,'Pasted Bridges'!$F:$F,CK$5)</f>
        <v>18.36</v>
      </c>
      <c r="CL12" s="17">
        <f>SUMIFS('Pasted Bridges'!$G:$G,'Pasted Bridges'!$B:$B,$C12,'Pasted Bridges'!$F:$F,CL$5)</f>
        <v>9.7099999999999991</v>
      </c>
      <c r="CM12" s="17">
        <f>SUMIFS('Pasted Bridges'!$G:$G,'Pasted Bridges'!$B:$B,$C12,'Pasted Bridges'!$F:$F,CM$5)</f>
        <v>8.7899999999999991</v>
      </c>
      <c r="CN12" s="17">
        <f>SUMIFS('Pasted Bridges'!$G:$G,'Pasted Bridges'!$B:$B,$C12,'Pasted Bridges'!$F:$F,CN$5)</f>
        <v>10.9</v>
      </c>
      <c r="CO12" s="17">
        <f>SUMIFS('Pasted Bridges'!$G:$G,'Pasted Bridges'!$B:$B,$C12,'Pasted Bridges'!$F:$F,CO$5)</f>
        <v>17.579999999999998</v>
      </c>
      <c r="CP12" s="17">
        <f>SUMIFS('Pasted Bridges'!$G:$G,'Pasted Bridges'!$B:$B,$C12,'Pasted Bridges'!$F:$F,CP$5)</f>
        <v>21.8</v>
      </c>
      <c r="CQ12" s="17">
        <f>SUMIFS('Pasted Bridges'!$G:$G,'Pasted Bridges'!$B:$B,$C12,'Pasted Bridges'!$F:$F,CQ$5)</f>
        <v>20.7</v>
      </c>
      <c r="CR12" s="17">
        <f>SUMIFS('Pasted Bridges'!$G:$G,'Pasted Bridges'!$B:$B,$C12,'Pasted Bridges'!$F:$F,CR$5)</f>
        <v>15.86</v>
      </c>
      <c r="CS12" s="17">
        <f>SUMIFS('Pasted Bridges'!$G:$G,'Pasted Bridges'!$B:$B,$C12,'Pasted Bridges'!$F:$F,CS$5)</f>
        <v>17.579999999999998</v>
      </c>
      <c r="CT12" s="17">
        <f>SUMIFS('Pasted Bridges'!$G:$G,'Pasted Bridges'!$B:$B,$C12,'Pasted Bridges'!$F:$F,CT$5)</f>
        <v>33.74</v>
      </c>
      <c r="CU12" s="17">
        <f>SUMIFS('Pasted Bridges'!$G:$G,'Pasted Bridges'!$B:$B,$C12,'Pasted Bridges'!$F:$F,CU$5)</f>
        <v>24.14</v>
      </c>
      <c r="CV12" s="17">
        <f>SUMIFS('Pasted Bridges'!$G:$G,'Pasted Bridges'!$B:$B,$C12,'Pasted Bridges'!$F:$F,CV$5)</f>
        <v>8.7899999999999991</v>
      </c>
      <c r="CW12" s="17">
        <f>SUMIFS('Pasted Bridges'!$G:$G,'Pasted Bridges'!$B:$B,$C12,'Pasted Bridges'!$F:$F,CW$5)</f>
        <v>16.87</v>
      </c>
      <c r="CX12" s="17">
        <f>SUMIFS('Pasted Bridges'!$G:$G,'Pasted Bridges'!$B:$B,$C12,'Pasted Bridges'!$F:$F,CX$5)</f>
        <v>12.07</v>
      </c>
      <c r="CY12" s="17">
        <f>SUMIFS('Pasted Bridges'!$G:$G,'Pasted Bridges'!$B:$B,$C12,'Pasted Bridges'!$F:$F,CY$5)</f>
        <v>8.7899999999999991</v>
      </c>
      <c r="CZ12" s="17">
        <f>SUMIFS('Pasted Bridges'!$G:$G,'Pasted Bridges'!$B:$B,$C12,'Pasted Bridges'!$F:$F,CZ$5)</f>
        <v>16.87</v>
      </c>
      <c r="DA12" s="17">
        <f>SUMIFS('Pasted Bridges'!$G:$G,'Pasted Bridges'!$B:$B,$C12,'Pasted Bridges'!$F:$F,DA$5)</f>
        <v>12.07</v>
      </c>
    </row>
    <row r="13" spans="1:105" s="1" customFormat="1" x14ac:dyDescent="0.25">
      <c r="A13" s="10"/>
      <c r="B13" s="43"/>
      <c r="C13" s="19" t="s">
        <v>13</v>
      </c>
      <c r="D13" s="19" t="s">
        <v>161</v>
      </c>
      <c r="E13" s="13" t="s">
        <v>199</v>
      </c>
      <c r="F13" s="2">
        <v>12</v>
      </c>
      <c r="G13" s="5">
        <v>0.1</v>
      </c>
      <c r="H13" s="2">
        <v>0</v>
      </c>
      <c r="I13" s="2">
        <v>0</v>
      </c>
      <c r="J13" s="3"/>
      <c r="K13" s="17">
        <f>SUMIFS('Pasted Bridges'!$G:$G,'Pasted Bridges'!$B:$B,$C13,'Pasted Bridges'!$F:$F,K$5)</f>
        <v>0</v>
      </c>
      <c r="L13" s="17">
        <f>SUMIFS('Pasted Bridges'!$G:$G,'Pasted Bridges'!$B:$B,$C13,'Pasted Bridges'!$F:$F,L$5)</f>
        <v>0</v>
      </c>
      <c r="M13" s="17">
        <f>SUMIFS('Pasted Bridges'!$G:$G,'Pasted Bridges'!$B:$B,$C13,'Pasted Bridges'!$F:$F,M$5)</f>
        <v>0</v>
      </c>
      <c r="N13" s="17">
        <f>SUMIFS('Pasted Bridges'!$G:$G,'Pasted Bridges'!$B:$B,$C13,'Pasted Bridges'!$F:$F,N$5)</f>
        <v>0</v>
      </c>
      <c r="O13" s="17">
        <f>SUMIFS('Pasted Bridges'!$G:$G,'Pasted Bridges'!$B:$B,$C13,'Pasted Bridges'!$F:$F,O$5)</f>
        <v>0</v>
      </c>
      <c r="P13" s="17">
        <f>SUMIFS('Pasted Bridges'!$G:$G,'Pasted Bridges'!$B:$B,$C13,'Pasted Bridges'!$F:$F,P$5)</f>
        <v>0</v>
      </c>
      <c r="Q13" s="17">
        <f>SUMIFS('Pasted Bridges'!$G:$G,'Pasted Bridges'!$B:$B,$C13,'Pasted Bridges'!$F:$F,Q$5)</f>
        <v>0</v>
      </c>
      <c r="R13" s="17">
        <f>SUMIFS('Pasted Bridges'!$G:$G,'Pasted Bridges'!$B:$B,$C13,'Pasted Bridges'!$F:$F,R$5)</f>
        <v>0</v>
      </c>
      <c r="S13" s="17">
        <f>SUMIFS('Pasted Bridges'!$G:$G,'Pasted Bridges'!$B:$B,$C13,'Pasted Bridges'!$F:$F,S$5)</f>
        <v>0</v>
      </c>
      <c r="T13" s="17">
        <f>SUMIFS('Pasted Bridges'!$G:$G,'Pasted Bridges'!$B:$B,$C13,'Pasted Bridges'!$F:$F,T$5)</f>
        <v>0</v>
      </c>
      <c r="U13" s="17">
        <f>SUMIFS('Pasted Bridges'!$G:$G,'Pasted Bridges'!$B:$B,$C13,'Pasted Bridges'!$F:$F,U$5)</f>
        <v>0</v>
      </c>
      <c r="V13" s="17">
        <f>SUMIFS('Pasted Bridges'!$G:$G,'Pasted Bridges'!$B:$B,$C13,'Pasted Bridges'!$F:$F,V$5)</f>
        <v>0</v>
      </c>
      <c r="W13" s="17">
        <f>SUMIFS('Pasted Bridges'!$G:$G,'Pasted Bridges'!$B:$B,$C13,'Pasted Bridges'!$F:$F,W$5)</f>
        <v>0</v>
      </c>
      <c r="X13" s="17">
        <f>SUMIFS('Pasted Bridges'!$G:$G,'Pasted Bridges'!$B:$B,$C13,'Pasted Bridges'!$F:$F,X$5)</f>
        <v>0</v>
      </c>
      <c r="Y13" s="17">
        <f>SUMIFS('Pasted Bridges'!$G:$G,'Pasted Bridges'!$B:$B,$C13,'Pasted Bridges'!$F:$F,Y$5)</f>
        <v>0</v>
      </c>
      <c r="Z13" s="17">
        <f>SUMIFS('Pasted Bridges'!$G:$G,'Pasted Bridges'!$B:$B,$C13,'Pasted Bridges'!$F:$F,Z$5)</f>
        <v>0</v>
      </c>
      <c r="AA13" s="17">
        <f>SUMIFS('Pasted Bridges'!$G:$G,'Pasted Bridges'!$B:$B,$C13,'Pasted Bridges'!$F:$F,AA$5)</f>
        <v>0</v>
      </c>
      <c r="AB13" s="17">
        <f>SUMIFS('Pasted Bridges'!$G:$G,'Pasted Bridges'!$B:$B,$C13,'Pasted Bridges'!$F:$F,AB$5)</f>
        <v>0</v>
      </c>
      <c r="AC13" s="17">
        <f>SUMIFS('Pasted Bridges'!$G:$G,'Pasted Bridges'!$B:$B,$C13,'Pasted Bridges'!$F:$F,AC$5)</f>
        <v>0</v>
      </c>
      <c r="AD13" s="17">
        <f>SUMIFS('Pasted Bridges'!$G:$G,'Pasted Bridges'!$B:$B,$C13,'Pasted Bridges'!$F:$F,AD$5)</f>
        <v>0</v>
      </c>
      <c r="AE13" s="17">
        <f>SUMIFS('Pasted Bridges'!$G:$G,'Pasted Bridges'!$B:$B,$C13,'Pasted Bridges'!$F:$F,AE$5)</f>
        <v>0</v>
      </c>
      <c r="AF13" s="17">
        <f>SUMIFS('Pasted Bridges'!$G:$G,'Pasted Bridges'!$B:$B,$C13,'Pasted Bridges'!$F:$F,AF$5)</f>
        <v>0</v>
      </c>
      <c r="AG13" s="17">
        <f>SUMIFS('Pasted Bridges'!$G:$G,'Pasted Bridges'!$B:$B,$C13,'Pasted Bridges'!$F:$F,AG$5)</f>
        <v>0</v>
      </c>
      <c r="AH13" s="17">
        <f>SUMIFS('Pasted Bridges'!$G:$G,'Pasted Bridges'!$B:$B,$C13,'Pasted Bridges'!$F:$F,AH$5)</f>
        <v>0</v>
      </c>
      <c r="AI13" s="17">
        <f>SUMIFS('Pasted Bridges'!$G:$G,'Pasted Bridges'!$B:$B,$C13,'Pasted Bridges'!$F:$F,AI$5)</f>
        <v>0</v>
      </c>
      <c r="AJ13" s="17">
        <f>SUMIFS('Pasted Bridges'!$G:$G,'Pasted Bridges'!$B:$B,$C13,'Pasted Bridges'!$F:$F,AJ$5)</f>
        <v>0</v>
      </c>
      <c r="AK13" s="17">
        <f>SUMIFS('Pasted Bridges'!$G:$G,'Pasted Bridges'!$B:$B,$C13,'Pasted Bridges'!$F:$F,AK$5)</f>
        <v>0</v>
      </c>
      <c r="AL13" s="17">
        <f>SUMIFS('Pasted Bridges'!$G:$G,'Pasted Bridges'!$B:$B,$C13,'Pasted Bridges'!$F:$F,AL$5)</f>
        <v>0</v>
      </c>
      <c r="AM13" s="17">
        <f>SUMIFS('Pasted Bridges'!$G:$G,'Pasted Bridges'!$B:$B,$C13,'Pasted Bridges'!$F:$F,AM$5)</f>
        <v>0</v>
      </c>
      <c r="AN13" s="17">
        <f>SUMIFS('Pasted Bridges'!$G:$G,'Pasted Bridges'!$B:$B,$C13,'Pasted Bridges'!$F:$F,AN$5)</f>
        <v>0</v>
      </c>
      <c r="AO13" s="17">
        <f>SUMIFS('Pasted Bridges'!$G:$G,'Pasted Bridges'!$B:$B,$C13,'Pasted Bridges'!$F:$F,AO$5)</f>
        <v>0</v>
      </c>
      <c r="AP13" s="17">
        <f>SUMIFS('Pasted Bridges'!$G:$G,'Pasted Bridges'!$B:$B,$C13,'Pasted Bridges'!$F:$F,AP$5)</f>
        <v>0</v>
      </c>
      <c r="AQ13" s="17">
        <f>SUMIFS('Pasted Bridges'!$G:$G,'Pasted Bridges'!$B:$B,$C13,'Pasted Bridges'!$F:$F,AQ$5)</f>
        <v>0</v>
      </c>
      <c r="AR13" s="17">
        <f>SUMIFS('Pasted Bridges'!$G:$G,'Pasted Bridges'!$B:$B,$C13,'Pasted Bridges'!$F:$F,AR$5)</f>
        <v>0</v>
      </c>
      <c r="AS13" s="17">
        <f>SUMIFS('Pasted Bridges'!$G:$G,'Pasted Bridges'!$B:$B,$C13,'Pasted Bridges'!$F:$F,AS$5)</f>
        <v>0</v>
      </c>
      <c r="AT13" s="17">
        <f>SUMIFS('Pasted Bridges'!$G:$G,'Pasted Bridges'!$B:$B,$C13,'Pasted Bridges'!$F:$F,AT$5)</f>
        <v>0</v>
      </c>
      <c r="AU13" s="17">
        <f>SUMIFS('Pasted Bridges'!$G:$G,'Pasted Bridges'!$B:$B,$C13,'Pasted Bridges'!$F:$F,AU$5)</f>
        <v>0</v>
      </c>
      <c r="AV13" s="17">
        <f>SUMIFS('Pasted Bridges'!$G:$G,'Pasted Bridges'!$B:$B,$C13,'Pasted Bridges'!$F:$F,AV$5)</f>
        <v>0</v>
      </c>
      <c r="AW13" s="17">
        <f>SUMIFS('Pasted Bridges'!$G:$G,'Pasted Bridges'!$B:$B,$C13,'Pasted Bridges'!$F:$F,AW$5)</f>
        <v>0</v>
      </c>
      <c r="AX13" s="17">
        <f>SUMIFS('Pasted Bridges'!$G:$G,'Pasted Bridges'!$B:$B,$C13,'Pasted Bridges'!$F:$F,AX$5)</f>
        <v>0</v>
      </c>
      <c r="AY13" s="17">
        <f>SUMIFS('Pasted Bridges'!$G:$G,'Pasted Bridges'!$B:$B,$C13,'Pasted Bridges'!$F:$F,AY$5)</f>
        <v>0</v>
      </c>
      <c r="AZ13" s="17">
        <f>SUMIFS('Pasted Bridges'!$G:$G,'Pasted Bridges'!$B:$B,$C13,'Pasted Bridges'!$F:$F,AZ$5)</f>
        <v>0</v>
      </c>
      <c r="BA13" s="17">
        <f>SUMIFS('Pasted Bridges'!$G:$G,'Pasted Bridges'!$B:$B,$C13,'Pasted Bridges'!$F:$F,BA$5)</f>
        <v>0</v>
      </c>
      <c r="BB13" s="17">
        <f>SUMIFS('Pasted Bridges'!$G:$G,'Pasted Bridges'!$B:$B,$C13,'Pasted Bridges'!$F:$F,BB$5)</f>
        <v>0</v>
      </c>
      <c r="BC13" s="17">
        <f>SUMIFS('Pasted Bridges'!$G:$G,'Pasted Bridges'!$B:$B,$C13,'Pasted Bridges'!$F:$F,BC$5)</f>
        <v>0</v>
      </c>
      <c r="BD13" s="17">
        <f>SUMIFS('Pasted Bridges'!$G:$G,'Pasted Bridges'!$B:$B,$C13,'Pasted Bridges'!$F:$F,BD$5)</f>
        <v>0</v>
      </c>
      <c r="BE13" s="17">
        <f>SUMIFS('Pasted Bridges'!$G:$G,'Pasted Bridges'!$B:$B,$C13,'Pasted Bridges'!$F:$F,BE$5)</f>
        <v>0</v>
      </c>
      <c r="BF13" s="17">
        <f>SUMIFS('Pasted Bridges'!$G:$G,'Pasted Bridges'!$B:$B,$C13,'Pasted Bridges'!$F:$F,BF$5)</f>
        <v>0</v>
      </c>
      <c r="BG13" s="17">
        <f>SUMIFS('Pasted Bridges'!$G:$G,'Pasted Bridges'!$B:$B,$C13,'Pasted Bridges'!$F:$F,BG$5)</f>
        <v>0</v>
      </c>
      <c r="BH13" s="17">
        <f>SUMIFS('Pasted Bridges'!$G:$G,'Pasted Bridges'!$B:$B,$C13,'Pasted Bridges'!$F:$F,BH$5)</f>
        <v>0</v>
      </c>
      <c r="BI13" s="17">
        <f>SUMIFS('Pasted Bridges'!$G:$G,'Pasted Bridges'!$B:$B,$C13,'Pasted Bridges'!$F:$F,BI$5)</f>
        <v>0</v>
      </c>
      <c r="BJ13" s="17">
        <f>SUMIFS('Pasted Bridges'!$G:$G,'Pasted Bridges'!$B:$B,$C13,'Pasted Bridges'!$F:$F,BJ$5)</f>
        <v>0</v>
      </c>
      <c r="BK13" s="17">
        <f>SUMIFS('Pasted Bridges'!$G:$G,'Pasted Bridges'!$B:$B,$C13,'Pasted Bridges'!$F:$F,BK$5)</f>
        <v>0</v>
      </c>
      <c r="BL13" s="17">
        <f>SUMIFS('Pasted Bridges'!$G:$G,'Pasted Bridges'!$B:$B,$C13,'Pasted Bridges'!$F:$F,BL$5)</f>
        <v>0</v>
      </c>
      <c r="BM13" s="17">
        <f>SUMIFS('Pasted Bridges'!$G:$G,'Pasted Bridges'!$B:$B,$C13,'Pasted Bridges'!$F:$F,BM$5)</f>
        <v>0</v>
      </c>
      <c r="BN13" s="17">
        <f>SUMIFS('Pasted Bridges'!$G:$G,'Pasted Bridges'!$B:$B,$C13,'Pasted Bridges'!$F:$F,BN$5)</f>
        <v>0</v>
      </c>
      <c r="BO13" s="17">
        <f>SUMIFS('Pasted Bridges'!$G:$G,'Pasted Bridges'!$B:$B,$C13,'Pasted Bridges'!$F:$F,BO$5)</f>
        <v>0</v>
      </c>
      <c r="BP13" s="17">
        <f>SUMIFS('Pasted Bridges'!$G:$G,'Pasted Bridges'!$B:$B,$C13,'Pasted Bridges'!$F:$F,BP$5)</f>
        <v>0</v>
      </c>
      <c r="BQ13" s="17">
        <f>SUMIFS('Pasted Bridges'!$G:$G,'Pasted Bridges'!$B:$B,$C13,'Pasted Bridges'!$F:$F,BQ$5)</f>
        <v>0</v>
      </c>
      <c r="BR13" s="17">
        <f>SUMIFS('Pasted Bridges'!$G:$G,'Pasted Bridges'!$B:$B,$C13,'Pasted Bridges'!$F:$F,BR$5)</f>
        <v>0</v>
      </c>
      <c r="BS13" s="17">
        <f>SUMIFS('Pasted Bridges'!$G:$G,'Pasted Bridges'!$B:$B,$C13,'Pasted Bridges'!$F:$F,BS$5)</f>
        <v>0</v>
      </c>
      <c r="BT13" s="17">
        <f>SUMIFS('Pasted Bridges'!$G:$G,'Pasted Bridges'!$B:$B,$C13,'Pasted Bridges'!$F:$F,BT$5)</f>
        <v>0</v>
      </c>
      <c r="BU13" s="17">
        <f>SUMIFS('Pasted Bridges'!$G:$G,'Pasted Bridges'!$B:$B,$C13,'Pasted Bridges'!$F:$F,BU$5)</f>
        <v>0</v>
      </c>
      <c r="BV13" s="17">
        <f>SUMIFS('Pasted Bridges'!$G:$G,'Pasted Bridges'!$B:$B,$C13,'Pasted Bridges'!$F:$F,BV$5)</f>
        <v>0</v>
      </c>
      <c r="BW13" s="17">
        <f>SUMIFS('Pasted Bridges'!$G:$G,'Pasted Bridges'!$B:$B,$C13,'Pasted Bridges'!$F:$F,BW$5)</f>
        <v>0</v>
      </c>
      <c r="BX13" s="17">
        <f>SUMIFS('Pasted Bridges'!$G:$G,'Pasted Bridges'!$B:$B,$C13,'Pasted Bridges'!$F:$F,BX$5)</f>
        <v>0</v>
      </c>
      <c r="BY13" s="17">
        <f>SUMIFS('Pasted Bridges'!$G:$G,'Pasted Bridges'!$B:$B,$C13,'Pasted Bridges'!$F:$F,BY$5)</f>
        <v>0</v>
      </c>
      <c r="BZ13" s="17">
        <f>SUMIFS('Pasted Bridges'!$G:$G,'Pasted Bridges'!$B:$B,$C13,'Pasted Bridges'!$F:$F,BZ$5)</f>
        <v>0</v>
      </c>
      <c r="CA13" s="17">
        <f>SUMIFS('Pasted Bridges'!$G:$G,'Pasted Bridges'!$B:$B,$C13,'Pasted Bridges'!$F:$F,CA$5)</f>
        <v>0</v>
      </c>
      <c r="CB13" s="17">
        <f>SUMIFS('Pasted Bridges'!$G:$G,'Pasted Bridges'!$B:$B,$C13,'Pasted Bridges'!$F:$F,CB$5)</f>
        <v>0</v>
      </c>
      <c r="CC13" s="17">
        <f>SUMIFS('Pasted Bridges'!$G:$G,'Pasted Bridges'!$B:$B,$C13,'Pasted Bridges'!$F:$F,CC$5)</f>
        <v>0</v>
      </c>
      <c r="CD13" s="17">
        <f>SUMIFS('Pasted Bridges'!$G:$G,'Pasted Bridges'!$B:$B,$C13,'Pasted Bridges'!$F:$F,CD$5)</f>
        <v>0</v>
      </c>
      <c r="CE13" s="17">
        <f>SUMIFS('Pasted Bridges'!$G:$G,'Pasted Bridges'!$B:$B,$C13,'Pasted Bridges'!$F:$F,CE$5)</f>
        <v>0</v>
      </c>
      <c r="CF13" s="17">
        <f>SUMIFS('Pasted Bridges'!$G:$G,'Pasted Bridges'!$B:$B,$C13,'Pasted Bridges'!$F:$F,CF$5)</f>
        <v>0</v>
      </c>
      <c r="CG13" s="17">
        <f>SUMIFS('Pasted Bridges'!$G:$G,'Pasted Bridges'!$B:$B,$C13,'Pasted Bridges'!$F:$F,CG$5)</f>
        <v>0</v>
      </c>
      <c r="CH13" s="17">
        <f>SUMIFS('Pasted Bridges'!$G:$G,'Pasted Bridges'!$B:$B,$C13,'Pasted Bridges'!$F:$F,CH$5)</f>
        <v>0</v>
      </c>
      <c r="CI13" s="17">
        <f>SUMIFS('Pasted Bridges'!$G:$G,'Pasted Bridges'!$B:$B,$C13,'Pasted Bridges'!$F:$F,CI$5)</f>
        <v>0</v>
      </c>
      <c r="CJ13" s="17">
        <f>SUMIFS('Pasted Bridges'!$G:$G,'Pasted Bridges'!$B:$B,$C13,'Pasted Bridges'!$F:$F,CJ$5)</f>
        <v>0</v>
      </c>
      <c r="CK13" s="17">
        <f>SUMIFS('Pasted Bridges'!$G:$G,'Pasted Bridges'!$B:$B,$C13,'Pasted Bridges'!$F:$F,CK$5)</f>
        <v>0</v>
      </c>
      <c r="CL13" s="17">
        <f>SUMIFS('Pasted Bridges'!$G:$G,'Pasted Bridges'!$B:$B,$C13,'Pasted Bridges'!$F:$F,CL$5)</f>
        <v>0</v>
      </c>
      <c r="CM13" s="17">
        <f>SUMIFS('Pasted Bridges'!$G:$G,'Pasted Bridges'!$B:$B,$C13,'Pasted Bridges'!$F:$F,CM$5)</f>
        <v>0</v>
      </c>
      <c r="CN13" s="17">
        <f>SUMIFS('Pasted Bridges'!$G:$G,'Pasted Bridges'!$B:$B,$C13,'Pasted Bridges'!$F:$F,CN$5)</f>
        <v>0</v>
      </c>
      <c r="CO13" s="17">
        <f>SUMIFS('Pasted Bridges'!$G:$G,'Pasted Bridges'!$B:$B,$C13,'Pasted Bridges'!$F:$F,CO$5)</f>
        <v>0</v>
      </c>
      <c r="CP13" s="17">
        <f>SUMIFS('Pasted Bridges'!$G:$G,'Pasted Bridges'!$B:$B,$C13,'Pasted Bridges'!$F:$F,CP$5)</f>
        <v>0</v>
      </c>
      <c r="CQ13" s="17">
        <f>SUMIFS('Pasted Bridges'!$G:$G,'Pasted Bridges'!$B:$B,$C13,'Pasted Bridges'!$F:$F,CQ$5)</f>
        <v>0</v>
      </c>
      <c r="CR13" s="17">
        <f>SUMIFS('Pasted Bridges'!$G:$G,'Pasted Bridges'!$B:$B,$C13,'Pasted Bridges'!$F:$F,CR$5)</f>
        <v>0</v>
      </c>
      <c r="CS13" s="17">
        <f>SUMIFS('Pasted Bridges'!$G:$G,'Pasted Bridges'!$B:$B,$C13,'Pasted Bridges'!$F:$F,CS$5)</f>
        <v>0</v>
      </c>
      <c r="CT13" s="17">
        <f>SUMIFS('Pasted Bridges'!$G:$G,'Pasted Bridges'!$B:$B,$C13,'Pasted Bridges'!$F:$F,CT$5)</f>
        <v>0</v>
      </c>
      <c r="CU13" s="17">
        <f>SUMIFS('Pasted Bridges'!$G:$G,'Pasted Bridges'!$B:$B,$C13,'Pasted Bridges'!$F:$F,CU$5)</f>
        <v>0</v>
      </c>
      <c r="CV13" s="17">
        <f>SUMIFS('Pasted Bridges'!$G:$G,'Pasted Bridges'!$B:$B,$C13,'Pasted Bridges'!$F:$F,CV$5)</f>
        <v>0</v>
      </c>
      <c r="CW13" s="17">
        <f>SUMIFS('Pasted Bridges'!$G:$G,'Pasted Bridges'!$B:$B,$C13,'Pasted Bridges'!$F:$F,CW$5)</f>
        <v>0</v>
      </c>
      <c r="CX13" s="17">
        <f>SUMIFS('Pasted Bridges'!$G:$G,'Pasted Bridges'!$B:$B,$C13,'Pasted Bridges'!$F:$F,CX$5)</f>
        <v>0</v>
      </c>
      <c r="CY13" s="17">
        <f>SUMIFS('Pasted Bridges'!$G:$G,'Pasted Bridges'!$B:$B,$C13,'Pasted Bridges'!$F:$F,CY$5)</f>
        <v>0</v>
      </c>
      <c r="CZ13" s="17">
        <f>SUMIFS('Pasted Bridges'!$G:$G,'Pasted Bridges'!$B:$B,$C13,'Pasted Bridges'!$F:$F,CZ$5)</f>
        <v>0</v>
      </c>
      <c r="DA13" s="17">
        <f>SUMIFS('Pasted Bridges'!$G:$G,'Pasted Bridges'!$B:$B,$C13,'Pasted Bridges'!$F:$F,DA$5)</f>
        <v>0</v>
      </c>
    </row>
    <row r="14" spans="1:105" s="1" customFormat="1" x14ac:dyDescent="0.25">
      <c r="A14" s="10"/>
      <c r="B14" s="44"/>
      <c r="C14" s="19" t="s">
        <v>52</v>
      </c>
      <c r="D14" s="19" t="s">
        <v>162</v>
      </c>
      <c r="E14" s="13" t="s">
        <v>199</v>
      </c>
      <c r="F14" s="2">
        <v>13</v>
      </c>
      <c r="G14" s="14">
        <v>0.15</v>
      </c>
      <c r="H14" s="15">
        <f>2*0.02</f>
        <v>0.04</v>
      </c>
      <c r="I14" s="2">
        <v>0.02</v>
      </c>
      <c r="J14" s="3"/>
      <c r="K14" s="17">
        <f>SUMIFS('Pasted Bridges'!$G:$G,'Pasted Bridges'!$B:$B,$C14,'Pasted Bridges'!$F:$F,K$5)</f>
        <v>14.790000000000001</v>
      </c>
      <c r="L14" s="17">
        <f>SUMIFS('Pasted Bridges'!$G:$G,'Pasted Bridges'!$B:$B,$C14,'Pasted Bridges'!$F:$F,L$5)</f>
        <v>14.79</v>
      </c>
      <c r="M14" s="17">
        <f>SUMIFS('Pasted Bridges'!$G:$G,'Pasted Bridges'!$B:$B,$C14,'Pasted Bridges'!$F:$F,M$5)</f>
        <v>9</v>
      </c>
      <c r="N14" s="17">
        <f>SUMIFS('Pasted Bridges'!$G:$G,'Pasted Bridges'!$B:$B,$C14,'Pasted Bridges'!$F:$F,N$5)</f>
        <v>10.91</v>
      </c>
      <c r="O14" s="17">
        <f>SUMIFS('Pasted Bridges'!$G:$G,'Pasted Bridges'!$B:$B,$C14,'Pasted Bridges'!$F:$F,O$5)</f>
        <v>10.06</v>
      </c>
      <c r="P14" s="17">
        <f>SUMIFS('Pasted Bridges'!$G:$G,'Pasted Bridges'!$B:$B,$C14,'Pasted Bridges'!$F:$F,P$5)</f>
        <v>9</v>
      </c>
      <c r="Q14" s="17">
        <f>SUMIFS('Pasted Bridges'!$G:$G,'Pasted Bridges'!$B:$B,$C14,'Pasted Bridges'!$F:$F,Q$5)</f>
        <v>7.5</v>
      </c>
      <c r="R14" s="17">
        <f>SUMIFS('Pasted Bridges'!$G:$G,'Pasted Bridges'!$B:$B,$C14,'Pasted Bridges'!$F:$F,R$5)</f>
        <v>5.74</v>
      </c>
      <c r="S14" s="17">
        <f>SUMIFS('Pasted Bridges'!$G:$G,'Pasted Bridges'!$B:$B,$C14,'Pasted Bridges'!$F:$F,S$5)</f>
        <v>5.72</v>
      </c>
      <c r="T14" s="17">
        <f>SUMIFS('Pasted Bridges'!$G:$G,'Pasted Bridges'!$B:$B,$C14,'Pasted Bridges'!$F:$F,T$5)</f>
        <v>7.52</v>
      </c>
      <c r="U14" s="17">
        <f>SUMIFS('Pasted Bridges'!$G:$G,'Pasted Bridges'!$B:$B,$C14,'Pasted Bridges'!$F:$F,U$5)</f>
        <v>5.88</v>
      </c>
      <c r="V14" s="17">
        <f>SUMIFS('Pasted Bridges'!$G:$G,'Pasted Bridges'!$B:$B,$C14,'Pasted Bridges'!$F:$F,V$5)</f>
        <v>5.87</v>
      </c>
      <c r="W14" s="17">
        <f>SUMIFS('Pasted Bridges'!$G:$G,'Pasted Bridges'!$B:$B,$C14,'Pasted Bridges'!$F:$F,W$5)</f>
        <v>4.5</v>
      </c>
      <c r="X14" s="17">
        <f>SUMIFS('Pasted Bridges'!$G:$G,'Pasted Bridges'!$B:$B,$C14,'Pasted Bridges'!$F:$F,X$5)</f>
        <v>4.5</v>
      </c>
      <c r="Y14" s="17">
        <f>SUMIFS('Pasted Bridges'!$G:$G,'Pasted Bridges'!$B:$B,$C14,'Pasted Bridges'!$F:$F,Y$5)</f>
        <v>4.93</v>
      </c>
      <c r="Z14" s="17">
        <f>SUMIFS('Pasted Bridges'!$G:$G,'Pasted Bridges'!$B:$B,$C14,'Pasted Bridges'!$F:$F,Z$5)</f>
        <v>3.1799999999999997</v>
      </c>
      <c r="AA14" s="17">
        <f>SUMIFS('Pasted Bridges'!$G:$G,'Pasted Bridges'!$B:$B,$C14,'Pasted Bridges'!$F:$F,AA$5)</f>
        <v>4.9400000000000004</v>
      </c>
      <c r="AB14" s="17">
        <f>SUMIFS('Pasted Bridges'!$G:$G,'Pasted Bridges'!$B:$B,$C14,'Pasted Bridges'!$F:$F,AB$5)</f>
        <v>15.52</v>
      </c>
      <c r="AC14" s="17">
        <f>SUMIFS('Pasted Bridges'!$G:$G,'Pasted Bridges'!$B:$B,$C14,'Pasted Bridges'!$F:$F,AC$5)</f>
        <v>15.54</v>
      </c>
      <c r="AD14" s="17">
        <f>SUMIFS('Pasted Bridges'!$G:$G,'Pasted Bridges'!$B:$B,$C14,'Pasted Bridges'!$F:$F,AD$5)</f>
        <v>10.450000000000001</v>
      </c>
      <c r="AE14" s="17">
        <f>SUMIFS('Pasted Bridges'!$G:$G,'Pasted Bridges'!$B:$B,$C14,'Pasted Bridges'!$F:$F,AE$5)</f>
        <v>8.18</v>
      </c>
      <c r="AF14" s="17">
        <f>SUMIFS('Pasted Bridges'!$G:$G,'Pasted Bridges'!$B:$B,$C14,'Pasted Bridges'!$F:$F,AF$5)</f>
        <v>8.4600000000000009</v>
      </c>
      <c r="AG14" s="17">
        <f>SUMIFS('Pasted Bridges'!$G:$G,'Pasted Bridges'!$B:$B,$C14,'Pasted Bridges'!$F:$F,AG$5)</f>
        <v>10.83</v>
      </c>
      <c r="AH14" s="17">
        <f>SUMIFS('Pasted Bridges'!$G:$G,'Pasted Bridges'!$B:$B,$C14,'Pasted Bridges'!$F:$F,AH$5)</f>
        <v>8.4600000000000009</v>
      </c>
      <c r="AI14" s="17">
        <f>SUMIFS('Pasted Bridges'!$G:$G,'Pasted Bridges'!$B:$B,$C14,'Pasted Bridges'!$F:$F,AI$5)</f>
        <v>7.57</v>
      </c>
      <c r="AJ14" s="17">
        <f>SUMIFS('Pasted Bridges'!$G:$G,'Pasted Bridges'!$B:$B,$C14,'Pasted Bridges'!$F:$F,AJ$5)</f>
        <v>10.45</v>
      </c>
      <c r="AK14" s="17">
        <f>SUMIFS('Pasted Bridges'!$G:$G,'Pasted Bridges'!$B:$B,$C14,'Pasted Bridges'!$F:$F,AK$5)</f>
        <v>5.75</v>
      </c>
      <c r="AL14" s="17">
        <f>SUMIFS('Pasted Bridges'!$G:$G,'Pasted Bridges'!$B:$B,$C14,'Pasted Bridges'!$F:$F,AL$5)</f>
        <v>5.2200000000000006</v>
      </c>
      <c r="AM14" s="17">
        <f>SUMIFS('Pasted Bridges'!$G:$G,'Pasted Bridges'!$B:$B,$C14,'Pasted Bridges'!$F:$F,AM$5)</f>
        <v>4.37</v>
      </c>
      <c r="AN14" s="17">
        <f>SUMIFS('Pasted Bridges'!$G:$G,'Pasted Bridges'!$B:$B,$C14,'Pasted Bridges'!$F:$F,AN$5)</f>
        <v>4.37</v>
      </c>
      <c r="AO14" s="17">
        <f>SUMIFS('Pasted Bridges'!$G:$G,'Pasted Bridges'!$B:$B,$C14,'Pasted Bridges'!$F:$F,AO$5)</f>
        <v>5.2200000000000006</v>
      </c>
      <c r="AP14" s="17">
        <f>SUMIFS('Pasted Bridges'!$G:$G,'Pasted Bridges'!$B:$B,$C14,'Pasted Bridges'!$F:$F,AP$5)</f>
        <v>6.9599999999999991</v>
      </c>
      <c r="AQ14" s="17">
        <f>SUMIFS('Pasted Bridges'!$G:$G,'Pasted Bridges'!$B:$B,$C14,'Pasted Bridges'!$F:$F,AQ$5)</f>
        <v>7.64</v>
      </c>
      <c r="AR14" s="17">
        <f>SUMIFS('Pasted Bridges'!$G:$G,'Pasted Bridges'!$B:$B,$C14,'Pasted Bridges'!$F:$F,AR$5)</f>
        <v>6.9499999999999993</v>
      </c>
      <c r="AS14" s="17">
        <f>SUMIFS('Pasted Bridges'!$G:$G,'Pasted Bridges'!$B:$B,$C14,'Pasted Bridges'!$F:$F,AS$5)</f>
        <v>7.6399999999999988</v>
      </c>
      <c r="AT14" s="17">
        <f>SUMIFS('Pasted Bridges'!$G:$G,'Pasted Bridges'!$B:$B,$C14,'Pasted Bridges'!$F:$F,AT$5)</f>
        <v>6.3900000000000006</v>
      </c>
      <c r="AU14" s="17">
        <f>SUMIFS('Pasted Bridges'!$G:$G,'Pasted Bridges'!$B:$B,$C14,'Pasted Bridges'!$F:$F,AU$5)</f>
        <v>6.4</v>
      </c>
      <c r="AV14" s="17">
        <f>SUMIFS('Pasted Bridges'!$G:$G,'Pasted Bridges'!$B:$B,$C14,'Pasted Bridges'!$F:$F,AV$5)</f>
        <v>6.3999999999999995</v>
      </c>
      <c r="AW14" s="17">
        <f>SUMIFS('Pasted Bridges'!$G:$G,'Pasted Bridges'!$B:$B,$C14,'Pasted Bridges'!$F:$F,AW$5)</f>
        <v>3.82</v>
      </c>
      <c r="AX14" s="17">
        <f>SUMIFS('Pasted Bridges'!$G:$G,'Pasted Bridges'!$B:$B,$C14,'Pasted Bridges'!$F:$F,AX$5)</f>
        <v>3.2</v>
      </c>
      <c r="AY14" s="17">
        <f>SUMIFS('Pasted Bridges'!$G:$G,'Pasted Bridges'!$B:$B,$C14,'Pasted Bridges'!$F:$F,AY$5)</f>
        <v>3.1999999999999997</v>
      </c>
      <c r="AZ14" s="17">
        <f>SUMIFS('Pasted Bridges'!$G:$G,'Pasted Bridges'!$B:$B,$C14,'Pasted Bridges'!$F:$F,AZ$5)</f>
        <v>3.2699999999999996</v>
      </c>
      <c r="BA14" s="17">
        <f>SUMIFS('Pasted Bridges'!$G:$G,'Pasted Bridges'!$B:$B,$C14,'Pasted Bridges'!$F:$F,BA$5)</f>
        <v>4.2</v>
      </c>
      <c r="BB14" s="17">
        <f>SUMIFS('Pasted Bridges'!$G:$G,'Pasted Bridges'!$B:$B,$C14,'Pasted Bridges'!$F:$F,BB$5)</f>
        <v>12.83</v>
      </c>
      <c r="BC14" s="17">
        <f>SUMIFS('Pasted Bridges'!$G:$G,'Pasted Bridges'!$B:$B,$C14,'Pasted Bridges'!$F:$F,BC$5)</f>
        <v>10.590000000000002</v>
      </c>
      <c r="BD14" s="17">
        <f>SUMIFS('Pasted Bridges'!$G:$G,'Pasted Bridges'!$B:$B,$C14,'Pasted Bridges'!$F:$F,BD$5)</f>
        <v>10.600000000000001</v>
      </c>
      <c r="BE14" s="17">
        <f>SUMIFS('Pasted Bridges'!$G:$G,'Pasted Bridges'!$B:$B,$C14,'Pasted Bridges'!$F:$F,BE$5)</f>
        <v>12.82</v>
      </c>
      <c r="BF14" s="17">
        <f>SUMIFS('Pasted Bridges'!$G:$G,'Pasted Bridges'!$B:$B,$C14,'Pasted Bridges'!$F:$F,BF$5)</f>
        <v>9.1900000000000013</v>
      </c>
      <c r="BG14" s="17">
        <f>SUMIFS('Pasted Bridges'!$G:$G,'Pasted Bridges'!$B:$B,$C14,'Pasted Bridges'!$F:$F,BG$5)</f>
        <v>8.5399999999999991</v>
      </c>
      <c r="BH14" s="17">
        <f>SUMIFS('Pasted Bridges'!$G:$G,'Pasted Bridges'!$B:$B,$C14,'Pasted Bridges'!$F:$F,BH$5)</f>
        <v>9.2100000000000009</v>
      </c>
      <c r="BI14" s="17">
        <f>SUMIFS('Pasted Bridges'!$G:$G,'Pasted Bridges'!$B:$B,$C14,'Pasted Bridges'!$F:$F,BI$5)</f>
        <v>6.69</v>
      </c>
      <c r="BJ14" s="17">
        <f>SUMIFS('Pasted Bridges'!$G:$G,'Pasted Bridges'!$B:$B,$C14,'Pasted Bridges'!$F:$F,BJ$5)</f>
        <v>5.95</v>
      </c>
      <c r="BK14" s="17">
        <f>SUMIFS('Pasted Bridges'!$G:$G,'Pasted Bridges'!$B:$B,$C14,'Pasted Bridges'!$F:$F,BK$5)</f>
        <v>8.34</v>
      </c>
      <c r="BL14" s="17">
        <f>SUMIFS('Pasted Bridges'!$G:$G,'Pasted Bridges'!$B:$B,$C14,'Pasted Bridges'!$F:$F,BL$5)</f>
        <v>9.98</v>
      </c>
      <c r="BM14" s="17">
        <f>SUMIFS('Pasted Bridges'!$G:$G,'Pasted Bridges'!$B:$B,$C14,'Pasted Bridges'!$F:$F,BM$5)</f>
        <v>10.48</v>
      </c>
      <c r="BN14" s="17">
        <f>SUMIFS('Pasted Bridges'!$G:$G,'Pasted Bridges'!$B:$B,$C14,'Pasted Bridges'!$F:$F,BN$5)</f>
        <v>10.48</v>
      </c>
      <c r="BO14" s="17">
        <f>SUMIFS('Pasted Bridges'!$G:$G,'Pasted Bridges'!$B:$B,$C14,'Pasted Bridges'!$F:$F,BO$5)</f>
        <v>5.69</v>
      </c>
      <c r="BP14" s="17">
        <f>SUMIFS('Pasted Bridges'!$G:$G,'Pasted Bridges'!$B:$B,$C14,'Pasted Bridges'!$F:$F,BP$5)</f>
        <v>5.69</v>
      </c>
      <c r="BQ14" s="17">
        <f>SUMIFS('Pasted Bridges'!$G:$G,'Pasted Bridges'!$B:$B,$C14,'Pasted Bridges'!$F:$F,BQ$5)</f>
        <v>4.2699999999999996</v>
      </c>
      <c r="BR14" s="17">
        <f>SUMIFS('Pasted Bridges'!$G:$G,'Pasted Bridges'!$B:$B,$C14,'Pasted Bridges'!$F:$F,BR$5)</f>
        <v>4.99</v>
      </c>
      <c r="BS14" s="17">
        <f>SUMIFS('Pasted Bridges'!$G:$G,'Pasted Bridges'!$B:$B,$C14,'Pasted Bridges'!$F:$F,BS$5)</f>
        <v>3.72</v>
      </c>
      <c r="BT14" s="17">
        <f>SUMIFS('Pasted Bridges'!$G:$G,'Pasted Bridges'!$B:$B,$C14,'Pasted Bridges'!$F:$F,BT$5)</f>
        <v>2.98</v>
      </c>
      <c r="BU14" s="17">
        <f>SUMIFS('Pasted Bridges'!$G:$G,'Pasted Bridges'!$B:$B,$C14,'Pasted Bridges'!$F:$F,BU$5)</f>
        <v>4.1999999999999993</v>
      </c>
      <c r="BV14" s="17">
        <f>SUMIFS('Pasted Bridges'!$G:$G,'Pasted Bridges'!$B:$B,$C14,'Pasted Bridges'!$F:$F,BV$5)</f>
        <v>4.99</v>
      </c>
      <c r="BW14" s="17">
        <f>SUMIFS('Pasted Bridges'!$G:$G,'Pasted Bridges'!$B:$B,$C14,'Pasted Bridges'!$F:$F,BW$5)</f>
        <v>7.5299999999999994</v>
      </c>
      <c r="BX14" s="17">
        <f>SUMIFS('Pasted Bridges'!$G:$G,'Pasted Bridges'!$B:$B,$C14,'Pasted Bridges'!$F:$F,BX$5)</f>
        <v>10.09</v>
      </c>
      <c r="BY14" s="17">
        <f>SUMIFS('Pasted Bridges'!$G:$G,'Pasted Bridges'!$B:$B,$C14,'Pasted Bridges'!$F:$F,BY$5)</f>
        <v>11.66</v>
      </c>
      <c r="BZ14" s="17">
        <f>SUMIFS('Pasted Bridges'!$G:$G,'Pasted Bridges'!$B:$B,$C14,'Pasted Bridges'!$F:$F,BZ$5)</f>
        <v>3.89</v>
      </c>
      <c r="CA14" s="17">
        <f>SUMIFS('Pasted Bridges'!$G:$G,'Pasted Bridges'!$B:$B,$C14,'Pasted Bridges'!$F:$F,CA$5)</f>
        <v>3.39</v>
      </c>
      <c r="CB14" s="17">
        <f>SUMIFS('Pasted Bridges'!$G:$G,'Pasted Bridges'!$B:$B,$C14,'Pasted Bridges'!$F:$F,CB$5)</f>
        <v>6.3999999999999986</v>
      </c>
      <c r="CC14" s="17">
        <f>SUMIFS('Pasted Bridges'!$G:$G,'Pasted Bridges'!$B:$B,$C14,'Pasted Bridges'!$F:$F,CC$5)</f>
        <v>10.09</v>
      </c>
      <c r="CD14" s="17">
        <f>SUMIFS('Pasted Bridges'!$G:$G,'Pasted Bridges'!$B:$B,$C14,'Pasted Bridges'!$F:$F,CD$5)</f>
        <v>8.379999999999999</v>
      </c>
      <c r="CE14" s="17">
        <f>SUMIFS('Pasted Bridges'!$G:$G,'Pasted Bridges'!$B:$B,$C14,'Pasted Bridges'!$F:$F,CE$5)</f>
        <v>7.78</v>
      </c>
      <c r="CF14" s="17">
        <f>SUMIFS('Pasted Bridges'!$G:$G,'Pasted Bridges'!$B:$B,$C14,'Pasted Bridges'!$F:$F,CF$5)</f>
        <v>6.78</v>
      </c>
      <c r="CG14" s="17">
        <f>SUMIFS('Pasted Bridges'!$G:$G,'Pasted Bridges'!$B:$B,$C14,'Pasted Bridges'!$F:$F,CG$5)</f>
        <v>5.62</v>
      </c>
      <c r="CH14" s="17">
        <f>SUMIFS('Pasted Bridges'!$G:$G,'Pasted Bridges'!$B:$B,$C14,'Pasted Bridges'!$F:$F,CH$5)</f>
        <v>4.1899999999999995</v>
      </c>
      <c r="CI14" s="17">
        <f>SUMIFS('Pasted Bridges'!$G:$G,'Pasted Bridges'!$B:$B,$C14,'Pasted Bridges'!$F:$F,CI$5)</f>
        <v>3.93</v>
      </c>
      <c r="CJ14" s="17">
        <f>SUMIFS('Pasted Bridges'!$G:$G,'Pasted Bridges'!$B:$B,$C14,'Pasted Bridges'!$F:$F,CJ$5)</f>
        <v>3.39</v>
      </c>
      <c r="CK14" s="17">
        <f>SUMIFS('Pasted Bridges'!$G:$G,'Pasted Bridges'!$B:$B,$C14,'Pasted Bridges'!$F:$F,CK$5)</f>
        <v>6.1</v>
      </c>
      <c r="CL14" s="17">
        <f>SUMIFS('Pasted Bridges'!$G:$G,'Pasted Bridges'!$B:$B,$C14,'Pasted Bridges'!$F:$F,CL$5)</f>
        <v>11.82</v>
      </c>
      <c r="CM14" s="17">
        <f>SUMIFS('Pasted Bridges'!$G:$G,'Pasted Bridges'!$B:$B,$C14,'Pasted Bridges'!$F:$F,CM$5)</f>
        <v>17.919999999999998</v>
      </c>
      <c r="CN14" s="17">
        <f>SUMIFS('Pasted Bridges'!$G:$G,'Pasted Bridges'!$B:$B,$C14,'Pasted Bridges'!$F:$F,CN$5)</f>
        <v>12.58</v>
      </c>
      <c r="CO14" s="17">
        <f>SUMIFS('Pasted Bridges'!$G:$G,'Pasted Bridges'!$B:$B,$C14,'Pasted Bridges'!$F:$F,CO$5)</f>
        <v>17.940000000000001</v>
      </c>
      <c r="CP14" s="17">
        <f>SUMIFS('Pasted Bridges'!$G:$G,'Pasted Bridges'!$B:$B,$C14,'Pasted Bridges'!$F:$F,CP$5)</f>
        <v>12.58</v>
      </c>
      <c r="CQ14" s="17">
        <f>SUMIFS('Pasted Bridges'!$G:$G,'Pasted Bridges'!$B:$B,$C14,'Pasted Bridges'!$F:$F,CQ$5)</f>
        <v>12.2</v>
      </c>
      <c r="CR14" s="17">
        <f>SUMIFS('Pasted Bridges'!$G:$G,'Pasted Bridges'!$B:$B,$C14,'Pasted Bridges'!$F:$F,CR$5)</f>
        <v>11.82</v>
      </c>
      <c r="CS14" s="17">
        <f>SUMIFS('Pasted Bridges'!$G:$G,'Pasted Bridges'!$B:$B,$C14,'Pasted Bridges'!$F:$F,CS$5)</f>
        <v>17.920000000000002</v>
      </c>
      <c r="CT14" s="17">
        <f>SUMIFS('Pasted Bridges'!$G:$G,'Pasted Bridges'!$B:$B,$C14,'Pasted Bridges'!$F:$F,CT$5)</f>
        <v>12.58</v>
      </c>
      <c r="CU14" s="17">
        <f>SUMIFS('Pasted Bridges'!$G:$G,'Pasted Bridges'!$B:$B,$C14,'Pasted Bridges'!$F:$F,CU$5)</f>
        <v>11.84</v>
      </c>
      <c r="CV14" s="17">
        <f>SUMIFS('Pasted Bridges'!$G:$G,'Pasted Bridges'!$B:$B,$C14,'Pasted Bridges'!$F:$F,CV$5)</f>
        <v>8.9699999999999989</v>
      </c>
      <c r="CW14" s="17">
        <f>SUMIFS('Pasted Bridges'!$G:$G,'Pasted Bridges'!$B:$B,$C14,'Pasted Bridges'!$F:$F,CW$5)</f>
        <v>6.29</v>
      </c>
      <c r="CX14" s="17">
        <f>SUMIFS('Pasted Bridges'!$G:$G,'Pasted Bridges'!$B:$B,$C14,'Pasted Bridges'!$F:$F,CX$5)</f>
        <v>5.91</v>
      </c>
      <c r="CY14" s="17">
        <f>SUMIFS('Pasted Bridges'!$G:$G,'Pasted Bridges'!$B:$B,$C14,'Pasted Bridges'!$F:$F,CY$5)</f>
        <v>8.9600000000000009</v>
      </c>
      <c r="CZ14" s="17">
        <f>SUMIFS('Pasted Bridges'!$G:$G,'Pasted Bridges'!$B:$B,$C14,'Pasted Bridges'!$F:$F,CZ$5)</f>
        <v>6.29</v>
      </c>
      <c r="DA14" s="17">
        <f>SUMIFS('Pasted Bridges'!$G:$G,'Pasted Bridges'!$B:$B,$C14,'Pasted Bridges'!$F:$F,DA$5)</f>
        <v>5.92</v>
      </c>
    </row>
    <row r="15" spans="1:105" s="1" customFormat="1" x14ac:dyDescent="0.25">
      <c r="A15" s="10"/>
      <c r="B15" s="45"/>
      <c r="C15" s="19" t="s">
        <v>14</v>
      </c>
      <c r="D15" s="19" t="s">
        <v>163</v>
      </c>
      <c r="E15" s="13" t="s">
        <v>199</v>
      </c>
      <c r="F15" s="2">
        <v>15</v>
      </c>
      <c r="G15" s="5">
        <v>0.12</v>
      </c>
      <c r="H15" s="2">
        <v>0.06</v>
      </c>
      <c r="I15" s="2">
        <v>0.06</v>
      </c>
      <c r="J15" s="3"/>
      <c r="K15" s="17">
        <f>SUMIFS('Pasted Bridges'!$G:$G,'Pasted Bridges'!$B:$B,$C15,'Pasted Bridges'!$F:$F,K$5)</f>
        <v>0</v>
      </c>
      <c r="L15" s="17">
        <f>SUMIFS('Pasted Bridges'!$G:$G,'Pasted Bridges'!$B:$B,$C15,'Pasted Bridges'!$F:$F,L$5)</f>
        <v>0</v>
      </c>
      <c r="M15" s="17">
        <f>SUMIFS('Pasted Bridges'!$G:$G,'Pasted Bridges'!$B:$B,$C15,'Pasted Bridges'!$F:$F,M$5)</f>
        <v>0</v>
      </c>
      <c r="N15" s="17">
        <f>SUMIFS('Pasted Bridges'!$G:$G,'Pasted Bridges'!$B:$B,$C15,'Pasted Bridges'!$F:$F,N$5)</f>
        <v>0</v>
      </c>
      <c r="O15" s="17">
        <f>SUMIFS('Pasted Bridges'!$G:$G,'Pasted Bridges'!$B:$B,$C15,'Pasted Bridges'!$F:$F,O$5)</f>
        <v>0</v>
      </c>
      <c r="P15" s="17">
        <f>SUMIFS('Pasted Bridges'!$G:$G,'Pasted Bridges'!$B:$B,$C15,'Pasted Bridges'!$F:$F,P$5)</f>
        <v>0</v>
      </c>
      <c r="Q15" s="17">
        <f>SUMIFS('Pasted Bridges'!$G:$G,'Pasted Bridges'!$B:$B,$C15,'Pasted Bridges'!$F:$F,Q$5)</f>
        <v>0</v>
      </c>
      <c r="R15" s="17">
        <f>SUMIFS('Pasted Bridges'!$G:$G,'Pasted Bridges'!$B:$B,$C15,'Pasted Bridges'!$F:$F,R$5)</f>
        <v>0</v>
      </c>
      <c r="S15" s="17">
        <f>SUMIFS('Pasted Bridges'!$G:$G,'Pasted Bridges'!$B:$B,$C15,'Pasted Bridges'!$F:$F,S$5)</f>
        <v>0</v>
      </c>
      <c r="T15" s="17">
        <f>SUMIFS('Pasted Bridges'!$G:$G,'Pasted Bridges'!$B:$B,$C15,'Pasted Bridges'!$F:$F,T$5)</f>
        <v>0</v>
      </c>
      <c r="U15" s="17">
        <f>SUMIFS('Pasted Bridges'!$G:$G,'Pasted Bridges'!$B:$B,$C15,'Pasted Bridges'!$F:$F,U$5)</f>
        <v>0</v>
      </c>
      <c r="V15" s="17">
        <f>SUMIFS('Pasted Bridges'!$G:$G,'Pasted Bridges'!$B:$B,$C15,'Pasted Bridges'!$F:$F,V$5)</f>
        <v>0</v>
      </c>
      <c r="W15" s="17">
        <f>SUMIFS('Pasted Bridges'!$G:$G,'Pasted Bridges'!$B:$B,$C15,'Pasted Bridges'!$F:$F,W$5)</f>
        <v>0</v>
      </c>
      <c r="X15" s="17">
        <f>SUMIFS('Pasted Bridges'!$G:$G,'Pasted Bridges'!$B:$B,$C15,'Pasted Bridges'!$F:$F,X$5)</f>
        <v>0</v>
      </c>
      <c r="Y15" s="17">
        <f>SUMIFS('Pasted Bridges'!$G:$G,'Pasted Bridges'!$B:$B,$C15,'Pasted Bridges'!$F:$F,Y$5)</f>
        <v>0</v>
      </c>
      <c r="Z15" s="17">
        <f>SUMIFS('Pasted Bridges'!$G:$G,'Pasted Bridges'!$B:$B,$C15,'Pasted Bridges'!$F:$F,Z$5)</f>
        <v>0</v>
      </c>
      <c r="AA15" s="17">
        <f>SUMIFS('Pasted Bridges'!$G:$G,'Pasted Bridges'!$B:$B,$C15,'Pasted Bridges'!$F:$F,AA$5)</f>
        <v>0</v>
      </c>
      <c r="AB15" s="17">
        <f>SUMIFS('Pasted Bridges'!$G:$G,'Pasted Bridges'!$B:$B,$C15,'Pasted Bridges'!$F:$F,AB$5)</f>
        <v>0</v>
      </c>
      <c r="AC15" s="17">
        <f>SUMIFS('Pasted Bridges'!$G:$G,'Pasted Bridges'!$B:$B,$C15,'Pasted Bridges'!$F:$F,AC$5)</f>
        <v>0</v>
      </c>
      <c r="AD15" s="17">
        <f>SUMIFS('Pasted Bridges'!$G:$G,'Pasted Bridges'!$B:$B,$C15,'Pasted Bridges'!$F:$F,AD$5)</f>
        <v>0</v>
      </c>
      <c r="AE15" s="17">
        <f>SUMIFS('Pasted Bridges'!$G:$G,'Pasted Bridges'!$B:$B,$C15,'Pasted Bridges'!$F:$F,AE$5)</f>
        <v>0</v>
      </c>
      <c r="AF15" s="17">
        <f>SUMIFS('Pasted Bridges'!$G:$G,'Pasted Bridges'!$B:$B,$C15,'Pasted Bridges'!$F:$F,AF$5)</f>
        <v>0</v>
      </c>
      <c r="AG15" s="17">
        <f>SUMIFS('Pasted Bridges'!$G:$G,'Pasted Bridges'!$B:$B,$C15,'Pasted Bridges'!$F:$F,AG$5)</f>
        <v>0</v>
      </c>
      <c r="AH15" s="17">
        <f>SUMIFS('Pasted Bridges'!$G:$G,'Pasted Bridges'!$B:$B,$C15,'Pasted Bridges'!$F:$F,AH$5)</f>
        <v>0</v>
      </c>
      <c r="AI15" s="17">
        <f>SUMIFS('Pasted Bridges'!$G:$G,'Pasted Bridges'!$B:$B,$C15,'Pasted Bridges'!$F:$F,AI$5)</f>
        <v>0</v>
      </c>
      <c r="AJ15" s="17">
        <f>SUMIFS('Pasted Bridges'!$G:$G,'Pasted Bridges'!$B:$B,$C15,'Pasted Bridges'!$F:$F,AJ$5)</f>
        <v>0</v>
      </c>
      <c r="AK15" s="17">
        <f>SUMIFS('Pasted Bridges'!$G:$G,'Pasted Bridges'!$B:$B,$C15,'Pasted Bridges'!$F:$F,AK$5)</f>
        <v>0</v>
      </c>
      <c r="AL15" s="17">
        <f>SUMIFS('Pasted Bridges'!$G:$G,'Pasted Bridges'!$B:$B,$C15,'Pasted Bridges'!$F:$F,AL$5)</f>
        <v>0</v>
      </c>
      <c r="AM15" s="17">
        <f>SUMIFS('Pasted Bridges'!$G:$G,'Pasted Bridges'!$B:$B,$C15,'Pasted Bridges'!$F:$F,AM$5)</f>
        <v>0</v>
      </c>
      <c r="AN15" s="17">
        <f>SUMIFS('Pasted Bridges'!$G:$G,'Pasted Bridges'!$B:$B,$C15,'Pasted Bridges'!$F:$F,AN$5)</f>
        <v>0</v>
      </c>
      <c r="AO15" s="17">
        <f>SUMIFS('Pasted Bridges'!$G:$G,'Pasted Bridges'!$B:$B,$C15,'Pasted Bridges'!$F:$F,AO$5)</f>
        <v>0</v>
      </c>
      <c r="AP15" s="17">
        <f>SUMIFS('Pasted Bridges'!$G:$G,'Pasted Bridges'!$B:$B,$C15,'Pasted Bridges'!$F:$F,AP$5)</f>
        <v>0</v>
      </c>
      <c r="AQ15" s="17">
        <f>SUMIFS('Pasted Bridges'!$G:$G,'Pasted Bridges'!$B:$B,$C15,'Pasted Bridges'!$F:$F,AQ$5)</f>
        <v>0</v>
      </c>
      <c r="AR15" s="17">
        <f>SUMIFS('Pasted Bridges'!$G:$G,'Pasted Bridges'!$B:$B,$C15,'Pasted Bridges'!$F:$F,AR$5)</f>
        <v>0</v>
      </c>
      <c r="AS15" s="17">
        <f>SUMIFS('Pasted Bridges'!$G:$G,'Pasted Bridges'!$B:$B,$C15,'Pasted Bridges'!$F:$F,AS$5)</f>
        <v>0</v>
      </c>
      <c r="AT15" s="17">
        <f>SUMIFS('Pasted Bridges'!$G:$G,'Pasted Bridges'!$B:$B,$C15,'Pasted Bridges'!$F:$F,AT$5)</f>
        <v>0</v>
      </c>
      <c r="AU15" s="17">
        <f>SUMIFS('Pasted Bridges'!$G:$G,'Pasted Bridges'!$B:$B,$C15,'Pasted Bridges'!$F:$F,AU$5)</f>
        <v>0</v>
      </c>
      <c r="AV15" s="17">
        <f>SUMIFS('Pasted Bridges'!$G:$G,'Pasted Bridges'!$B:$B,$C15,'Pasted Bridges'!$F:$F,AV$5)</f>
        <v>0</v>
      </c>
      <c r="AW15" s="17">
        <f>SUMIFS('Pasted Bridges'!$G:$G,'Pasted Bridges'!$B:$B,$C15,'Pasted Bridges'!$F:$F,AW$5)</f>
        <v>0</v>
      </c>
      <c r="AX15" s="17">
        <f>SUMIFS('Pasted Bridges'!$G:$G,'Pasted Bridges'!$B:$B,$C15,'Pasted Bridges'!$F:$F,AX$5)</f>
        <v>0</v>
      </c>
      <c r="AY15" s="17">
        <f>SUMIFS('Pasted Bridges'!$G:$G,'Pasted Bridges'!$B:$B,$C15,'Pasted Bridges'!$F:$F,AY$5)</f>
        <v>0</v>
      </c>
      <c r="AZ15" s="17">
        <f>SUMIFS('Pasted Bridges'!$G:$G,'Pasted Bridges'!$B:$B,$C15,'Pasted Bridges'!$F:$F,AZ$5)</f>
        <v>0</v>
      </c>
      <c r="BA15" s="17">
        <f>SUMIFS('Pasted Bridges'!$G:$G,'Pasted Bridges'!$B:$B,$C15,'Pasted Bridges'!$F:$F,BA$5)</f>
        <v>0</v>
      </c>
      <c r="BB15" s="17">
        <f>SUMIFS('Pasted Bridges'!$G:$G,'Pasted Bridges'!$B:$B,$C15,'Pasted Bridges'!$F:$F,BB$5)</f>
        <v>0</v>
      </c>
      <c r="BC15" s="17">
        <f>SUMIFS('Pasted Bridges'!$G:$G,'Pasted Bridges'!$B:$B,$C15,'Pasted Bridges'!$F:$F,BC$5)</f>
        <v>0</v>
      </c>
      <c r="BD15" s="17">
        <f>SUMIFS('Pasted Bridges'!$G:$G,'Pasted Bridges'!$B:$B,$C15,'Pasted Bridges'!$F:$F,BD$5)</f>
        <v>0</v>
      </c>
      <c r="BE15" s="17">
        <f>SUMIFS('Pasted Bridges'!$G:$G,'Pasted Bridges'!$B:$B,$C15,'Pasted Bridges'!$F:$F,BE$5)</f>
        <v>0</v>
      </c>
      <c r="BF15" s="17">
        <f>SUMIFS('Pasted Bridges'!$G:$G,'Pasted Bridges'!$B:$B,$C15,'Pasted Bridges'!$F:$F,BF$5)</f>
        <v>0</v>
      </c>
      <c r="BG15" s="17">
        <f>SUMIFS('Pasted Bridges'!$G:$G,'Pasted Bridges'!$B:$B,$C15,'Pasted Bridges'!$F:$F,BG$5)</f>
        <v>0</v>
      </c>
      <c r="BH15" s="17">
        <f>SUMIFS('Pasted Bridges'!$G:$G,'Pasted Bridges'!$B:$B,$C15,'Pasted Bridges'!$F:$F,BH$5)</f>
        <v>0</v>
      </c>
      <c r="BI15" s="17">
        <f>SUMIFS('Pasted Bridges'!$G:$G,'Pasted Bridges'!$B:$B,$C15,'Pasted Bridges'!$F:$F,BI$5)</f>
        <v>0</v>
      </c>
      <c r="BJ15" s="17">
        <f>SUMIFS('Pasted Bridges'!$G:$G,'Pasted Bridges'!$B:$B,$C15,'Pasted Bridges'!$F:$F,BJ$5)</f>
        <v>0</v>
      </c>
      <c r="BK15" s="17">
        <f>SUMIFS('Pasted Bridges'!$G:$G,'Pasted Bridges'!$B:$B,$C15,'Pasted Bridges'!$F:$F,BK$5)</f>
        <v>0</v>
      </c>
      <c r="BL15" s="17">
        <f>SUMIFS('Pasted Bridges'!$G:$G,'Pasted Bridges'!$B:$B,$C15,'Pasted Bridges'!$F:$F,BL$5)</f>
        <v>0</v>
      </c>
      <c r="BM15" s="17">
        <f>SUMIFS('Pasted Bridges'!$G:$G,'Pasted Bridges'!$B:$B,$C15,'Pasted Bridges'!$F:$F,BM$5)</f>
        <v>0</v>
      </c>
      <c r="BN15" s="17">
        <f>SUMIFS('Pasted Bridges'!$G:$G,'Pasted Bridges'!$B:$B,$C15,'Pasted Bridges'!$F:$F,BN$5)</f>
        <v>0</v>
      </c>
      <c r="BO15" s="17">
        <f>SUMIFS('Pasted Bridges'!$G:$G,'Pasted Bridges'!$B:$B,$C15,'Pasted Bridges'!$F:$F,BO$5)</f>
        <v>0</v>
      </c>
      <c r="BP15" s="17">
        <f>SUMIFS('Pasted Bridges'!$G:$G,'Pasted Bridges'!$B:$B,$C15,'Pasted Bridges'!$F:$F,BP$5)</f>
        <v>0</v>
      </c>
      <c r="BQ15" s="17">
        <f>SUMIFS('Pasted Bridges'!$G:$G,'Pasted Bridges'!$B:$B,$C15,'Pasted Bridges'!$F:$F,BQ$5)</f>
        <v>0</v>
      </c>
      <c r="BR15" s="17">
        <f>SUMIFS('Pasted Bridges'!$G:$G,'Pasted Bridges'!$B:$B,$C15,'Pasted Bridges'!$F:$F,BR$5)</f>
        <v>0</v>
      </c>
      <c r="BS15" s="17">
        <f>SUMIFS('Pasted Bridges'!$G:$G,'Pasted Bridges'!$B:$B,$C15,'Pasted Bridges'!$F:$F,BS$5)</f>
        <v>0</v>
      </c>
      <c r="BT15" s="17">
        <f>SUMIFS('Pasted Bridges'!$G:$G,'Pasted Bridges'!$B:$B,$C15,'Pasted Bridges'!$F:$F,BT$5)</f>
        <v>0</v>
      </c>
      <c r="BU15" s="17">
        <f>SUMIFS('Pasted Bridges'!$G:$G,'Pasted Bridges'!$B:$B,$C15,'Pasted Bridges'!$F:$F,BU$5)</f>
        <v>0</v>
      </c>
      <c r="BV15" s="17">
        <f>SUMIFS('Pasted Bridges'!$G:$G,'Pasted Bridges'!$B:$B,$C15,'Pasted Bridges'!$F:$F,BV$5)</f>
        <v>0</v>
      </c>
      <c r="BW15" s="17">
        <f>SUMIFS('Pasted Bridges'!$G:$G,'Pasted Bridges'!$B:$B,$C15,'Pasted Bridges'!$F:$F,BW$5)</f>
        <v>0</v>
      </c>
      <c r="BX15" s="17">
        <f>SUMIFS('Pasted Bridges'!$G:$G,'Pasted Bridges'!$B:$B,$C15,'Pasted Bridges'!$F:$F,BX$5)</f>
        <v>0</v>
      </c>
      <c r="BY15" s="17">
        <f>SUMIFS('Pasted Bridges'!$G:$G,'Pasted Bridges'!$B:$B,$C15,'Pasted Bridges'!$F:$F,BY$5)</f>
        <v>0</v>
      </c>
      <c r="BZ15" s="17">
        <f>SUMIFS('Pasted Bridges'!$G:$G,'Pasted Bridges'!$B:$B,$C15,'Pasted Bridges'!$F:$F,BZ$5)</f>
        <v>0</v>
      </c>
      <c r="CA15" s="17">
        <f>SUMIFS('Pasted Bridges'!$G:$G,'Pasted Bridges'!$B:$B,$C15,'Pasted Bridges'!$F:$F,CA$5)</f>
        <v>0</v>
      </c>
      <c r="CB15" s="17">
        <f>SUMIFS('Pasted Bridges'!$G:$G,'Pasted Bridges'!$B:$B,$C15,'Pasted Bridges'!$F:$F,CB$5)</f>
        <v>0</v>
      </c>
      <c r="CC15" s="17">
        <f>SUMIFS('Pasted Bridges'!$G:$G,'Pasted Bridges'!$B:$B,$C15,'Pasted Bridges'!$F:$F,CC$5)</f>
        <v>0</v>
      </c>
      <c r="CD15" s="17">
        <f>SUMIFS('Pasted Bridges'!$G:$G,'Pasted Bridges'!$B:$B,$C15,'Pasted Bridges'!$F:$F,CD$5)</f>
        <v>0</v>
      </c>
      <c r="CE15" s="17">
        <f>SUMIFS('Pasted Bridges'!$G:$G,'Pasted Bridges'!$B:$B,$C15,'Pasted Bridges'!$F:$F,CE$5)</f>
        <v>0</v>
      </c>
      <c r="CF15" s="17">
        <f>SUMIFS('Pasted Bridges'!$G:$G,'Pasted Bridges'!$B:$B,$C15,'Pasted Bridges'!$F:$F,CF$5)</f>
        <v>0</v>
      </c>
      <c r="CG15" s="17">
        <f>SUMIFS('Pasted Bridges'!$G:$G,'Pasted Bridges'!$B:$B,$C15,'Pasted Bridges'!$F:$F,CG$5)</f>
        <v>0</v>
      </c>
      <c r="CH15" s="17">
        <f>SUMIFS('Pasted Bridges'!$G:$G,'Pasted Bridges'!$B:$B,$C15,'Pasted Bridges'!$F:$F,CH$5)</f>
        <v>0</v>
      </c>
      <c r="CI15" s="17">
        <f>SUMIFS('Pasted Bridges'!$G:$G,'Pasted Bridges'!$B:$B,$C15,'Pasted Bridges'!$F:$F,CI$5)</f>
        <v>0</v>
      </c>
      <c r="CJ15" s="17">
        <f>SUMIFS('Pasted Bridges'!$G:$G,'Pasted Bridges'!$B:$B,$C15,'Pasted Bridges'!$F:$F,CJ$5)</f>
        <v>0</v>
      </c>
      <c r="CK15" s="17">
        <f>SUMIFS('Pasted Bridges'!$G:$G,'Pasted Bridges'!$B:$B,$C15,'Pasted Bridges'!$F:$F,CK$5)</f>
        <v>0</v>
      </c>
      <c r="CL15" s="17">
        <f>SUMIFS('Pasted Bridges'!$G:$G,'Pasted Bridges'!$B:$B,$C15,'Pasted Bridges'!$F:$F,CL$5)</f>
        <v>0</v>
      </c>
      <c r="CM15" s="17">
        <f>SUMIFS('Pasted Bridges'!$G:$G,'Pasted Bridges'!$B:$B,$C15,'Pasted Bridges'!$F:$F,CM$5)</f>
        <v>0</v>
      </c>
      <c r="CN15" s="17">
        <f>SUMIFS('Pasted Bridges'!$G:$G,'Pasted Bridges'!$B:$B,$C15,'Pasted Bridges'!$F:$F,CN$5)</f>
        <v>0</v>
      </c>
      <c r="CO15" s="17">
        <f>SUMIFS('Pasted Bridges'!$G:$G,'Pasted Bridges'!$B:$B,$C15,'Pasted Bridges'!$F:$F,CO$5)</f>
        <v>0</v>
      </c>
      <c r="CP15" s="17">
        <f>SUMIFS('Pasted Bridges'!$G:$G,'Pasted Bridges'!$B:$B,$C15,'Pasted Bridges'!$F:$F,CP$5)</f>
        <v>0</v>
      </c>
      <c r="CQ15" s="17">
        <f>SUMIFS('Pasted Bridges'!$G:$G,'Pasted Bridges'!$B:$B,$C15,'Pasted Bridges'!$F:$F,CQ$5)</f>
        <v>0</v>
      </c>
      <c r="CR15" s="17">
        <f>SUMIFS('Pasted Bridges'!$G:$G,'Pasted Bridges'!$B:$B,$C15,'Pasted Bridges'!$F:$F,CR$5)</f>
        <v>0</v>
      </c>
      <c r="CS15" s="17">
        <f>SUMIFS('Pasted Bridges'!$G:$G,'Pasted Bridges'!$B:$B,$C15,'Pasted Bridges'!$F:$F,CS$5)</f>
        <v>0</v>
      </c>
      <c r="CT15" s="17">
        <f>SUMIFS('Pasted Bridges'!$G:$G,'Pasted Bridges'!$B:$B,$C15,'Pasted Bridges'!$F:$F,CT$5)</f>
        <v>0</v>
      </c>
      <c r="CU15" s="17">
        <f>SUMIFS('Pasted Bridges'!$G:$G,'Pasted Bridges'!$B:$B,$C15,'Pasted Bridges'!$F:$F,CU$5)</f>
        <v>0</v>
      </c>
      <c r="CV15" s="17">
        <f>SUMIFS('Pasted Bridges'!$G:$G,'Pasted Bridges'!$B:$B,$C15,'Pasted Bridges'!$F:$F,CV$5)</f>
        <v>0</v>
      </c>
      <c r="CW15" s="17">
        <f>SUMIFS('Pasted Bridges'!$G:$G,'Pasted Bridges'!$B:$B,$C15,'Pasted Bridges'!$F:$F,CW$5)</f>
        <v>0</v>
      </c>
      <c r="CX15" s="17">
        <f>SUMIFS('Pasted Bridges'!$G:$G,'Pasted Bridges'!$B:$B,$C15,'Pasted Bridges'!$F:$F,CX$5)</f>
        <v>0</v>
      </c>
      <c r="CY15" s="17">
        <f>SUMIFS('Pasted Bridges'!$G:$G,'Pasted Bridges'!$B:$B,$C15,'Pasted Bridges'!$F:$F,CY$5)</f>
        <v>0</v>
      </c>
      <c r="CZ15" s="17">
        <f>SUMIFS('Pasted Bridges'!$G:$G,'Pasted Bridges'!$B:$B,$C15,'Pasted Bridges'!$F:$F,CZ$5)</f>
        <v>0</v>
      </c>
      <c r="DA15" s="17">
        <f>SUMIFS('Pasted Bridges'!$G:$G,'Pasted Bridges'!$B:$B,$C15,'Pasted Bridges'!$F:$F,DA$5)</f>
        <v>0</v>
      </c>
    </row>
    <row r="16" spans="1:105" s="1" customFormat="1" x14ac:dyDescent="0.25">
      <c r="A16" s="10"/>
      <c r="B16" s="46"/>
      <c r="C16" s="19" t="s">
        <v>15</v>
      </c>
      <c r="D16" s="19" t="s">
        <v>164</v>
      </c>
      <c r="E16" s="13" t="s">
        <v>199</v>
      </c>
      <c r="F16" s="2">
        <v>17</v>
      </c>
      <c r="G16" s="5">
        <v>0.15</v>
      </c>
      <c r="H16" s="2">
        <v>0.04</v>
      </c>
      <c r="I16" s="2">
        <v>0.04</v>
      </c>
      <c r="J16" s="3"/>
      <c r="K16" s="17">
        <f>SUMIFS('Pasted Bridges'!$G:$G,'Pasted Bridges'!$B:$B,$C16,'Pasted Bridges'!$F:$F,K$5)</f>
        <v>0</v>
      </c>
      <c r="L16" s="17">
        <f>SUMIFS('Pasted Bridges'!$G:$G,'Pasted Bridges'!$B:$B,$C16,'Pasted Bridges'!$F:$F,L$5)</f>
        <v>0</v>
      </c>
      <c r="M16" s="17">
        <f>SUMIFS('Pasted Bridges'!$G:$G,'Pasted Bridges'!$B:$B,$C16,'Pasted Bridges'!$F:$F,M$5)</f>
        <v>0</v>
      </c>
      <c r="N16" s="17">
        <f>SUMIFS('Pasted Bridges'!$G:$G,'Pasted Bridges'!$B:$B,$C16,'Pasted Bridges'!$F:$F,N$5)</f>
        <v>0</v>
      </c>
      <c r="O16" s="17">
        <f>SUMIFS('Pasted Bridges'!$G:$G,'Pasted Bridges'!$B:$B,$C16,'Pasted Bridges'!$F:$F,O$5)</f>
        <v>0</v>
      </c>
      <c r="P16" s="17">
        <f>SUMIFS('Pasted Bridges'!$G:$G,'Pasted Bridges'!$B:$B,$C16,'Pasted Bridges'!$F:$F,P$5)</f>
        <v>0</v>
      </c>
      <c r="Q16" s="17">
        <f>SUMIFS('Pasted Bridges'!$G:$G,'Pasted Bridges'!$B:$B,$C16,'Pasted Bridges'!$F:$F,Q$5)</f>
        <v>0</v>
      </c>
      <c r="R16" s="17">
        <f>SUMIFS('Pasted Bridges'!$G:$G,'Pasted Bridges'!$B:$B,$C16,'Pasted Bridges'!$F:$F,R$5)</f>
        <v>0</v>
      </c>
      <c r="S16" s="17">
        <f>SUMIFS('Pasted Bridges'!$G:$G,'Pasted Bridges'!$B:$B,$C16,'Pasted Bridges'!$F:$F,S$5)</f>
        <v>0</v>
      </c>
      <c r="T16" s="17">
        <f>SUMIFS('Pasted Bridges'!$G:$G,'Pasted Bridges'!$B:$B,$C16,'Pasted Bridges'!$F:$F,T$5)</f>
        <v>0</v>
      </c>
      <c r="U16" s="17">
        <f>SUMIFS('Pasted Bridges'!$G:$G,'Pasted Bridges'!$B:$B,$C16,'Pasted Bridges'!$F:$F,U$5)</f>
        <v>0</v>
      </c>
      <c r="V16" s="17">
        <f>SUMIFS('Pasted Bridges'!$G:$G,'Pasted Bridges'!$B:$B,$C16,'Pasted Bridges'!$F:$F,V$5)</f>
        <v>0</v>
      </c>
      <c r="W16" s="17">
        <f>SUMIFS('Pasted Bridges'!$G:$G,'Pasted Bridges'!$B:$B,$C16,'Pasted Bridges'!$F:$F,W$5)</f>
        <v>0</v>
      </c>
      <c r="X16" s="17">
        <f>SUMIFS('Pasted Bridges'!$G:$G,'Pasted Bridges'!$B:$B,$C16,'Pasted Bridges'!$F:$F,X$5)</f>
        <v>0</v>
      </c>
      <c r="Y16" s="17">
        <f>SUMIFS('Pasted Bridges'!$G:$G,'Pasted Bridges'!$B:$B,$C16,'Pasted Bridges'!$F:$F,Y$5)</f>
        <v>0</v>
      </c>
      <c r="Z16" s="17">
        <f>SUMIFS('Pasted Bridges'!$G:$G,'Pasted Bridges'!$B:$B,$C16,'Pasted Bridges'!$F:$F,Z$5)</f>
        <v>0</v>
      </c>
      <c r="AA16" s="17">
        <f>SUMIFS('Pasted Bridges'!$G:$G,'Pasted Bridges'!$B:$B,$C16,'Pasted Bridges'!$F:$F,AA$5)</f>
        <v>0</v>
      </c>
      <c r="AB16" s="17">
        <f>SUMIFS('Pasted Bridges'!$G:$G,'Pasted Bridges'!$B:$B,$C16,'Pasted Bridges'!$F:$F,AB$5)</f>
        <v>0</v>
      </c>
      <c r="AC16" s="17">
        <f>SUMIFS('Pasted Bridges'!$G:$G,'Pasted Bridges'!$B:$B,$C16,'Pasted Bridges'!$F:$F,AC$5)</f>
        <v>0</v>
      </c>
      <c r="AD16" s="17">
        <f>SUMIFS('Pasted Bridges'!$G:$G,'Pasted Bridges'!$B:$B,$C16,'Pasted Bridges'!$F:$F,AD$5)</f>
        <v>0</v>
      </c>
      <c r="AE16" s="17">
        <f>SUMIFS('Pasted Bridges'!$G:$G,'Pasted Bridges'!$B:$B,$C16,'Pasted Bridges'!$F:$F,AE$5)</f>
        <v>0</v>
      </c>
      <c r="AF16" s="17">
        <f>SUMIFS('Pasted Bridges'!$G:$G,'Pasted Bridges'!$B:$B,$C16,'Pasted Bridges'!$F:$F,AF$5)</f>
        <v>0</v>
      </c>
      <c r="AG16" s="17">
        <f>SUMIFS('Pasted Bridges'!$G:$G,'Pasted Bridges'!$B:$B,$C16,'Pasted Bridges'!$F:$F,AG$5)</f>
        <v>0</v>
      </c>
      <c r="AH16" s="17">
        <f>SUMIFS('Pasted Bridges'!$G:$G,'Pasted Bridges'!$B:$B,$C16,'Pasted Bridges'!$F:$F,AH$5)</f>
        <v>0</v>
      </c>
      <c r="AI16" s="17">
        <f>SUMIFS('Pasted Bridges'!$G:$G,'Pasted Bridges'!$B:$B,$C16,'Pasted Bridges'!$F:$F,AI$5)</f>
        <v>0</v>
      </c>
      <c r="AJ16" s="17">
        <f>SUMIFS('Pasted Bridges'!$G:$G,'Pasted Bridges'!$B:$B,$C16,'Pasted Bridges'!$F:$F,AJ$5)</f>
        <v>0</v>
      </c>
      <c r="AK16" s="17">
        <f>SUMIFS('Pasted Bridges'!$G:$G,'Pasted Bridges'!$B:$B,$C16,'Pasted Bridges'!$F:$F,AK$5)</f>
        <v>0</v>
      </c>
      <c r="AL16" s="17">
        <f>SUMIFS('Pasted Bridges'!$G:$G,'Pasted Bridges'!$B:$B,$C16,'Pasted Bridges'!$F:$F,AL$5)</f>
        <v>0</v>
      </c>
      <c r="AM16" s="17">
        <f>SUMIFS('Pasted Bridges'!$G:$G,'Pasted Bridges'!$B:$B,$C16,'Pasted Bridges'!$F:$F,AM$5)</f>
        <v>0</v>
      </c>
      <c r="AN16" s="17">
        <f>SUMIFS('Pasted Bridges'!$G:$G,'Pasted Bridges'!$B:$B,$C16,'Pasted Bridges'!$F:$F,AN$5)</f>
        <v>0</v>
      </c>
      <c r="AO16" s="17">
        <f>SUMIFS('Pasted Bridges'!$G:$G,'Pasted Bridges'!$B:$B,$C16,'Pasted Bridges'!$F:$F,AO$5)</f>
        <v>0</v>
      </c>
      <c r="AP16" s="17">
        <f>SUMIFS('Pasted Bridges'!$G:$G,'Pasted Bridges'!$B:$B,$C16,'Pasted Bridges'!$F:$F,AP$5)</f>
        <v>0</v>
      </c>
      <c r="AQ16" s="17">
        <f>SUMIFS('Pasted Bridges'!$G:$G,'Pasted Bridges'!$B:$B,$C16,'Pasted Bridges'!$F:$F,AQ$5)</f>
        <v>0</v>
      </c>
      <c r="AR16" s="17">
        <f>SUMIFS('Pasted Bridges'!$G:$G,'Pasted Bridges'!$B:$B,$C16,'Pasted Bridges'!$F:$F,AR$5)</f>
        <v>0</v>
      </c>
      <c r="AS16" s="17">
        <f>SUMIFS('Pasted Bridges'!$G:$G,'Pasted Bridges'!$B:$B,$C16,'Pasted Bridges'!$F:$F,AS$5)</f>
        <v>0</v>
      </c>
      <c r="AT16" s="17">
        <f>SUMIFS('Pasted Bridges'!$G:$G,'Pasted Bridges'!$B:$B,$C16,'Pasted Bridges'!$F:$F,AT$5)</f>
        <v>0</v>
      </c>
      <c r="AU16" s="17">
        <f>SUMIFS('Pasted Bridges'!$G:$G,'Pasted Bridges'!$B:$B,$C16,'Pasted Bridges'!$F:$F,AU$5)</f>
        <v>0</v>
      </c>
      <c r="AV16" s="17">
        <f>SUMIFS('Pasted Bridges'!$G:$G,'Pasted Bridges'!$B:$B,$C16,'Pasted Bridges'!$F:$F,AV$5)</f>
        <v>0</v>
      </c>
      <c r="AW16" s="17">
        <f>SUMIFS('Pasted Bridges'!$G:$G,'Pasted Bridges'!$B:$B,$C16,'Pasted Bridges'!$F:$F,AW$5)</f>
        <v>0</v>
      </c>
      <c r="AX16" s="17">
        <f>SUMIFS('Pasted Bridges'!$G:$G,'Pasted Bridges'!$B:$B,$C16,'Pasted Bridges'!$F:$F,AX$5)</f>
        <v>0</v>
      </c>
      <c r="AY16" s="17">
        <f>SUMIFS('Pasted Bridges'!$G:$G,'Pasted Bridges'!$B:$B,$C16,'Pasted Bridges'!$F:$F,AY$5)</f>
        <v>0</v>
      </c>
      <c r="AZ16" s="17">
        <f>SUMIFS('Pasted Bridges'!$G:$G,'Pasted Bridges'!$B:$B,$C16,'Pasted Bridges'!$F:$F,AZ$5)</f>
        <v>0</v>
      </c>
      <c r="BA16" s="17">
        <f>SUMIFS('Pasted Bridges'!$G:$G,'Pasted Bridges'!$B:$B,$C16,'Pasted Bridges'!$F:$F,BA$5)</f>
        <v>0</v>
      </c>
      <c r="BB16" s="17">
        <f>SUMIFS('Pasted Bridges'!$G:$G,'Pasted Bridges'!$B:$B,$C16,'Pasted Bridges'!$F:$F,BB$5)</f>
        <v>0</v>
      </c>
      <c r="BC16" s="17">
        <f>SUMIFS('Pasted Bridges'!$G:$G,'Pasted Bridges'!$B:$B,$C16,'Pasted Bridges'!$F:$F,BC$5)</f>
        <v>0</v>
      </c>
      <c r="BD16" s="17">
        <f>SUMIFS('Pasted Bridges'!$G:$G,'Pasted Bridges'!$B:$B,$C16,'Pasted Bridges'!$F:$F,BD$5)</f>
        <v>0</v>
      </c>
      <c r="BE16" s="17">
        <f>SUMIFS('Pasted Bridges'!$G:$G,'Pasted Bridges'!$B:$B,$C16,'Pasted Bridges'!$F:$F,BE$5)</f>
        <v>0</v>
      </c>
      <c r="BF16" s="17">
        <f>SUMIFS('Pasted Bridges'!$G:$G,'Pasted Bridges'!$B:$B,$C16,'Pasted Bridges'!$F:$F,BF$5)</f>
        <v>0</v>
      </c>
      <c r="BG16" s="17">
        <f>SUMIFS('Pasted Bridges'!$G:$G,'Pasted Bridges'!$B:$B,$C16,'Pasted Bridges'!$F:$F,BG$5)</f>
        <v>0</v>
      </c>
      <c r="BH16" s="17">
        <f>SUMIFS('Pasted Bridges'!$G:$G,'Pasted Bridges'!$B:$B,$C16,'Pasted Bridges'!$F:$F,BH$5)</f>
        <v>0</v>
      </c>
      <c r="BI16" s="17">
        <f>SUMIFS('Pasted Bridges'!$G:$G,'Pasted Bridges'!$B:$B,$C16,'Pasted Bridges'!$F:$F,BI$5)</f>
        <v>0</v>
      </c>
      <c r="BJ16" s="17">
        <f>SUMIFS('Pasted Bridges'!$G:$G,'Pasted Bridges'!$B:$B,$C16,'Pasted Bridges'!$F:$F,BJ$5)</f>
        <v>0</v>
      </c>
      <c r="BK16" s="17">
        <f>SUMIFS('Pasted Bridges'!$G:$G,'Pasted Bridges'!$B:$B,$C16,'Pasted Bridges'!$F:$F,BK$5)</f>
        <v>0</v>
      </c>
      <c r="BL16" s="17">
        <f>SUMIFS('Pasted Bridges'!$G:$G,'Pasted Bridges'!$B:$B,$C16,'Pasted Bridges'!$F:$F,BL$5)</f>
        <v>0</v>
      </c>
      <c r="BM16" s="17">
        <f>SUMIFS('Pasted Bridges'!$G:$G,'Pasted Bridges'!$B:$B,$C16,'Pasted Bridges'!$F:$F,BM$5)</f>
        <v>0</v>
      </c>
      <c r="BN16" s="17">
        <f>SUMIFS('Pasted Bridges'!$G:$G,'Pasted Bridges'!$B:$B,$C16,'Pasted Bridges'!$F:$F,BN$5)</f>
        <v>0</v>
      </c>
      <c r="BO16" s="17">
        <f>SUMIFS('Pasted Bridges'!$G:$G,'Pasted Bridges'!$B:$B,$C16,'Pasted Bridges'!$F:$F,BO$5)</f>
        <v>0</v>
      </c>
      <c r="BP16" s="17">
        <f>SUMIFS('Pasted Bridges'!$G:$G,'Pasted Bridges'!$B:$B,$C16,'Pasted Bridges'!$F:$F,BP$5)</f>
        <v>0</v>
      </c>
      <c r="BQ16" s="17">
        <f>SUMIFS('Pasted Bridges'!$G:$G,'Pasted Bridges'!$B:$B,$C16,'Pasted Bridges'!$F:$F,BQ$5)</f>
        <v>0</v>
      </c>
      <c r="BR16" s="17">
        <f>SUMIFS('Pasted Bridges'!$G:$G,'Pasted Bridges'!$B:$B,$C16,'Pasted Bridges'!$F:$F,BR$5)</f>
        <v>0</v>
      </c>
      <c r="BS16" s="17">
        <f>SUMIFS('Pasted Bridges'!$G:$G,'Pasted Bridges'!$B:$B,$C16,'Pasted Bridges'!$F:$F,BS$5)</f>
        <v>0</v>
      </c>
      <c r="BT16" s="17">
        <f>SUMIFS('Pasted Bridges'!$G:$G,'Pasted Bridges'!$B:$B,$C16,'Pasted Bridges'!$F:$F,BT$5)</f>
        <v>0</v>
      </c>
      <c r="BU16" s="17">
        <f>SUMIFS('Pasted Bridges'!$G:$G,'Pasted Bridges'!$B:$B,$C16,'Pasted Bridges'!$F:$F,BU$5)</f>
        <v>0</v>
      </c>
      <c r="BV16" s="17">
        <f>SUMIFS('Pasted Bridges'!$G:$G,'Pasted Bridges'!$B:$B,$C16,'Pasted Bridges'!$F:$F,BV$5)</f>
        <v>0</v>
      </c>
      <c r="BW16" s="17">
        <f>SUMIFS('Pasted Bridges'!$G:$G,'Pasted Bridges'!$B:$B,$C16,'Pasted Bridges'!$F:$F,BW$5)</f>
        <v>0</v>
      </c>
      <c r="BX16" s="17">
        <f>SUMIFS('Pasted Bridges'!$G:$G,'Pasted Bridges'!$B:$B,$C16,'Pasted Bridges'!$F:$F,BX$5)</f>
        <v>0</v>
      </c>
      <c r="BY16" s="17">
        <f>SUMIFS('Pasted Bridges'!$G:$G,'Pasted Bridges'!$B:$B,$C16,'Pasted Bridges'!$F:$F,BY$5)</f>
        <v>0</v>
      </c>
      <c r="BZ16" s="17">
        <f>SUMIFS('Pasted Bridges'!$G:$G,'Pasted Bridges'!$B:$B,$C16,'Pasted Bridges'!$F:$F,BZ$5)</f>
        <v>0</v>
      </c>
      <c r="CA16" s="17">
        <f>SUMIFS('Pasted Bridges'!$G:$G,'Pasted Bridges'!$B:$B,$C16,'Pasted Bridges'!$F:$F,CA$5)</f>
        <v>0</v>
      </c>
      <c r="CB16" s="17">
        <f>SUMIFS('Pasted Bridges'!$G:$G,'Pasted Bridges'!$B:$B,$C16,'Pasted Bridges'!$F:$F,CB$5)</f>
        <v>0</v>
      </c>
      <c r="CC16" s="17">
        <f>SUMIFS('Pasted Bridges'!$G:$G,'Pasted Bridges'!$B:$B,$C16,'Pasted Bridges'!$F:$F,CC$5)</f>
        <v>0</v>
      </c>
      <c r="CD16" s="17">
        <f>SUMIFS('Pasted Bridges'!$G:$G,'Pasted Bridges'!$B:$B,$C16,'Pasted Bridges'!$F:$F,CD$5)</f>
        <v>0</v>
      </c>
      <c r="CE16" s="17">
        <f>SUMIFS('Pasted Bridges'!$G:$G,'Pasted Bridges'!$B:$B,$C16,'Pasted Bridges'!$F:$F,CE$5)</f>
        <v>0</v>
      </c>
      <c r="CF16" s="17">
        <f>SUMIFS('Pasted Bridges'!$G:$G,'Pasted Bridges'!$B:$B,$C16,'Pasted Bridges'!$F:$F,CF$5)</f>
        <v>0</v>
      </c>
      <c r="CG16" s="17">
        <f>SUMIFS('Pasted Bridges'!$G:$G,'Pasted Bridges'!$B:$B,$C16,'Pasted Bridges'!$F:$F,CG$5)</f>
        <v>0</v>
      </c>
      <c r="CH16" s="17">
        <f>SUMIFS('Pasted Bridges'!$G:$G,'Pasted Bridges'!$B:$B,$C16,'Pasted Bridges'!$F:$F,CH$5)</f>
        <v>0</v>
      </c>
      <c r="CI16" s="17">
        <f>SUMIFS('Pasted Bridges'!$G:$G,'Pasted Bridges'!$B:$B,$C16,'Pasted Bridges'!$F:$F,CI$5)</f>
        <v>0</v>
      </c>
      <c r="CJ16" s="17">
        <f>SUMIFS('Pasted Bridges'!$G:$G,'Pasted Bridges'!$B:$B,$C16,'Pasted Bridges'!$F:$F,CJ$5)</f>
        <v>0</v>
      </c>
      <c r="CK16" s="17">
        <f>SUMIFS('Pasted Bridges'!$G:$G,'Pasted Bridges'!$B:$B,$C16,'Pasted Bridges'!$F:$F,CK$5)</f>
        <v>0</v>
      </c>
      <c r="CL16" s="17">
        <f>SUMIFS('Pasted Bridges'!$G:$G,'Pasted Bridges'!$B:$B,$C16,'Pasted Bridges'!$F:$F,CL$5)</f>
        <v>0</v>
      </c>
      <c r="CM16" s="17">
        <f>SUMIFS('Pasted Bridges'!$G:$G,'Pasted Bridges'!$B:$B,$C16,'Pasted Bridges'!$F:$F,CM$5)</f>
        <v>0</v>
      </c>
      <c r="CN16" s="17">
        <f>SUMIFS('Pasted Bridges'!$G:$G,'Pasted Bridges'!$B:$B,$C16,'Pasted Bridges'!$F:$F,CN$5)</f>
        <v>0</v>
      </c>
      <c r="CO16" s="17">
        <f>SUMIFS('Pasted Bridges'!$G:$G,'Pasted Bridges'!$B:$B,$C16,'Pasted Bridges'!$F:$F,CO$5)</f>
        <v>0</v>
      </c>
      <c r="CP16" s="17">
        <f>SUMIFS('Pasted Bridges'!$G:$G,'Pasted Bridges'!$B:$B,$C16,'Pasted Bridges'!$F:$F,CP$5)</f>
        <v>0</v>
      </c>
      <c r="CQ16" s="17">
        <f>SUMIFS('Pasted Bridges'!$G:$G,'Pasted Bridges'!$B:$B,$C16,'Pasted Bridges'!$F:$F,CQ$5)</f>
        <v>0</v>
      </c>
      <c r="CR16" s="17">
        <f>SUMIFS('Pasted Bridges'!$G:$G,'Pasted Bridges'!$B:$B,$C16,'Pasted Bridges'!$F:$F,CR$5)</f>
        <v>0</v>
      </c>
      <c r="CS16" s="17">
        <f>SUMIFS('Pasted Bridges'!$G:$G,'Pasted Bridges'!$B:$B,$C16,'Pasted Bridges'!$F:$F,CS$5)</f>
        <v>0</v>
      </c>
      <c r="CT16" s="17">
        <f>SUMIFS('Pasted Bridges'!$G:$G,'Pasted Bridges'!$B:$B,$C16,'Pasted Bridges'!$F:$F,CT$5)</f>
        <v>0</v>
      </c>
      <c r="CU16" s="17">
        <f>SUMIFS('Pasted Bridges'!$G:$G,'Pasted Bridges'!$B:$B,$C16,'Pasted Bridges'!$F:$F,CU$5)</f>
        <v>0</v>
      </c>
      <c r="CV16" s="17">
        <f>SUMIFS('Pasted Bridges'!$G:$G,'Pasted Bridges'!$B:$B,$C16,'Pasted Bridges'!$F:$F,CV$5)</f>
        <v>0</v>
      </c>
      <c r="CW16" s="17">
        <f>SUMIFS('Pasted Bridges'!$G:$G,'Pasted Bridges'!$B:$B,$C16,'Pasted Bridges'!$F:$F,CW$5)</f>
        <v>0</v>
      </c>
      <c r="CX16" s="17">
        <f>SUMIFS('Pasted Bridges'!$G:$G,'Pasted Bridges'!$B:$B,$C16,'Pasted Bridges'!$F:$F,CX$5)</f>
        <v>0</v>
      </c>
      <c r="CY16" s="17">
        <f>SUMIFS('Pasted Bridges'!$G:$G,'Pasted Bridges'!$B:$B,$C16,'Pasted Bridges'!$F:$F,CY$5)</f>
        <v>0</v>
      </c>
      <c r="CZ16" s="17">
        <f>SUMIFS('Pasted Bridges'!$G:$G,'Pasted Bridges'!$B:$B,$C16,'Pasted Bridges'!$F:$F,CZ$5)</f>
        <v>0</v>
      </c>
      <c r="DA16" s="17">
        <f>SUMIFS('Pasted Bridges'!$G:$G,'Pasted Bridges'!$B:$B,$C16,'Pasted Bridges'!$F:$F,DA$5)</f>
        <v>0</v>
      </c>
    </row>
    <row r="17" spans="1:105" s="1" customFormat="1" x14ac:dyDescent="0.25">
      <c r="A17" s="10"/>
      <c r="B17" s="47"/>
      <c r="C17" s="19" t="s">
        <v>16</v>
      </c>
      <c r="D17" s="19" t="s">
        <v>165</v>
      </c>
      <c r="E17" s="13" t="s">
        <v>199</v>
      </c>
      <c r="F17" s="2">
        <v>18</v>
      </c>
      <c r="G17" s="5">
        <v>0.25</v>
      </c>
      <c r="H17" s="2">
        <v>0.24</v>
      </c>
      <c r="I17" s="2">
        <v>0.06</v>
      </c>
      <c r="J17" s="3"/>
      <c r="K17" s="17">
        <f>SUMIFS('Pasted Bridges'!$G:$G,'Pasted Bridges'!$B:$B,$C17,'Pasted Bridges'!$F:$F,K$5)</f>
        <v>0</v>
      </c>
      <c r="L17" s="17">
        <f>SUMIFS('Pasted Bridges'!$G:$G,'Pasted Bridges'!$B:$B,$C17,'Pasted Bridges'!$F:$F,L$5)</f>
        <v>0</v>
      </c>
      <c r="M17" s="17">
        <f>SUMIFS('Pasted Bridges'!$G:$G,'Pasted Bridges'!$B:$B,$C17,'Pasted Bridges'!$F:$F,M$5)</f>
        <v>0</v>
      </c>
      <c r="N17" s="17">
        <f>SUMIFS('Pasted Bridges'!$G:$G,'Pasted Bridges'!$B:$B,$C17,'Pasted Bridges'!$F:$F,N$5)</f>
        <v>0</v>
      </c>
      <c r="O17" s="17">
        <f>SUMIFS('Pasted Bridges'!$G:$G,'Pasted Bridges'!$B:$B,$C17,'Pasted Bridges'!$F:$F,O$5)</f>
        <v>0</v>
      </c>
      <c r="P17" s="17">
        <f>SUMIFS('Pasted Bridges'!$G:$G,'Pasted Bridges'!$B:$B,$C17,'Pasted Bridges'!$F:$F,P$5)</f>
        <v>0</v>
      </c>
      <c r="Q17" s="17">
        <f>SUMIFS('Pasted Bridges'!$G:$G,'Pasted Bridges'!$B:$B,$C17,'Pasted Bridges'!$F:$F,Q$5)</f>
        <v>0</v>
      </c>
      <c r="R17" s="17">
        <f>SUMIFS('Pasted Bridges'!$G:$G,'Pasted Bridges'!$B:$B,$C17,'Pasted Bridges'!$F:$F,R$5)</f>
        <v>0</v>
      </c>
      <c r="S17" s="17">
        <f>SUMIFS('Pasted Bridges'!$G:$G,'Pasted Bridges'!$B:$B,$C17,'Pasted Bridges'!$F:$F,S$5)</f>
        <v>0</v>
      </c>
      <c r="T17" s="17">
        <f>SUMIFS('Pasted Bridges'!$G:$G,'Pasted Bridges'!$B:$B,$C17,'Pasted Bridges'!$F:$F,T$5)</f>
        <v>0</v>
      </c>
      <c r="U17" s="17">
        <f>SUMIFS('Pasted Bridges'!$G:$G,'Pasted Bridges'!$B:$B,$C17,'Pasted Bridges'!$F:$F,U$5)</f>
        <v>0</v>
      </c>
      <c r="V17" s="17">
        <f>SUMIFS('Pasted Bridges'!$G:$G,'Pasted Bridges'!$B:$B,$C17,'Pasted Bridges'!$F:$F,V$5)</f>
        <v>0</v>
      </c>
      <c r="W17" s="17">
        <f>SUMIFS('Pasted Bridges'!$G:$G,'Pasted Bridges'!$B:$B,$C17,'Pasted Bridges'!$F:$F,W$5)</f>
        <v>0</v>
      </c>
      <c r="X17" s="17">
        <f>SUMIFS('Pasted Bridges'!$G:$G,'Pasted Bridges'!$B:$B,$C17,'Pasted Bridges'!$F:$F,X$5)</f>
        <v>0</v>
      </c>
      <c r="Y17" s="17">
        <f>SUMIFS('Pasted Bridges'!$G:$G,'Pasted Bridges'!$B:$B,$C17,'Pasted Bridges'!$F:$F,Y$5)</f>
        <v>0</v>
      </c>
      <c r="Z17" s="17">
        <f>SUMIFS('Pasted Bridges'!$G:$G,'Pasted Bridges'!$B:$B,$C17,'Pasted Bridges'!$F:$F,Z$5)</f>
        <v>0</v>
      </c>
      <c r="AA17" s="17">
        <f>SUMIFS('Pasted Bridges'!$G:$G,'Pasted Bridges'!$B:$B,$C17,'Pasted Bridges'!$F:$F,AA$5)</f>
        <v>0</v>
      </c>
      <c r="AB17" s="17">
        <f>SUMIFS('Pasted Bridges'!$G:$G,'Pasted Bridges'!$B:$B,$C17,'Pasted Bridges'!$F:$F,AB$5)</f>
        <v>0</v>
      </c>
      <c r="AC17" s="17">
        <f>SUMIFS('Pasted Bridges'!$G:$G,'Pasted Bridges'!$B:$B,$C17,'Pasted Bridges'!$F:$F,AC$5)</f>
        <v>0</v>
      </c>
      <c r="AD17" s="17">
        <f>SUMIFS('Pasted Bridges'!$G:$G,'Pasted Bridges'!$B:$B,$C17,'Pasted Bridges'!$F:$F,AD$5)</f>
        <v>0</v>
      </c>
      <c r="AE17" s="17">
        <f>SUMIFS('Pasted Bridges'!$G:$G,'Pasted Bridges'!$B:$B,$C17,'Pasted Bridges'!$F:$F,AE$5)</f>
        <v>0</v>
      </c>
      <c r="AF17" s="17">
        <f>SUMIFS('Pasted Bridges'!$G:$G,'Pasted Bridges'!$B:$B,$C17,'Pasted Bridges'!$F:$F,AF$5)</f>
        <v>0</v>
      </c>
      <c r="AG17" s="17">
        <f>SUMIFS('Pasted Bridges'!$G:$G,'Pasted Bridges'!$B:$B,$C17,'Pasted Bridges'!$F:$F,AG$5)</f>
        <v>0</v>
      </c>
      <c r="AH17" s="17">
        <f>SUMIFS('Pasted Bridges'!$G:$G,'Pasted Bridges'!$B:$B,$C17,'Pasted Bridges'!$F:$F,AH$5)</f>
        <v>0</v>
      </c>
      <c r="AI17" s="17">
        <f>SUMIFS('Pasted Bridges'!$G:$G,'Pasted Bridges'!$B:$B,$C17,'Pasted Bridges'!$F:$F,AI$5)</f>
        <v>0</v>
      </c>
      <c r="AJ17" s="17">
        <f>SUMIFS('Pasted Bridges'!$G:$G,'Pasted Bridges'!$B:$B,$C17,'Pasted Bridges'!$F:$F,AJ$5)</f>
        <v>0</v>
      </c>
      <c r="AK17" s="17">
        <f>SUMIFS('Pasted Bridges'!$G:$G,'Pasted Bridges'!$B:$B,$C17,'Pasted Bridges'!$F:$F,AK$5)</f>
        <v>0</v>
      </c>
      <c r="AL17" s="17">
        <f>SUMIFS('Pasted Bridges'!$G:$G,'Pasted Bridges'!$B:$B,$C17,'Pasted Bridges'!$F:$F,AL$5)</f>
        <v>0</v>
      </c>
      <c r="AM17" s="17">
        <f>SUMIFS('Pasted Bridges'!$G:$G,'Pasted Bridges'!$B:$B,$C17,'Pasted Bridges'!$F:$F,AM$5)</f>
        <v>0</v>
      </c>
      <c r="AN17" s="17">
        <f>SUMIFS('Pasted Bridges'!$G:$G,'Pasted Bridges'!$B:$B,$C17,'Pasted Bridges'!$F:$F,AN$5)</f>
        <v>0</v>
      </c>
      <c r="AO17" s="17">
        <f>SUMIFS('Pasted Bridges'!$G:$G,'Pasted Bridges'!$B:$B,$C17,'Pasted Bridges'!$F:$F,AO$5)</f>
        <v>0</v>
      </c>
      <c r="AP17" s="17">
        <f>SUMIFS('Pasted Bridges'!$G:$G,'Pasted Bridges'!$B:$B,$C17,'Pasted Bridges'!$F:$F,AP$5)</f>
        <v>0</v>
      </c>
      <c r="AQ17" s="17">
        <f>SUMIFS('Pasted Bridges'!$G:$G,'Pasted Bridges'!$B:$B,$C17,'Pasted Bridges'!$F:$F,AQ$5)</f>
        <v>0</v>
      </c>
      <c r="AR17" s="17">
        <f>SUMIFS('Pasted Bridges'!$G:$G,'Pasted Bridges'!$B:$B,$C17,'Pasted Bridges'!$F:$F,AR$5)</f>
        <v>0</v>
      </c>
      <c r="AS17" s="17">
        <f>SUMIFS('Pasted Bridges'!$G:$G,'Pasted Bridges'!$B:$B,$C17,'Pasted Bridges'!$F:$F,AS$5)</f>
        <v>0</v>
      </c>
      <c r="AT17" s="17">
        <f>SUMIFS('Pasted Bridges'!$G:$G,'Pasted Bridges'!$B:$B,$C17,'Pasted Bridges'!$F:$F,AT$5)</f>
        <v>0</v>
      </c>
      <c r="AU17" s="17">
        <f>SUMIFS('Pasted Bridges'!$G:$G,'Pasted Bridges'!$B:$B,$C17,'Pasted Bridges'!$F:$F,AU$5)</f>
        <v>0</v>
      </c>
      <c r="AV17" s="17">
        <f>SUMIFS('Pasted Bridges'!$G:$G,'Pasted Bridges'!$B:$B,$C17,'Pasted Bridges'!$F:$F,AV$5)</f>
        <v>0</v>
      </c>
      <c r="AW17" s="17">
        <f>SUMIFS('Pasted Bridges'!$G:$G,'Pasted Bridges'!$B:$B,$C17,'Pasted Bridges'!$F:$F,AW$5)</f>
        <v>0</v>
      </c>
      <c r="AX17" s="17">
        <f>SUMIFS('Pasted Bridges'!$G:$G,'Pasted Bridges'!$B:$B,$C17,'Pasted Bridges'!$F:$F,AX$5)</f>
        <v>0</v>
      </c>
      <c r="AY17" s="17">
        <f>SUMIFS('Pasted Bridges'!$G:$G,'Pasted Bridges'!$B:$B,$C17,'Pasted Bridges'!$F:$F,AY$5)</f>
        <v>0</v>
      </c>
      <c r="AZ17" s="17">
        <f>SUMIFS('Pasted Bridges'!$G:$G,'Pasted Bridges'!$B:$B,$C17,'Pasted Bridges'!$F:$F,AZ$5)</f>
        <v>0</v>
      </c>
      <c r="BA17" s="17">
        <f>SUMIFS('Pasted Bridges'!$G:$G,'Pasted Bridges'!$B:$B,$C17,'Pasted Bridges'!$F:$F,BA$5)</f>
        <v>0</v>
      </c>
      <c r="BB17" s="17">
        <f>SUMIFS('Pasted Bridges'!$G:$G,'Pasted Bridges'!$B:$B,$C17,'Pasted Bridges'!$F:$F,BB$5)</f>
        <v>0</v>
      </c>
      <c r="BC17" s="17">
        <f>SUMIFS('Pasted Bridges'!$G:$G,'Pasted Bridges'!$B:$B,$C17,'Pasted Bridges'!$F:$F,BC$5)</f>
        <v>0</v>
      </c>
      <c r="BD17" s="17">
        <f>SUMIFS('Pasted Bridges'!$G:$G,'Pasted Bridges'!$B:$B,$C17,'Pasted Bridges'!$F:$F,BD$5)</f>
        <v>0</v>
      </c>
      <c r="BE17" s="17">
        <f>SUMIFS('Pasted Bridges'!$G:$G,'Pasted Bridges'!$B:$B,$C17,'Pasted Bridges'!$F:$F,BE$5)</f>
        <v>0</v>
      </c>
      <c r="BF17" s="17">
        <f>SUMIFS('Pasted Bridges'!$G:$G,'Pasted Bridges'!$B:$B,$C17,'Pasted Bridges'!$F:$F,BF$5)</f>
        <v>0</v>
      </c>
      <c r="BG17" s="17">
        <f>SUMIFS('Pasted Bridges'!$G:$G,'Pasted Bridges'!$B:$B,$C17,'Pasted Bridges'!$F:$F,BG$5)</f>
        <v>0</v>
      </c>
      <c r="BH17" s="17">
        <f>SUMIFS('Pasted Bridges'!$G:$G,'Pasted Bridges'!$B:$B,$C17,'Pasted Bridges'!$F:$F,BH$5)</f>
        <v>0</v>
      </c>
      <c r="BI17" s="17">
        <f>SUMIFS('Pasted Bridges'!$G:$G,'Pasted Bridges'!$B:$B,$C17,'Pasted Bridges'!$F:$F,BI$5)</f>
        <v>0</v>
      </c>
      <c r="BJ17" s="17">
        <f>SUMIFS('Pasted Bridges'!$G:$G,'Pasted Bridges'!$B:$B,$C17,'Pasted Bridges'!$F:$F,BJ$5)</f>
        <v>0</v>
      </c>
      <c r="BK17" s="17">
        <f>SUMIFS('Pasted Bridges'!$G:$G,'Pasted Bridges'!$B:$B,$C17,'Pasted Bridges'!$F:$F,BK$5)</f>
        <v>0</v>
      </c>
      <c r="BL17" s="17">
        <f>SUMIFS('Pasted Bridges'!$G:$G,'Pasted Bridges'!$B:$B,$C17,'Pasted Bridges'!$F:$F,BL$5)</f>
        <v>0</v>
      </c>
      <c r="BM17" s="17">
        <f>SUMIFS('Pasted Bridges'!$G:$G,'Pasted Bridges'!$B:$B,$C17,'Pasted Bridges'!$F:$F,BM$5)</f>
        <v>0</v>
      </c>
      <c r="BN17" s="17">
        <f>SUMIFS('Pasted Bridges'!$G:$G,'Pasted Bridges'!$B:$B,$C17,'Pasted Bridges'!$F:$F,BN$5)</f>
        <v>0</v>
      </c>
      <c r="BO17" s="17">
        <f>SUMIFS('Pasted Bridges'!$G:$G,'Pasted Bridges'!$B:$B,$C17,'Pasted Bridges'!$F:$F,BO$5)</f>
        <v>0</v>
      </c>
      <c r="BP17" s="17">
        <f>SUMIFS('Pasted Bridges'!$G:$G,'Pasted Bridges'!$B:$B,$C17,'Pasted Bridges'!$F:$F,BP$5)</f>
        <v>0</v>
      </c>
      <c r="BQ17" s="17">
        <f>SUMIFS('Pasted Bridges'!$G:$G,'Pasted Bridges'!$B:$B,$C17,'Pasted Bridges'!$F:$F,BQ$5)</f>
        <v>0</v>
      </c>
      <c r="BR17" s="17">
        <f>SUMIFS('Pasted Bridges'!$G:$G,'Pasted Bridges'!$B:$B,$C17,'Pasted Bridges'!$F:$F,BR$5)</f>
        <v>0</v>
      </c>
      <c r="BS17" s="17">
        <f>SUMIFS('Pasted Bridges'!$G:$G,'Pasted Bridges'!$B:$B,$C17,'Pasted Bridges'!$F:$F,BS$5)</f>
        <v>0</v>
      </c>
      <c r="BT17" s="17">
        <f>SUMIFS('Pasted Bridges'!$G:$G,'Pasted Bridges'!$B:$B,$C17,'Pasted Bridges'!$F:$F,BT$5)</f>
        <v>0</v>
      </c>
      <c r="BU17" s="17">
        <f>SUMIFS('Pasted Bridges'!$G:$G,'Pasted Bridges'!$B:$B,$C17,'Pasted Bridges'!$F:$F,BU$5)</f>
        <v>0</v>
      </c>
      <c r="BV17" s="17">
        <f>SUMIFS('Pasted Bridges'!$G:$G,'Pasted Bridges'!$B:$B,$C17,'Pasted Bridges'!$F:$F,BV$5)</f>
        <v>0</v>
      </c>
      <c r="BW17" s="17">
        <f>SUMIFS('Pasted Bridges'!$G:$G,'Pasted Bridges'!$B:$B,$C17,'Pasted Bridges'!$F:$F,BW$5)</f>
        <v>0</v>
      </c>
      <c r="BX17" s="17">
        <f>SUMIFS('Pasted Bridges'!$G:$G,'Pasted Bridges'!$B:$B,$C17,'Pasted Bridges'!$F:$F,BX$5)</f>
        <v>0</v>
      </c>
      <c r="BY17" s="17">
        <f>SUMIFS('Pasted Bridges'!$G:$G,'Pasted Bridges'!$B:$B,$C17,'Pasted Bridges'!$F:$F,BY$5)</f>
        <v>0</v>
      </c>
      <c r="BZ17" s="17">
        <f>SUMIFS('Pasted Bridges'!$G:$G,'Pasted Bridges'!$B:$B,$C17,'Pasted Bridges'!$F:$F,BZ$5)</f>
        <v>0</v>
      </c>
      <c r="CA17" s="17">
        <f>SUMIFS('Pasted Bridges'!$G:$G,'Pasted Bridges'!$B:$B,$C17,'Pasted Bridges'!$F:$F,CA$5)</f>
        <v>0</v>
      </c>
      <c r="CB17" s="17">
        <f>SUMIFS('Pasted Bridges'!$G:$G,'Pasted Bridges'!$B:$B,$C17,'Pasted Bridges'!$F:$F,CB$5)</f>
        <v>0</v>
      </c>
      <c r="CC17" s="17">
        <f>SUMIFS('Pasted Bridges'!$G:$G,'Pasted Bridges'!$B:$B,$C17,'Pasted Bridges'!$F:$F,CC$5)</f>
        <v>0</v>
      </c>
      <c r="CD17" s="17">
        <f>SUMIFS('Pasted Bridges'!$G:$G,'Pasted Bridges'!$B:$B,$C17,'Pasted Bridges'!$F:$F,CD$5)</f>
        <v>0</v>
      </c>
      <c r="CE17" s="17">
        <f>SUMIFS('Pasted Bridges'!$G:$G,'Pasted Bridges'!$B:$B,$C17,'Pasted Bridges'!$F:$F,CE$5)</f>
        <v>0</v>
      </c>
      <c r="CF17" s="17">
        <f>SUMIFS('Pasted Bridges'!$G:$G,'Pasted Bridges'!$B:$B,$C17,'Pasted Bridges'!$F:$F,CF$5)</f>
        <v>0</v>
      </c>
      <c r="CG17" s="17">
        <f>SUMIFS('Pasted Bridges'!$G:$G,'Pasted Bridges'!$B:$B,$C17,'Pasted Bridges'!$F:$F,CG$5)</f>
        <v>0</v>
      </c>
      <c r="CH17" s="17">
        <f>SUMIFS('Pasted Bridges'!$G:$G,'Pasted Bridges'!$B:$B,$C17,'Pasted Bridges'!$F:$F,CH$5)</f>
        <v>0</v>
      </c>
      <c r="CI17" s="17">
        <f>SUMIFS('Pasted Bridges'!$G:$G,'Pasted Bridges'!$B:$B,$C17,'Pasted Bridges'!$F:$F,CI$5)</f>
        <v>0</v>
      </c>
      <c r="CJ17" s="17">
        <f>SUMIFS('Pasted Bridges'!$G:$G,'Pasted Bridges'!$B:$B,$C17,'Pasted Bridges'!$F:$F,CJ$5)</f>
        <v>0</v>
      </c>
      <c r="CK17" s="17">
        <f>SUMIFS('Pasted Bridges'!$G:$G,'Pasted Bridges'!$B:$B,$C17,'Pasted Bridges'!$F:$F,CK$5)</f>
        <v>0</v>
      </c>
      <c r="CL17" s="17">
        <f>SUMIFS('Pasted Bridges'!$G:$G,'Pasted Bridges'!$B:$B,$C17,'Pasted Bridges'!$F:$F,CL$5)</f>
        <v>0</v>
      </c>
      <c r="CM17" s="17">
        <f>SUMIFS('Pasted Bridges'!$G:$G,'Pasted Bridges'!$B:$B,$C17,'Pasted Bridges'!$F:$F,CM$5)</f>
        <v>0</v>
      </c>
      <c r="CN17" s="17">
        <f>SUMIFS('Pasted Bridges'!$G:$G,'Pasted Bridges'!$B:$B,$C17,'Pasted Bridges'!$F:$F,CN$5)</f>
        <v>0</v>
      </c>
      <c r="CO17" s="17">
        <f>SUMIFS('Pasted Bridges'!$G:$G,'Pasted Bridges'!$B:$B,$C17,'Pasted Bridges'!$F:$F,CO$5)</f>
        <v>0</v>
      </c>
      <c r="CP17" s="17">
        <f>SUMIFS('Pasted Bridges'!$G:$G,'Pasted Bridges'!$B:$B,$C17,'Pasted Bridges'!$F:$F,CP$5)</f>
        <v>0</v>
      </c>
      <c r="CQ17" s="17">
        <f>SUMIFS('Pasted Bridges'!$G:$G,'Pasted Bridges'!$B:$B,$C17,'Pasted Bridges'!$F:$F,CQ$5)</f>
        <v>0</v>
      </c>
      <c r="CR17" s="17">
        <f>SUMIFS('Pasted Bridges'!$G:$G,'Pasted Bridges'!$B:$B,$C17,'Pasted Bridges'!$F:$F,CR$5)</f>
        <v>0</v>
      </c>
      <c r="CS17" s="17">
        <f>SUMIFS('Pasted Bridges'!$G:$G,'Pasted Bridges'!$B:$B,$C17,'Pasted Bridges'!$F:$F,CS$5)</f>
        <v>0</v>
      </c>
      <c r="CT17" s="17">
        <f>SUMIFS('Pasted Bridges'!$G:$G,'Pasted Bridges'!$B:$B,$C17,'Pasted Bridges'!$F:$F,CT$5)</f>
        <v>0</v>
      </c>
      <c r="CU17" s="17">
        <f>SUMIFS('Pasted Bridges'!$G:$G,'Pasted Bridges'!$B:$B,$C17,'Pasted Bridges'!$F:$F,CU$5)</f>
        <v>0</v>
      </c>
      <c r="CV17" s="17">
        <f>SUMIFS('Pasted Bridges'!$G:$G,'Pasted Bridges'!$B:$B,$C17,'Pasted Bridges'!$F:$F,CV$5)</f>
        <v>0</v>
      </c>
      <c r="CW17" s="17">
        <f>SUMIFS('Pasted Bridges'!$G:$G,'Pasted Bridges'!$B:$B,$C17,'Pasted Bridges'!$F:$F,CW$5)</f>
        <v>0</v>
      </c>
      <c r="CX17" s="17">
        <f>SUMIFS('Pasted Bridges'!$G:$G,'Pasted Bridges'!$B:$B,$C17,'Pasted Bridges'!$F:$F,CX$5)</f>
        <v>0</v>
      </c>
      <c r="CY17" s="17">
        <f>SUMIFS('Pasted Bridges'!$G:$G,'Pasted Bridges'!$B:$B,$C17,'Pasted Bridges'!$F:$F,CY$5)</f>
        <v>0</v>
      </c>
      <c r="CZ17" s="17">
        <f>SUMIFS('Pasted Bridges'!$G:$G,'Pasted Bridges'!$B:$B,$C17,'Pasted Bridges'!$F:$F,CZ$5)</f>
        <v>0</v>
      </c>
      <c r="DA17" s="17">
        <f>SUMIFS('Pasted Bridges'!$G:$G,'Pasted Bridges'!$B:$B,$C17,'Pasted Bridges'!$F:$F,DA$5)</f>
        <v>0</v>
      </c>
    </row>
    <row r="18" spans="1:105" s="1" customFormat="1" x14ac:dyDescent="0.25">
      <c r="A18" s="10"/>
      <c r="B18" s="48"/>
      <c r="C18" s="19" t="s">
        <v>17</v>
      </c>
      <c r="D18" s="19" t="s">
        <v>166</v>
      </c>
      <c r="E18" s="13" t="s">
        <v>199</v>
      </c>
      <c r="F18" s="2">
        <v>19</v>
      </c>
      <c r="G18" s="5">
        <v>0.25</v>
      </c>
      <c r="H18" s="2">
        <v>0.04</v>
      </c>
      <c r="I18" s="2">
        <v>0.08</v>
      </c>
      <c r="J18" s="3"/>
      <c r="K18" s="17">
        <f>SUMIFS('Pasted Bridges'!$G:$G,'Pasted Bridges'!$B:$B,$C18,'Pasted Bridges'!$F:$F,K$5)</f>
        <v>0</v>
      </c>
      <c r="L18" s="17">
        <f>SUMIFS('Pasted Bridges'!$G:$G,'Pasted Bridges'!$B:$B,$C18,'Pasted Bridges'!$F:$F,L$5)</f>
        <v>0</v>
      </c>
      <c r="M18" s="17">
        <f>SUMIFS('Pasted Bridges'!$G:$G,'Pasted Bridges'!$B:$B,$C18,'Pasted Bridges'!$F:$F,M$5)</f>
        <v>0</v>
      </c>
      <c r="N18" s="17">
        <f>SUMIFS('Pasted Bridges'!$G:$G,'Pasted Bridges'!$B:$B,$C18,'Pasted Bridges'!$F:$F,N$5)</f>
        <v>0</v>
      </c>
      <c r="O18" s="17">
        <f>SUMIFS('Pasted Bridges'!$G:$G,'Pasted Bridges'!$B:$B,$C18,'Pasted Bridges'!$F:$F,O$5)</f>
        <v>0</v>
      </c>
      <c r="P18" s="17">
        <f>SUMIFS('Pasted Bridges'!$G:$G,'Pasted Bridges'!$B:$B,$C18,'Pasted Bridges'!$F:$F,P$5)</f>
        <v>0</v>
      </c>
      <c r="Q18" s="17">
        <f>SUMIFS('Pasted Bridges'!$G:$G,'Pasted Bridges'!$B:$B,$C18,'Pasted Bridges'!$F:$F,Q$5)</f>
        <v>0</v>
      </c>
      <c r="R18" s="17">
        <f>SUMIFS('Pasted Bridges'!$G:$G,'Pasted Bridges'!$B:$B,$C18,'Pasted Bridges'!$F:$F,R$5)</f>
        <v>0</v>
      </c>
      <c r="S18" s="17">
        <f>SUMIFS('Pasted Bridges'!$G:$G,'Pasted Bridges'!$B:$B,$C18,'Pasted Bridges'!$F:$F,S$5)</f>
        <v>0</v>
      </c>
      <c r="T18" s="17">
        <f>SUMIFS('Pasted Bridges'!$G:$G,'Pasted Bridges'!$B:$B,$C18,'Pasted Bridges'!$F:$F,T$5)</f>
        <v>0</v>
      </c>
      <c r="U18" s="17">
        <f>SUMIFS('Pasted Bridges'!$G:$G,'Pasted Bridges'!$B:$B,$C18,'Pasted Bridges'!$F:$F,U$5)</f>
        <v>0</v>
      </c>
      <c r="V18" s="17">
        <f>SUMIFS('Pasted Bridges'!$G:$G,'Pasted Bridges'!$B:$B,$C18,'Pasted Bridges'!$F:$F,V$5)</f>
        <v>0</v>
      </c>
      <c r="W18" s="17">
        <f>SUMIFS('Pasted Bridges'!$G:$G,'Pasted Bridges'!$B:$B,$C18,'Pasted Bridges'!$F:$F,W$5)</f>
        <v>0</v>
      </c>
      <c r="X18" s="17">
        <f>SUMIFS('Pasted Bridges'!$G:$G,'Pasted Bridges'!$B:$B,$C18,'Pasted Bridges'!$F:$F,X$5)</f>
        <v>0</v>
      </c>
      <c r="Y18" s="17">
        <f>SUMIFS('Pasted Bridges'!$G:$G,'Pasted Bridges'!$B:$B,$C18,'Pasted Bridges'!$F:$F,Y$5)</f>
        <v>0</v>
      </c>
      <c r="Z18" s="17">
        <f>SUMIFS('Pasted Bridges'!$G:$G,'Pasted Bridges'!$B:$B,$C18,'Pasted Bridges'!$F:$F,Z$5)</f>
        <v>0</v>
      </c>
      <c r="AA18" s="17">
        <f>SUMIFS('Pasted Bridges'!$G:$G,'Pasted Bridges'!$B:$B,$C18,'Pasted Bridges'!$F:$F,AA$5)</f>
        <v>0</v>
      </c>
      <c r="AB18" s="17">
        <f>SUMIFS('Pasted Bridges'!$G:$G,'Pasted Bridges'!$B:$B,$C18,'Pasted Bridges'!$F:$F,AB$5)</f>
        <v>0</v>
      </c>
      <c r="AC18" s="17">
        <f>SUMIFS('Pasted Bridges'!$G:$G,'Pasted Bridges'!$B:$B,$C18,'Pasted Bridges'!$F:$F,AC$5)</f>
        <v>0</v>
      </c>
      <c r="AD18" s="17">
        <f>SUMIFS('Pasted Bridges'!$G:$G,'Pasted Bridges'!$B:$B,$C18,'Pasted Bridges'!$F:$F,AD$5)</f>
        <v>0</v>
      </c>
      <c r="AE18" s="17">
        <f>SUMIFS('Pasted Bridges'!$G:$G,'Pasted Bridges'!$B:$B,$C18,'Pasted Bridges'!$F:$F,AE$5)</f>
        <v>0</v>
      </c>
      <c r="AF18" s="17">
        <f>SUMIFS('Pasted Bridges'!$G:$G,'Pasted Bridges'!$B:$B,$C18,'Pasted Bridges'!$F:$F,AF$5)</f>
        <v>0</v>
      </c>
      <c r="AG18" s="17">
        <f>SUMIFS('Pasted Bridges'!$G:$G,'Pasted Bridges'!$B:$B,$C18,'Pasted Bridges'!$F:$F,AG$5)</f>
        <v>0</v>
      </c>
      <c r="AH18" s="17">
        <f>SUMIFS('Pasted Bridges'!$G:$G,'Pasted Bridges'!$B:$B,$C18,'Pasted Bridges'!$F:$F,AH$5)</f>
        <v>0</v>
      </c>
      <c r="AI18" s="17">
        <f>SUMIFS('Pasted Bridges'!$G:$G,'Pasted Bridges'!$B:$B,$C18,'Pasted Bridges'!$F:$F,AI$5)</f>
        <v>0</v>
      </c>
      <c r="AJ18" s="17">
        <f>SUMIFS('Pasted Bridges'!$G:$G,'Pasted Bridges'!$B:$B,$C18,'Pasted Bridges'!$F:$F,AJ$5)</f>
        <v>0</v>
      </c>
      <c r="AK18" s="17">
        <f>SUMIFS('Pasted Bridges'!$G:$G,'Pasted Bridges'!$B:$B,$C18,'Pasted Bridges'!$F:$F,AK$5)</f>
        <v>0</v>
      </c>
      <c r="AL18" s="17">
        <f>SUMIFS('Pasted Bridges'!$G:$G,'Pasted Bridges'!$B:$B,$C18,'Pasted Bridges'!$F:$F,AL$5)</f>
        <v>0</v>
      </c>
      <c r="AM18" s="17">
        <f>SUMIFS('Pasted Bridges'!$G:$G,'Pasted Bridges'!$B:$B,$C18,'Pasted Bridges'!$F:$F,AM$5)</f>
        <v>0</v>
      </c>
      <c r="AN18" s="17">
        <f>SUMIFS('Pasted Bridges'!$G:$G,'Pasted Bridges'!$B:$B,$C18,'Pasted Bridges'!$F:$F,AN$5)</f>
        <v>0</v>
      </c>
      <c r="AO18" s="17">
        <f>SUMIFS('Pasted Bridges'!$G:$G,'Pasted Bridges'!$B:$B,$C18,'Pasted Bridges'!$F:$F,AO$5)</f>
        <v>0</v>
      </c>
      <c r="AP18" s="17">
        <f>SUMIFS('Pasted Bridges'!$G:$G,'Pasted Bridges'!$B:$B,$C18,'Pasted Bridges'!$F:$F,AP$5)</f>
        <v>0</v>
      </c>
      <c r="AQ18" s="17">
        <f>SUMIFS('Pasted Bridges'!$G:$G,'Pasted Bridges'!$B:$B,$C18,'Pasted Bridges'!$F:$F,AQ$5)</f>
        <v>0</v>
      </c>
      <c r="AR18" s="17">
        <f>SUMIFS('Pasted Bridges'!$G:$G,'Pasted Bridges'!$B:$B,$C18,'Pasted Bridges'!$F:$F,AR$5)</f>
        <v>0</v>
      </c>
      <c r="AS18" s="17">
        <f>SUMIFS('Pasted Bridges'!$G:$G,'Pasted Bridges'!$B:$B,$C18,'Pasted Bridges'!$F:$F,AS$5)</f>
        <v>0</v>
      </c>
      <c r="AT18" s="17">
        <f>SUMIFS('Pasted Bridges'!$G:$G,'Pasted Bridges'!$B:$B,$C18,'Pasted Bridges'!$F:$F,AT$5)</f>
        <v>0</v>
      </c>
      <c r="AU18" s="17">
        <f>SUMIFS('Pasted Bridges'!$G:$G,'Pasted Bridges'!$B:$B,$C18,'Pasted Bridges'!$F:$F,AU$5)</f>
        <v>0</v>
      </c>
      <c r="AV18" s="17">
        <f>SUMIFS('Pasted Bridges'!$G:$G,'Pasted Bridges'!$B:$B,$C18,'Pasted Bridges'!$F:$F,AV$5)</f>
        <v>0</v>
      </c>
      <c r="AW18" s="17">
        <f>SUMIFS('Pasted Bridges'!$G:$G,'Pasted Bridges'!$B:$B,$C18,'Pasted Bridges'!$F:$F,AW$5)</f>
        <v>0</v>
      </c>
      <c r="AX18" s="17">
        <f>SUMIFS('Pasted Bridges'!$G:$G,'Pasted Bridges'!$B:$B,$C18,'Pasted Bridges'!$F:$F,AX$5)</f>
        <v>0</v>
      </c>
      <c r="AY18" s="17">
        <f>SUMIFS('Pasted Bridges'!$G:$G,'Pasted Bridges'!$B:$B,$C18,'Pasted Bridges'!$F:$F,AY$5)</f>
        <v>0</v>
      </c>
      <c r="AZ18" s="17">
        <f>SUMIFS('Pasted Bridges'!$G:$G,'Pasted Bridges'!$B:$B,$C18,'Pasted Bridges'!$F:$F,AZ$5)</f>
        <v>0</v>
      </c>
      <c r="BA18" s="17">
        <f>SUMIFS('Pasted Bridges'!$G:$G,'Pasted Bridges'!$B:$B,$C18,'Pasted Bridges'!$F:$F,BA$5)</f>
        <v>0</v>
      </c>
      <c r="BB18" s="17">
        <f>SUMIFS('Pasted Bridges'!$G:$G,'Pasted Bridges'!$B:$B,$C18,'Pasted Bridges'!$F:$F,BB$5)</f>
        <v>0</v>
      </c>
      <c r="BC18" s="17">
        <f>SUMIFS('Pasted Bridges'!$G:$G,'Pasted Bridges'!$B:$B,$C18,'Pasted Bridges'!$F:$F,BC$5)</f>
        <v>0</v>
      </c>
      <c r="BD18" s="17">
        <f>SUMIFS('Pasted Bridges'!$G:$G,'Pasted Bridges'!$B:$B,$C18,'Pasted Bridges'!$F:$F,BD$5)</f>
        <v>0</v>
      </c>
      <c r="BE18" s="17">
        <f>SUMIFS('Pasted Bridges'!$G:$G,'Pasted Bridges'!$B:$B,$C18,'Pasted Bridges'!$F:$F,BE$5)</f>
        <v>0</v>
      </c>
      <c r="BF18" s="17">
        <f>SUMIFS('Pasted Bridges'!$G:$G,'Pasted Bridges'!$B:$B,$C18,'Pasted Bridges'!$F:$F,BF$5)</f>
        <v>0</v>
      </c>
      <c r="BG18" s="17">
        <f>SUMIFS('Pasted Bridges'!$G:$G,'Pasted Bridges'!$B:$B,$C18,'Pasted Bridges'!$F:$F,BG$5)</f>
        <v>0</v>
      </c>
      <c r="BH18" s="17">
        <f>SUMIFS('Pasted Bridges'!$G:$G,'Pasted Bridges'!$B:$B,$C18,'Pasted Bridges'!$F:$F,BH$5)</f>
        <v>0</v>
      </c>
      <c r="BI18" s="17">
        <f>SUMIFS('Pasted Bridges'!$G:$G,'Pasted Bridges'!$B:$B,$C18,'Pasted Bridges'!$F:$F,BI$5)</f>
        <v>0</v>
      </c>
      <c r="BJ18" s="17">
        <f>SUMIFS('Pasted Bridges'!$G:$G,'Pasted Bridges'!$B:$B,$C18,'Pasted Bridges'!$F:$F,BJ$5)</f>
        <v>0</v>
      </c>
      <c r="BK18" s="17">
        <f>SUMIFS('Pasted Bridges'!$G:$G,'Pasted Bridges'!$B:$B,$C18,'Pasted Bridges'!$F:$F,BK$5)</f>
        <v>0</v>
      </c>
      <c r="BL18" s="17">
        <f>SUMIFS('Pasted Bridges'!$G:$G,'Pasted Bridges'!$B:$B,$C18,'Pasted Bridges'!$F:$F,BL$5)</f>
        <v>0</v>
      </c>
      <c r="BM18" s="17">
        <f>SUMIFS('Pasted Bridges'!$G:$G,'Pasted Bridges'!$B:$B,$C18,'Pasted Bridges'!$F:$F,BM$5)</f>
        <v>0</v>
      </c>
      <c r="BN18" s="17">
        <f>SUMIFS('Pasted Bridges'!$G:$G,'Pasted Bridges'!$B:$B,$C18,'Pasted Bridges'!$F:$F,BN$5)</f>
        <v>0</v>
      </c>
      <c r="BO18" s="17">
        <f>SUMIFS('Pasted Bridges'!$G:$G,'Pasted Bridges'!$B:$B,$C18,'Pasted Bridges'!$F:$F,BO$5)</f>
        <v>0</v>
      </c>
      <c r="BP18" s="17">
        <f>SUMIFS('Pasted Bridges'!$G:$G,'Pasted Bridges'!$B:$B,$C18,'Pasted Bridges'!$F:$F,BP$5)</f>
        <v>0</v>
      </c>
      <c r="BQ18" s="17">
        <f>SUMIFS('Pasted Bridges'!$G:$G,'Pasted Bridges'!$B:$B,$C18,'Pasted Bridges'!$F:$F,BQ$5)</f>
        <v>0</v>
      </c>
      <c r="BR18" s="17">
        <f>SUMIFS('Pasted Bridges'!$G:$G,'Pasted Bridges'!$B:$B,$C18,'Pasted Bridges'!$F:$F,BR$5)</f>
        <v>0</v>
      </c>
      <c r="BS18" s="17">
        <f>SUMIFS('Pasted Bridges'!$G:$G,'Pasted Bridges'!$B:$B,$C18,'Pasted Bridges'!$F:$F,BS$5)</f>
        <v>0</v>
      </c>
      <c r="BT18" s="17">
        <f>SUMIFS('Pasted Bridges'!$G:$G,'Pasted Bridges'!$B:$B,$C18,'Pasted Bridges'!$F:$F,BT$5)</f>
        <v>0</v>
      </c>
      <c r="BU18" s="17">
        <f>SUMIFS('Pasted Bridges'!$G:$G,'Pasted Bridges'!$B:$B,$C18,'Pasted Bridges'!$F:$F,BU$5)</f>
        <v>0</v>
      </c>
      <c r="BV18" s="17">
        <f>SUMIFS('Pasted Bridges'!$G:$G,'Pasted Bridges'!$B:$B,$C18,'Pasted Bridges'!$F:$F,BV$5)</f>
        <v>0</v>
      </c>
      <c r="BW18" s="17">
        <f>SUMIFS('Pasted Bridges'!$G:$G,'Pasted Bridges'!$B:$B,$C18,'Pasted Bridges'!$F:$F,BW$5)</f>
        <v>0</v>
      </c>
      <c r="BX18" s="17">
        <f>SUMIFS('Pasted Bridges'!$G:$G,'Pasted Bridges'!$B:$B,$C18,'Pasted Bridges'!$F:$F,BX$5)</f>
        <v>0</v>
      </c>
      <c r="BY18" s="17">
        <f>SUMIFS('Pasted Bridges'!$G:$G,'Pasted Bridges'!$B:$B,$C18,'Pasted Bridges'!$F:$F,BY$5)</f>
        <v>0</v>
      </c>
      <c r="BZ18" s="17">
        <f>SUMIFS('Pasted Bridges'!$G:$G,'Pasted Bridges'!$B:$B,$C18,'Pasted Bridges'!$F:$F,BZ$5)</f>
        <v>0</v>
      </c>
      <c r="CA18" s="17">
        <f>SUMIFS('Pasted Bridges'!$G:$G,'Pasted Bridges'!$B:$B,$C18,'Pasted Bridges'!$F:$F,CA$5)</f>
        <v>0</v>
      </c>
      <c r="CB18" s="17">
        <f>SUMIFS('Pasted Bridges'!$G:$G,'Pasted Bridges'!$B:$B,$C18,'Pasted Bridges'!$F:$F,CB$5)</f>
        <v>0</v>
      </c>
      <c r="CC18" s="17">
        <f>SUMIFS('Pasted Bridges'!$G:$G,'Pasted Bridges'!$B:$B,$C18,'Pasted Bridges'!$F:$F,CC$5)</f>
        <v>0</v>
      </c>
      <c r="CD18" s="17">
        <f>SUMIFS('Pasted Bridges'!$G:$G,'Pasted Bridges'!$B:$B,$C18,'Pasted Bridges'!$F:$F,CD$5)</f>
        <v>0</v>
      </c>
      <c r="CE18" s="17">
        <f>SUMIFS('Pasted Bridges'!$G:$G,'Pasted Bridges'!$B:$B,$C18,'Pasted Bridges'!$F:$F,CE$5)</f>
        <v>0</v>
      </c>
      <c r="CF18" s="17">
        <f>SUMIFS('Pasted Bridges'!$G:$G,'Pasted Bridges'!$B:$B,$C18,'Pasted Bridges'!$F:$F,CF$5)</f>
        <v>0</v>
      </c>
      <c r="CG18" s="17">
        <f>SUMIFS('Pasted Bridges'!$G:$G,'Pasted Bridges'!$B:$B,$C18,'Pasted Bridges'!$F:$F,CG$5)</f>
        <v>0</v>
      </c>
      <c r="CH18" s="17">
        <f>SUMIFS('Pasted Bridges'!$G:$G,'Pasted Bridges'!$B:$B,$C18,'Pasted Bridges'!$F:$F,CH$5)</f>
        <v>0</v>
      </c>
      <c r="CI18" s="17">
        <f>SUMIFS('Pasted Bridges'!$G:$G,'Pasted Bridges'!$B:$B,$C18,'Pasted Bridges'!$F:$F,CI$5)</f>
        <v>0</v>
      </c>
      <c r="CJ18" s="17">
        <f>SUMIFS('Pasted Bridges'!$G:$G,'Pasted Bridges'!$B:$B,$C18,'Pasted Bridges'!$F:$F,CJ$5)</f>
        <v>0</v>
      </c>
      <c r="CK18" s="17">
        <f>SUMIFS('Pasted Bridges'!$G:$G,'Pasted Bridges'!$B:$B,$C18,'Pasted Bridges'!$F:$F,CK$5)</f>
        <v>0</v>
      </c>
      <c r="CL18" s="17">
        <f>SUMIFS('Pasted Bridges'!$G:$G,'Pasted Bridges'!$B:$B,$C18,'Pasted Bridges'!$F:$F,CL$5)</f>
        <v>0</v>
      </c>
      <c r="CM18" s="17">
        <f>SUMIFS('Pasted Bridges'!$G:$G,'Pasted Bridges'!$B:$B,$C18,'Pasted Bridges'!$F:$F,CM$5)</f>
        <v>0</v>
      </c>
      <c r="CN18" s="17">
        <f>SUMIFS('Pasted Bridges'!$G:$G,'Pasted Bridges'!$B:$B,$C18,'Pasted Bridges'!$F:$F,CN$5)</f>
        <v>0</v>
      </c>
      <c r="CO18" s="17">
        <f>SUMIFS('Pasted Bridges'!$G:$G,'Pasted Bridges'!$B:$B,$C18,'Pasted Bridges'!$F:$F,CO$5)</f>
        <v>0</v>
      </c>
      <c r="CP18" s="17">
        <f>SUMIFS('Pasted Bridges'!$G:$G,'Pasted Bridges'!$B:$B,$C18,'Pasted Bridges'!$F:$F,CP$5)</f>
        <v>0</v>
      </c>
      <c r="CQ18" s="17">
        <f>SUMIFS('Pasted Bridges'!$G:$G,'Pasted Bridges'!$B:$B,$C18,'Pasted Bridges'!$F:$F,CQ$5)</f>
        <v>0</v>
      </c>
      <c r="CR18" s="17">
        <f>SUMIFS('Pasted Bridges'!$G:$G,'Pasted Bridges'!$B:$B,$C18,'Pasted Bridges'!$F:$F,CR$5)</f>
        <v>0</v>
      </c>
      <c r="CS18" s="17">
        <f>SUMIFS('Pasted Bridges'!$G:$G,'Pasted Bridges'!$B:$B,$C18,'Pasted Bridges'!$F:$F,CS$5)</f>
        <v>0</v>
      </c>
      <c r="CT18" s="17">
        <f>SUMIFS('Pasted Bridges'!$G:$G,'Pasted Bridges'!$B:$B,$C18,'Pasted Bridges'!$F:$F,CT$5)</f>
        <v>0</v>
      </c>
      <c r="CU18" s="17">
        <f>SUMIFS('Pasted Bridges'!$G:$G,'Pasted Bridges'!$B:$B,$C18,'Pasted Bridges'!$F:$F,CU$5)</f>
        <v>0</v>
      </c>
      <c r="CV18" s="17">
        <f>SUMIFS('Pasted Bridges'!$G:$G,'Pasted Bridges'!$B:$B,$C18,'Pasted Bridges'!$F:$F,CV$5)</f>
        <v>0</v>
      </c>
      <c r="CW18" s="17">
        <f>SUMIFS('Pasted Bridges'!$G:$G,'Pasted Bridges'!$B:$B,$C18,'Pasted Bridges'!$F:$F,CW$5)</f>
        <v>0</v>
      </c>
      <c r="CX18" s="17">
        <f>SUMIFS('Pasted Bridges'!$G:$G,'Pasted Bridges'!$B:$B,$C18,'Pasted Bridges'!$F:$F,CX$5)</f>
        <v>0</v>
      </c>
      <c r="CY18" s="17">
        <f>SUMIFS('Pasted Bridges'!$G:$G,'Pasted Bridges'!$B:$B,$C18,'Pasted Bridges'!$F:$F,CY$5)</f>
        <v>0</v>
      </c>
      <c r="CZ18" s="17">
        <f>SUMIFS('Pasted Bridges'!$G:$G,'Pasted Bridges'!$B:$B,$C18,'Pasted Bridges'!$F:$F,CZ$5)</f>
        <v>0</v>
      </c>
      <c r="DA18" s="17">
        <f>SUMIFS('Pasted Bridges'!$G:$G,'Pasted Bridges'!$B:$B,$C18,'Pasted Bridges'!$F:$F,DA$5)</f>
        <v>0</v>
      </c>
    </row>
    <row r="19" spans="1:105" s="1" customFormat="1" x14ac:dyDescent="0.25">
      <c r="A19" s="10"/>
      <c r="B19" s="49"/>
      <c r="C19" s="19" t="s">
        <v>18</v>
      </c>
      <c r="D19" s="19" t="s">
        <v>167</v>
      </c>
      <c r="E19" s="13" t="s">
        <v>199</v>
      </c>
      <c r="F19" s="2">
        <v>20</v>
      </c>
      <c r="G19" s="5">
        <v>0.16</v>
      </c>
      <c r="H19" s="2" t="s">
        <v>42</v>
      </c>
      <c r="I19" s="2">
        <v>0.08</v>
      </c>
      <c r="J19" s="3"/>
      <c r="K19" s="17">
        <f>SUMIFS('Pasted Bridges'!$G:$G,'Pasted Bridges'!$B:$B,$C19,'Pasted Bridges'!$F:$F,K$5)</f>
        <v>0</v>
      </c>
      <c r="L19" s="17">
        <f>SUMIFS('Pasted Bridges'!$G:$G,'Pasted Bridges'!$B:$B,$C19,'Pasted Bridges'!$F:$F,L$5)</f>
        <v>0</v>
      </c>
      <c r="M19" s="17">
        <f>SUMIFS('Pasted Bridges'!$G:$G,'Pasted Bridges'!$B:$B,$C19,'Pasted Bridges'!$F:$F,M$5)</f>
        <v>0</v>
      </c>
      <c r="N19" s="17">
        <f>SUMIFS('Pasted Bridges'!$G:$G,'Pasted Bridges'!$B:$B,$C19,'Pasted Bridges'!$F:$F,N$5)</f>
        <v>0</v>
      </c>
      <c r="O19" s="17">
        <f>SUMIFS('Pasted Bridges'!$G:$G,'Pasted Bridges'!$B:$B,$C19,'Pasted Bridges'!$F:$F,O$5)</f>
        <v>0</v>
      </c>
      <c r="P19" s="17">
        <f>SUMIFS('Pasted Bridges'!$G:$G,'Pasted Bridges'!$B:$B,$C19,'Pasted Bridges'!$F:$F,P$5)</f>
        <v>0</v>
      </c>
      <c r="Q19" s="17">
        <f>SUMIFS('Pasted Bridges'!$G:$G,'Pasted Bridges'!$B:$B,$C19,'Pasted Bridges'!$F:$F,Q$5)</f>
        <v>0</v>
      </c>
      <c r="R19" s="17">
        <f>SUMIFS('Pasted Bridges'!$G:$G,'Pasted Bridges'!$B:$B,$C19,'Pasted Bridges'!$F:$F,R$5)</f>
        <v>0</v>
      </c>
      <c r="S19" s="17">
        <f>SUMIFS('Pasted Bridges'!$G:$G,'Pasted Bridges'!$B:$B,$C19,'Pasted Bridges'!$F:$F,S$5)</f>
        <v>0</v>
      </c>
      <c r="T19" s="17">
        <f>SUMIFS('Pasted Bridges'!$G:$G,'Pasted Bridges'!$B:$B,$C19,'Pasted Bridges'!$F:$F,T$5)</f>
        <v>0</v>
      </c>
      <c r="U19" s="17">
        <f>SUMIFS('Pasted Bridges'!$G:$G,'Pasted Bridges'!$B:$B,$C19,'Pasted Bridges'!$F:$F,U$5)</f>
        <v>0</v>
      </c>
      <c r="V19" s="17">
        <f>SUMIFS('Pasted Bridges'!$G:$G,'Pasted Bridges'!$B:$B,$C19,'Pasted Bridges'!$F:$F,V$5)</f>
        <v>0</v>
      </c>
      <c r="W19" s="17">
        <f>SUMIFS('Pasted Bridges'!$G:$G,'Pasted Bridges'!$B:$B,$C19,'Pasted Bridges'!$F:$F,W$5)</f>
        <v>0</v>
      </c>
      <c r="X19" s="17">
        <f>SUMIFS('Pasted Bridges'!$G:$G,'Pasted Bridges'!$B:$B,$C19,'Pasted Bridges'!$F:$F,X$5)</f>
        <v>0</v>
      </c>
      <c r="Y19" s="17">
        <f>SUMIFS('Pasted Bridges'!$G:$G,'Pasted Bridges'!$B:$B,$C19,'Pasted Bridges'!$F:$F,Y$5)</f>
        <v>0</v>
      </c>
      <c r="Z19" s="17">
        <f>SUMIFS('Pasted Bridges'!$G:$G,'Pasted Bridges'!$B:$B,$C19,'Pasted Bridges'!$F:$F,Z$5)</f>
        <v>0</v>
      </c>
      <c r="AA19" s="17">
        <f>SUMIFS('Pasted Bridges'!$G:$G,'Pasted Bridges'!$B:$B,$C19,'Pasted Bridges'!$F:$F,AA$5)</f>
        <v>0</v>
      </c>
      <c r="AB19" s="17">
        <f>SUMIFS('Pasted Bridges'!$G:$G,'Pasted Bridges'!$B:$B,$C19,'Pasted Bridges'!$F:$F,AB$5)</f>
        <v>0</v>
      </c>
      <c r="AC19" s="17">
        <f>SUMIFS('Pasted Bridges'!$G:$G,'Pasted Bridges'!$B:$B,$C19,'Pasted Bridges'!$F:$F,AC$5)</f>
        <v>0</v>
      </c>
      <c r="AD19" s="17">
        <f>SUMIFS('Pasted Bridges'!$G:$G,'Pasted Bridges'!$B:$B,$C19,'Pasted Bridges'!$F:$F,AD$5)</f>
        <v>0</v>
      </c>
      <c r="AE19" s="17">
        <f>SUMIFS('Pasted Bridges'!$G:$G,'Pasted Bridges'!$B:$B,$C19,'Pasted Bridges'!$F:$F,AE$5)</f>
        <v>0</v>
      </c>
      <c r="AF19" s="17">
        <f>SUMIFS('Pasted Bridges'!$G:$G,'Pasted Bridges'!$B:$B,$C19,'Pasted Bridges'!$F:$F,AF$5)</f>
        <v>0</v>
      </c>
      <c r="AG19" s="17">
        <f>SUMIFS('Pasted Bridges'!$G:$G,'Pasted Bridges'!$B:$B,$C19,'Pasted Bridges'!$F:$F,AG$5)</f>
        <v>0</v>
      </c>
      <c r="AH19" s="17">
        <f>SUMIFS('Pasted Bridges'!$G:$G,'Pasted Bridges'!$B:$B,$C19,'Pasted Bridges'!$F:$F,AH$5)</f>
        <v>0</v>
      </c>
      <c r="AI19" s="17">
        <f>SUMIFS('Pasted Bridges'!$G:$G,'Pasted Bridges'!$B:$B,$C19,'Pasted Bridges'!$F:$F,AI$5)</f>
        <v>0</v>
      </c>
      <c r="AJ19" s="17">
        <f>SUMIFS('Pasted Bridges'!$G:$G,'Pasted Bridges'!$B:$B,$C19,'Pasted Bridges'!$F:$F,AJ$5)</f>
        <v>0</v>
      </c>
      <c r="AK19" s="17">
        <f>SUMIFS('Pasted Bridges'!$G:$G,'Pasted Bridges'!$B:$B,$C19,'Pasted Bridges'!$F:$F,AK$5)</f>
        <v>0</v>
      </c>
      <c r="AL19" s="17">
        <f>SUMIFS('Pasted Bridges'!$G:$G,'Pasted Bridges'!$B:$B,$C19,'Pasted Bridges'!$F:$F,AL$5)</f>
        <v>0</v>
      </c>
      <c r="AM19" s="17">
        <f>SUMIFS('Pasted Bridges'!$G:$G,'Pasted Bridges'!$B:$B,$C19,'Pasted Bridges'!$F:$F,AM$5)</f>
        <v>0</v>
      </c>
      <c r="AN19" s="17">
        <f>SUMIFS('Pasted Bridges'!$G:$G,'Pasted Bridges'!$B:$B,$C19,'Pasted Bridges'!$F:$F,AN$5)</f>
        <v>0</v>
      </c>
      <c r="AO19" s="17">
        <f>SUMIFS('Pasted Bridges'!$G:$G,'Pasted Bridges'!$B:$B,$C19,'Pasted Bridges'!$F:$F,AO$5)</f>
        <v>0</v>
      </c>
      <c r="AP19" s="17">
        <f>SUMIFS('Pasted Bridges'!$G:$G,'Pasted Bridges'!$B:$B,$C19,'Pasted Bridges'!$F:$F,AP$5)</f>
        <v>0</v>
      </c>
      <c r="AQ19" s="17">
        <f>SUMIFS('Pasted Bridges'!$G:$G,'Pasted Bridges'!$B:$B,$C19,'Pasted Bridges'!$F:$F,AQ$5)</f>
        <v>0</v>
      </c>
      <c r="AR19" s="17">
        <f>SUMIFS('Pasted Bridges'!$G:$G,'Pasted Bridges'!$B:$B,$C19,'Pasted Bridges'!$F:$F,AR$5)</f>
        <v>0</v>
      </c>
      <c r="AS19" s="17">
        <f>SUMIFS('Pasted Bridges'!$G:$G,'Pasted Bridges'!$B:$B,$C19,'Pasted Bridges'!$F:$F,AS$5)</f>
        <v>0</v>
      </c>
      <c r="AT19" s="17">
        <f>SUMIFS('Pasted Bridges'!$G:$G,'Pasted Bridges'!$B:$B,$C19,'Pasted Bridges'!$F:$F,AT$5)</f>
        <v>0</v>
      </c>
      <c r="AU19" s="17">
        <f>SUMIFS('Pasted Bridges'!$G:$G,'Pasted Bridges'!$B:$B,$C19,'Pasted Bridges'!$F:$F,AU$5)</f>
        <v>0</v>
      </c>
      <c r="AV19" s="17">
        <f>SUMIFS('Pasted Bridges'!$G:$G,'Pasted Bridges'!$B:$B,$C19,'Pasted Bridges'!$F:$F,AV$5)</f>
        <v>0</v>
      </c>
      <c r="AW19" s="17">
        <f>SUMIFS('Pasted Bridges'!$G:$G,'Pasted Bridges'!$B:$B,$C19,'Pasted Bridges'!$F:$F,AW$5)</f>
        <v>0</v>
      </c>
      <c r="AX19" s="17">
        <f>SUMIFS('Pasted Bridges'!$G:$G,'Pasted Bridges'!$B:$B,$C19,'Pasted Bridges'!$F:$F,AX$5)</f>
        <v>0</v>
      </c>
      <c r="AY19" s="17">
        <f>SUMIFS('Pasted Bridges'!$G:$G,'Pasted Bridges'!$B:$B,$C19,'Pasted Bridges'!$F:$F,AY$5)</f>
        <v>0</v>
      </c>
      <c r="AZ19" s="17">
        <f>SUMIFS('Pasted Bridges'!$G:$G,'Pasted Bridges'!$B:$B,$C19,'Pasted Bridges'!$F:$F,AZ$5)</f>
        <v>0</v>
      </c>
      <c r="BA19" s="17">
        <f>SUMIFS('Pasted Bridges'!$G:$G,'Pasted Bridges'!$B:$B,$C19,'Pasted Bridges'!$F:$F,BA$5)</f>
        <v>0</v>
      </c>
      <c r="BB19" s="17">
        <f>SUMIFS('Pasted Bridges'!$G:$G,'Pasted Bridges'!$B:$B,$C19,'Pasted Bridges'!$F:$F,BB$5)</f>
        <v>0</v>
      </c>
      <c r="BC19" s="17">
        <f>SUMIFS('Pasted Bridges'!$G:$G,'Pasted Bridges'!$B:$B,$C19,'Pasted Bridges'!$F:$F,BC$5)</f>
        <v>0</v>
      </c>
      <c r="BD19" s="17">
        <f>SUMIFS('Pasted Bridges'!$G:$G,'Pasted Bridges'!$B:$B,$C19,'Pasted Bridges'!$F:$F,BD$5)</f>
        <v>0</v>
      </c>
      <c r="BE19" s="17">
        <f>SUMIFS('Pasted Bridges'!$G:$G,'Pasted Bridges'!$B:$B,$C19,'Pasted Bridges'!$F:$F,BE$5)</f>
        <v>0</v>
      </c>
      <c r="BF19" s="17">
        <f>SUMIFS('Pasted Bridges'!$G:$G,'Pasted Bridges'!$B:$B,$C19,'Pasted Bridges'!$F:$F,BF$5)</f>
        <v>0</v>
      </c>
      <c r="BG19" s="17">
        <f>SUMIFS('Pasted Bridges'!$G:$G,'Pasted Bridges'!$B:$B,$C19,'Pasted Bridges'!$F:$F,BG$5)</f>
        <v>0</v>
      </c>
      <c r="BH19" s="17">
        <f>SUMIFS('Pasted Bridges'!$G:$G,'Pasted Bridges'!$B:$B,$C19,'Pasted Bridges'!$F:$F,BH$5)</f>
        <v>0</v>
      </c>
      <c r="BI19" s="17">
        <f>SUMIFS('Pasted Bridges'!$G:$G,'Pasted Bridges'!$B:$B,$C19,'Pasted Bridges'!$F:$F,BI$5)</f>
        <v>0</v>
      </c>
      <c r="BJ19" s="17">
        <f>SUMIFS('Pasted Bridges'!$G:$G,'Pasted Bridges'!$B:$B,$C19,'Pasted Bridges'!$F:$F,BJ$5)</f>
        <v>0</v>
      </c>
      <c r="BK19" s="17">
        <f>SUMIFS('Pasted Bridges'!$G:$G,'Pasted Bridges'!$B:$B,$C19,'Pasted Bridges'!$F:$F,BK$5)</f>
        <v>0</v>
      </c>
      <c r="BL19" s="17">
        <f>SUMIFS('Pasted Bridges'!$G:$G,'Pasted Bridges'!$B:$B,$C19,'Pasted Bridges'!$F:$F,BL$5)</f>
        <v>0</v>
      </c>
      <c r="BM19" s="17">
        <f>SUMIFS('Pasted Bridges'!$G:$G,'Pasted Bridges'!$B:$B,$C19,'Pasted Bridges'!$F:$F,BM$5)</f>
        <v>0</v>
      </c>
      <c r="BN19" s="17">
        <f>SUMIFS('Pasted Bridges'!$G:$G,'Pasted Bridges'!$B:$B,$C19,'Pasted Bridges'!$F:$F,BN$5)</f>
        <v>0</v>
      </c>
      <c r="BO19" s="17">
        <f>SUMIFS('Pasted Bridges'!$G:$G,'Pasted Bridges'!$B:$B,$C19,'Pasted Bridges'!$F:$F,BO$5)</f>
        <v>0</v>
      </c>
      <c r="BP19" s="17">
        <f>SUMIFS('Pasted Bridges'!$G:$G,'Pasted Bridges'!$B:$B,$C19,'Pasted Bridges'!$F:$F,BP$5)</f>
        <v>0</v>
      </c>
      <c r="BQ19" s="17">
        <f>SUMIFS('Pasted Bridges'!$G:$G,'Pasted Bridges'!$B:$B,$C19,'Pasted Bridges'!$F:$F,BQ$5)</f>
        <v>0</v>
      </c>
      <c r="BR19" s="17">
        <f>SUMIFS('Pasted Bridges'!$G:$G,'Pasted Bridges'!$B:$B,$C19,'Pasted Bridges'!$F:$F,BR$5)</f>
        <v>0</v>
      </c>
      <c r="BS19" s="17">
        <f>SUMIFS('Pasted Bridges'!$G:$G,'Pasted Bridges'!$B:$B,$C19,'Pasted Bridges'!$F:$F,BS$5)</f>
        <v>0</v>
      </c>
      <c r="BT19" s="17">
        <f>SUMIFS('Pasted Bridges'!$G:$G,'Pasted Bridges'!$B:$B,$C19,'Pasted Bridges'!$F:$F,BT$5)</f>
        <v>0</v>
      </c>
      <c r="BU19" s="17">
        <f>SUMIFS('Pasted Bridges'!$G:$G,'Pasted Bridges'!$B:$B,$C19,'Pasted Bridges'!$F:$F,BU$5)</f>
        <v>0</v>
      </c>
      <c r="BV19" s="17">
        <f>SUMIFS('Pasted Bridges'!$G:$G,'Pasted Bridges'!$B:$B,$C19,'Pasted Bridges'!$F:$F,BV$5)</f>
        <v>0</v>
      </c>
      <c r="BW19" s="17">
        <f>SUMIFS('Pasted Bridges'!$G:$G,'Pasted Bridges'!$B:$B,$C19,'Pasted Bridges'!$F:$F,BW$5)</f>
        <v>0</v>
      </c>
      <c r="BX19" s="17">
        <f>SUMIFS('Pasted Bridges'!$G:$G,'Pasted Bridges'!$B:$B,$C19,'Pasted Bridges'!$F:$F,BX$5)</f>
        <v>0</v>
      </c>
      <c r="BY19" s="17">
        <f>SUMIFS('Pasted Bridges'!$G:$G,'Pasted Bridges'!$B:$B,$C19,'Pasted Bridges'!$F:$F,BY$5)</f>
        <v>0</v>
      </c>
      <c r="BZ19" s="17">
        <f>SUMIFS('Pasted Bridges'!$G:$G,'Pasted Bridges'!$B:$B,$C19,'Pasted Bridges'!$F:$F,BZ$5)</f>
        <v>0</v>
      </c>
      <c r="CA19" s="17">
        <f>SUMIFS('Pasted Bridges'!$G:$G,'Pasted Bridges'!$B:$B,$C19,'Pasted Bridges'!$F:$F,CA$5)</f>
        <v>0</v>
      </c>
      <c r="CB19" s="17">
        <f>SUMIFS('Pasted Bridges'!$G:$G,'Pasted Bridges'!$B:$B,$C19,'Pasted Bridges'!$F:$F,CB$5)</f>
        <v>0</v>
      </c>
      <c r="CC19" s="17">
        <f>SUMIFS('Pasted Bridges'!$G:$G,'Pasted Bridges'!$B:$B,$C19,'Pasted Bridges'!$F:$F,CC$5)</f>
        <v>0</v>
      </c>
      <c r="CD19" s="17">
        <f>SUMIFS('Pasted Bridges'!$G:$G,'Pasted Bridges'!$B:$B,$C19,'Pasted Bridges'!$F:$F,CD$5)</f>
        <v>0</v>
      </c>
      <c r="CE19" s="17">
        <f>SUMIFS('Pasted Bridges'!$G:$G,'Pasted Bridges'!$B:$B,$C19,'Pasted Bridges'!$F:$F,CE$5)</f>
        <v>0</v>
      </c>
      <c r="CF19" s="17">
        <f>SUMIFS('Pasted Bridges'!$G:$G,'Pasted Bridges'!$B:$B,$C19,'Pasted Bridges'!$F:$F,CF$5)</f>
        <v>0</v>
      </c>
      <c r="CG19" s="17">
        <f>SUMIFS('Pasted Bridges'!$G:$G,'Pasted Bridges'!$B:$B,$C19,'Pasted Bridges'!$F:$F,CG$5)</f>
        <v>0</v>
      </c>
      <c r="CH19" s="17">
        <f>SUMIFS('Pasted Bridges'!$G:$G,'Pasted Bridges'!$B:$B,$C19,'Pasted Bridges'!$F:$F,CH$5)</f>
        <v>0</v>
      </c>
      <c r="CI19" s="17">
        <f>SUMIFS('Pasted Bridges'!$G:$G,'Pasted Bridges'!$B:$B,$C19,'Pasted Bridges'!$F:$F,CI$5)</f>
        <v>0</v>
      </c>
      <c r="CJ19" s="17">
        <f>SUMIFS('Pasted Bridges'!$G:$G,'Pasted Bridges'!$B:$B,$C19,'Pasted Bridges'!$F:$F,CJ$5)</f>
        <v>0</v>
      </c>
      <c r="CK19" s="17">
        <f>SUMIFS('Pasted Bridges'!$G:$G,'Pasted Bridges'!$B:$B,$C19,'Pasted Bridges'!$F:$F,CK$5)</f>
        <v>0</v>
      </c>
      <c r="CL19" s="17">
        <f>SUMIFS('Pasted Bridges'!$G:$G,'Pasted Bridges'!$B:$B,$C19,'Pasted Bridges'!$F:$F,CL$5)</f>
        <v>0</v>
      </c>
      <c r="CM19" s="17">
        <f>SUMIFS('Pasted Bridges'!$G:$G,'Pasted Bridges'!$B:$B,$C19,'Pasted Bridges'!$F:$F,CM$5)</f>
        <v>0</v>
      </c>
      <c r="CN19" s="17">
        <f>SUMIFS('Pasted Bridges'!$G:$G,'Pasted Bridges'!$B:$B,$C19,'Pasted Bridges'!$F:$F,CN$5)</f>
        <v>0</v>
      </c>
      <c r="CO19" s="17">
        <f>SUMIFS('Pasted Bridges'!$G:$G,'Pasted Bridges'!$B:$B,$C19,'Pasted Bridges'!$F:$F,CO$5)</f>
        <v>0</v>
      </c>
      <c r="CP19" s="17">
        <f>SUMIFS('Pasted Bridges'!$G:$G,'Pasted Bridges'!$B:$B,$C19,'Pasted Bridges'!$F:$F,CP$5)</f>
        <v>0</v>
      </c>
      <c r="CQ19" s="17">
        <f>SUMIFS('Pasted Bridges'!$G:$G,'Pasted Bridges'!$B:$B,$C19,'Pasted Bridges'!$F:$F,CQ$5)</f>
        <v>0</v>
      </c>
      <c r="CR19" s="17">
        <f>SUMIFS('Pasted Bridges'!$G:$G,'Pasted Bridges'!$B:$B,$C19,'Pasted Bridges'!$F:$F,CR$5)</f>
        <v>0</v>
      </c>
      <c r="CS19" s="17">
        <f>SUMIFS('Pasted Bridges'!$G:$G,'Pasted Bridges'!$B:$B,$C19,'Pasted Bridges'!$F:$F,CS$5)</f>
        <v>0</v>
      </c>
      <c r="CT19" s="17">
        <f>SUMIFS('Pasted Bridges'!$G:$G,'Pasted Bridges'!$B:$B,$C19,'Pasted Bridges'!$F:$F,CT$5)</f>
        <v>0</v>
      </c>
      <c r="CU19" s="17">
        <f>SUMIFS('Pasted Bridges'!$G:$G,'Pasted Bridges'!$B:$B,$C19,'Pasted Bridges'!$F:$F,CU$5)</f>
        <v>0</v>
      </c>
      <c r="CV19" s="17">
        <f>SUMIFS('Pasted Bridges'!$G:$G,'Pasted Bridges'!$B:$B,$C19,'Pasted Bridges'!$F:$F,CV$5)</f>
        <v>0</v>
      </c>
      <c r="CW19" s="17">
        <f>SUMIFS('Pasted Bridges'!$G:$G,'Pasted Bridges'!$B:$B,$C19,'Pasted Bridges'!$F:$F,CW$5)</f>
        <v>0</v>
      </c>
      <c r="CX19" s="17">
        <f>SUMIFS('Pasted Bridges'!$G:$G,'Pasted Bridges'!$B:$B,$C19,'Pasted Bridges'!$F:$F,CX$5)</f>
        <v>0</v>
      </c>
      <c r="CY19" s="17">
        <f>SUMIFS('Pasted Bridges'!$G:$G,'Pasted Bridges'!$B:$B,$C19,'Pasted Bridges'!$F:$F,CY$5)</f>
        <v>0</v>
      </c>
      <c r="CZ19" s="17">
        <f>SUMIFS('Pasted Bridges'!$G:$G,'Pasted Bridges'!$B:$B,$C19,'Pasted Bridges'!$F:$F,CZ$5)</f>
        <v>0</v>
      </c>
      <c r="DA19" s="17">
        <f>SUMIFS('Pasted Bridges'!$G:$G,'Pasted Bridges'!$B:$B,$C19,'Pasted Bridges'!$F:$F,DA$5)</f>
        <v>0</v>
      </c>
    </row>
    <row r="20" spans="1:105" s="1" customFormat="1" x14ac:dyDescent="0.25">
      <c r="A20" s="10"/>
      <c r="B20" s="50"/>
      <c r="C20" s="19" t="s">
        <v>8</v>
      </c>
      <c r="D20" s="19" t="s">
        <v>168</v>
      </c>
      <c r="E20" s="13" t="s">
        <v>199</v>
      </c>
      <c r="F20" s="2">
        <v>21</v>
      </c>
      <c r="G20" s="5">
        <v>0.3</v>
      </c>
      <c r="H20" s="2" t="s">
        <v>42</v>
      </c>
      <c r="I20" s="2">
        <v>0.56000000000000005</v>
      </c>
      <c r="J20" s="3"/>
      <c r="K20" s="17">
        <f>SUMIFS('Pasted Bridges'!$G:$G,'Pasted Bridges'!$B:$B,$C20,'Pasted Bridges'!$F:$F,K$5)</f>
        <v>0</v>
      </c>
      <c r="L20" s="17">
        <f>SUMIFS('Pasted Bridges'!$G:$G,'Pasted Bridges'!$B:$B,$C20,'Pasted Bridges'!$F:$F,L$5)</f>
        <v>0</v>
      </c>
      <c r="M20" s="17">
        <f>SUMIFS('Pasted Bridges'!$G:$G,'Pasted Bridges'!$B:$B,$C20,'Pasted Bridges'!$F:$F,M$5)</f>
        <v>0</v>
      </c>
      <c r="N20" s="17">
        <f>SUMIFS('Pasted Bridges'!$G:$G,'Pasted Bridges'!$B:$B,$C20,'Pasted Bridges'!$F:$F,N$5)</f>
        <v>0</v>
      </c>
      <c r="O20" s="17">
        <f>SUMIFS('Pasted Bridges'!$G:$G,'Pasted Bridges'!$B:$B,$C20,'Pasted Bridges'!$F:$F,O$5)</f>
        <v>0</v>
      </c>
      <c r="P20" s="17">
        <f>SUMIFS('Pasted Bridges'!$G:$G,'Pasted Bridges'!$B:$B,$C20,'Pasted Bridges'!$F:$F,P$5)</f>
        <v>0</v>
      </c>
      <c r="Q20" s="17">
        <f>SUMIFS('Pasted Bridges'!$G:$G,'Pasted Bridges'!$B:$B,$C20,'Pasted Bridges'!$F:$F,Q$5)</f>
        <v>0</v>
      </c>
      <c r="R20" s="17">
        <f>SUMIFS('Pasted Bridges'!$G:$G,'Pasted Bridges'!$B:$B,$C20,'Pasted Bridges'!$F:$F,R$5)</f>
        <v>0</v>
      </c>
      <c r="S20" s="17">
        <f>SUMIFS('Pasted Bridges'!$G:$G,'Pasted Bridges'!$B:$B,$C20,'Pasted Bridges'!$F:$F,S$5)</f>
        <v>0</v>
      </c>
      <c r="T20" s="17">
        <f>SUMIFS('Pasted Bridges'!$G:$G,'Pasted Bridges'!$B:$B,$C20,'Pasted Bridges'!$F:$F,T$5)</f>
        <v>0</v>
      </c>
      <c r="U20" s="17">
        <f>SUMIFS('Pasted Bridges'!$G:$G,'Pasted Bridges'!$B:$B,$C20,'Pasted Bridges'!$F:$F,U$5)</f>
        <v>18.68</v>
      </c>
      <c r="V20" s="17">
        <f>SUMIFS('Pasted Bridges'!$G:$G,'Pasted Bridges'!$B:$B,$C20,'Pasted Bridges'!$F:$F,V$5)</f>
        <v>18.68</v>
      </c>
      <c r="W20" s="17">
        <f>SUMIFS('Pasted Bridges'!$G:$G,'Pasted Bridges'!$B:$B,$C20,'Pasted Bridges'!$F:$F,W$5)</f>
        <v>16.96</v>
      </c>
      <c r="X20" s="17">
        <f>SUMIFS('Pasted Bridges'!$G:$G,'Pasted Bridges'!$B:$B,$C20,'Pasted Bridges'!$F:$F,X$5)</f>
        <v>16.96</v>
      </c>
      <c r="Y20" s="17">
        <f>SUMIFS('Pasted Bridges'!$G:$G,'Pasted Bridges'!$B:$B,$C20,'Pasted Bridges'!$F:$F,Y$5)</f>
        <v>17.38</v>
      </c>
      <c r="Z20" s="17">
        <f>SUMIFS('Pasted Bridges'!$G:$G,'Pasted Bridges'!$B:$B,$C20,'Pasted Bridges'!$F:$F,Z$5)</f>
        <v>11.08</v>
      </c>
      <c r="AA20" s="17">
        <f>SUMIFS('Pasted Bridges'!$G:$G,'Pasted Bridges'!$B:$B,$C20,'Pasted Bridges'!$F:$F,AA$5)</f>
        <v>17.38</v>
      </c>
      <c r="AB20" s="17">
        <f>SUMIFS('Pasted Bridges'!$G:$G,'Pasted Bridges'!$B:$B,$C20,'Pasted Bridges'!$F:$F,AB$5)</f>
        <v>0</v>
      </c>
      <c r="AC20" s="17">
        <f>SUMIFS('Pasted Bridges'!$G:$G,'Pasted Bridges'!$B:$B,$C20,'Pasted Bridges'!$F:$F,AC$5)</f>
        <v>0</v>
      </c>
      <c r="AD20" s="17">
        <f>SUMIFS('Pasted Bridges'!$G:$G,'Pasted Bridges'!$B:$B,$C20,'Pasted Bridges'!$F:$F,AD$5)</f>
        <v>0</v>
      </c>
      <c r="AE20" s="17">
        <f>SUMIFS('Pasted Bridges'!$G:$G,'Pasted Bridges'!$B:$B,$C20,'Pasted Bridges'!$F:$F,AE$5)</f>
        <v>0</v>
      </c>
      <c r="AF20" s="17">
        <f>SUMIFS('Pasted Bridges'!$G:$G,'Pasted Bridges'!$B:$B,$C20,'Pasted Bridges'!$F:$F,AF$5)</f>
        <v>0</v>
      </c>
      <c r="AG20" s="17">
        <f>SUMIFS('Pasted Bridges'!$G:$G,'Pasted Bridges'!$B:$B,$C20,'Pasted Bridges'!$F:$F,AG$5)</f>
        <v>0</v>
      </c>
      <c r="AH20" s="17">
        <f>SUMIFS('Pasted Bridges'!$G:$G,'Pasted Bridges'!$B:$B,$C20,'Pasted Bridges'!$F:$F,AH$5)</f>
        <v>0</v>
      </c>
      <c r="AI20" s="17">
        <f>SUMIFS('Pasted Bridges'!$G:$G,'Pasted Bridges'!$B:$B,$C20,'Pasted Bridges'!$F:$F,AI$5)</f>
        <v>0</v>
      </c>
      <c r="AJ20" s="17">
        <f>SUMIFS('Pasted Bridges'!$G:$G,'Pasted Bridges'!$B:$B,$C20,'Pasted Bridges'!$F:$F,AJ$5)</f>
        <v>0</v>
      </c>
      <c r="AK20" s="17">
        <f>SUMIFS('Pasted Bridges'!$G:$G,'Pasted Bridges'!$B:$B,$C20,'Pasted Bridges'!$F:$F,AK$5)</f>
        <v>27.619999999999997</v>
      </c>
      <c r="AL20" s="17">
        <f>SUMIFS('Pasted Bridges'!$G:$G,'Pasted Bridges'!$B:$B,$C20,'Pasted Bridges'!$F:$F,AL$5)</f>
        <v>19.619999999999997</v>
      </c>
      <c r="AM20" s="17">
        <f>SUMIFS('Pasted Bridges'!$G:$G,'Pasted Bridges'!$B:$B,$C20,'Pasted Bridges'!$F:$F,AM$5)</f>
        <v>20.440000000000001</v>
      </c>
      <c r="AN20" s="17">
        <f>SUMIFS('Pasted Bridges'!$G:$G,'Pasted Bridges'!$B:$B,$C20,'Pasted Bridges'!$F:$F,AN$5)</f>
        <v>20.439999999999998</v>
      </c>
      <c r="AO20" s="17">
        <f>SUMIFS('Pasted Bridges'!$G:$G,'Pasted Bridges'!$B:$B,$C20,'Pasted Bridges'!$F:$F,AO$5)</f>
        <v>19.61</v>
      </c>
      <c r="AP20" s="17">
        <f>SUMIFS('Pasted Bridges'!$G:$G,'Pasted Bridges'!$B:$B,$C20,'Pasted Bridges'!$F:$F,AP$5)</f>
        <v>0</v>
      </c>
      <c r="AQ20" s="17">
        <f>SUMIFS('Pasted Bridges'!$G:$G,'Pasted Bridges'!$B:$B,$C20,'Pasted Bridges'!$F:$F,AQ$5)</f>
        <v>0</v>
      </c>
      <c r="AR20" s="17">
        <f>SUMIFS('Pasted Bridges'!$G:$G,'Pasted Bridges'!$B:$B,$C20,'Pasted Bridges'!$F:$F,AR$5)</f>
        <v>0</v>
      </c>
      <c r="AS20" s="17">
        <f>SUMIFS('Pasted Bridges'!$G:$G,'Pasted Bridges'!$B:$B,$C20,'Pasted Bridges'!$F:$F,AS$5)</f>
        <v>0</v>
      </c>
      <c r="AT20" s="17">
        <f>SUMIFS('Pasted Bridges'!$G:$G,'Pasted Bridges'!$B:$B,$C20,'Pasted Bridges'!$F:$F,AT$5)</f>
        <v>0</v>
      </c>
      <c r="AU20" s="17">
        <f>SUMIFS('Pasted Bridges'!$G:$G,'Pasted Bridges'!$B:$B,$C20,'Pasted Bridges'!$F:$F,AU$5)</f>
        <v>0</v>
      </c>
      <c r="AV20" s="17">
        <f>SUMIFS('Pasted Bridges'!$G:$G,'Pasted Bridges'!$B:$B,$C20,'Pasted Bridges'!$F:$F,AV$5)</f>
        <v>0</v>
      </c>
      <c r="AW20" s="17">
        <f>SUMIFS('Pasted Bridges'!$G:$G,'Pasted Bridges'!$B:$B,$C20,'Pasted Bridges'!$F:$F,AW$5)</f>
        <v>16.119999999999997</v>
      </c>
      <c r="AX20" s="17">
        <f>SUMIFS('Pasted Bridges'!$G:$G,'Pasted Bridges'!$B:$B,$C20,'Pasted Bridges'!$F:$F,AX$5)</f>
        <v>14.21</v>
      </c>
      <c r="AY20" s="17">
        <f>SUMIFS('Pasted Bridges'!$G:$G,'Pasted Bridges'!$B:$B,$C20,'Pasted Bridges'!$F:$F,AY$5)</f>
        <v>17.05</v>
      </c>
      <c r="AZ20" s="17">
        <f>SUMIFS('Pasted Bridges'!$G:$G,'Pasted Bridges'!$B:$B,$C20,'Pasted Bridges'!$F:$F,AZ$5)</f>
        <v>7.57</v>
      </c>
      <c r="BA20" s="17">
        <f>SUMIFS('Pasted Bridges'!$G:$G,'Pasted Bridges'!$B:$B,$C20,'Pasted Bridges'!$F:$F,BA$5)</f>
        <v>0</v>
      </c>
      <c r="BB20" s="17">
        <f>SUMIFS('Pasted Bridges'!$G:$G,'Pasted Bridges'!$B:$B,$C20,'Pasted Bridges'!$F:$F,BB$5)</f>
        <v>0</v>
      </c>
      <c r="BC20" s="17">
        <f>SUMIFS('Pasted Bridges'!$G:$G,'Pasted Bridges'!$B:$B,$C20,'Pasted Bridges'!$F:$F,BC$5)</f>
        <v>0</v>
      </c>
      <c r="BD20" s="17">
        <f>SUMIFS('Pasted Bridges'!$G:$G,'Pasted Bridges'!$B:$B,$C20,'Pasted Bridges'!$F:$F,BD$5)</f>
        <v>0</v>
      </c>
      <c r="BE20" s="17">
        <f>SUMIFS('Pasted Bridges'!$G:$G,'Pasted Bridges'!$B:$B,$C20,'Pasted Bridges'!$F:$F,BE$5)</f>
        <v>0</v>
      </c>
      <c r="BF20" s="17">
        <f>SUMIFS('Pasted Bridges'!$G:$G,'Pasted Bridges'!$B:$B,$C20,'Pasted Bridges'!$F:$F,BF$5)</f>
        <v>0</v>
      </c>
      <c r="BG20" s="17">
        <f>SUMIFS('Pasted Bridges'!$G:$G,'Pasted Bridges'!$B:$B,$C20,'Pasted Bridges'!$F:$F,BG$5)</f>
        <v>0</v>
      </c>
      <c r="BH20" s="17">
        <f>SUMIFS('Pasted Bridges'!$G:$G,'Pasted Bridges'!$B:$B,$C20,'Pasted Bridges'!$F:$F,BH$5)</f>
        <v>0</v>
      </c>
      <c r="BI20" s="17">
        <f>SUMIFS('Pasted Bridges'!$G:$G,'Pasted Bridges'!$B:$B,$C20,'Pasted Bridges'!$F:$F,BI$5)</f>
        <v>0</v>
      </c>
      <c r="BJ20" s="17">
        <f>SUMIFS('Pasted Bridges'!$G:$G,'Pasted Bridges'!$B:$B,$C20,'Pasted Bridges'!$F:$F,BJ$5)</f>
        <v>0</v>
      </c>
      <c r="BK20" s="17">
        <f>SUMIFS('Pasted Bridges'!$G:$G,'Pasted Bridges'!$B:$B,$C20,'Pasted Bridges'!$F:$F,BK$5)</f>
        <v>0</v>
      </c>
      <c r="BL20" s="17">
        <f>SUMIFS('Pasted Bridges'!$G:$G,'Pasted Bridges'!$B:$B,$C20,'Pasted Bridges'!$F:$F,BL$5)</f>
        <v>0</v>
      </c>
      <c r="BM20" s="17">
        <f>SUMIFS('Pasted Bridges'!$G:$G,'Pasted Bridges'!$B:$B,$C20,'Pasted Bridges'!$F:$F,BM$5)</f>
        <v>0</v>
      </c>
      <c r="BN20" s="17">
        <f>SUMIFS('Pasted Bridges'!$G:$G,'Pasted Bridges'!$B:$B,$C20,'Pasted Bridges'!$F:$F,BN$5)</f>
        <v>0</v>
      </c>
      <c r="BO20" s="17">
        <f>SUMIFS('Pasted Bridges'!$G:$G,'Pasted Bridges'!$B:$B,$C20,'Pasted Bridges'!$F:$F,BO$5)</f>
        <v>19.46</v>
      </c>
      <c r="BP20" s="17">
        <f>SUMIFS('Pasted Bridges'!$G:$G,'Pasted Bridges'!$B:$B,$C20,'Pasted Bridges'!$F:$F,BP$5)</f>
        <v>19.46</v>
      </c>
      <c r="BQ20" s="17">
        <f>SUMIFS('Pasted Bridges'!$G:$G,'Pasted Bridges'!$B:$B,$C20,'Pasted Bridges'!$F:$F,BQ$5)</f>
        <v>18.810000000000002</v>
      </c>
      <c r="BR20" s="17">
        <f>SUMIFS('Pasted Bridges'!$G:$G,'Pasted Bridges'!$B:$B,$C20,'Pasted Bridges'!$F:$F,BR$5)</f>
        <v>16.799999999999997</v>
      </c>
      <c r="BS20" s="17">
        <f>SUMIFS('Pasted Bridges'!$G:$G,'Pasted Bridges'!$B:$B,$C20,'Pasted Bridges'!$F:$F,BS$5)</f>
        <v>7.62</v>
      </c>
      <c r="BT20" s="17">
        <f>SUMIFS('Pasted Bridges'!$G:$G,'Pasted Bridges'!$B:$B,$C20,'Pasted Bridges'!$F:$F,BT$5)</f>
        <v>7.62</v>
      </c>
      <c r="BU20" s="17">
        <f>SUMIFS('Pasted Bridges'!$G:$G,'Pasted Bridges'!$B:$B,$C20,'Pasted Bridges'!$F:$F,BU$5)</f>
        <v>16.79</v>
      </c>
      <c r="BV20" s="17">
        <f>SUMIFS('Pasted Bridges'!$G:$G,'Pasted Bridges'!$B:$B,$C20,'Pasted Bridges'!$F:$F,BV$5)</f>
        <v>16.53</v>
      </c>
      <c r="BW20" s="17">
        <f>SUMIFS('Pasted Bridges'!$G:$G,'Pasted Bridges'!$B:$B,$C20,'Pasted Bridges'!$F:$F,BW$5)</f>
        <v>0</v>
      </c>
      <c r="BX20" s="17">
        <f>SUMIFS('Pasted Bridges'!$G:$G,'Pasted Bridges'!$B:$B,$C20,'Pasted Bridges'!$F:$F,BX$5)</f>
        <v>0</v>
      </c>
      <c r="BY20" s="17">
        <f>SUMIFS('Pasted Bridges'!$G:$G,'Pasted Bridges'!$B:$B,$C20,'Pasted Bridges'!$F:$F,BY$5)</f>
        <v>0</v>
      </c>
      <c r="BZ20" s="17">
        <f>SUMIFS('Pasted Bridges'!$G:$G,'Pasted Bridges'!$B:$B,$C20,'Pasted Bridges'!$F:$F,BZ$5)</f>
        <v>0</v>
      </c>
      <c r="CA20" s="17">
        <f>SUMIFS('Pasted Bridges'!$G:$G,'Pasted Bridges'!$B:$B,$C20,'Pasted Bridges'!$F:$F,CA$5)</f>
        <v>0</v>
      </c>
      <c r="CB20" s="17">
        <f>SUMIFS('Pasted Bridges'!$G:$G,'Pasted Bridges'!$B:$B,$C20,'Pasted Bridges'!$F:$F,CB$5)</f>
        <v>0</v>
      </c>
      <c r="CC20" s="17">
        <f>SUMIFS('Pasted Bridges'!$G:$G,'Pasted Bridges'!$B:$B,$C20,'Pasted Bridges'!$F:$F,CC$5)</f>
        <v>0</v>
      </c>
      <c r="CD20" s="17">
        <f>SUMIFS('Pasted Bridges'!$G:$G,'Pasted Bridges'!$B:$B,$C20,'Pasted Bridges'!$F:$F,CD$5)</f>
        <v>0</v>
      </c>
      <c r="CE20" s="17">
        <f>SUMIFS('Pasted Bridges'!$G:$G,'Pasted Bridges'!$B:$B,$C20,'Pasted Bridges'!$F:$F,CE$5)</f>
        <v>0</v>
      </c>
      <c r="CF20" s="17">
        <f>SUMIFS('Pasted Bridges'!$G:$G,'Pasted Bridges'!$B:$B,$C20,'Pasted Bridges'!$F:$F,CF$5)</f>
        <v>0</v>
      </c>
      <c r="CG20" s="17">
        <f>SUMIFS('Pasted Bridges'!$G:$G,'Pasted Bridges'!$B:$B,$C20,'Pasted Bridges'!$F:$F,CG$5)</f>
        <v>18.990000000000002</v>
      </c>
      <c r="CH20" s="17">
        <f>SUMIFS('Pasted Bridges'!$G:$G,'Pasted Bridges'!$B:$B,$C20,'Pasted Bridges'!$F:$F,CH$5)</f>
        <v>17.05</v>
      </c>
      <c r="CI20" s="17">
        <f>SUMIFS('Pasted Bridges'!$G:$G,'Pasted Bridges'!$B:$B,$C20,'Pasted Bridges'!$F:$F,CI$5)</f>
        <v>26.869999999999997</v>
      </c>
      <c r="CJ20" s="17">
        <f>SUMIFS('Pasted Bridges'!$G:$G,'Pasted Bridges'!$B:$B,$C20,'Pasted Bridges'!$F:$F,CJ$5)</f>
        <v>5.96</v>
      </c>
      <c r="CK20" s="17">
        <f>SUMIFS('Pasted Bridges'!$G:$G,'Pasted Bridges'!$B:$B,$C20,'Pasted Bridges'!$F:$F,CK$5)</f>
        <v>0</v>
      </c>
      <c r="CL20" s="17">
        <f>SUMIFS('Pasted Bridges'!$G:$G,'Pasted Bridges'!$B:$B,$C20,'Pasted Bridges'!$F:$F,CL$5)</f>
        <v>0</v>
      </c>
      <c r="CM20" s="17">
        <f>SUMIFS('Pasted Bridges'!$G:$G,'Pasted Bridges'!$B:$B,$C20,'Pasted Bridges'!$F:$F,CM$5)</f>
        <v>0</v>
      </c>
      <c r="CN20" s="17">
        <f>SUMIFS('Pasted Bridges'!$G:$G,'Pasted Bridges'!$B:$B,$C20,'Pasted Bridges'!$F:$F,CN$5)</f>
        <v>0</v>
      </c>
      <c r="CO20" s="17">
        <f>SUMIFS('Pasted Bridges'!$G:$G,'Pasted Bridges'!$B:$B,$C20,'Pasted Bridges'!$F:$F,CO$5)</f>
        <v>0</v>
      </c>
      <c r="CP20" s="17">
        <f>SUMIFS('Pasted Bridges'!$G:$G,'Pasted Bridges'!$B:$B,$C20,'Pasted Bridges'!$F:$F,CP$5)</f>
        <v>0</v>
      </c>
      <c r="CQ20" s="17">
        <f>SUMIFS('Pasted Bridges'!$G:$G,'Pasted Bridges'!$B:$B,$C20,'Pasted Bridges'!$F:$F,CQ$5)</f>
        <v>0</v>
      </c>
      <c r="CR20" s="17">
        <f>SUMIFS('Pasted Bridges'!$G:$G,'Pasted Bridges'!$B:$B,$C20,'Pasted Bridges'!$F:$F,CR$5)</f>
        <v>0</v>
      </c>
      <c r="CS20" s="17">
        <f>SUMIFS('Pasted Bridges'!$G:$G,'Pasted Bridges'!$B:$B,$C20,'Pasted Bridges'!$F:$F,CS$5)</f>
        <v>0</v>
      </c>
      <c r="CT20" s="17">
        <f>SUMIFS('Pasted Bridges'!$G:$G,'Pasted Bridges'!$B:$B,$C20,'Pasted Bridges'!$F:$F,CT$5)</f>
        <v>0</v>
      </c>
      <c r="CU20" s="17">
        <f>SUMIFS('Pasted Bridges'!$G:$G,'Pasted Bridges'!$B:$B,$C20,'Pasted Bridges'!$F:$F,CU$5)</f>
        <v>0</v>
      </c>
      <c r="CV20" s="17">
        <f>SUMIFS('Pasted Bridges'!$G:$G,'Pasted Bridges'!$B:$B,$C20,'Pasted Bridges'!$F:$F,CV$5)</f>
        <v>17.760000000000002</v>
      </c>
      <c r="CW20" s="17">
        <f>SUMIFS('Pasted Bridges'!$G:$G,'Pasted Bridges'!$B:$B,$C20,'Pasted Bridges'!$F:$F,CW$5)</f>
        <v>23.16</v>
      </c>
      <c r="CX20" s="17">
        <f>SUMIFS('Pasted Bridges'!$G:$G,'Pasted Bridges'!$B:$B,$C20,'Pasted Bridges'!$F:$F,CX$5)</f>
        <v>17.98</v>
      </c>
      <c r="CY20" s="17">
        <f>SUMIFS('Pasted Bridges'!$G:$G,'Pasted Bridges'!$B:$B,$C20,'Pasted Bridges'!$F:$F,CY$5)</f>
        <v>17.75</v>
      </c>
      <c r="CZ20" s="17">
        <f>SUMIFS('Pasted Bridges'!$G:$G,'Pasted Bridges'!$B:$B,$C20,'Pasted Bridges'!$F:$F,CZ$5)</f>
        <v>23.16</v>
      </c>
      <c r="DA20" s="17">
        <f>SUMIFS('Pasted Bridges'!$G:$G,'Pasted Bridges'!$B:$B,$C20,'Pasted Bridges'!$F:$F,DA$5)</f>
        <v>17.990000000000002</v>
      </c>
    </row>
    <row r="21" spans="1:105" s="1" customFormat="1" x14ac:dyDescent="0.25">
      <c r="A21" s="10"/>
      <c r="B21" s="51"/>
      <c r="C21" s="19" t="s">
        <v>5</v>
      </c>
      <c r="D21" s="19" t="s">
        <v>169</v>
      </c>
      <c r="E21" s="13" t="s">
        <v>199</v>
      </c>
      <c r="F21" s="2">
        <v>22</v>
      </c>
      <c r="G21" s="5">
        <v>0.18</v>
      </c>
      <c r="H21" s="2">
        <v>0.09</v>
      </c>
      <c r="I21" s="2">
        <v>0.09</v>
      </c>
      <c r="J21" s="3"/>
      <c r="K21" s="17">
        <f>SUMIFS('Pasted Bridges'!$G:$G,'Pasted Bridges'!$B:$B,$C21,'Pasted Bridges'!$F:$F,K$5)</f>
        <v>5</v>
      </c>
      <c r="L21" s="17">
        <f>SUMIFS('Pasted Bridges'!$G:$G,'Pasted Bridges'!$B:$B,$C21,'Pasted Bridges'!$F:$F,L$5)</f>
        <v>5</v>
      </c>
      <c r="M21" s="17">
        <f>SUMIFS('Pasted Bridges'!$G:$G,'Pasted Bridges'!$B:$B,$C21,'Pasted Bridges'!$F:$F,M$5)</f>
        <v>2.5</v>
      </c>
      <c r="N21" s="17">
        <f>SUMIFS('Pasted Bridges'!$G:$G,'Pasted Bridges'!$B:$B,$C21,'Pasted Bridges'!$F:$F,N$5)</f>
        <v>2.5</v>
      </c>
      <c r="O21" s="17">
        <f>SUMIFS('Pasted Bridges'!$G:$G,'Pasted Bridges'!$B:$B,$C21,'Pasted Bridges'!$F:$F,O$5)</f>
        <v>2.5</v>
      </c>
      <c r="P21" s="17">
        <f>SUMIFS('Pasted Bridges'!$G:$G,'Pasted Bridges'!$B:$B,$C21,'Pasted Bridges'!$F:$F,P$5)</f>
        <v>2.5</v>
      </c>
      <c r="Q21" s="17">
        <f>SUMIFS('Pasted Bridges'!$G:$G,'Pasted Bridges'!$B:$B,$C21,'Pasted Bridges'!$F:$F,Q$5)</f>
        <v>2.5</v>
      </c>
      <c r="R21" s="17">
        <f>SUMIFS('Pasted Bridges'!$G:$G,'Pasted Bridges'!$B:$B,$C21,'Pasted Bridges'!$F:$F,R$5)</f>
        <v>0</v>
      </c>
      <c r="S21" s="17">
        <f>SUMIFS('Pasted Bridges'!$G:$G,'Pasted Bridges'!$B:$B,$C21,'Pasted Bridges'!$F:$F,S$5)</f>
        <v>0</v>
      </c>
      <c r="T21" s="17">
        <f>SUMIFS('Pasted Bridges'!$G:$G,'Pasted Bridges'!$B:$B,$C21,'Pasted Bridges'!$F:$F,T$5)</f>
        <v>2.5</v>
      </c>
      <c r="U21" s="17">
        <f>SUMIFS('Pasted Bridges'!$G:$G,'Pasted Bridges'!$B:$B,$C21,'Pasted Bridges'!$F:$F,U$5)</f>
        <v>2.5</v>
      </c>
      <c r="V21" s="17">
        <f>SUMIFS('Pasted Bridges'!$G:$G,'Pasted Bridges'!$B:$B,$C21,'Pasted Bridges'!$F:$F,V$5)</f>
        <v>2.5</v>
      </c>
      <c r="W21" s="17">
        <f>SUMIFS('Pasted Bridges'!$G:$G,'Pasted Bridges'!$B:$B,$C21,'Pasted Bridges'!$F:$F,W$5)</f>
        <v>2.5</v>
      </c>
      <c r="X21" s="17">
        <f>SUMIFS('Pasted Bridges'!$G:$G,'Pasted Bridges'!$B:$B,$C21,'Pasted Bridges'!$F:$F,X$5)</f>
        <v>2.5</v>
      </c>
      <c r="Y21" s="17">
        <f>SUMIFS('Pasted Bridges'!$G:$G,'Pasted Bridges'!$B:$B,$C21,'Pasted Bridges'!$F:$F,Y$5)</f>
        <v>2.5</v>
      </c>
      <c r="Z21" s="17">
        <f>SUMIFS('Pasted Bridges'!$G:$G,'Pasted Bridges'!$B:$B,$C21,'Pasted Bridges'!$F:$F,Z$5)</f>
        <v>0</v>
      </c>
      <c r="AA21" s="17">
        <f>SUMIFS('Pasted Bridges'!$G:$G,'Pasted Bridges'!$B:$B,$C21,'Pasted Bridges'!$F:$F,AA$5)</f>
        <v>2.5</v>
      </c>
      <c r="AB21" s="17">
        <f>SUMIFS('Pasted Bridges'!$G:$G,'Pasted Bridges'!$B:$B,$C21,'Pasted Bridges'!$F:$F,AB$5)</f>
        <v>5</v>
      </c>
      <c r="AC21" s="17">
        <f>SUMIFS('Pasted Bridges'!$G:$G,'Pasted Bridges'!$B:$B,$C21,'Pasted Bridges'!$F:$F,AC$5)</f>
        <v>0</v>
      </c>
      <c r="AD21" s="17">
        <f>SUMIFS('Pasted Bridges'!$G:$G,'Pasted Bridges'!$B:$B,$C21,'Pasted Bridges'!$F:$F,AD$5)</f>
        <v>2.5</v>
      </c>
      <c r="AE21" s="17">
        <f>SUMIFS('Pasted Bridges'!$G:$G,'Pasted Bridges'!$B:$B,$C21,'Pasted Bridges'!$F:$F,AE$5)</f>
        <v>2.5</v>
      </c>
      <c r="AF21" s="17">
        <f>SUMIFS('Pasted Bridges'!$G:$G,'Pasted Bridges'!$B:$B,$C21,'Pasted Bridges'!$F:$F,AF$5)</f>
        <v>0</v>
      </c>
      <c r="AG21" s="17">
        <f>SUMIFS('Pasted Bridges'!$G:$G,'Pasted Bridges'!$B:$B,$C21,'Pasted Bridges'!$F:$F,AG$5)</f>
        <v>5</v>
      </c>
      <c r="AH21" s="17">
        <f>SUMIFS('Pasted Bridges'!$G:$G,'Pasted Bridges'!$B:$B,$C21,'Pasted Bridges'!$F:$F,AH$5)</f>
        <v>0</v>
      </c>
      <c r="AI21" s="17">
        <f>SUMIFS('Pasted Bridges'!$G:$G,'Pasted Bridges'!$B:$B,$C21,'Pasted Bridges'!$F:$F,AI$5)</f>
        <v>2.5</v>
      </c>
      <c r="AJ21" s="17">
        <f>SUMIFS('Pasted Bridges'!$G:$G,'Pasted Bridges'!$B:$B,$C21,'Pasted Bridges'!$F:$F,AJ$5)</f>
        <v>2.5</v>
      </c>
      <c r="AK21" s="17">
        <f>SUMIFS('Pasted Bridges'!$G:$G,'Pasted Bridges'!$B:$B,$C21,'Pasted Bridges'!$F:$F,AK$5)</f>
        <v>5</v>
      </c>
      <c r="AL21" s="17">
        <f>SUMIFS('Pasted Bridges'!$G:$G,'Pasted Bridges'!$B:$B,$C21,'Pasted Bridges'!$F:$F,AL$5)</f>
        <v>2.5</v>
      </c>
      <c r="AM21" s="17">
        <f>SUMIFS('Pasted Bridges'!$G:$G,'Pasted Bridges'!$B:$B,$C21,'Pasted Bridges'!$F:$F,AM$5)</f>
        <v>2.5</v>
      </c>
      <c r="AN21" s="17">
        <f>SUMIFS('Pasted Bridges'!$G:$G,'Pasted Bridges'!$B:$B,$C21,'Pasted Bridges'!$F:$F,AN$5)</f>
        <v>2.5</v>
      </c>
      <c r="AO21" s="17">
        <f>SUMIFS('Pasted Bridges'!$G:$G,'Pasted Bridges'!$B:$B,$C21,'Pasted Bridges'!$F:$F,AO$5)</f>
        <v>2.5</v>
      </c>
      <c r="AP21" s="17">
        <f>SUMIFS('Pasted Bridges'!$G:$G,'Pasted Bridges'!$B:$B,$C21,'Pasted Bridges'!$F:$F,AP$5)</f>
        <v>0</v>
      </c>
      <c r="AQ21" s="17">
        <f>SUMIFS('Pasted Bridges'!$G:$G,'Pasted Bridges'!$B:$B,$C21,'Pasted Bridges'!$F:$F,AQ$5)</f>
        <v>2.7</v>
      </c>
      <c r="AR21" s="17">
        <f>SUMIFS('Pasted Bridges'!$G:$G,'Pasted Bridges'!$B:$B,$C21,'Pasted Bridges'!$F:$F,AR$5)</f>
        <v>2.7</v>
      </c>
      <c r="AS21" s="17">
        <f>SUMIFS('Pasted Bridges'!$G:$G,'Pasted Bridges'!$B:$B,$C21,'Pasted Bridges'!$F:$F,AS$5)</f>
        <v>2.7</v>
      </c>
      <c r="AT21" s="17">
        <f>SUMIFS('Pasted Bridges'!$G:$G,'Pasted Bridges'!$B:$B,$C21,'Pasted Bridges'!$F:$F,AT$5)</f>
        <v>2.7</v>
      </c>
      <c r="AU21" s="17">
        <f>SUMIFS('Pasted Bridges'!$G:$G,'Pasted Bridges'!$B:$B,$C21,'Pasted Bridges'!$F:$F,AU$5)</f>
        <v>0</v>
      </c>
      <c r="AV21" s="17">
        <f>SUMIFS('Pasted Bridges'!$G:$G,'Pasted Bridges'!$B:$B,$C21,'Pasted Bridges'!$F:$F,AV$5)</f>
        <v>0</v>
      </c>
      <c r="AW21" s="17">
        <f>SUMIFS('Pasted Bridges'!$G:$G,'Pasted Bridges'!$B:$B,$C21,'Pasted Bridges'!$F:$F,AW$5)</f>
        <v>2.7</v>
      </c>
      <c r="AX21" s="17">
        <f>SUMIFS('Pasted Bridges'!$G:$G,'Pasted Bridges'!$B:$B,$C21,'Pasted Bridges'!$F:$F,AX$5)</f>
        <v>2.7</v>
      </c>
      <c r="AY21" s="17">
        <f>SUMIFS('Pasted Bridges'!$G:$G,'Pasted Bridges'!$B:$B,$C21,'Pasted Bridges'!$F:$F,AY$5)</f>
        <v>5.4</v>
      </c>
      <c r="AZ21" s="17">
        <f>SUMIFS('Pasted Bridges'!$G:$G,'Pasted Bridges'!$B:$B,$C21,'Pasted Bridges'!$F:$F,AZ$5)</f>
        <v>0</v>
      </c>
      <c r="BA21" s="17">
        <f>SUMIFS('Pasted Bridges'!$G:$G,'Pasted Bridges'!$B:$B,$C21,'Pasted Bridges'!$F:$F,BA$5)</f>
        <v>2.5</v>
      </c>
      <c r="BB21" s="17">
        <f>SUMIFS('Pasted Bridges'!$G:$G,'Pasted Bridges'!$B:$B,$C21,'Pasted Bridges'!$F:$F,BB$5)</f>
        <v>2.5</v>
      </c>
      <c r="BC21" s="17">
        <f>SUMIFS('Pasted Bridges'!$G:$G,'Pasted Bridges'!$B:$B,$C21,'Pasted Bridges'!$F:$F,BC$5)</f>
        <v>0</v>
      </c>
      <c r="BD21" s="17">
        <f>SUMIFS('Pasted Bridges'!$G:$G,'Pasted Bridges'!$B:$B,$C21,'Pasted Bridges'!$F:$F,BD$5)</f>
        <v>0</v>
      </c>
      <c r="BE21" s="17">
        <f>SUMIFS('Pasted Bridges'!$G:$G,'Pasted Bridges'!$B:$B,$C21,'Pasted Bridges'!$F:$F,BE$5)</f>
        <v>2.5</v>
      </c>
      <c r="BF21" s="17">
        <f>SUMIFS('Pasted Bridges'!$G:$G,'Pasted Bridges'!$B:$B,$C21,'Pasted Bridges'!$F:$F,BF$5)</f>
        <v>0</v>
      </c>
      <c r="BG21" s="17">
        <f>SUMIFS('Pasted Bridges'!$G:$G,'Pasted Bridges'!$B:$B,$C21,'Pasted Bridges'!$F:$F,BG$5)</f>
        <v>2.5</v>
      </c>
      <c r="BH21" s="17">
        <f>SUMIFS('Pasted Bridges'!$G:$G,'Pasted Bridges'!$B:$B,$C21,'Pasted Bridges'!$F:$F,BH$5)</f>
        <v>2.5</v>
      </c>
      <c r="BI21" s="17">
        <f>SUMIFS('Pasted Bridges'!$G:$G,'Pasted Bridges'!$B:$B,$C21,'Pasted Bridges'!$F:$F,BI$5)</f>
        <v>0</v>
      </c>
      <c r="BJ21" s="17">
        <f>SUMIFS('Pasted Bridges'!$G:$G,'Pasted Bridges'!$B:$B,$C21,'Pasted Bridges'!$F:$F,BJ$5)</f>
        <v>0</v>
      </c>
      <c r="BK21" s="17">
        <f>SUMIFS('Pasted Bridges'!$G:$G,'Pasted Bridges'!$B:$B,$C21,'Pasted Bridges'!$F:$F,BK$5)</f>
        <v>2.5</v>
      </c>
      <c r="BL21" s="17">
        <f>SUMIFS('Pasted Bridges'!$G:$G,'Pasted Bridges'!$B:$B,$C21,'Pasted Bridges'!$F:$F,BL$5)</f>
        <v>2.5</v>
      </c>
      <c r="BM21" s="17">
        <f>SUMIFS('Pasted Bridges'!$G:$G,'Pasted Bridges'!$B:$B,$C21,'Pasted Bridges'!$F:$F,BM$5)</f>
        <v>2.5</v>
      </c>
      <c r="BN21" s="17">
        <f>SUMIFS('Pasted Bridges'!$G:$G,'Pasted Bridges'!$B:$B,$C21,'Pasted Bridges'!$F:$F,BN$5)</f>
        <v>2.5</v>
      </c>
      <c r="BO21" s="17">
        <f>SUMIFS('Pasted Bridges'!$G:$G,'Pasted Bridges'!$B:$B,$C21,'Pasted Bridges'!$F:$F,BO$5)</f>
        <v>2.5</v>
      </c>
      <c r="BP21" s="17">
        <f>SUMIFS('Pasted Bridges'!$G:$G,'Pasted Bridges'!$B:$B,$C21,'Pasted Bridges'!$F:$F,BP$5)</f>
        <v>2.5</v>
      </c>
      <c r="BQ21" s="17">
        <f>SUMIFS('Pasted Bridges'!$G:$G,'Pasted Bridges'!$B:$B,$C21,'Pasted Bridges'!$F:$F,BQ$5)</f>
        <v>2.5</v>
      </c>
      <c r="BR21" s="17">
        <f>SUMIFS('Pasted Bridges'!$G:$G,'Pasted Bridges'!$B:$B,$C21,'Pasted Bridges'!$F:$F,BR$5)</f>
        <v>2.5</v>
      </c>
      <c r="BS21" s="17">
        <f>SUMIFS('Pasted Bridges'!$G:$G,'Pasted Bridges'!$B:$B,$C21,'Pasted Bridges'!$F:$F,BS$5)</f>
        <v>0</v>
      </c>
      <c r="BT21" s="17">
        <f>SUMIFS('Pasted Bridges'!$G:$G,'Pasted Bridges'!$B:$B,$C21,'Pasted Bridges'!$F:$F,BT$5)</f>
        <v>0</v>
      </c>
      <c r="BU21" s="17">
        <f>SUMIFS('Pasted Bridges'!$G:$G,'Pasted Bridges'!$B:$B,$C21,'Pasted Bridges'!$F:$F,BU$5)</f>
        <v>2.5</v>
      </c>
      <c r="BV21" s="17">
        <f>SUMIFS('Pasted Bridges'!$G:$G,'Pasted Bridges'!$B:$B,$C21,'Pasted Bridges'!$F:$F,BV$5)</f>
        <v>2.5</v>
      </c>
      <c r="BW21" s="17">
        <f>SUMIFS('Pasted Bridges'!$G:$G,'Pasted Bridges'!$B:$B,$C21,'Pasted Bridges'!$F:$F,BW$5)</f>
        <v>2.7</v>
      </c>
      <c r="BX21" s="17">
        <f>SUMIFS('Pasted Bridges'!$G:$G,'Pasted Bridges'!$B:$B,$C21,'Pasted Bridges'!$F:$F,BX$5)</f>
        <v>8.1000000000000014</v>
      </c>
      <c r="BY21" s="17">
        <f>SUMIFS('Pasted Bridges'!$G:$G,'Pasted Bridges'!$B:$B,$C21,'Pasted Bridges'!$F:$F,BY$5)</f>
        <v>5.4</v>
      </c>
      <c r="BZ21" s="17">
        <f>SUMIFS('Pasted Bridges'!$G:$G,'Pasted Bridges'!$B:$B,$C21,'Pasted Bridges'!$F:$F,BZ$5)</f>
        <v>2.7</v>
      </c>
      <c r="CA21" s="17">
        <f>SUMIFS('Pasted Bridges'!$G:$G,'Pasted Bridges'!$B:$B,$C21,'Pasted Bridges'!$F:$F,CA$5)</f>
        <v>0</v>
      </c>
      <c r="CB21" s="17">
        <f>SUMIFS('Pasted Bridges'!$G:$G,'Pasted Bridges'!$B:$B,$C21,'Pasted Bridges'!$F:$F,CB$5)</f>
        <v>2.7</v>
      </c>
      <c r="CC21" s="17">
        <f>SUMIFS('Pasted Bridges'!$G:$G,'Pasted Bridges'!$B:$B,$C21,'Pasted Bridges'!$F:$F,CC$5)</f>
        <v>8.1000000000000014</v>
      </c>
      <c r="CD21" s="17">
        <f>SUMIFS('Pasted Bridges'!$G:$G,'Pasted Bridges'!$B:$B,$C21,'Pasted Bridges'!$F:$F,CD$5)</f>
        <v>5.4</v>
      </c>
      <c r="CE21" s="17">
        <f>SUMIFS('Pasted Bridges'!$G:$G,'Pasted Bridges'!$B:$B,$C21,'Pasted Bridges'!$F:$F,CE$5)</f>
        <v>2.7</v>
      </c>
      <c r="CF21" s="17">
        <f>SUMIFS('Pasted Bridges'!$G:$G,'Pasted Bridges'!$B:$B,$C21,'Pasted Bridges'!$F:$F,CF$5)</f>
        <v>0</v>
      </c>
      <c r="CG21" s="17">
        <f>SUMIFS('Pasted Bridges'!$G:$G,'Pasted Bridges'!$B:$B,$C21,'Pasted Bridges'!$F:$F,CG$5)</f>
        <v>8.1000000000000014</v>
      </c>
      <c r="CH21" s="17">
        <f>SUMIFS('Pasted Bridges'!$G:$G,'Pasted Bridges'!$B:$B,$C21,'Pasted Bridges'!$F:$F,CH$5)</f>
        <v>5.4</v>
      </c>
      <c r="CI21" s="17">
        <f>SUMIFS('Pasted Bridges'!$G:$G,'Pasted Bridges'!$B:$B,$C21,'Pasted Bridges'!$F:$F,CI$5)</f>
        <v>5.4</v>
      </c>
      <c r="CJ21" s="17">
        <f>SUMIFS('Pasted Bridges'!$G:$G,'Pasted Bridges'!$B:$B,$C21,'Pasted Bridges'!$F:$F,CJ$5)</f>
        <v>0</v>
      </c>
      <c r="CK21" s="17">
        <f>SUMIFS('Pasted Bridges'!$G:$G,'Pasted Bridges'!$B:$B,$C21,'Pasted Bridges'!$F:$F,CK$5)</f>
        <v>5</v>
      </c>
      <c r="CL21" s="17">
        <f>SUMIFS('Pasted Bridges'!$G:$G,'Pasted Bridges'!$B:$B,$C21,'Pasted Bridges'!$F:$F,CL$5)</f>
        <v>2.5</v>
      </c>
      <c r="CM21" s="17">
        <f>SUMIFS('Pasted Bridges'!$G:$G,'Pasted Bridges'!$B:$B,$C21,'Pasted Bridges'!$F:$F,CM$5)</f>
        <v>7.5</v>
      </c>
      <c r="CN21" s="17">
        <f>SUMIFS('Pasted Bridges'!$G:$G,'Pasted Bridges'!$B:$B,$C21,'Pasted Bridges'!$F:$F,CN$5)</f>
        <v>5</v>
      </c>
      <c r="CO21" s="17">
        <f>SUMIFS('Pasted Bridges'!$G:$G,'Pasted Bridges'!$B:$B,$C21,'Pasted Bridges'!$F:$F,CO$5)</f>
        <v>7.5</v>
      </c>
      <c r="CP21" s="17">
        <f>SUMIFS('Pasted Bridges'!$G:$G,'Pasted Bridges'!$B:$B,$C21,'Pasted Bridges'!$F:$F,CP$5)</f>
        <v>5</v>
      </c>
      <c r="CQ21" s="17">
        <f>SUMIFS('Pasted Bridges'!$G:$G,'Pasted Bridges'!$B:$B,$C21,'Pasted Bridges'!$F:$F,CQ$5)</f>
        <v>5</v>
      </c>
      <c r="CR21" s="17">
        <f>SUMIFS('Pasted Bridges'!$G:$G,'Pasted Bridges'!$B:$B,$C21,'Pasted Bridges'!$F:$F,CR$5)</f>
        <v>2.5</v>
      </c>
      <c r="CS21" s="17">
        <f>SUMIFS('Pasted Bridges'!$G:$G,'Pasted Bridges'!$B:$B,$C21,'Pasted Bridges'!$F:$F,CS$5)</f>
        <v>7.5</v>
      </c>
      <c r="CT21" s="17">
        <f>SUMIFS('Pasted Bridges'!$G:$G,'Pasted Bridges'!$B:$B,$C21,'Pasted Bridges'!$F:$F,CT$5)</f>
        <v>5</v>
      </c>
      <c r="CU21" s="17">
        <f>SUMIFS('Pasted Bridges'!$G:$G,'Pasted Bridges'!$B:$B,$C21,'Pasted Bridges'!$F:$F,CU$5)</f>
        <v>5</v>
      </c>
      <c r="CV21" s="17">
        <f>SUMIFS('Pasted Bridges'!$G:$G,'Pasted Bridges'!$B:$B,$C21,'Pasted Bridges'!$F:$F,CV$5)</f>
        <v>7.5</v>
      </c>
      <c r="CW21" s="17">
        <f>SUMIFS('Pasted Bridges'!$G:$G,'Pasted Bridges'!$B:$B,$C21,'Pasted Bridges'!$F:$F,CW$5)</f>
        <v>5</v>
      </c>
      <c r="CX21" s="17">
        <f>SUMIFS('Pasted Bridges'!$G:$G,'Pasted Bridges'!$B:$B,$C21,'Pasted Bridges'!$F:$F,CX$5)</f>
        <v>5</v>
      </c>
      <c r="CY21" s="17">
        <f>SUMIFS('Pasted Bridges'!$G:$G,'Pasted Bridges'!$B:$B,$C21,'Pasted Bridges'!$F:$F,CY$5)</f>
        <v>7.5</v>
      </c>
      <c r="CZ21" s="17">
        <f>SUMIFS('Pasted Bridges'!$G:$G,'Pasted Bridges'!$B:$B,$C21,'Pasted Bridges'!$F:$F,CZ$5)</f>
        <v>5</v>
      </c>
      <c r="DA21" s="17">
        <f>SUMIFS('Pasted Bridges'!$G:$G,'Pasted Bridges'!$B:$B,$C21,'Pasted Bridges'!$F:$F,DA$5)</f>
        <v>5</v>
      </c>
    </row>
    <row r="22" spans="1:105" s="1" customFormat="1" x14ac:dyDescent="0.25">
      <c r="A22" s="10"/>
      <c r="B22" s="52"/>
      <c r="C22" s="19" t="s">
        <v>6</v>
      </c>
      <c r="D22" s="19" t="s">
        <v>170</v>
      </c>
      <c r="E22" s="13" t="s">
        <v>199</v>
      </c>
      <c r="F22" s="2">
        <v>23</v>
      </c>
      <c r="G22" s="5">
        <v>0</v>
      </c>
      <c r="H22" s="2">
        <v>-0.09</v>
      </c>
      <c r="I22" s="2">
        <v>-0.09</v>
      </c>
      <c r="J22" s="3"/>
      <c r="K22" s="17">
        <f>SUMIFS('Pasted Bridges'!$G:$G,'Pasted Bridges'!$B:$B,$C22,'Pasted Bridges'!$F:$F,K$5)</f>
        <v>2.5</v>
      </c>
      <c r="L22" s="17">
        <f>SUMIFS('Pasted Bridges'!$G:$G,'Pasted Bridges'!$B:$B,$C22,'Pasted Bridges'!$F:$F,L$5)</f>
        <v>2.5</v>
      </c>
      <c r="M22" s="17">
        <f>SUMIFS('Pasted Bridges'!$G:$G,'Pasted Bridges'!$B:$B,$C22,'Pasted Bridges'!$F:$F,M$5)</f>
        <v>0</v>
      </c>
      <c r="N22" s="17">
        <f>SUMIFS('Pasted Bridges'!$G:$G,'Pasted Bridges'!$B:$B,$C22,'Pasted Bridges'!$F:$F,N$5)</f>
        <v>0</v>
      </c>
      <c r="O22" s="17">
        <f>SUMIFS('Pasted Bridges'!$G:$G,'Pasted Bridges'!$B:$B,$C22,'Pasted Bridges'!$F:$F,O$5)</f>
        <v>0</v>
      </c>
      <c r="P22" s="17">
        <f>SUMIFS('Pasted Bridges'!$G:$G,'Pasted Bridges'!$B:$B,$C22,'Pasted Bridges'!$F:$F,P$5)</f>
        <v>0</v>
      </c>
      <c r="Q22" s="17">
        <f>SUMIFS('Pasted Bridges'!$G:$G,'Pasted Bridges'!$B:$B,$C22,'Pasted Bridges'!$F:$F,Q$5)</f>
        <v>0</v>
      </c>
      <c r="R22" s="17">
        <f>SUMIFS('Pasted Bridges'!$G:$G,'Pasted Bridges'!$B:$B,$C22,'Pasted Bridges'!$F:$F,R$5)</f>
        <v>0</v>
      </c>
      <c r="S22" s="17">
        <f>SUMIFS('Pasted Bridges'!$G:$G,'Pasted Bridges'!$B:$B,$C22,'Pasted Bridges'!$F:$F,S$5)</f>
        <v>0</v>
      </c>
      <c r="T22" s="17">
        <f>SUMIFS('Pasted Bridges'!$G:$G,'Pasted Bridges'!$B:$B,$C22,'Pasted Bridges'!$F:$F,T$5)</f>
        <v>0</v>
      </c>
      <c r="U22" s="17">
        <f>SUMIFS('Pasted Bridges'!$G:$G,'Pasted Bridges'!$B:$B,$C22,'Pasted Bridges'!$F:$F,U$5)</f>
        <v>0</v>
      </c>
      <c r="V22" s="17">
        <f>SUMIFS('Pasted Bridges'!$G:$G,'Pasted Bridges'!$B:$B,$C22,'Pasted Bridges'!$F:$F,V$5)</f>
        <v>0</v>
      </c>
      <c r="W22" s="17">
        <f>SUMIFS('Pasted Bridges'!$G:$G,'Pasted Bridges'!$B:$B,$C22,'Pasted Bridges'!$F:$F,W$5)</f>
        <v>0</v>
      </c>
      <c r="X22" s="17">
        <f>SUMIFS('Pasted Bridges'!$G:$G,'Pasted Bridges'!$B:$B,$C22,'Pasted Bridges'!$F:$F,X$5)</f>
        <v>0</v>
      </c>
      <c r="Y22" s="17">
        <f>SUMIFS('Pasted Bridges'!$G:$G,'Pasted Bridges'!$B:$B,$C22,'Pasted Bridges'!$F:$F,Y$5)</f>
        <v>0</v>
      </c>
      <c r="Z22" s="17">
        <f>SUMIFS('Pasted Bridges'!$G:$G,'Pasted Bridges'!$B:$B,$C22,'Pasted Bridges'!$F:$F,Z$5)</f>
        <v>0</v>
      </c>
      <c r="AA22" s="17">
        <f>SUMIFS('Pasted Bridges'!$G:$G,'Pasted Bridges'!$B:$B,$C22,'Pasted Bridges'!$F:$F,AA$5)</f>
        <v>0</v>
      </c>
      <c r="AB22" s="17">
        <f>SUMIFS('Pasted Bridges'!$G:$G,'Pasted Bridges'!$B:$B,$C22,'Pasted Bridges'!$F:$F,AB$5)</f>
        <v>2.5</v>
      </c>
      <c r="AC22" s="17">
        <f>SUMIFS('Pasted Bridges'!$G:$G,'Pasted Bridges'!$B:$B,$C22,'Pasted Bridges'!$F:$F,AC$5)</f>
        <v>2.5</v>
      </c>
      <c r="AD22" s="17">
        <f>SUMIFS('Pasted Bridges'!$G:$G,'Pasted Bridges'!$B:$B,$C22,'Pasted Bridges'!$F:$F,AD$5)</f>
        <v>0</v>
      </c>
      <c r="AE22" s="17">
        <f>SUMIFS('Pasted Bridges'!$G:$G,'Pasted Bridges'!$B:$B,$C22,'Pasted Bridges'!$F:$F,AE$5)</f>
        <v>2.5</v>
      </c>
      <c r="AF22" s="17">
        <f>SUMIFS('Pasted Bridges'!$G:$G,'Pasted Bridges'!$B:$B,$C22,'Pasted Bridges'!$F:$F,AF$5)</f>
        <v>0</v>
      </c>
      <c r="AG22" s="17">
        <f>SUMIFS('Pasted Bridges'!$G:$G,'Pasted Bridges'!$B:$B,$C22,'Pasted Bridges'!$F:$F,AG$5)</f>
        <v>0</v>
      </c>
      <c r="AH22" s="17">
        <f>SUMIFS('Pasted Bridges'!$G:$G,'Pasted Bridges'!$B:$B,$C22,'Pasted Bridges'!$F:$F,AH$5)</f>
        <v>0</v>
      </c>
      <c r="AI22" s="17">
        <f>SUMIFS('Pasted Bridges'!$G:$G,'Pasted Bridges'!$B:$B,$C22,'Pasted Bridges'!$F:$F,AI$5)</f>
        <v>2.5</v>
      </c>
      <c r="AJ22" s="17">
        <f>SUMIFS('Pasted Bridges'!$G:$G,'Pasted Bridges'!$B:$B,$C22,'Pasted Bridges'!$F:$F,AJ$5)</f>
        <v>0</v>
      </c>
      <c r="AK22" s="17">
        <f>SUMIFS('Pasted Bridges'!$G:$G,'Pasted Bridges'!$B:$B,$C22,'Pasted Bridges'!$F:$F,AK$5)</f>
        <v>0</v>
      </c>
      <c r="AL22" s="17">
        <f>SUMIFS('Pasted Bridges'!$G:$G,'Pasted Bridges'!$B:$B,$C22,'Pasted Bridges'!$F:$F,AL$5)</f>
        <v>0</v>
      </c>
      <c r="AM22" s="17">
        <f>SUMIFS('Pasted Bridges'!$G:$G,'Pasted Bridges'!$B:$B,$C22,'Pasted Bridges'!$F:$F,AM$5)</f>
        <v>0</v>
      </c>
      <c r="AN22" s="17">
        <f>SUMIFS('Pasted Bridges'!$G:$G,'Pasted Bridges'!$B:$B,$C22,'Pasted Bridges'!$F:$F,AN$5)</f>
        <v>0</v>
      </c>
      <c r="AO22" s="17">
        <f>SUMIFS('Pasted Bridges'!$G:$G,'Pasted Bridges'!$B:$B,$C22,'Pasted Bridges'!$F:$F,AO$5)</f>
        <v>0</v>
      </c>
      <c r="AP22" s="17">
        <f>SUMIFS('Pasted Bridges'!$G:$G,'Pasted Bridges'!$B:$B,$C22,'Pasted Bridges'!$F:$F,AP$5)</f>
        <v>0</v>
      </c>
      <c r="AQ22" s="17">
        <f>SUMIFS('Pasted Bridges'!$G:$G,'Pasted Bridges'!$B:$B,$C22,'Pasted Bridges'!$F:$F,AQ$5)</f>
        <v>0</v>
      </c>
      <c r="AR22" s="17">
        <f>SUMIFS('Pasted Bridges'!$G:$G,'Pasted Bridges'!$B:$B,$C22,'Pasted Bridges'!$F:$F,AR$5)</f>
        <v>0</v>
      </c>
      <c r="AS22" s="17">
        <f>SUMIFS('Pasted Bridges'!$G:$G,'Pasted Bridges'!$B:$B,$C22,'Pasted Bridges'!$F:$F,AS$5)</f>
        <v>0</v>
      </c>
      <c r="AT22" s="17">
        <f>SUMIFS('Pasted Bridges'!$G:$G,'Pasted Bridges'!$B:$B,$C22,'Pasted Bridges'!$F:$F,AT$5)</f>
        <v>0</v>
      </c>
      <c r="AU22" s="17">
        <f>SUMIFS('Pasted Bridges'!$G:$G,'Pasted Bridges'!$B:$B,$C22,'Pasted Bridges'!$F:$F,AU$5)</f>
        <v>0</v>
      </c>
      <c r="AV22" s="17">
        <f>SUMIFS('Pasted Bridges'!$G:$G,'Pasted Bridges'!$B:$B,$C22,'Pasted Bridges'!$F:$F,AV$5)</f>
        <v>0</v>
      </c>
      <c r="AW22" s="17">
        <f>SUMIFS('Pasted Bridges'!$G:$G,'Pasted Bridges'!$B:$B,$C22,'Pasted Bridges'!$F:$F,AW$5)</f>
        <v>0</v>
      </c>
      <c r="AX22" s="17">
        <f>SUMIFS('Pasted Bridges'!$G:$G,'Pasted Bridges'!$B:$B,$C22,'Pasted Bridges'!$F:$F,AX$5)</f>
        <v>0</v>
      </c>
      <c r="AY22" s="17">
        <f>SUMIFS('Pasted Bridges'!$G:$G,'Pasted Bridges'!$B:$B,$C22,'Pasted Bridges'!$F:$F,AY$5)</f>
        <v>0</v>
      </c>
      <c r="AZ22" s="17">
        <f>SUMIFS('Pasted Bridges'!$G:$G,'Pasted Bridges'!$B:$B,$C22,'Pasted Bridges'!$F:$F,AZ$5)</f>
        <v>0</v>
      </c>
      <c r="BA22" s="17">
        <f>SUMIFS('Pasted Bridges'!$G:$G,'Pasted Bridges'!$B:$B,$C22,'Pasted Bridges'!$F:$F,BA$5)</f>
        <v>0</v>
      </c>
      <c r="BB22" s="17">
        <f>SUMIFS('Pasted Bridges'!$G:$G,'Pasted Bridges'!$B:$B,$C22,'Pasted Bridges'!$F:$F,BB$5)</f>
        <v>0</v>
      </c>
      <c r="BC22" s="17">
        <f>SUMIFS('Pasted Bridges'!$G:$G,'Pasted Bridges'!$B:$B,$C22,'Pasted Bridges'!$F:$F,BC$5)</f>
        <v>0</v>
      </c>
      <c r="BD22" s="17">
        <f>SUMIFS('Pasted Bridges'!$G:$G,'Pasted Bridges'!$B:$B,$C22,'Pasted Bridges'!$F:$F,BD$5)</f>
        <v>0</v>
      </c>
      <c r="BE22" s="17">
        <f>SUMIFS('Pasted Bridges'!$G:$G,'Pasted Bridges'!$B:$B,$C22,'Pasted Bridges'!$F:$F,BE$5)</f>
        <v>0</v>
      </c>
      <c r="BF22" s="17">
        <f>SUMIFS('Pasted Bridges'!$G:$G,'Pasted Bridges'!$B:$B,$C22,'Pasted Bridges'!$F:$F,BF$5)</f>
        <v>0</v>
      </c>
      <c r="BG22" s="17">
        <f>SUMIFS('Pasted Bridges'!$G:$G,'Pasted Bridges'!$B:$B,$C22,'Pasted Bridges'!$F:$F,BG$5)</f>
        <v>0</v>
      </c>
      <c r="BH22" s="17">
        <f>SUMIFS('Pasted Bridges'!$G:$G,'Pasted Bridges'!$B:$B,$C22,'Pasted Bridges'!$F:$F,BH$5)</f>
        <v>0</v>
      </c>
      <c r="BI22" s="17">
        <f>SUMIFS('Pasted Bridges'!$G:$G,'Pasted Bridges'!$B:$B,$C22,'Pasted Bridges'!$F:$F,BI$5)</f>
        <v>0</v>
      </c>
      <c r="BJ22" s="17">
        <f>SUMIFS('Pasted Bridges'!$G:$G,'Pasted Bridges'!$B:$B,$C22,'Pasted Bridges'!$F:$F,BJ$5)</f>
        <v>0</v>
      </c>
      <c r="BK22" s="17">
        <f>SUMIFS('Pasted Bridges'!$G:$G,'Pasted Bridges'!$B:$B,$C22,'Pasted Bridges'!$F:$F,BK$5)</f>
        <v>0</v>
      </c>
      <c r="BL22" s="17">
        <f>SUMIFS('Pasted Bridges'!$G:$G,'Pasted Bridges'!$B:$B,$C22,'Pasted Bridges'!$F:$F,BL$5)</f>
        <v>0</v>
      </c>
      <c r="BM22" s="17">
        <f>SUMIFS('Pasted Bridges'!$G:$G,'Pasted Bridges'!$B:$B,$C22,'Pasted Bridges'!$F:$F,BM$5)</f>
        <v>0</v>
      </c>
      <c r="BN22" s="17">
        <f>SUMIFS('Pasted Bridges'!$G:$G,'Pasted Bridges'!$B:$B,$C22,'Pasted Bridges'!$F:$F,BN$5)</f>
        <v>0</v>
      </c>
      <c r="BO22" s="17">
        <f>SUMIFS('Pasted Bridges'!$G:$G,'Pasted Bridges'!$B:$B,$C22,'Pasted Bridges'!$F:$F,BO$5)</f>
        <v>0</v>
      </c>
      <c r="BP22" s="17">
        <f>SUMIFS('Pasted Bridges'!$G:$G,'Pasted Bridges'!$B:$B,$C22,'Pasted Bridges'!$F:$F,BP$5)</f>
        <v>0</v>
      </c>
      <c r="BQ22" s="17">
        <f>SUMIFS('Pasted Bridges'!$G:$G,'Pasted Bridges'!$B:$B,$C22,'Pasted Bridges'!$F:$F,BQ$5)</f>
        <v>0</v>
      </c>
      <c r="BR22" s="17">
        <f>SUMIFS('Pasted Bridges'!$G:$G,'Pasted Bridges'!$B:$B,$C22,'Pasted Bridges'!$F:$F,BR$5)</f>
        <v>0</v>
      </c>
      <c r="BS22" s="17">
        <f>SUMIFS('Pasted Bridges'!$G:$G,'Pasted Bridges'!$B:$B,$C22,'Pasted Bridges'!$F:$F,BS$5)</f>
        <v>0</v>
      </c>
      <c r="BT22" s="17">
        <f>SUMIFS('Pasted Bridges'!$G:$G,'Pasted Bridges'!$B:$B,$C22,'Pasted Bridges'!$F:$F,BT$5)</f>
        <v>0</v>
      </c>
      <c r="BU22" s="17">
        <f>SUMIFS('Pasted Bridges'!$G:$G,'Pasted Bridges'!$B:$B,$C22,'Pasted Bridges'!$F:$F,BU$5)</f>
        <v>0</v>
      </c>
      <c r="BV22" s="17">
        <f>SUMIFS('Pasted Bridges'!$G:$G,'Pasted Bridges'!$B:$B,$C22,'Pasted Bridges'!$F:$F,BV$5)</f>
        <v>0</v>
      </c>
      <c r="BW22" s="17">
        <f>SUMIFS('Pasted Bridges'!$G:$G,'Pasted Bridges'!$B:$B,$C22,'Pasted Bridges'!$F:$F,BW$5)</f>
        <v>0</v>
      </c>
      <c r="BX22" s="17">
        <f>SUMIFS('Pasted Bridges'!$G:$G,'Pasted Bridges'!$B:$B,$C22,'Pasted Bridges'!$F:$F,BX$5)</f>
        <v>0</v>
      </c>
      <c r="BY22" s="17">
        <f>SUMIFS('Pasted Bridges'!$G:$G,'Pasted Bridges'!$B:$B,$C22,'Pasted Bridges'!$F:$F,BY$5)</f>
        <v>0</v>
      </c>
      <c r="BZ22" s="17">
        <f>SUMIFS('Pasted Bridges'!$G:$G,'Pasted Bridges'!$B:$B,$C22,'Pasted Bridges'!$F:$F,BZ$5)</f>
        <v>2.7</v>
      </c>
      <c r="CA22" s="17">
        <f>SUMIFS('Pasted Bridges'!$G:$G,'Pasted Bridges'!$B:$B,$C22,'Pasted Bridges'!$F:$F,CA$5)</f>
        <v>0</v>
      </c>
      <c r="CB22" s="17">
        <f>SUMIFS('Pasted Bridges'!$G:$G,'Pasted Bridges'!$B:$B,$C22,'Pasted Bridges'!$F:$F,CB$5)</f>
        <v>0</v>
      </c>
      <c r="CC22" s="17">
        <f>SUMIFS('Pasted Bridges'!$G:$G,'Pasted Bridges'!$B:$B,$C22,'Pasted Bridges'!$F:$F,CC$5)</f>
        <v>0</v>
      </c>
      <c r="CD22" s="17">
        <f>SUMIFS('Pasted Bridges'!$G:$G,'Pasted Bridges'!$B:$B,$C22,'Pasted Bridges'!$F:$F,CD$5)</f>
        <v>0</v>
      </c>
      <c r="CE22" s="17">
        <f>SUMIFS('Pasted Bridges'!$G:$G,'Pasted Bridges'!$B:$B,$C22,'Pasted Bridges'!$F:$F,CE$5)</f>
        <v>2.7</v>
      </c>
      <c r="CF22" s="17">
        <f>SUMIFS('Pasted Bridges'!$G:$G,'Pasted Bridges'!$B:$B,$C22,'Pasted Bridges'!$F:$F,CF$5)</f>
        <v>0</v>
      </c>
      <c r="CG22" s="17">
        <f>SUMIFS('Pasted Bridges'!$G:$G,'Pasted Bridges'!$B:$B,$C22,'Pasted Bridges'!$F:$F,CG$5)</f>
        <v>0</v>
      </c>
      <c r="CH22" s="17">
        <f>SUMIFS('Pasted Bridges'!$G:$G,'Pasted Bridges'!$B:$B,$C22,'Pasted Bridges'!$F:$F,CH$5)</f>
        <v>0</v>
      </c>
      <c r="CI22" s="17">
        <f>SUMIFS('Pasted Bridges'!$G:$G,'Pasted Bridges'!$B:$B,$C22,'Pasted Bridges'!$F:$F,CI$5)</f>
        <v>0</v>
      </c>
      <c r="CJ22" s="17">
        <f>SUMIFS('Pasted Bridges'!$G:$G,'Pasted Bridges'!$B:$B,$C22,'Pasted Bridges'!$F:$F,CJ$5)</f>
        <v>0</v>
      </c>
      <c r="CK22" s="17">
        <f>SUMIFS('Pasted Bridges'!$G:$G,'Pasted Bridges'!$B:$B,$C22,'Pasted Bridges'!$F:$F,CK$5)</f>
        <v>2.5</v>
      </c>
      <c r="CL22" s="17">
        <f>SUMIFS('Pasted Bridges'!$G:$G,'Pasted Bridges'!$B:$B,$C22,'Pasted Bridges'!$F:$F,CL$5)</f>
        <v>2.5</v>
      </c>
      <c r="CM22" s="17">
        <f>SUMIFS('Pasted Bridges'!$G:$G,'Pasted Bridges'!$B:$B,$C22,'Pasted Bridges'!$F:$F,CM$5)</f>
        <v>2.5</v>
      </c>
      <c r="CN22" s="17">
        <f>SUMIFS('Pasted Bridges'!$G:$G,'Pasted Bridges'!$B:$B,$C22,'Pasted Bridges'!$F:$F,CN$5)</f>
        <v>2.5</v>
      </c>
      <c r="CO22" s="17">
        <f>SUMIFS('Pasted Bridges'!$G:$G,'Pasted Bridges'!$B:$B,$C22,'Pasted Bridges'!$F:$F,CO$5)</f>
        <v>2.5</v>
      </c>
      <c r="CP22" s="17">
        <f>SUMIFS('Pasted Bridges'!$G:$G,'Pasted Bridges'!$B:$B,$C22,'Pasted Bridges'!$F:$F,CP$5)</f>
        <v>2.5</v>
      </c>
      <c r="CQ22" s="17">
        <f>SUMIFS('Pasted Bridges'!$G:$G,'Pasted Bridges'!$B:$B,$C22,'Pasted Bridges'!$F:$F,CQ$5)</f>
        <v>2.5</v>
      </c>
      <c r="CR22" s="17">
        <f>SUMIFS('Pasted Bridges'!$G:$G,'Pasted Bridges'!$B:$B,$C22,'Pasted Bridges'!$F:$F,CR$5)</f>
        <v>2.5</v>
      </c>
      <c r="CS22" s="17">
        <f>SUMIFS('Pasted Bridges'!$G:$G,'Pasted Bridges'!$B:$B,$C22,'Pasted Bridges'!$F:$F,CS$5)</f>
        <v>2.5</v>
      </c>
      <c r="CT22" s="17">
        <f>SUMIFS('Pasted Bridges'!$G:$G,'Pasted Bridges'!$B:$B,$C22,'Pasted Bridges'!$F:$F,CT$5)</f>
        <v>2.5</v>
      </c>
      <c r="CU22" s="17">
        <f>SUMIFS('Pasted Bridges'!$G:$G,'Pasted Bridges'!$B:$B,$C22,'Pasted Bridges'!$F:$F,CU$5)</f>
        <v>2.5</v>
      </c>
      <c r="CV22" s="17">
        <f>SUMIFS('Pasted Bridges'!$G:$G,'Pasted Bridges'!$B:$B,$C22,'Pasted Bridges'!$F:$F,CV$5)</f>
        <v>2.5</v>
      </c>
      <c r="CW22" s="17">
        <f>SUMIFS('Pasted Bridges'!$G:$G,'Pasted Bridges'!$B:$B,$C22,'Pasted Bridges'!$F:$F,CW$5)</f>
        <v>2.5</v>
      </c>
      <c r="CX22" s="17">
        <f>SUMIFS('Pasted Bridges'!$G:$G,'Pasted Bridges'!$B:$B,$C22,'Pasted Bridges'!$F:$F,CX$5)</f>
        <v>2.5</v>
      </c>
      <c r="CY22" s="17">
        <f>SUMIFS('Pasted Bridges'!$G:$G,'Pasted Bridges'!$B:$B,$C22,'Pasted Bridges'!$F:$F,CY$5)</f>
        <v>2.5</v>
      </c>
      <c r="CZ22" s="17">
        <f>SUMIFS('Pasted Bridges'!$G:$G,'Pasted Bridges'!$B:$B,$C22,'Pasted Bridges'!$F:$F,CZ$5)</f>
        <v>2.5</v>
      </c>
      <c r="DA22" s="17">
        <f>SUMIFS('Pasted Bridges'!$G:$G,'Pasted Bridges'!$B:$B,$C22,'Pasted Bridges'!$F:$F,DA$5)</f>
        <v>2.5</v>
      </c>
    </row>
    <row r="23" spans="1:105" s="1" customFormat="1" x14ac:dyDescent="0.25">
      <c r="B23" s="53"/>
      <c r="C23" s="19" t="s">
        <v>47</v>
      </c>
      <c r="D23" s="19" t="s">
        <v>171</v>
      </c>
      <c r="E23" s="13" t="s">
        <v>199</v>
      </c>
      <c r="F23" s="2">
        <v>24</v>
      </c>
      <c r="G23" s="14">
        <f>2*0.12</f>
        <v>0.24</v>
      </c>
      <c r="H23" s="15">
        <f>2*0.06</f>
        <v>0.12</v>
      </c>
      <c r="I23" s="2">
        <v>0.06</v>
      </c>
      <c r="J23" s="3"/>
      <c r="K23" s="17">
        <f>SUMIFS('Pasted Bridges'!$G:$G,'Pasted Bridges'!$B:$B,$C23,'Pasted Bridges'!$F:$F,K$5)</f>
        <v>5</v>
      </c>
      <c r="L23" s="17">
        <f>SUMIFS('Pasted Bridges'!$G:$G,'Pasted Bridges'!$B:$B,$C23,'Pasted Bridges'!$F:$F,L$5)</f>
        <v>5</v>
      </c>
      <c r="M23" s="17">
        <f>SUMIFS('Pasted Bridges'!$G:$G,'Pasted Bridges'!$B:$B,$C23,'Pasted Bridges'!$F:$F,M$5)</f>
        <v>5</v>
      </c>
      <c r="N23" s="17">
        <f>SUMIFS('Pasted Bridges'!$G:$G,'Pasted Bridges'!$B:$B,$C23,'Pasted Bridges'!$F:$F,N$5)</f>
        <v>5</v>
      </c>
      <c r="O23" s="17">
        <f>SUMIFS('Pasted Bridges'!$G:$G,'Pasted Bridges'!$B:$B,$C23,'Pasted Bridges'!$F:$F,O$5)</f>
        <v>5</v>
      </c>
      <c r="P23" s="17">
        <f>SUMIFS('Pasted Bridges'!$G:$G,'Pasted Bridges'!$B:$B,$C23,'Pasted Bridges'!$F:$F,P$5)</f>
        <v>5</v>
      </c>
      <c r="Q23" s="17">
        <f>SUMIFS('Pasted Bridges'!$G:$G,'Pasted Bridges'!$B:$B,$C23,'Pasted Bridges'!$F:$F,Q$5)</f>
        <v>2.5</v>
      </c>
      <c r="R23" s="17">
        <f>SUMIFS('Pasted Bridges'!$G:$G,'Pasted Bridges'!$B:$B,$C23,'Pasted Bridges'!$F:$F,R$5)</f>
        <v>2.5</v>
      </c>
      <c r="S23" s="17">
        <f>SUMIFS('Pasted Bridges'!$G:$G,'Pasted Bridges'!$B:$B,$C23,'Pasted Bridges'!$F:$F,S$5)</f>
        <v>2.5</v>
      </c>
      <c r="T23" s="17">
        <f>SUMIFS('Pasted Bridges'!$G:$G,'Pasted Bridges'!$B:$B,$C23,'Pasted Bridges'!$F:$F,T$5)</f>
        <v>2.5</v>
      </c>
      <c r="U23" s="17">
        <f>SUMIFS('Pasted Bridges'!$G:$G,'Pasted Bridges'!$B:$B,$C23,'Pasted Bridges'!$F:$F,U$5)</f>
        <v>5</v>
      </c>
      <c r="V23" s="17">
        <f>SUMIFS('Pasted Bridges'!$G:$G,'Pasted Bridges'!$B:$B,$C23,'Pasted Bridges'!$F:$F,V$5)</f>
        <v>5</v>
      </c>
      <c r="W23" s="17">
        <f>SUMIFS('Pasted Bridges'!$G:$G,'Pasted Bridges'!$B:$B,$C23,'Pasted Bridges'!$F:$F,W$5)</f>
        <v>5</v>
      </c>
      <c r="X23" s="17">
        <f>SUMIFS('Pasted Bridges'!$G:$G,'Pasted Bridges'!$B:$B,$C23,'Pasted Bridges'!$F:$F,X$5)</f>
        <v>5</v>
      </c>
      <c r="Y23" s="17">
        <f>SUMIFS('Pasted Bridges'!$G:$G,'Pasted Bridges'!$B:$B,$C23,'Pasted Bridges'!$F:$F,Y$5)</f>
        <v>5</v>
      </c>
      <c r="Z23" s="17">
        <f>SUMIFS('Pasted Bridges'!$G:$G,'Pasted Bridges'!$B:$B,$C23,'Pasted Bridges'!$F:$F,Z$5)</f>
        <v>5</v>
      </c>
      <c r="AA23" s="17">
        <f>SUMIFS('Pasted Bridges'!$G:$G,'Pasted Bridges'!$B:$B,$C23,'Pasted Bridges'!$F:$F,AA$5)</f>
        <v>5</v>
      </c>
      <c r="AB23" s="17">
        <f>SUMIFS('Pasted Bridges'!$G:$G,'Pasted Bridges'!$B:$B,$C23,'Pasted Bridges'!$F:$F,AB$5)</f>
        <v>5</v>
      </c>
      <c r="AC23" s="17">
        <f>SUMIFS('Pasted Bridges'!$G:$G,'Pasted Bridges'!$B:$B,$C23,'Pasted Bridges'!$F:$F,AC$5)</f>
        <v>10</v>
      </c>
      <c r="AD23" s="17">
        <f>SUMIFS('Pasted Bridges'!$G:$G,'Pasted Bridges'!$B:$B,$C23,'Pasted Bridges'!$F:$F,AD$5)</f>
        <v>5</v>
      </c>
      <c r="AE23" s="17">
        <f>SUMIFS('Pasted Bridges'!$G:$G,'Pasted Bridges'!$B:$B,$C23,'Pasted Bridges'!$F:$F,AE$5)</f>
        <v>5</v>
      </c>
      <c r="AF23" s="17">
        <f>SUMIFS('Pasted Bridges'!$G:$G,'Pasted Bridges'!$B:$B,$C23,'Pasted Bridges'!$F:$F,AF$5)</f>
        <v>5</v>
      </c>
      <c r="AG23" s="17">
        <f>SUMIFS('Pasted Bridges'!$G:$G,'Pasted Bridges'!$B:$B,$C23,'Pasted Bridges'!$F:$F,AG$5)</f>
        <v>5</v>
      </c>
      <c r="AH23" s="17">
        <f>SUMIFS('Pasted Bridges'!$G:$G,'Pasted Bridges'!$B:$B,$C23,'Pasted Bridges'!$F:$F,AH$5)</f>
        <v>5</v>
      </c>
      <c r="AI23" s="17">
        <f>SUMIFS('Pasted Bridges'!$G:$G,'Pasted Bridges'!$B:$B,$C23,'Pasted Bridges'!$F:$F,AI$5)</f>
        <v>5</v>
      </c>
      <c r="AJ23" s="17">
        <f>SUMIFS('Pasted Bridges'!$G:$G,'Pasted Bridges'!$B:$B,$C23,'Pasted Bridges'!$F:$F,AJ$5)</f>
        <v>5</v>
      </c>
      <c r="AK23" s="17">
        <f>SUMIFS('Pasted Bridges'!$G:$G,'Pasted Bridges'!$B:$B,$C23,'Pasted Bridges'!$F:$F,AK$5)</f>
        <v>5</v>
      </c>
      <c r="AL23" s="17">
        <f>SUMIFS('Pasted Bridges'!$G:$G,'Pasted Bridges'!$B:$B,$C23,'Pasted Bridges'!$F:$F,AL$5)</f>
        <v>5</v>
      </c>
      <c r="AM23" s="17">
        <f>SUMIFS('Pasted Bridges'!$G:$G,'Pasted Bridges'!$B:$B,$C23,'Pasted Bridges'!$F:$F,AM$5)</f>
        <v>5</v>
      </c>
      <c r="AN23" s="17">
        <f>SUMIFS('Pasted Bridges'!$G:$G,'Pasted Bridges'!$B:$B,$C23,'Pasted Bridges'!$F:$F,AN$5)</f>
        <v>5</v>
      </c>
      <c r="AO23" s="17">
        <f>SUMIFS('Pasted Bridges'!$G:$G,'Pasted Bridges'!$B:$B,$C23,'Pasted Bridges'!$F:$F,AO$5)</f>
        <v>5</v>
      </c>
      <c r="AP23" s="17">
        <f>SUMIFS('Pasted Bridges'!$G:$G,'Pasted Bridges'!$B:$B,$C23,'Pasted Bridges'!$F:$F,AP$5)</f>
        <v>5.4</v>
      </c>
      <c r="AQ23" s="17">
        <f>SUMIFS('Pasted Bridges'!$G:$G,'Pasted Bridges'!$B:$B,$C23,'Pasted Bridges'!$F:$F,AQ$5)</f>
        <v>5.4</v>
      </c>
      <c r="AR23" s="17">
        <f>SUMIFS('Pasted Bridges'!$G:$G,'Pasted Bridges'!$B:$B,$C23,'Pasted Bridges'!$F:$F,AR$5)</f>
        <v>5.4</v>
      </c>
      <c r="AS23" s="17">
        <f>SUMIFS('Pasted Bridges'!$G:$G,'Pasted Bridges'!$B:$B,$C23,'Pasted Bridges'!$F:$F,AS$5)</f>
        <v>5.4</v>
      </c>
      <c r="AT23" s="17">
        <f>SUMIFS('Pasted Bridges'!$G:$G,'Pasted Bridges'!$B:$B,$C23,'Pasted Bridges'!$F:$F,AT$5)</f>
        <v>5.4</v>
      </c>
      <c r="AU23" s="17">
        <f>SUMIFS('Pasted Bridges'!$G:$G,'Pasted Bridges'!$B:$B,$C23,'Pasted Bridges'!$F:$F,AU$5)</f>
        <v>5.4</v>
      </c>
      <c r="AV23" s="17">
        <f>SUMIFS('Pasted Bridges'!$G:$G,'Pasted Bridges'!$B:$B,$C23,'Pasted Bridges'!$F:$F,AV$5)</f>
        <v>5.4</v>
      </c>
      <c r="AW23" s="17">
        <f>SUMIFS('Pasted Bridges'!$G:$G,'Pasted Bridges'!$B:$B,$C23,'Pasted Bridges'!$F:$F,AW$5)</f>
        <v>5.4</v>
      </c>
      <c r="AX23" s="17">
        <f>SUMIFS('Pasted Bridges'!$G:$G,'Pasted Bridges'!$B:$B,$C23,'Pasted Bridges'!$F:$F,AX$5)</f>
        <v>5.4</v>
      </c>
      <c r="AY23" s="17">
        <f>SUMIFS('Pasted Bridges'!$G:$G,'Pasted Bridges'!$B:$B,$C23,'Pasted Bridges'!$F:$F,AY$5)</f>
        <v>2.7</v>
      </c>
      <c r="AZ23" s="17">
        <f>SUMIFS('Pasted Bridges'!$G:$G,'Pasted Bridges'!$B:$B,$C23,'Pasted Bridges'!$F:$F,AZ$5)</f>
        <v>5.4</v>
      </c>
      <c r="BA23" s="17">
        <f>SUMIFS('Pasted Bridges'!$G:$G,'Pasted Bridges'!$B:$B,$C23,'Pasted Bridges'!$F:$F,BA$5)</f>
        <v>2.5</v>
      </c>
      <c r="BB23" s="17">
        <f>SUMIFS('Pasted Bridges'!$G:$G,'Pasted Bridges'!$B:$B,$C23,'Pasted Bridges'!$F:$F,BB$5)</f>
        <v>5</v>
      </c>
      <c r="BC23" s="17">
        <f>SUMIFS('Pasted Bridges'!$G:$G,'Pasted Bridges'!$B:$B,$C23,'Pasted Bridges'!$F:$F,BC$5)</f>
        <v>5</v>
      </c>
      <c r="BD23" s="17">
        <f>SUMIFS('Pasted Bridges'!$G:$G,'Pasted Bridges'!$B:$B,$C23,'Pasted Bridges'!$F:$F,BD$5)</f>
        <v>5</v>
      </c>
      <c r="BE23" s="17">
        <f>SUMIFS('Pasted Bridges'!$G:$G,'Pasted Bridges'!$B:$B,$C23,'Pasted Bridges'!$F:$F,BE$5)</f>
        <v>5</v>
      </c>
      <c r="BF23" s="17">
        <f>SUMIFS('Pasted Bridges'!$G:$G,'Pasted Bridges'!$B:$B,$C23,'Pasted Bridges'!$F:$F,BF$5)</f>
        <v>5</v>
      </c>
      <c r="BG23" s="17">
        <f>SUMIFS('Pasted Bridges'!$G:$G,'Pasted Bridges'!$B:$B,$C23,'Pasted Bridges'!$F:$F,BG$5)</f>
        <v>5</v>
      </c>
      <c r="BH23" s="17">
        <f>SUMIFS('Pasted Bridges'!$G:$G,'Pasted Bridges'!$B:$B,$C23,'Pasted Bridges'!$F:$F,BH$5)</f>
        <v>5</v>
      </c>
      <c r="BI23" s="17">
        <f>SUMIFS('Pasted Bridges'!$G:$G,'Pasted Bridges'!$B:$B,$C23,'Pasted Bridges'!$F:$F,BI$5)</f>
        <v>5</v>
      </c>
      <c r="BJ23" s="17">
        <f>SUMIFS('Pasted Bridges'!$G:$G,'Pasted Bridges'!$B:$B,$C23,'Pasted Bridges'!$F:$F,BJ$5)</f>
        <v>5</v>
      </c>
      <c r="BK23" s="17">
        <f>SUMIFS('Pasted Bridges'!$G:$G,'Pasted Bridges'!$B:$B,$C23,'Pasted Bridges'!$F:$F,BK$5)</f>
        <v>5</v>
      </c>
      <c r="BL23" s="17">
        <f>SUMIFS('Pasted Bridges'!$G:$G,'Pasted Bridges'!$B:$B,$C23,'Pasted Bridges'!$F:$F,BL$5)</f>
        <v>5</v>
      </c>
      <c r="BM23" s="17">
        <f>SUMIFS('Pasted Bridges'!$G:$G,'Pasted Bridges'!$B:$B,$C23,'Pasted Bridges'!$F:$F,BM$5)</f>
        <v>5</v>
      </c>
      <c r="BN23" s="17">
        <f>SUMIFS('Pasted Bridges'!$G:$G,'Pasted Bridges'!$B:$B,$C23,'Pasted Bridges'!$F:$F,BN$5)</f>
        <v>5</v>
      </c>
      <c r="BO23" s="17">
        <f>SUMIFS('Pasted Bridges'!$G:$G,'Pasted Bridges'!$B:$B,$C23,'Pasted Bridges'!$F:$F,BO$5)</f>
        <v>5</v>
      </c>
      <c r="BP23" s="17">
        <f>SUMIFS('Pasted Bridges'!$G:$G,'Pasted Bridges'!$B:$B,$C23,'Pasted Bridges'!$F:$F,BP$5)</f>
        <v>5</v>
      </c>
      <c r="BQ23" s="17">
        <f>SUMIFS('Pasted Bridges'!$G:$G,'Pasted Bridges'!$B:$B,$C23,'Pasted Bridges'!$F:$F,BQ$5)</f>
        <v>5</v>
      </c>
      <c r="BR23" s="17">
        <f>SUMIFS('Pasted Bridges'!$G:$G,'Pasted Bridges'!$B:$B,$C23,'Pasted Bridges'!$F:$F,BR$5)</f>
        <v>5</v>
      </c>
      <c r="BS23" s="17">
        <f>SUMIFS('Pasted Bridges'!$G:$G,'Pasted Bridges'!$B:$B,$C23,'Pasted Bridges'!$F:$F,BS$5)</f>
        <v>5</v>
      </c>
      <c r="BT23" s="17">
        <f>SUMIFS('Pasted Bridges'!$G:$G,'Pasted Bridges'!$B:$B,$C23,'Pasted Bridges'!$F:$F,BT$5)</f>
        <v>5</v>
      </c>
      <c r="BU23" s="17">
        <f>SUMIFS('Pasted Bridges'!$G:$G,'Pasted Bridges'!$B:$B,$C23,'Pasted Bridges'!$F:$F,BU$5)</f>
        <v>5</v>
      </c>
      <c r="BV23" s="17">
        <f>SUMIFS('Pasted Bridges'!$G:$G,'Pasted Bridges'!$B:$B,$C23,'Pasted Bridges'!$F:$F,BV$5)</f>
        <v>5</v>
      </c>
      <c r="BW23" s="17">
        <f>SUMIFS('Pasted Bridges'!$G:$G,'Pasted Bridges'!$B:$B,$C23,'Pasted Bridges'!$F:$F,BW$5)</f>
        <v>2.7</v>
      </c>
      <c r="BX23" s="17">
        <f>SUMIFS('Pasted Bridges'!$G:$G,'Pasted Bridges'!$B:$B,$C23,'Pasted Bridges'!$F:$F,BX$5)</f>
        <v>2.7</v>
      </c>
      <c r="BY23" s="17">
        <f>SUMIFS('Pasted Bridges'!$G:$G,'Pasted Bridges'!$B:$B,$C23,'Pasted Bridges'!$F:$F,BY$5)</f>
        <v>2.7</v>
      </c>
      <c r="BZ23" s="17">
        <f>SUMIFS('Pasted Bridges'!$G:$G,'Pasted Bridges'!$B:$B,$C23,'Pasted Bridges'!$F:$F,BZ$5)</f>
        <v>5.4</v>
      </c>
      <c r="CA23" s="17">
        <f>SUMIFS('Pasted Bridges'!$G:$G,'Pasted Bridges'!$B:$B,$C23,'Pasted Bridges'!$F:$F,CA$5)</f>
        <v>5.4</v>
      </c>
      <c r="CB23" s="17">
        <f>SUMIFS('Pasted Bridges'!$G:$G,'Pasted Bridges'!$B:$B,$C23,'Pasted Bridges'!$F:$F,CB$5)</f>
        <v>5.4</v>
      </c>
      <c r="CC23" s="17">
        <f>SUMIFS('Pasted Bridges'!$G:$G,'Pasted Bridges'!$B:$B,$C23,'Pasted Bridges'!$F:$F,CC$5)</f>
        <v>2.7</v>
      </c>
      <c r="CD23" s="17">
        <f>SUMIFS('Pasted Bridges'!$G:$G,'Pasted Bridges'!$B:$B,$C23,'Pasted Bridges'!$F:$F,CD$5)</f>
        <v>2.7</v>
      </c>
      <c r="CE23" s="17">
        <f>SUMIFS('Pasted Bridges'!$G:$G,'Pasted Bridges'!$B:$B,$C23,'Pasted Bridges'!$F:$F,CE$5)</f>
        <v>5.4</v>
      </c>
      <c r="CF23" s="17">
        <f>SUMIFS('Pasted Bridges'!$G:$G,'Pasted Bridges'!$B:$B,$C23,'Pasted Bridges'!$F:$F,CF$5)</f>
        <v>5.4</v>
      </c>
      <c r="CG23" s="17">
        <f>SUMIFS('Pasted Bridges'!$G:$G,'Pasted Bridges'!$B:$B,$C23,'Pasted Bridges'!$F:$F,CG$5)</f>
        <v>2.7</v>
      </c>
      <c r="CH23" s="17">
        <f>SUMIFS('Pasted Bridges'!$G:$G,'Pasted Bridges'!$B:$B,$C23,'Pasted Bridges'!$F:$F,CH$5)</f>
        <v>2.7</v>
      </c>
      <c r="CI23" s="17">
        <f>SUMIFS('Pasted Bridges'!$G:$G,'Pasted Bridges'!$B:$B,$C23,'Pasted Bridges'!$F:$F,CI$5)</f>
        <v>5.4</v>
      </c>
      <c r="CJ23" s="17">
        <f>SUMIFS('Pasted Bridges'!$G:$G,'Pasted Bridges'!$B:$B,$C23,'Pasted Bridges'!$F:$F,CJ$5)</f>
        <v>5.4</v>
      </c>
      <c r="CK23" s="17">
        <f>SUMIFS('Pasted Bridges'!$G:$G,'Pasted Bridges'!$B:$B,$C23,'Pasted Bridges'!$F:$F,CK$5)</f>
        <v>2.5</v>
      </c>
      <c r="CL23" s="17">
        <f>SUMIFS('Pasted Bridges'!$G:$G,'Pasted Bridges'!$B:$B,$C23,'Pasted Bridges'!$F:$F,CL$5)</f>
        <v>5</v>
      </c>
      <c r="CM23" s="17">
        <f>SUMIFS('Pasted Bridges'!$G:$G,'Pasted Bridges'!$B:$B,$C23,'Pasted Bridges'!$F:$F,CM$5)</f>
        <v>2.5</v>
      </c>
      <c r="CN23" s="17">
        <f>SUMIFS('Pasted Bridges'!$G:$G,'Pasted Bridges'!$B:$B,$C23,'Pasted Bridges'!$F:$F,CN$5)</f>
        <v>2.5</v>
      </c>
      <c r="CO23" s="17">
        <f>SUMIFS('Pasted Bridges'!$G:$G,'Pasted Bridges'!$B:$B,$C23,'Pasted Bridges'!$F:$F,CO$5)</f>
        <v>2.5</v>
      </c>
      <c r="CP23" s="17">
        <f>SUMIFS('Pasted Bridges'!$G:$G,'Pasted Bridges'!$B:$B,$C23,'Pasted Bridges'!$F:$F,CP$5)</f>
        <v>2.5</v>
      </c>
      <c r="CQ23" s="17">
        <f>SUMIFS('Pasted Bridges'!$G:$G,'Pasted Bridges'!$B:$B,$C23,'Pasted Bridges'!$F:$F,CQ$5)</f>
        <v>5</v>
      </c>
      <c r="CR23" s="17">
        <f>SUMIFS('Pasted Bridges'!$G:$G,'Pasted Bridges'!$B:$B,$C23,'Pasted Bridges'!$F:$F,CR$5)</f>
        <v>5</v>
      </c>
      <c r="CS23" s="17">
        <f>SUMIFS('Pasted Bridges'!$G:$G,'Pasted Bridges'!$B:$B,$C23,'Pasted Bridges'!$F:$F,CS$5)</f>
        <v>2.5</v>
      </c>
      <c r="CT23" s="17">
        <f>SUMIFS('Pasted Bridges'!$G:$G,'Pasted Bridges'!$B:$B,$C23,'Pasted Bridges'!$F:$F,CT$5)</f>
        <v>2.5</v>
      </c>
      <c r="CU23" s="17">
        <f>SUMIFS('Pasted Bridges'!$G:$G,'Pasted Bridges'!$B:$B,$C23,'Pasted Bridges'!$F:$F,CU$5)</f>
        <v>5</v>
      </c>
      <c r="CV23" s="17">
        <f>SUMIFS('Pasted Bridges'!$G:$G,'Pasted Bridges'!$B:$B,$C23,'Pasted Bridges'!$F:$F,CV$5)</f>
        <v>2.5</v>
      </c>
      <c r="CW23" s="17">
        <f>SUMIFS('Pasted Bridges'!$G:$G,'Pasted Bridges'!$B:$B,$C23,'Pasted Bridges'!$F:$F,CW$5)</f>
        <v>2.5</v>
      </c>
      <c r="CX23" s="17">
        <f>SUMIFS('Pasted Bridges'!$G:$G,'Pasted Bridges'!$B:$B,$C23,'Pasted Bridges'!$F:$F,CX$5)</f>
        <v>5</v>
      </c>
      <c r="CY23" s="17">
        <f>SUMIFS('Pasted Bridges'!$G:$G,'Pasted Bridges'!$B:$B,$C23,'Pasted Bridges'!$F:$F,CY$5)</f>
        <v>2.5</v>
      </c>
      <c r="CZ23" s="17">
        <f>SUMIFS('Pasted Bridges'!$G:$G,'Pasted Bridges'!$B:$B,$C23,'Pasted Bridges'!$F:$F,CZ$5)</f>
        <v>2.5</v>
      </c>
      <c r="DA23" s="17">
        <f>SUMIFS('Pasted Bridges'!$G:$G,'Pasted Bridges'!$B:$B,$C23,'Pasted Bridges'!$F:$F,DA$5)</f>
        <v>5</v>
      </c>
    </row>
    <row r="24" spans="1:105" s="1" customFormat="1" x14ac:dyDescent="0.25">
      <c r="B24" s="54"/>
      <c r="C24" s="19" t="s">
        <v>19</v>
      </c>
      <c r="D24" s="19" t="s">
        <v>172</v>
      </c>
      <c r="E24" s="13" t="s">
        <v>199</v>
      </c>
      <c r="F24" s="2">
        <v>6</v>
      </c>
      <c r="G24" s="5">
        <v>0.1</v>
      </c>
      <c r="H24" s="2" t="s">
        <v>42</v>
      </c>
      <c r="I24" s="2">
        <v>7.0000000000000007E-2</v>
      </c>
      <c r="J24" s="3"/>
      <c r="K24" s="17">
        <f>SUMIFS('Pasted Bridges'!$G:$G,'Pasted Bridges'!$B:$B,$C24,'Pasted Bridges'!$F:$F,K$5)</f>
        <v>0</v>
      </c>
      <c r="L24" s="17">
        <f>SUMIFS('Pasted Bridges'!$G:$G,'Pasted Bridges'!$B:$B,$C24,'Pasted Bridges'!$F:$F,L$5)</f>
        <v>0</v>
      </c>
      <c r="M24" s="17">
        <f>SUMIFS('Pasted Bridges'!$G:$G,'Pasted Bridges'!$B:$B,$C24,'Pasted Bridges'!$F:$F,M$5)</f>
        <v>0</v>
      </c>
      <c r="N24" s="17">
        <f>SUMIFS('Pasted Bridges'!$G:$G,'Pasted Bridges'!$B:$B,$C24,'Pasted Bridges'!$F:$F,N$5)</f>
        <v>0</v>
      </c>
      <c r="O24" s="17">
        <f>SUMIFS('Pasted Bridges'!$G:$G,'Pasted Bridges'!$B:$B,$C24,'Pasted Bridges'!$F:$F,O$5)</f>
        <v>0</v>
      </c>
      <c r="P24" s="17">
        <f>SUMIFS('Pasted Bridges'!$G:$G,'Pasted Bridges'!$B:$B,$C24,'Pasted Bridges'!$F:$F,P$5)</f>
        <v>0</v>
      </c>
      <c r="Q24" s="17">
        <f>SUMIFS('Pasted Bridges'!$G:$G,'Pasted Bridges'!$B:$B,$C24,'Pasted Bridges'!$F:$F,Q$5)</f>
        <v>0</v>
      </c>
      <c r="R24" s="17">
        <f>SUMIFS('Pasted Bridges'!$G:$G,'Pasted Bridges'!$B:$B,$C24,'Pasted Bridges'!$F:$F,R$5)</f>
        <v>0</v>
      </c>
      <c r="S24" s="17">
        <f>SUMIFS('Pasted Bridges'!$G:$G,'Pasted Bridges'!$B:$B,$C24,'Pasted Bridges'!$F:$F,S$5)</f>
        <v>0</v>
      </c>
      <c r="T24" s="17">
        <f>SUMIFS('Pasted Bridges'!$G:$G,'Pasted Bridges'!$B:$B,$C24,'Pasted Bridges'!$F:$F,T$5)</f>
        <v>0</v>
      </c>
      <c r="U24" s="17">
        <f>SUMIFS('Pasted Bridges'!$G:$G,'Pasted Bridges'!$B:$B,$C24,'Pasted Bridges'!$F:$F,U$5)</f>
        <v>0</v>
      </c>
      <c r="V24" s="17">
        <f>SUMIFS('Pasted Bridges'!$G:$G,'Pasted Bridges'!$B:$B,$C24,'Pasted Bridges'!$F:$F,V$5)</f>
        <v>0</v>
      </c>
      <c r="W24" s="17">
        <f>SUMIFS('Pasted Bridges'!$G:$G,'Pasted Bridges'!$B:$B,$C24,'Pasted Bridges'!$F:$F,W$5)</f>
        <v>0</v>
      </c>
      <c r="X24" s="17">
        <f>SUMIFS('Pasted Bridges'!$G:$G,'Pasted Bridges'!$B:$B,$C24,'Pasted Bridges'!$F:$F,X$5)</f>
        <v>0</v>
      </c>
      <c r="Y24" s="17">
        <f>SUMIFS('Pasted Bridges'!$G:$G,'Pasted Bridges'!$B:$B,$C24,'Pasted Bridges'!$F:$F,Y$5)</f>
        <v>0</v>
      </c>
      <c r="Z24" s="17">
        <f>SUMIFS('Pasted Bridges'!$G:$G,'Pasted Bridges'!$B:$B,$C24,'Pasted Bridges'!$F:$F,Z$5)</f>
        <v>0</v>
      </c>
      <c r="AA24" s="17">
        <f>SUMIFS('Pasted Bridges'!$G:$G,'Pasted Bridges'!$B:$B,$C24,'Pasted Bridges'!$F:$F,AA$5)</f>
        <v>0</v>
      </c>
      <c r="AB24" s="17">
        <f>SUMIFS('Pasted Bridges'!$G:$G,'Pasted Bridges'!$B:$B,$C24,'Pasted Bridges'!$F:$F,AB$5)</f>
        <v>0</v>
      </c>
      <c r="AC24" s="17">
        <f>SUMIFS('Pasted Bridges'!$G:$G,'Pasted Bridges'!$B:$B,$C24,'Pasted Bridges'!$F:$F,AC$5)</f>
        <v>0</v>
      </c>
      <c r="AD24" s="17">
        <f>SUMIFS('Pasted Bridges'!$G:$G,'Pasted Bridges'!$B:$B,$C24,'Pasted Bridges'!$F:$F,AD$5)</f>
        <v>0</v>
      </c>
      <c r="AE24" s="17">
        <f>SUMIFS('Pasted Bridges'!$G:$G,'Pasted Bridges'!$B:$B,$C24,'Pasted Bridges'!$F:$F,AE$5)</f>
        <v>0</v>
      </c>
      <c r="AF24" s="17">
        <f>SUMIFS('Pasted Bridges'!$G:$G,'Pasted Bridges'!$B:$B,$C24,'Pasted Bridges'!$F:$F,AF$5)</f>
        <v>0</v>
      </c>
      <c r="AG24" s="17">
        <f>SUMIFS('Pasted Bridges'!$G:$G,'Pasted Bridges'!$B:$B,$C24,'Pasted Bridges'!$F:$F,AG$5)</f>
        <v>0</v>
      </c>
      <c r="AH24" s="17">
        <f>SUMIFS('Pasted Bridges'!$G:$G,'Pasted Bridges'!$B:$B,$C24,'Pasted Bridges'!$F:$F,AH$5)</f>
        <v>0</v>
      </c>
      <c r="AI24" s="17">
        <f>SUMIFS('Pasted Bridges'!$G:$G,'Pasted Bridges'!$B:$B,$C24,'Pasted Bridges'!$F:$F,AI$5)</f>
        <v>0</v>
      </c>
      <c r="AJ24" s="17">
        <f>SUMIFS('Pasted Bridges'!$G:$G,'Pasted Bridges'!$B:$B,$C24,'Pasted Bridges'!$F:$F,AJ$5)</f>
        <v>0</v>
      </c>
      <c r="AK24" s="17">
        <f>SUMIFS('Pasted Bridges'!$G:$G,'Pasted Bridges'!$B:$B,$C24,'Pasted Bridges'!$F:$F,AK$5)</f>
        <v>0</v>
      </c>
      <c r="AL24" s="17">
        <f>SUMIFS('Pasted Bridges'!$G:$G,'Pasted Bridges'!$B:$B,$C24,'Pasted Bridges'!$F:$F,AL$5)</f>
        <v>0</v>
      </c>
      <c r="AM24" s="17">
        <f>SUMIFS('Pasted Bridges'!$G:$G,'Pasted Bridges'!$B:$B,$C24,'Pasted Bridges'!$F:$F,AM$5)</f>
        <v>0</v>
      </c>
      <c r="AN24" s="17">
        <f>SUMIFS('Pasted Bridges'!$G:$G,'Pasted Bridges'!$B:$B,$C24,'Pasted Bridges'!$F:$F,AN$5)</f>
        <v>0</v>
      </c>
      <c r="AO24" s="17">
        <f>SUMIFS('Pasted Bridges'!$G:$G,'Pasted Bridges'!$B:$B,$C24,'Pasted Bridges'!$F:$F,AO$5)</f>
        <v>0</v>
      </c>
      <c r="AP24" s="17">
        <f>SUMIFS('Pasted Bridges'!$G:$G,'Pasted Bridges'!$B:$B,$C24,'Pasted Bridges'!$F:$F,AP$5)</f>
        <v>0</v>
      </c>
      <c r="AQ24" s="17">
        <f>SUMIFS('Pasted Bridges'!$G:$G,'Pasted Bridges'!$B:$B,$C24,'Pasted Bridges'!$F:$F,AQ$5)</f>
        <v>0</v>
      </c>
      <c r="AR24" s="17">
        <f>SUMIFS('Pasted Bridges'!$G:$G,'Pasted Bridges'!$B:$B,$C24,'Pasted Bridges'!$F:$F,AR$5)</f>
        <v>0</v>
      </c>
      <c r="AS24" s="17">
        <f>SUMIFS('Pasted Bridges'!$G:$G,'Pasted Bridges'!$B:$B,$C24,'Pasted Bridges'!$F:$F,AS$5)</f>
        <v>0</v>
      </c>
      <c r="AT24" s="17">
        <f>SUMIFS('Pasted Bridges'!$G:$G,'Pasted Bridges'!$B:$B,$C24,'Pasted Bridges'!$F:$F,AT$5)</f>
        <v>0</v>
      </c>
      <c r="AU24" s="17">
        <f>SUMIFS('Pasted Bridges'!$G:$G,'Pasted Bridges'!$B:$B,$C24,'Pasted Bridges'!$F:$F,AU$5)</f>
        <v>0</v>
      </c>
      <c r="AV24" s="17">
        <f>SUMIFS('Pasted Bridges'!$G:$G,'Pasted Bridges'!$B:$B,$C24,'Pasted Bridges'!$F:$F,AV$5)</f>
        <v>0</v>
      </c>
      <c r="AW24" s="17">
        <f>SUMIFS('Pasted Bridges'!$G:$G,'Pasted Bridges'!$B:$B,$C24,'Pasted Bridges'!$F:$F,AW$5)</f>
        <v>0</v>
      </c>
      <c r="AX24" s="17">
        <f>SUMIFS('Pasted Bridges'!$G:$G,'Pasted Bridges'!$B:$B,$C24,'Pasted Bridges'!$F:$F,AX$5)</f>
        <v>0</v>
      </c>
      <c r="AY24" s="17">
        <f>SUMIFS('Pasted Bridges'!$G:$G,'Pasted Bridges'!$B:$B,$C24,'Pasted Bridges'!$F:$F,AY$5)</f>
        <v>0</v>
      </c>
      <c r="AZ24" s="17">
        <f>SUMIFS('Pasted Bridges'!$G:$G,'Pasted Bridges'!$B:$B,$C24,'Pasted Bridges'!$F:$F,AZ$5)</f>
        <v>0</v>
      </c>
      <c r="BA24" s="17">
        <f>SUMIFS('Pasted Bridges'!$G:$G,'Pasted Bridges'!$B:$B,$C24,'Pasted Bridges'!$F:$F,BA$5)</f>
        <v>0</v>
      </c>
      <c r="BB24" s="17">
        <f>SUMIFS('Pasted Bridges'!$G:$G,'Pasted Bridges'!$B:$B,$C24,'Pasted Bridges'!$F:$F,BB$5)</f>
        <v>0</v>
      </c>
      <c r="BC24" s="17">
        <f>SUMIFS('Pasted Bridges'!$G:$G,'Pasted Bridges'!$B:$B,$C24,'Pasted Bridges'!$F:$F,BC$5)</f>
        <v>0</v>
      </c>
      <c r="BD24" s="17">
        <f>SUMIFS('Pasted Bridges'!$G:$G,'Pasted Bridges'!$B:$B,$C24,'Pasted Bridges'!$F:$F,BD$5)</f>
        <v>0</v>
      </c>
      <c r="BE24" s="17">
        <f>SUMIFS('Pasted Bridges'!$G:$G,'Pasted Bridges'!$B:$B,$C24,'Pasted Bridges'!$F:$F,BE$5)</f>
        <v>0</v>
      </c>
      <c r="BF24" s="17">
        <f>SUMIFS('Pasted Bridges'!$G:$G,'Pasted Bridges'!$B:$B,$C24,'Pasted Bridges'!$F:$F,BF$5)</f>
        <v>0</v>
      </c>
      <c r="BG24" s="17">
        <f>SUMIFS('Pasted Bridges'!$G:$G,'Pasted Bridges'!$B:$B,$C24,'Pasted Bridges'!$F:$F,BG$5)</f>
        <v>0</v>
      </c>
      <c r="BH24" s="17">
        <f>SUMIFS('Pasted Bridges'!$G:$G,'Pasted Bridges'!$B:$B,$C24,'Pasted Bridges'!$F:$F,BH$5)</f>
        <v>0</v>
      </c>
      <c r="BI24" s="17">
        <f>SUMIFS('Pasted Bridges'!$G:$G,'Pasted Bridges'!$B:$B,$C24,'Pasted Bridges'!$F:$F,BI$5)</f>
        <v>0</v>
      </c>
      <c r="BJ24" s="17">
        <f>SUMIFS('Pasted Bridges'!$G:$G,'Pasted Bridges'!$B:$B,$C24,'Pasted Bridges'!$F:$F,BJ$5)</f>
        <v>0</v>
      </c>
      <c r="BK24" s="17">
        <f>SUMIFS('Pasted Bridges'!$G:$G,'Pasted Bridges'!$B:$B,$C24,'Pasted Bridges'!$F:$F,BK$5)</f>
        <v>0</v>
      </c>
      <c r="BL24" s="17">
        <f>SUMIFS('Pasted Bridges'!$G:$G,'Pasted Bridges'!$B:$B,$C24,'Pasted Bridges'!$F:$F,BL$5)</f>
        <v>0</v>
      </c>
      <c r="BM24" s="17">
        <f>SUMIFS('Pasted Bridges'!$G:$G,'Pasted Bridges'!$B:$B,$C24,'Pasted Bridges'!$F:$F,BM$5)</f>
        <v>0</v>
      </c>
      <c r="BN24" s="17">
        <f>SUMIFS('Pasted Bridges'!$G:$G,'Pasted Bridges'!$B:$B,$C24,'Pasted Bridges'!$F:$F,BN$5)</f>
        <v>0</v>
      </c>
      <c r="BO24" s="17">
        <f>SUMIFS('Pasted Bridges'!$G:$G,'Pasted Bridges'!$B:$B,$C24,'Pasted Bridges'!$F:$F,BO$5)</f>
        <v>0</v>
      </c>
      <c r="BP24" s="17">
        <f>SUMIFS('Pasted Bridges'!$G:$G,'Pasted Bridges'!$B:$B,$C24,'Pasted Bridges'!$F:$F,BP$5)</f>
        <v>0</v>
      </c>
      <c r="BQ24" s="17">
        <f>SUMIFS('Pasted Bridges'!$G:$G,'Pasted Bridges'!$B:$B,$C24,'Pasted Bridges'!$F:$F,BQ$5)</f>
        <v>0</v>
      </c>
      <c r="BR24" s="17">
        <f>SUMIFS('Pasted Bridges'!$G:$G,'Pasted Bridges'!$B:$B,$C24,'Pasted Bridges'!$F:$F,BR$5)</f>
        <v>0</v>
      </c>
      <c r="BS24" s="17">
        <f>SUMIFS('Pasted Bridges'!$G:$G,'Pasted Bridges'!$B:$B,$C24,'Pasted Bridges'!$F:$F,BS$5)</f>
        <v>0</v>
      </c>
      <c r="BT24" s="17">
        <f>SUMIFS('Pasted Bridges'!$G:$G,'Pasted Bridges'!$B:$B,$C24,'Pasted Bridges'!$F:$F,BT$5)</f>
        <v>0</v>
      </c>
      <c r="BU24" s="17">
        <f>SUMIFS('Pasted Bridges'!$G:$G,'Pasted Bridges'!$B:$B,$C24,'Pasted Bridges'!$F:$F,BU$5)</f>
        <v>0</v>
      </c>
      <c r="BV24" s="17">
        <f>SUMIFS('Pasted Bridges'!$G:$G,'Pasted Bridges'!$B:$B,$C24,'Pasted Bridges'!$F:$F,BV$5)</f>
        <v>0</v>
      </c>
      <c r="BW24" s="17">
        <f>SUMIFS('Pasted Bridges'!$G:$G,'Pasted Bridges'!$B:$B,$C24,'Pasted Bridges'!$F:$F,BW$5)</f>
        <v>0</v>
      </c>
      <c r="BX24" s="17">
        <f>SUMIFS('Pasted Bridges'!$G:$G,'Pasted Bridges'!$B:$B,$C24,'Pasted Bridges'!$F:$F,BX$5)</f>
        <v>0</v>
      </c>
      <c r="BY24" s="17">
        <f>SUMIFS('Pasted Bridges'!$G:$G,'Pasted Bridges'!$B:$B,$C24,'Pasted Bridges'!$F:$F,BY$5)</f>
        <v>0</v>
      </c>
      <c r="BZ24" s="17">
        <f>SUMIFS('Pasted Bridges'!$G:$G,'Pasted Bridges'!$B:$B,$C24,'Pasted Bridges'!$F:$F,BZ$5)</f>
        <v>0</v>
      </c>
      <c r="CA24" s="17">
        <f>SUMIFS('Pasted Bridges'!$G:$G,'Pasted Bridges'!$B:$B,$C24,'Pasted Bridges'!$F:$F,CA$5)</f>
        <v>0</v>
      </c>
      <c r="CB24" s="17">
        <f>SUMIFS('Pasted Bridges'!$G:$G,'Pasted Bridges'!$B:$B,$C24,'Pasted Bridges'!$F:$F,CB$5)</f>
        <v>0</v>
      </c>
      <c r="CC24" s="17">
        <f>SUMIFS('Pasted Bridges'!$G:$G,'Pasted Bridges'!$B:$B,$C24,'Pasted Bridges'!$F:$F,CC$5)</f>
        <v>0</v>
      </c>
      <c r="CD24" s="17">
        <f>SUMIFS('Pasted Bridges'!$G:$G,'Pasted Bridges'!$B:$B,$C24,'Pasted Bridges'!$F:$F,CD$5)</f>
        <v>0</v>
      </c>
      <c r="CE24" s="17">
        <f>SUMIFS('Pasted Bridges'!$G:$G,'Pasted Bridges'!$B:$B,$C24,'Pasted Bridges'!$F:$F,CE$5)</f>
        <v>0</v>
      </c>
      <c r="CF24" s="17">
        <f>SUMIFS('Pasted Bridges'!$G:$G,'Pasted Bridges'!$B:$B,$C24,'Pasted Bridges'!$F:$F,CF$5)</f>
        <v>0</v>
      </c>
      <c r="CG24" s="17">
        <f>SUMIFS('Pasted Bridges'!$G:$G,'Pasted Bridges'!$B:$B,$C24,'Pasted Bridges'!$F:$F,CG$5)</f>
        <v>0</v>
      </c>
      <c r="CH24" s="17">
        <f>SUMIFS('Pasted Bridges'!$G:$G,'Pasted Bridges'!$B:$B,$C24,'Pasted Bridges'!$F:$F,CH$5)</f>
        <v>0</v>
      </c>
      <c r="CI24" s="17">
        <f>SUMIFS('Pasted Bridges'!$G:$G,'Pasted Bridges'!$B:$B,$C24,'Pasted Bridges'!$F:$F,CI$5)</f>
        <v>0</v>
      </c>
      <c r="CJ24" s="17">
        <f>SUMIFS('Pasted Bridges'!$G:$G,'Pasted Bridges'!$B:$B,$C24,'Pasted Bridges'!$F:$F,CJ$5)</f>
        <v>0</v>
      </c>
      <c r="CK24" s="17">
        <f>SUMIFS('Pasted Bridges'!$G:$G,'Pasted Bridges'!$B:$B,$C24,'Pasted Bridges'!$F:$F,CK$5)</f>
        <v>0</v>
      </c>
      <c r="CL24" s="17">
        <f>SUMIFS('Pasted Bridges'!$G:$G,'Pasted Bridges'!$B:$B,$C24,'Pasted Bridges'!$F:$F,CL$5)</f>
        <v>0</v>
      </c>
      <c r="CM24" s="17">
        <f>SUMIFS('Pasted Bridges'!$G:$G,'Pasted Bridges'!$B:$B,$C24,'Pasted Bridges'!$F:$F,CM$5)</f>
        <v>0</v>
      </c>
      <c r="CN24" s="17">
        <f>SUMIFS('Pasted Bridges'!$G:$G,'Pasted Bridges'!$B:$B,$C24,'Pasted Bridges'!$F:$F,CN$5)</f>
        <v>0</v>
      </c>
      <c r="CO24" s="17">
        <f>SUMIFS('Pasted Bridges'!$G:$G,'Pasted Bridges'!$B:$B,$C24,'Pasted Bridges'!$F:$F,CO$5)</f>
        <v>0</v>
      </c>
      <c r="CP24" s="17">
        <f>SUMIFS('Pasted Bridges'!$G:$G,'Pasted Bridges'!$B:$B,$C24,'Pasted Bridges'!$F:$F,CP$5)</f>
        <v>0</v>
      </c>
      <c r="CQ24" s="17">
        <f>SUMIFS('Pasted Bridges'!$G:$G,'Pasted Bridges'!$B:$B,$C24,'Pasted Bridges'!$F:$F,CQ$5)</f>
        <v>0</v>
      </c>
      <c r="CR24" s="17">
        <f>SUMIFS('Pasted Bridges'!$G:$G,'Pasted Bridges'!$B:$B,$C24,'Pasted Bridges'!$F:$F,CR$5)</f>
        <v>0</v>
      </c>
      <c r="CS24" s="17">
        <f>SUMIFS('Pasted Bridges'!$G:$G,'Pasted Bridges'!$B:$B,$C24,'Pasted Bridges'!$F:$F,CS$5)</f>
        <v>0</v>
      </c>
      <c r="CT24" s="17">
        <f>SUMIFS('Pasted Bridges'!$G:$G,'Pasted Bridges'!$B:$B,$C24,'Pasted Bridges'!$F:$F,CT$5)</f>
        <v>0</v>
      </c>
      <c r="CU24" s="17">
        <f>SUMIFS('Pasted Bridges'!$G:$G,'Pasted Bridges'!$B:$B,$C24,'Pasted Bridges'!$F:$F,CU$5)</f>
        <v>0</v>
      </c>
      <c r="CV24" s="17">
        <f>SUMIFS('Pasted Bridges'!$G:$G,'Pasted Bridges'!$B:$B,$C24,'Pasted Bridges'!$F:$F,CV$5)</f>
        <v>0</v>
      </c>
      <c r="CW24" s="17">
        <f>SUMIFS('Pasted Bridges'!$G:$G,'Pasted Bridges'!$B:$B,$C24,'Pasted Bridges'!$F:$F,CW$5)</f>
        <v>0</v>
      </c>
      <c r="CX24" s="17">
        <f>SUMIFS('Pasted Bridges'!$G:$G,'Pasted Bridges'!$B:$B,$C24,'Pasted Bridges'!$F:$F,CX$5)</f>
        <v>0</v>
      </c>
      <c r="CY24" s="17">
        <f>SUMIFS('Pasted Bridges'!$G:$G,'Pasted Bridges'!$B:$B,$C24,'Pasted Bridges'!$F:$F,CY$5)</f>
        <v>0</v>
      </c>
      <c r="CZ24" s="17">
        <f>SUMIFS('Pasted Bridges'!$G:$G,'Pasted Bridges'!$B:$B,$C24,'Pasted Bridges'!$F:$F,CZ$5)</f>
        <v>0</v>
      </c>
      <c r="DA24" s="17">
        <f>SUMIFS('Pasted Bridges'!$G:$G,'Pasted Bridges'!$B:$B,$C24,'Pasted Bridges'!$F:$F,DA$5)</f>
        <v>0</v>
      </c>
    </row>
    <row r="25" spans="1:105" s="1" customFormat="1" x14ac:dyDescent="0.25">
      <c r="B25" s="55"/>
      <c r="C25" s="19" t="s">
        <v>55</v>
      </c>
      <c r="D25" s="19" t="s">
        <v>173</v>
      </c>
      <c r="E25" s="13" t="s">
        <v>199</v>
      </c>
      <c r="F25" s="2">
        <v>7</v>
      </c>
      <c r="G25" s="5">
        <v>0.32</v>
      </c>
      <c r="H25" s="2" t="s">
        <v>42</v>
      </c>
      <c r="I25" s="2">
        <v>0.32</v>
      </c>
      <c r="J25" s="3"/>
      <c r="K25" s="17">
        <f>SUMIFS('Pasted Bridges'!$G:$G,'Pasted Bridges'!$B:$B,$C25,'Pasted Bridges'!$F:$F,K$5)</f>
        <v>15.26</v>
      </c>
      <c r="L25" s="17">
        <f>SUMIFS('Pasted Bridges'!$G:$G,'Pasted Bridges'!$B:$B,$C25,'Pasted Bridges'!$F:$F,L$5)</f>
        <v>15.26</v>
      </c>
      <c r="M25" s="17">
        <f>SUMIFS('Pasted Bridges'!$G:$G,'Pasted Bridges'!$B:$B,$C25,'Pasted Bridges'!$F:$F,M$5)</f>
        <v>0</v>
      </c>
      <c r="N25" s="17">
        <f>SUMIFS('Pasted Bridges'!$G:$G,'Pasted Bridges'!$B:$B,$C25,'Pasted Bridges'!$F:$F,N$5)</f>
        <v>0</v>
      </c>
      <c r="O25" s="17">
        <f>SUMIFS('Pasted Bridges'!$G:$G,'Pasted Bridges'!$B:$B,$C25,'Pasted Bridges'!$F:$F,O$5)</f>
        <v>0</v>
      </c>
      <c r="P25" s="17">
        <f>SUMIFS('Pasted Bridges'!$G:$G,'Pasted Bridges'!$B:$B,$C25,'Pasted Bridges'!$F:$F,P$5)</f>
        <v>0</v>
      </c>
      <c r="Q25" s="17">
        <f>SUMIFS('Pasted Bridges'!$G:$G,'Pasted Bridges'!$B:$B,$C25,'Pasted Bridges'!$F:$F,Q$5)</f>
        <v>0</v>
      </c>
      <c r="R25" s="17">
        <f>SUMIFS('Pasted Bridges'!$G:$G,'Pasted Bridges'!$B:$B,$C25,'Pasted Bridges'!$F:$F,R$5)</f>
        <v>0</v>
      </c>
      <c r="S25" s="17">
        <f>SUMIFS('Pasted Bridges'!$G:$G,'Pasted Bridges'!$B:$B,$C25,'Pasted Bridges'!$F:$F,S$5)</f>
        <v>0</v>
      </c>
      <c r="T25" s="17">
        <f>SUMIFS('Pasted Bridges'!$G:$G,'Pasted Bridges'!$B:$B,$C25,'Pasted Bridges'!$F:$F,T$5)</f>
        <v>0</v>
      </c>
      <c r="U25" s="17">
        <f>SUMIFS('Pasted Bridges'!$G:$G,'Pasted Bridges'!$B:$B,$C25,'Pasted Bridges'!$F:$F,U$5)</f>
        <v>0</v>
      </c>
      <c r="V25" s="17">
        <f>SUMIFS('Pasted Bridges'!$G:$G,'Pasted Bridges'!$B:$B,$C25,'Pasted Bridges'!$F:$F,V$5)</f>
        <v>0</v>
      </c>
      <c r="W25" s="17">
        <f>SUMIFS('Pasted Bridges'!$G:$G,'Pasted Bridges'!$B:$B,$C25,'Pasted Bridges'!$F:$F,W$5)</f>
        <v>0</v>
      </c>
      <c r="X25" s="17">
        <f>SUMIFS('Pasted Bridges'!$G:$G,'Pasted Bridges'!$B:$B,$C25,'Pasted Bridges'!$F:$F,X$5)</f>
        <v>0</v>
      </c>
      <c r="Y25" s="17">
        <f>SUMIFS('Pasted Bridges'!$G:$G,'Pasted Bridges'!$B:$B,$C25,'Pasted Bridges'!$F:$F,Y$5)</f>
        <v>0</v>
      </c>
      <c r="Z25" s="17">
        <f>SUMIFS('Pasted Bridges'!$G:$G,'Pasted Bridges'!$B:$B,$C25,'Pasted Bridges'!$F:$F,Z$5)</f>
        <v>0</v>
      </c>
      <c r="AA25" s="17">
        <f>SUMIFS('Pasted Bridges'!$G:$G,'Pasted Bridges'!$B:$B,$C25,'Pasted Bridges'!$F:$F,AA$5)</f>
        <v>0</v>
      </c>
      <c r="AB25" s="17">
        <f>SUMIFS('Pasted Bridges'!$G:$G,'Pasted Bridges'!$B:$B,$C25,'Pasted Bridges'!$F:$F,AB$5)</f>
        <v>15.26</v>
      </c>
      <c r="AC25" s="17">
        <f>SUMIFS('Pasted Bridges'!$G:$G,'Pasted Bridges'!$B:$B,$C25,'Pasted Bridges'!$F:$F,AC$5)</f>
        <v>13.69</v>
      </c>
      <c r="AD25" s="17">
        <f>SUMIFS('Pasted Bridges'!$G:$G,'Pasted Bridges'!$B:$B,$C25,'Pasted Bridges'!$F:$F,AD$5)</f>
        <v>0</v>
      </c>
      <c r="AE25" s="17">
        <f>SUMIFS('Pasted Bridges'!$G:$G,'Pasted Bridges'!$B:$B,$C25,'Pasted Bridges'!$F:$F,AE$5)</f>
        <v>0</v>
      </c>
      <c r="AF25" s="17">
        <f>SUMIFS('Pasted Bridges'!$G:$G,'Pasted Bridges'!$B:$B,$C25,'Pasted Bridges'!$F:$F,AF$5)</f>
        <v>0</v>
      </c>
      <c r="AG25" s="17">
        <f>SUMIFS('Pasted Bridges'!$G:$G,'Pasted Bridges'!$B:$B,$C25,'Pasted Bridges'!$F:$F,AG$5)</f>
        <v>0</v>
      </c>
      <c r="AH25" s="17">
        <f>SUMIFS('Pasted Bridges'!$G:$G,'Pasted Bridges'!$B:$B,$C25,'Pasted Bridges'!$F:$F,AH$5)</f>
        <v>0</v>
      </c>
      <c r="AI25" s="17">
        <f>SUMIFS('Pasted Bridges'!$G:$G,'Pasted Bridges'!$B:$B,$C25,'Pasted Bridges'!$F:$F,AI$5)</f>
        <v>0</v>
      </c>
      <c r="AJ25" s="17">
        <f>SUMIFS('Pasted Bridges'!$G:$G,'Pasted Bridges'!$B:$B,$C25,'Pasted Bridges'!$F:$F,AJ$5)</f>
        <v>0</v>
      </c>
      <c r="AK25" s="17">
        <f>SUMIFS('Pasted Bridges'!$G:$G,'Pasted Bridges'!$B:$B,$C25,'Pasted Bridges'!$F:$F,AK$5)</f>
        <v>0</v>
      </c>
      <c r="AL25" s="17">
        <f>SUMIFS('Pasted Bridges'!$G:$G,'Pasted Bridges'!$B:$B,$C25,'Pasted Bridges'!$F:$F,AL$5)</f>
        <v>0</v>
      </c>
      <c r="AM25" s="17">
        <f>SUMIFS('Pasted Bridges'!$G:$G,'Pasted Bridges'!$B:$B,$C25,'Pasted Bridges'!$F:$F,AM$5)</f>
        <v>0</v>
      </c>
      <c r="AN25" s="17">
        <f>SUMIFS('Pasted Bridges'!$G:$G,'Pasted Bridges'!$B:$B,$C25,'Pasted Bridges'!$F:$F,AN$5)</f>
        <v>0</v>
      </c>
      <c r="AO25" s="17">
        <f>SUMIFS('Pasted Bridges'!$G:$G,'Pasted Bridges'!$B:$B,$C25,'Pasted Bridges'!$F:$F,AO$5)</f>
        <v>0</v>
      </c>
      <c r="AP25" s="17">
        <f>SUMIFS('Pasted Bridges'!$G:$G,'Pasted Bridges'!$B:$B,$C25,'Pasted Bridges'!$F:$F,AP$5)</f>
        <v>3.82</v>
      </c>
      <c r="AQ25" s="17">
        <f>SUMIFS('Pasted Bridges'!$G:$G,'Pasted Bridges'!$B:$B,$C25,'Pasted Bridges'!$F:$F,AQ$5)</f>
        <v>12.3</v>
      </c>
      <c r="AR25" s="17">
        <f>SUMIFS('Pasted Bridges'!$G:$G,'Pasted Bridges'!$B:$B,$C25,'Pasted Bridges'!$F:$F,AR$5)</f>
        <v>0</v>
      </c>
      <c r="AS25" s="17">
        <f>SUMIFS('Pasted Bridges'!$G:$G,'Pasted Bridges'!$B:$B,$C25,'Pasted Bridges'!$F:$F,AS$5)</f>
        <v>0</v>
      </c>
      <c r="AT25" s="17">
        <f>SUMIFS('Pasted Bridges'!$G:$G,'Pasted Bridges'!$B:$B,$C25,'Pasted Bridges'!$F:$F,AT$5)</f>
        <v>0</v>
      </c>
      <c r="AU25" s="17">
        <f>SUMIFS('Pasted Bridges'!$G:$G,'Pasted Bridges'!$B:$B,$C25,'Pasted Bridges'!$F:$F,AU$5)</f>
        <v>0</v>
      </c>
      <c r="AV25" s="17">
        <f>SUMIFS('Pasted Bridges'!$G:$G,'Pasted Bridges'!$B:$B,$C25,'Pasted Bridges'!$F:$F,AV$5)</f>
        <v>0</v>
      </c>
      <c r="AW25" s="17">
        <f>SUMIFS('Pasted Bridges'!$G:$G,'Pasted Bridges'!$B:$B,$C25,'Pasted Bridges'!$F:$F,AW$5)</f>
        <v>0</v>
      </c>
      <c r="AX25" s="17">
        <f>SUMIFS('Pasted Bridges'!$G:$G,'Pasted Bridges'!$B:$B,$C25,'Pasted Bridges'!$F:$F,AX$5)</f>
        <v>0</v>
      </c>
      <c r="AY25" s="17">
        <f>SUMIFS('Pasted Bridges'!$G:$G,'Pasted Bridges'!$B:$B,$C25,'Pasted Bridges'!$F:$F,AY$5)</f>
        <v>0</v>
      </c>
      <c r="AZ25" s="17">
        <f>SUMIFS('Pasted Bridges'!$G:$G,'Pasted Bridges'!$B:$B,$C25,'Pasted Bridges'!$F:$F,AZ$5)</f>
        <v>0</v>
      </c>
      <c r="BA25" s="17">
        <f>SUMIFS('Pasted Bridges'!$G:$G,'Pasted Bridges'!$B:$B,$C25,'Pasted Bridges'!$F:$F,BA$5)</f>
        <v>17.57</v>
      </c>
      <c r="BB25" s="17">
        <f>SUMIFS('Pasted Bridges'!$G:$G,'Pasted Bridges'!$B:$B,$C25,'Pasted Bridges'!$F:$F,BB$5)</f>
        <v>8.19</v>
      </c>
      <c r="BC25" s="17">
        <f>SUMIFS('Pasted Bridges'!$G:$G,'Pasted Bridges'!$B:$B,$C25,'Pasted Bridges'!$F:$F,BC$5)</f>
        <v>0</v>
      </c>
      <c r="BD25" s="17">
        <f>SUMIFS('Pasted Bridges'!$G:$G,'Pasted Bridges'!$B:$B,$C25,'Pasted Bridges'!$F:$F,BD$5)</f>
        <v>0</v>
      </c>
      <c r="BE25" s="17">
        <f>SUMIFS('Pasted Bridges'!$G:$G,'Pasted Bridges'!$B:$B,$C25,'Pasted Bridges'!$F:$F,BE$5)</f>
        <v>3.83</v>
      </c>
      <c r="BF25" s="17">
        <f>SUMIFS('Pasted Bridges'!$G:$G,'Pasted Bridges'!$B:$B,$C25,'Pasted Bridges'!$F:$F,BF$5)</f>
        <v>4.78</v>
      </c>
      <c r="BG25" s="17">
        <f>SUMIFS('Pasted Bridges'!$G:$G,'Pasted Bridges'!$B:$B,$C25,'Pasted Bridges'!$F:$F,BG$5)</f>
        <v>0</v>
      </c>
      <c r="BH25" s="17">
        <f>SUMIFS('Pasted Bridges'!$G:$G,'Pasted Bridges'!$B:$B,$C25,'Pasted Bridges'!$F:$F,BH$5)</f>
        <v>0</v>
      </c>
      <c r="BI25" s="17">
        <f>SUMIFS('Pasted Bridges'!$G:$G,'Pasted Bridges'!$B:$B,$C25,'Pasted Bridges'!$F:$F,BI$5)</f>
        <v>0</v>
      </c>
      <c r="BJ25" s="17">
        <f>SUMIFS('Pasted Bridges'!$G:$G,'Pasted Bridges'!$B:$B,$C25,'Pasted Bridges'!$F:$F,BJ$5)</f>
        <v>0</v>
      </c>
      <c r="BK25" s="17">
        <f>SUMIFS('Pasted Bridges'!$G:$G,'Pasted Bridges'!$B:$B,$C25,'Pasted Bridges'!$F:$F,BK$5)</f>
        <v>0</v>
      </c>
      <c r="BL25" s="17">
        <f>SUMIFS('Pasted Bridges'!$G:$G,'Pasted Bridges'!$B:$B,$C25,'Pasted Bridges'!$F:$F,BL$5)</f>
        <v>0</v>
      </c>
      <c r="BM25" s="17">
        <f>SUMIFS('Pasted Bridges'!$G:$G,'Pasted Bridges'!$B:$B,$C25,'Pasted Bridges'!$F:$F,BM$5)</f>
        <v>0</v>
      </c>
      <c r="BN25" s="17">
        <f>SUMIFS('Pasted Bridges'!$G:$G,'Pasted Bridges'!$B:$B,$C25,'Pasted Bridges'!$F:$F,BN$5)</f>
        <v>0</v>
      </c>
      <c r="BO25" s="17">
        <f>SUMIFS('Pasted Bridges'!$G:$G,'Pasted Bridges'!$B:$B,$C25,'Pasted Bridges'!$F:$F,BO$5)</f>
        <v>0</v>
      </c>
      <c r="BP25" s="17">
        <f>SUMIFS('Pasted Bridges'!$G:$G,'Pasted Bridges'!$B:$B,$C25,'Pasted Bridges'!$F:$F,BP$5)</f>
        <v>0</v>
      </c>
      <c r="BQ25" s="17">
        <f>SUMIFS('Pasted Bridges'!$G:$G,'Pasted Bridges'!$B:$B,$C25,'Pasted Bridges'!$F:$F,BQ$5)</f>
        <v>0</v>
      </c>
      <c r="BR25" s="17">
        <f>SUMIFS('Pasted Bridges'!$G:$G,'Pasted Bridges'!$B:$B,$C25,'Pasted Bridges'!$F:$F,BR$5)</f>
        <v>0</v>
      </c>
      <c r="BS25" s="17">
        <f>SUMIFS('Pasted Bridges'!$G:$G,'Pasted Bridges'!$B:$B,$C25,'Pasted Bridges'!$F:$F,BS$5)</f>
        <v>0</v>
      </c>
      <c r="BT25" s="17">
        <f>SUMIFS('Pasted Bridges'!$G:$G,'Pasted Bridges'!$B:$B,$C25,'Pasted Bridges'!$F:$F,BT$5)</f>
        <v>0</v>
      </c>
      <c r="BU25" s="17">
        <f>SUMIFS('Pasted Bridges'!$G:$G,'Pasted Bridges'!$B:$B,$C25,'Pasted Bridges'!$F:$F,BU$5)</f>
        <v>0</v>
      </c>
      <c r="BV25" s="17">
        <f>SUMIFS('Pasted Bridges'!$G:$G,'Pasted Bridges'!$B:$B,$C25,'Pasted Bridges'!$F:$F,BV$5)</f>
        <v>0</v>
      </c>
      <c r="BW25" s="17">
        <f>SUMIFS('Pasted Bridges'!$G:$G,'Pasted Bridges'!$B:$B,$C25,'Pasted Bridges'!$F:$F,BW$5)</f>
        <v>0</v>
      </c>
      <c r="BX25" s="17">
        <f>SUMIFS('Pasted Bridges'!$G:$G,'Pasted Bridges'!$B:$B,$C25,'Pasted Bridges'!$F:$F,BX$5)</f>
        <v>13.38</v>
      </c>
      <c r="BY25" s="17">
        <f>SUMIFS('Pasted Bridges'!$G:$G,'Pasted Bridges'!$B:$B,$C25,'Pasted Bridges'!$F:$F,BY$5)</f>
        <v>9.2199999999999989</v>
      </c>
      <c r="BZ25" s="17">
        <f>SUMIFS('Pasted Bridges'!$G:$G,'Pasted Bridges'!$B:$B,$C25,'Pasted Bridges'!$F:$F,BZ$5)</f>
        <v>7.9</v>
      </c>
      <c r="CA25" s="17">
        <f>SUMIFS('Pasted Bridges'!$G:$G,'Pasted Bridges'!$B:$B,$C25,'Pasted Bridges'!$F:$F,CA$5)</f>
        <v>10.27</v>
      </c>
      <c r="CB25" s="17">
        <f>SUMIFS('Pasted Bridges'!$G:$G,'Pasted Bridges'!$B:$B,$C25,'Pasted Bridges'!$F:$F,CB$5)</f>
        <v>0</v>
      </c>
      <c r="CC25" s="17">
        <f>SUMIFS('Pasted Bridges'!$G:$G,'Pasted Bridges'!$B:$B,$C25,'Pasted Bridges'!$F:$F,CC$5)</f>
        <v>0</v>
      </c>
      <c r="CD25" s="17">
        <f>SUMIFS('Pasted Bridges'!$G:$G,'Pasted Bridges'!$B:$B,$C25,'Pasted Bridges'!$F:$F,CD$5)</f>
        <v>0</v>
      </c>
      <c r="CE25" s="17">
        <f>SUMIFS('Pasted Bridges'!$G:$G,'Pasted Bridges'!$B:$B,$C25,'Pasted Bridges'!$F:$F,CE$5)</f>
        <v>0</v>
      </c>
      <c r="CF25" s="17">
        <f>SUMIFS('Pasted Bridges'!$G:$G,'Pasted Bridges'!$B:$B,$C25,'Pasted Bridges'!$F:$F,CF$5)</f>
        <v>0</v>
      </c>
      <c r="CG25" s="17">
        <f>SUMIFS('Pasted Bridges'!$G:$G,'Pasted Bridges'!$B:$B,$C25,'Pasted Bridges'!$F:$F,CG$5)</f>
        <v>0</v>
      </c>
      <c r="CH25" s="17">
        <f>SUMIFS('Pasted Bridges'!$G:$G,'Pasted Bridges'!$B:$B,$C25,'Pasted Bridges'!$F:$F,CH$5)</f>
        <v>0</v>
      </c>
      <c r="CI25" s="17">
        <f>SUMIFS('Pasted Bridges'!$G:$G,'Pasted Bridges'!$B:$B,$C25,'Pasted Bridges'!$F:$F,CI$5)</f>
        <v>0</v>
      </c>
      <c r="CJ25" s="17">
        <f>SUMIFS('Pasted Bridges'!$G:$G,'Pasted Bridges'!$B:$B,$C25,'Pasted Bridges'!$F:$F,CJ$5)</f>
        <v>0</v>
      </c>
      <c r="CK25" s="17">
        <f>SUMIFS('Pasted Bridges'!$G:$G,'Pasted Bridges'!$B:$B,$C25,'Pasted Bridges'!$F:$F,CK$5)</f>
        <v>15.309999999999999</v>
      </c>
      <c r="CL25" s="17">
        <f>SUMIFS('Pasted Bridges'!$G:$G,'Pasted Bridges'!$B:$B,$C25,'Pasted Bridges'!$F:$F,CL$5)</f>
        <v>6.15</v>
      </c>
      <c r="CM25" s="17">
        <f>SUMIFS('Pasted Bridges'!$G:$G,'Pasted Bridges'!$B:$B,$C25,'Pasted Bridges'!$F:$F,CM$5)</f>
        <v>8.7899999999999991</v>
      </c>
      <c r="CN25" s="17">
        <f>SUMIFS('Pasted Bridges'!$G:$G,'Pasted Bridges'!$B:$B,$C25,'Pasted Bridges'!$F:$F,CN$5)</f>
        <v>10.9</v>
      </c>
      <c r="CO25" s="17">
        <f>SUMIFS('Pasted Bridges'!$G:$G,'Pasted Bridges'!$B:$B,$C25,'Pasted Bridges'!$F:$F,CO$5)</f>
        <v>0</v>
      </c>
      <c r="CP25" s="17">
        <f>SUMIFS('Pasted Bridges'!$G:$G,'Pasted Bridges'!$B:$B,$C25,'Pasted Bridges'!$F:$F,CP$5)</f>
        <v>0</v>
      </c>
      <c r="CQ25" s="17">
        <f>SUMIFS('Pasted Bridges'!$G:$G,'Pasted Bridges'!$B:$B,$C25,'Pasted Bridges'!$F:$F,CQ$5)</f>
        <v>0</v>
      </c>
      <c r="CR25" s="17">
        <f>SUMIFS('Pasted Bridges'!$G:$G,'Pasted Bridges'!$B:$B,$C25,'Pasted Bridges'!$F:$F,CR$5)</f>
        <v>0</v>
      </c>
      <c r="CS25" s="17">
        <f>SUMIFS('Pasted Bridges'!$G:$G,'Pasted Bridges'!$B:$B,$C25,'Pasted Bridges'!$F:$F,CS$5)</f>
        <v>0</v>
      </c>
      <c r="CT25" s="17">
        <f>SUMIFS('Pasted Bridges'!$G:$G,'Pasted Bridges'!$B:$B,$C25,'Pasted Bridges'!$F:$F,CT$5)</f>
        <v>0</v>
      </c>
      <c r="CU25" s="17">
        <f>SUMIFS('Pasted Bridges'!$G:$G,'Pasted Bridges'!$B:$B,$C25,'Pasted Bridges'!$F:$F,CU$5)</f>
        <v>0</v>
      </c>
      <c r="CV25" s="17">
        <f>SUMIFS('Pasted Bridges'!$G:$G,'Pasted Bridges'!$B:$B,$C25,'Pasted Bridges'!$F:$F,CV$5)</f>
        <v>0</v>
      </c>
      <c r="CW25" s="17">
        <f>SUMIFS('Pasted Bridges'!$G:$G,'Pasted Bridges'!$B:$B,$C25,'Pasted Bridges'!$F:$F,CW$5)</f>
        <v>0</v>
      </c>
      <c r="CX25" s="17">
        <f>SUMIFS('Pasted Bridges'!$G:$G,'Pasted Bridges'!$B:$B,$C25,'Pasted Bridges'!$F:$F,CX$5)</f>
        <v>0</v>
      </c>
      <c r="CY25" s="17">
        <f>SUMIFS('Pasted Bridges'!$G:$G,'Pasted Bridges'!$B:$B,$C25,'Pasted Bridges'!$F:$F,CY$5)</f>
        <v>0</v>
      </c>
      <c r="CZ25" s="17">
        <f>SUMIFS('Pasted Bridges'!$G:$G,'Pasted Bridges'!$B:$B,$C25,'Pasted Bridges'!$F:$F,CZ$5)</f>
        <v>0</v>
      </c>
      <c r="DA25" s="17">
        <f>SUMIFS('Pasted Bridges'!$G:$G,'Pasted Bridges'!$B:$B,$C25,'Pasted Bridges'!$F:$F,DA$5)</f>
        <v>0</v>
      </c>
    </row>
    <row r="26" spans="1:105" s="1" customFormat="1" x14ac:dyDescent="0.25">
      <c r="B26" s="56"/>
      <c r="C26" s="19" t="s">
        <v>56</v>
      </c>
      <c r="D26" s="19" t="s">
        <v>174</v>
      </c>
      <c r="E26" s="13" t="s">
        <v>199</v>
      </c>
      <c r="F26" s="2">
        <v>8</v>
      </c>
      <c r="G26" s="5">
        <v>0.32</v>
      </c>
      <c r="H26" s="2" t="s">
        <v>42</v>
      </c>
      <c r="I26" s="2">
        <v>0.32</v>
      </c>
      <c r="J26" s="3"/>
      <c r="K26" s="17">
        <f>SUMIFS('Pasted Bridges'!$G:$G,'Pasted Bridges'!$B:$B,$C26,'Pasted Bridges'!$F:$F,K$5)</f>
        <v>7.47</v>
      </c>
      <c r="L26" s="17">
        <f>SUMIFS('Pasted Bridges'!$G:$G,'Pasted Bridges'!$B:$B,$C26,'Pasted Bridges'!$F:$F,L$5)</f>
        <v>5.96</v>
      </c>
      <c r="M26" s="17">
        <f>SUMIFS('Pasted Bridges'!$G:$G,'Pasted Bridges'!$B:$B,$C26,'Pasted Bridges'!$F:$F,M$5)</f>
        <v>0</v>
      </c>
      <c r="N26" s="17">
        <f>SUMIFS('Pasted Bridges'!$G:$G,'Pasted Bridges'!$B:$B,$C26,'Pasted Bridges'!$F:$F,N$5)</f>
        <v>0</v>
      </c>
      <c r="O26" s="17">
        <f>SUMIFS('Pasted Bridges'!$G:$G,'Pasted Bridges'!$B:$B,$C26,'Pasted Bridges'!$F:$F,O$5)</f>
        <v>0</v>
      </c>
      <c r="P26" s="17">
        <f>SUMIFS('Pasted Bridges'!$G:$G,'Pasted Bridges'!$B:$B,$C26,'Pasted Bridges'!$F:$F,P$5)</f>
        <v>0</v>
      </c>
      <c r="Q26" s="17">
        <f>SUMIFS('Pasted Bridges'!$G:$G,'Pasted Bridges'!$B:$B,$C26,'Pasted Bridges'!$F:$F,Q$5)</f>
        <v>0</v>
      </c>
      <c r="R26" s="17">
        <f>SUMIFS('Pasted Bridges'!$G:$G,'Pasted Bridges'!$B:$B,$C26,'Pasted Bridges'!$F:$F,R$5)</f>
        <v>0</v>
      </c>
      <c r="S26" s="17">
        <f>SUMIFS('Pasted Bridges'!$G:$G,'Pasted Bridges'!$B:$B,$C26,'Pasted Bridges'!$F:$F,S$5)</f>
        <v>0</v>
      </c>
      <c r="T26" s="17">
        <f>SUMIFS('Pasted Bridges'!$G:$G,'Pasted Bridges'!$B:$B,$C26,'Pasted Bridges'!$F:$F,T$5)</f>
        <v>0</v>
      </c>
      <c r="U26" s="17">
        <f>SUMIFS('Pasted Bridges'!$G:$G,'Pasted Bridges'!$B:$B,$C26,'Pasted Bridges'!$F:$F,U$5)</f>
        <v>0</v>
      </c>
      <c r="V26" s="17">
        <f>SUMIFS('Pasted Bridges'!$G:$G,'Pasted Bridges'!$B:$B,$C26,'Pasted Bridges'!$F:$F,V$5)</f>
        <v>0</v>
      </c>
      <c r="W26" s="17">
        <f>SUMIFS('Pasted Bridges'!$G:$G,'Pasted Bridges'!$B:$B,$C26,'Pasted Bridges'!$F:$F,W$5)</f>
        <v>0</v>
      </c>
      <c r="X26" s="17">
        <f>SUMIFS('Pasted Bridges'!$G:$G,'Pasted Bridges'!$B:$B,$C26,'Pasted Bridges'!$F:$F,X$5)</f>
        <v>0</v>
      </c>
      <c r="Y26" s="17">
        <f>SUMIFS('Pasted Bridges'!$G:$G,'Pasted Bridges'!$B:$B,$C26,'Pasted Bridges'!$F:$F,Y$5)</f>
        <v>0</v>
      </c>
      <c r="Z26" s="17">
        <f>SUMIFS('Pasted Bridges'!$G:$G,'Pasted Bridges'!$B:$B,$C26,'Pasted Bridges'!$F:$F,Z$5)</f>
        <v>0</v>
      </c>
      <c r="AA26" s="17">
        <f>SUMIFS('Pasted Bridges'!$G:$G,'Pasted Bridges'!$B:$B,$C26,'Pasted Bridges'!$F:$F,AA$5)</f>
        <v>0</v>
      </c>
      <c r="AB26" s="17">
        <f>SUMIFS('Pasted Bridges'!$G:$G,'Pasted Bridges'!$B:$B,$C26,'Pasted Bridges'!$F:$F,AB$5)</f>
        <v>10.280000000000001</v>
      </c>
      <c r="AC26" s="17">
        <f>SUMIFS('Pasted Bridges'!$G:$G,'Pasted Bridges'!$B:$B,$C26,'Pasted Bridges'!$F:$F,AC$5)</f>
        <v>3.25</v>
      </c>
      <c r="AD26" s="17">
        <f>SUMIFS('Pasted Bridges'!$G:$G,'Pasted Bridges'!$B:$B,$C26,'Pasted Bridges'!$F:$F,AD$5)</f>
        <v>0</v>
      </c>
      <c r="AE26" s="17">
        <f>SUMIFS('Pasted Bridges'!$G:$G,'Pasted Bridges'!$B:$B,$C26,'Pasted Bridges'!$F:$F,AE$5)</f>
        <v>0</v>
      </c>
      <c r="AF26" s="17">
        <f>SUMIFS('Pasted Bridges'!$G:$G,'Pasted Bridges'!$B:$B,$C26,'Pasted Bridges'!$F:$F,AF$5)</f>
        <v>0</v>
      </c>
      <c r="AG26" s="17">
        <f>SUMIFS('Pasted Bridges'!$G:$G,'Pasted Bridges'!$B:$B,$C26,'Pasted Bridges'!$F:$F,AG$5)</f>
        <v>0</v>
      </c>
      <c r="AH26" s="17">
        <f>SUMIFS('Pasted Bridges'!$G:$G,'Pasted Bridges'!$B:$B,$C26,'Pasted Bridges'!$F:$F,AH$5)</f>
        <v>0</v>
      </c>
      <c r="AI26" s="17">
        <f>SUMIFS('Pasted Bridges'!$G:$G,'Pasted Bridges'!$B:$B,$C26,'Pasted Bridges'!$F:$F,AI$5)</f>
        <v>0</v>
      </c>
      <c r="AJ26" s="17">
        <f>SUMIFS('Pasted Bridges'!$G:$G,'Pasted Bridges'!$B:$B,$C26,'Pasted Bridges'!$F:$F,AJ$5)</f>
        <v>0</v>
      </c>
      <c r="AK26" s="17">
        <f>SUMIFS('Pasted Bridges'!$G:$G,'Pasted Bridges'!$B:$B,$C26,'Pasted Bridges'!$F:$F,AK$5)</f>
        <v>0</v>
      </c>
      <c r="AL26" s="17">
        <f>SUMIFS('Pasted Bridges'!$G:$G,'Pasted Bridges'!$B:$B,$C26,'Pasted Bridges'!$F:$F,AL$5)</f>
        <v>0</v>
      </c>
      <c r="AM26" s="17">
        <f>SUMIFS('Pasted Bridges'!$G:$G,'Pasted Bridges'!$B:$B,$C26,'Pasted Bridges'!$F:$F,AM$5)</f>
        <v>0</v>
      </c>
      <c r="AN26" s="17">
        <f>SUMIFS('Pasted Bridges'!$G:$G,'Pasted Bridges'!$B:$B,$C26,'Pasted Bridges'!$F:$F,AN$5)</f>
        <v>0</v>
      </c>
      <c r="AO26" s="17">
        <f>SUMIFS('Pasted Bridges'!$G:$G,'Pasted Bridges'!$B:$B,$C26,'Pasted Bridges'!$F:$F,AO$5)</f>
        <v>0</v>
      </c>
      <c r="AP26" s="17">
        <f>SUMIFS('Pasted Bridges'!$G:$G,'Pasted Bridges'!$B:$B,$C26,'Pasted Bridges'!$F:$F,AP$5)</f>
        <v>0</v>
      </c>
      <c r="AQ26" s="17">
        <f>SUMIFS('Pasted Bridges'!$G:$G,'Pasted Bridges'!$B:$B,$C26,'Pasted Bridges'!$F:$F,AQ$5)</f>
        <v>0</v>
      </c>
      <c r="AR26" s="17">
        <f>SUMIFS('Pasted Bridges'!$G:$G,'Pasted Bridges'!$B:$B,$C26,'Pasted Bridges'!$F:$F,AR$5)</f>
        <v>0</v>
      </c>
      <c r="AS26" s="17">
        <f>SUMIFS('Pasted Bridges'!$G:$G,'Pasted Bridges'!$B:$B,$C26,'Pasted Bridges'!$F:$F,AS$5)</f>
        <v>0</v>
      </c>
      <c r="AT26" s="17">
        <f>SUMIFS('Pasted Bridges'!$G:$G,'Pasted Bridges'!$B:$B,$C26,'Pasted Bridges'!$F:$F,AT$5)</f>
        <v>0</v>
      </c>
      <c r="AU26" s="17">
        <f>SUMIFS('Pasted Bridges'!$G:$G,'Pasted Bridges'!$B:$B,$C26,'Pasted Bridges'!$F:$F,AU$5)</f>
        <v>0</v>
      </c>
      <c r="AV26" s="17">
        <f>SUMIFS('Pasted Bridges'!$G:$G,'Pasted Bridges'!$B:$B,$C26,'Pasted Bridges'!$F:$F,AV$5)</f>
        <v>0</v>
      </c>
      <c r="AW26" s="17">
        <f>SUMIFS('Pasted Bridges'!$G:$G,'Pasted Bridges'!$B:$B,$C26,'Pasted Bridges'!$F:$F,AW$5)</f>
        <v>0</v>
      </c>
      <c r="AX26" s="17">
        <f>SUMIFS('Pasted Bridges'!$G:$G,'Pasted Bridges'!$B:$B,$C26,'Pasted Bridges'!$F:$F,AX$5)</f>
        <v>0</v>
      </c>
      <c r="AY26" s="17">
        <f>SUMIFS('Pasted Bridges'!$G:$G,'Pasted Bridges'!$B:$B,$C26,'Pasted Bridges'!$F:$F,AY$5)</f>
        <v>0</v>
      </c>
      <c r="AZ26" s="17">
        <f>SUMIFS('Pasted Bridges'!$G:$G,'Pasted Bridges'!$B:$B,$C26,'Pasted Bridges'!$F:$F,AZ$5)</f>
        <v>0</v>
      </c>
      <c r="BA26" s="17">
        <f>SUMIFS('Pasted Bridges'!$G:$G,'Pasted Bridges'!$B:$B,$C26,'Pasted Bridges'!$F:$F,BA$5)</f>
        <v>0</v>
      </c>
      <c r="BB26" s="17">
        <f>SUMIFS('Pasted Bridges'!$G:$G,'Pasted Bridges'!$B:$B,$C26,'Pasted Bridges'!$F:$F,BB$5)</f>
        <v>0</v>
      </c>
      <c r="BC26" s="17">
        <f>SUMIFS('Pasted Bridges'!$G:$G,'Pasted Bridges'!$B:$B,$C26,'Pasted Bridges'!$F:$F,BC$5)</f>
        <v>6.6</v>
      </c>
      <c r="BD26" s="17">
        <f>SUMIFS('Pasted Bridges'!$G:$G,'Pasted Bridges'!$B:$B,$C26,'Pasted Bridges'!$F:$F,BD$5)</f>
        <v>0</v>
      </c>
      <c r="BE26" s="17">
        <f>SUMIFS('Pasted Bridges'!$G:$G,'Pasted Bridges'!$B:$B,$C26,'Pasted Bridges'!$F:$F,BE$5)</f>
        <v>8.18</v>
      </c>
      <c r="BF26" s="17">
        <f>SUMIFS('Pasted Bridges'!$G:$G,'Pasted Bridges'!$B:$B,$C26,'Pasted Bridges'!$F:$F,BF$5)</f>
        <v>8.67</v>
      </c>
      <c r="BG26" s="17">
        <f>SUMIFS('Pasted Bridges'!$G:$G,'Pasted Bridges'!$B:$B,$C26,'Pasted Bridges'!$F:$F,BG$5)</f>
        <v>0</v>
      </c>
      <c r="BH26" s="17">
        <f>SUMIFS('Pasted Bridges'!$G:$G,'Pasted Bridges'!$B:$B,$C26,'Pasted Bridges'!$F:$F,BH$5)</f>
        <v>0</v>
      </c>
      <c r="BI26" s="17">
        <f>SUMIFS('Pasted Bridges'!$G:$G,'Pasted Bridges'!$B:$B,$C26,'Pasted Bridges'!$F:$F,BI$5)</f>
        <v>0</v>
      </c>
      <c r="BJ26" s="17">
        <f>SUMIFS('Pasted Bridges'!$G:$G,'Pasted Bridges'!$B:$B,$C26,'Pasted Bridges'!$F:$F,BJ$5)</f>
        <v>0</v>
      </c>
      <c r="BK26" s="17">
        <f>SUMIFS('Pasted Bridges'!$G:$G,'Pasted Bridges'!$B:$B,$C26,'Pasted Bridges'!$F:$F,BK$5)</f>
        <v>0</v>
      </c>
      <c r="BL26" s="17">
        <f>SUMIFS('Pasted Bridges'!$G:$G,'Pasted Bridges'!$B:$B,$C26,'Pasted Bridges'!$F:$F,BL$5)</f>
        <v>0</v>
      </c>
      <c r="BM26" s="17">
        <f>SUMIFS('Pasted Bridges'!$G:$G,'Pasted Bridges'!$B:$B,$C26,'Pasted Bridges'!$F:$F,BM$5)</f>
        <v>0</v>
      </c>
      <c r="BN26" s="17">
        <f>SUMIFS('Pasted Bridges'!$G:$G,'Pasted Bridges'!$B:$B,$C26,'Pasted Bridges'!$F:$F,BN$5)</f>
        <v>0</v>
      </c>
      <c r="BO26" s="17">
        <f>SUMIFS('Pasted Bridges'!$G:$G,'Pasted Bridges'!$B:$B,$C26,'Pasted Bridges'!$F:$F,BO$5)</f>
        <v>0</v>
      </c>
      <c r="BP26" s="17">
        <f>SUMIFS('Pasted Bridges'!$G:$G,'Pasted Bridges'!$B:$B,$C26,'Pasted Bridges'!$F:$F,BP$5)</f>
        <v>0</v>
      </c>
      <c r="BQ26" s="17">
        <f>SUMIFS('Pasted Bridges'!$G:$G,'Pasted Bridges'!$B:$B,$C26,'Pasted Bridges'!$F:$F,BQ$5)</f>
        <v>0</v>
      </c>
      <c r="BR26" s="17">
        <f>SUMIFS('Pasted Bridges'!$G:$G,'Pasted Bridges'!$B:$B,$C26,'Pasted Bridges'!$F:$F,BR$5)</f>
        <v>0</v>
      </c>
      <c r="BS26" s="17">
        <f>SUMIFS('Pasted Bridges'!$G:$G,'Pasted Bridges'!$B:$B,$C26,'Pasted Bridges'!$F:$F,BS$5)</f>
        <v>0</v>
      </c>
      <c r="BT26" s="17">
        <f>SUMIFS('Pasted Bridges'!$G:$G,'Pasted Bridges'!$B:$B,$C26,'Pasted Bridges'!$F:$F,BT$5)</f>
        <v>0</v>
      </c>
      <c r="BU26" s="17">
        <f>SUMIFS('Pasted Bridges'!$G:$G,'Pasted Bridges'!$B:$B,$C26,'Pasted Bridges'!$F:$F,BU$5)</f>
        <v>0</v>
      </c>
      <c r="BV26" s="17">
        <f>SUMIFS('Pasted Bridges'!$G:$G,'Pasted Bridges'!$B:$B,$C26,'Pasted Bridges'!$F:$F,BV$5)</f>
        <v>0</v>
      </c>
      <c r="BW26" s="17">
        <f>SUMIFS('Pasted Bridges'!$G:$G,'Pasted Bridges'!$B:$B,$C26,'Pasted Bridges'!$F:$F,BW$5)</f>
        <v>0</v>
      </c>
      <c r="BX26" s="17">
        <f>SUMIFS('Pasted Bridges'!$G:$G,'Pasted Bridges'!$B:$B,$C26,'Pasted Bridges'!$F:$F,BX$5)</f>
        <v>0</v>
      </c>
      <c r="BY26" s="17">
        <f>SUMIFS('Pasted Bridges'!$G:$G,'Pasted Bridges'!$B:$B,$C26,'Pasted Bridges'!$F:$F,BY$5)</f>
        <v>0</v>
      </c>
      <c r="BZ26" s="17">
        <f>SUMIFS('Pasted Bridges'!$G:$G,'Pasted Bridges'!$B:$B,$C26,'Pasted Bridges'!$F:$F,BZ$5)</f>
        <v>0</v>
      </c>
      <c r="CA26" s="17">
        <f>SUMIFS('Pasted Bridges'!$G:$G,'Pasted Bridges'!$B:$B,$C26,'Pasted Bridges'!$F:$F,CA$5)</f>
        <v>0</v>
      </c>
      <c r="CB26" s="17">
        <f>SUMIFS('Pasted Bridges'!$G:$G,'Pasted Bridges'!$B:$B,$C26,'Pasted Bridges'!$F:$F,CB$5)</f>
        <v>0</v>
      </c>
      <c r="CC26" s="17">
        <f>SUMIFS('Pasted Bridges'!$G:$G,'Pasted Bridges'!$B:$B,$C26,'Pasted Bridges'!$F:$F,CC$5)</f>
        <v>0</v>
      </c>
      <c r="CD26" s="17">
        <f>SUMIFS('Pasted Bridges'!$G:$G,'Pasted Bridges'!$B:$B,$C26,'Pasted Bridges'!$F:$F,CD$5)</f>
        <v>0</v>
      </c>
      <c r="CE26" s="17">
        <f>SUMIFS('Pasted Bridges'!$G:$G,'Pasted Bridges'!$B:$B,$C26,'Pasted Bridges'!$F:$F,CE$5)</f>
        <v>0</v>
      </c>
      <c r="CF26" s="17">
        <f>SUMIFS('Pasted Bridges'!$G:$G,'Pasted Bridges'!$B:$B,$C26,'Pasted Bridges'!$F:$F,CF$5)</f>
        <v>0</v>
      </c>
      <c r="CG26" s="17">
        <f>SUMIFS('Pasted Bridges'!$G:$G,'Pasted Bridges'!$B:$B,$C26,'Pasted Bridges'!$F:$F,CG$5)</f>
        <v>0</v>
      </c>
      <c r="CH26" s="17">
        <f>SUMIFS('Pasted Bridges'!$G:$G,'Pasted Bridges'!$B:$B,$C26,'Pasted Bridges'!$F:$F,CH$5)</f>
        <v>0</v>
      </c>
      <c r="CI26" s="17">
        <f>SUMIFS('Pasted Bridges'!$G:$G,'Pasted Bridges'!$B:$B,$C26,'Pasted Bridges'!$F:$F,CI$5)</f>
        <v>0</v>
      </c>
      <c r="CJ26" s="17">
        <f>SUMIFS('Pasted Bridges'!$G:$G,'Pasted Bridges'!$B:$B,$C26,'Pasted Bridges'!$F:$F,CJ$5)</f>
        <v>0</v>
      </c>
      <c r="CK26" s="17">
        <f>SUMIFS('Pasted Bridges'!$G:$G,'Pasted Bridges'!$B:$B,$C26,'Pasted Bridges'!$F:$F,CK$5)</f>
        <v>0</v>
      </c>
      <c r="CL26" s="17">
        <f>SUMIFS('Pasted Bridges'!$G:$G,'Pasted Bridges'!$B:$B,$C26,'Pasted Bridges'!$F:$F,CL$5)</f>
        <v>13.72</v>
      </c>
      <c r="CM26" s="17">
        <f>SUMIFS('Pasted Bridges'!$G:$G,'Pasted Bridges'!$B:$B,$C26,'Pasted Bridges'!$F:$F,CM$5)</f>
        <v>7.92</v>
      </c>
      <c r="CN26" s="17">
        <f>SUMIFS('Pasted Bridges'!$G:$G,'Pasted Bridges'!$B:$B,$C26,'Pasted Bridges'!$F:$F,CN$5)</f>
        <v>4.75</v>
      </c>
      <c r="CO26" s="17">
        <f>SUMIFS('Pasted Bridges'!$G:$G,'Pasted Bridges'!$B:$B,$C26,'Pasted Bridges'!$F:$F,CO$5)</f>
        <v>0</v>
      </c>
      <c r="CP26" s="17">
        <f>SUMIFS('Pasted Bridges'!$G:$G,'Pasted Bridges'!$B:$B,$C26,'Pasted Bridges'!$F:$F,CP$5)</f>
        <v>0</v>
      </c>
      <c r="CQ26" s="17">
        <f>SUMIFS('Pasted Bridges'!$G:$G,'Pasted Bridges'!$B:$B,$C26,'Pasted Bridges'!$F:$F,CQ$5)</f>
        <v>0</v>
      </c>
      <c r="CR26" s="17">
        <f>SUMIFS('Pasted Bridges'!$G:$G,'Pasted Bridges'!$B:$B,$C26,'Pasted Bridges'!$F:$F,CR$5)</f>
        <v>0</v>
      </c>
      <c r="CS26" s="17">
        <f>SUMIFS('Pasted Bridges'!$G:$G,'Pasted Bridges'!$B:$B,$C26,'Pasted Bridges'!$F:$F,CS$5)</f>
        <v>0</v>
      </c>
      <c r="CT26" s="17">
        <f>SUMIFS('Pasted Bridges'!$G:$G,'Pasted Bridges'!$B:$B,$C26,'Pasted Bridges'!$F:$F,CT$5)</f>
        <v>0</v>
      </c>
      <c r="CU26" s="17">
        <f>SUMIFS('Pasted Bridges'!$G:$G,'Pasted Bridges'!$B:$B,$C26,'Pasted Bridges'!$F:$F,CU$5)</f>
        <v>0</v>
      </c>
      <c r="CV26" s="17">
        <f>SUMIFS('Pasted Bridges'!$G:$G,'Pasted Bridges'!$B:$B,$C26,'Pasted Bridges'!$F:$F,CV$5)</f>
        <v>0</v>
      </c>
      <c r="CW26" s="17">
        <f>SUMIFS('Pasted Bridges'!$G:$G,'Pasted Bridges'!$B:$B,$C26,'Pasted Bridges'!$F:$F,CW$5)</f>
        <v>0</v>
      </c>
      <c r="CX26" s="17">
        <f>SUMIFS('Pasted Bridges'!$G:$G,'Pasted Bridges'!$B:$B,$C26,'Pasted Bridges'!$F:$F,CX$5)</f>
        <v>0</v>
      </c>
      <c r="CY26" s="17">
        <f>SUMIFS('Pasted Bridges'!$G:$G,'Pasted Bridges'!$B:$B,$C26,'Pasted Bridges'!$F:$F,CY$5)</f>
        <v>0</v>
      </c>
      <c r="CZ26" s="17">
        <f>SUMIFS('Pasted Bridges'!$G:$G,'Pasted Bridges'!$B:$B,$C26,'Pasted Bridges'!$F:$F,CZ$5)</f>
        <v>0</v>
      </c>
      <c r="DA26" s="17">
        <f>SUMIFS('Pasted Bridges'!$G:$G,'Pasted Bridges'!$B:$B,$C26,'Pasted Bridges'!$F:$F,DA$5)</f>
        <v>0</v>
      </c>
    </row>
    <row r="27" spans="1:105" s="1" customFormat="1" x14ac:dyDescent="0.25">
      <c r="B27" s="57"/>
      <c r="C27" s="19" t="s">
        <v>20</v>
      </c>
      <c r="D27" s="19" t="s">
        <v>175</v>
      </c>
      <c r="E27" s="13" t="s">
        <v>199</v>
      </c>
      <c r="F27" s="2">
        <v>9</v>
      </c>
      <c r="G27" s="5">
        <v>0.22</v>
      </c>
      <c r="H27" s="2" t="s">
        <v>42</v>
      </c>
      <c r="I27" s="2">
        <v>7.0000000000000007E-2</v>
      </c>
      <c r="J27" s="3"/>
      <c r="K27" s="17">
        <f>SUMIFS('Pasted Bridges'!$G:$G,'Pasted Bridges'!$B:$B,$C27,'Pasted Bridges'!$F:$F,K$5)</f>
        <v>0</v>
      </c>
      <c r="L27" s="17">
        <f>SUMIFS('Pasted Bridges'!$G:$G,'Pasted Bridges'!$B:$B,$C27,'Pasted Bridges'!$F:$F,L$5)</f>
        <v>0</v>
      </c>
      <c r="M27" s="17">
        <f>SUMIFS('Pasted Bridges'!$G:$G,'Pasted Bridges'!$B:$B,$C27,'Pasted Bridges'!$F:$F,M$5)</f>
        <v>0</v>
      </c>
      <c r="N27" s="17">
        <f>SUMIFS('Pasted Bridges'!$G:$G,'Pasted Bridges'!$B:$B,$C27,'Pasted Bridges'!$F:$F,N$5)</f>
        <v>0</v>
      </c>
      <c r="O27" s="17">
        <f>SUMIFS('Pasted Bridges'!$G:$G,'Pasted Bridges'!$B:$B,$C27,'Pasted Bridges'!$F:$F,O$5)</f>
        <v>0</v>
      </c>
      <c r="P27" s="17">
        <f>SUMIFS('Pasted Bridges'!$G:$G,'Pasted Bridges'!$B:$B,$C27,'Pasted Bridges'!$F:$F,P$5)</f>
        <v>0</v>
      </c>
      <c r="Q27" s="17">
        <f>SUMIFS('Pasted Bridges'!$G:$G,'Pasted Bridges'!$B:$B,$C27,'Pasted Bridges'!$F:$F,Q$5)</f>
        <v>0</v>
      </c>
      <c r="R27" s="17">
        <f>SUMIFS('Pasted Bridges'!$G:$G,'Pasted Bridges'!$B:$B,$C27,'Pasted Bridges'!$F:$F,R$5)</f>
        <v>0</v>
      </c>
      <c r="S27" s="17">
        <f>SUMIFS('Pasted Bridges'!$G:$G,'Pasted Bridges'!$B:$B,$C27,'Pasted Bridges'!$F:$F,S$5)</f>
        <v>0</v>
      </c>
      <c r="T27" s="17">
        <f>SUMIFS('Pasted Bridges'!$G:$G,'Pasted Bridges'!$B:$B,$C27,'Pasted Bridges'!$F:$F,T$5)</f>
        <v>0</v>
      </c>
      <c r="U27" s="17">
        <f>SUMIFS('Pasted Bridges'!$G:$G,'Pasted Bridges'!$B:$B,$C27,'Pasted Bridges'!$F:$F,U$5)</f>
        <v>0</v>
      </c>
      <c r="V27" s="17">
        <f>SUMIFS('Pasted Bridges'!$G:$G,'Pasted Bridges'!$B:$B,$C27,'Pasted Bridges'!$F:$F,V$5)</f>
        <v>0</v>
      </c>
      <c r="W27" s="17">
        <f>SUMIFS('Pasted Bridges'!$G:$G,'Pasted Bridges'!$B:$B,$C27,'Pasted Bridges'!$F:$F,W$5)</f>
        <v>0</v>
      </c>
      <c r="X27" s="17">
        <f>SUMIFS('Pasted Bridges'!$G:$G,'Pasted Bridges'!$B:$B,$C27,'Pasted Bridges'!$F:$F,X$5)</f>
        <v>0</v>
      </c>
      <c r="Y27" s="17">
        <f>SUMIFS('Pasted Bridges'!$G:$G,'Pasted Bridges'!$B:$B,$C27,'Pasted Bridges'!$F:$F,Y$5)</f>
        <v>0</v>
      </c>
      <c r="Z27" s="17">
        <f>SUMIFS('Pasted Bridges'!$G:$G,'Pasted Bridges'!$B:$B,$C27,'Pasted Bridges'!$F:$F,Z$5)</f>
        <v>0</v>
      </c>
      <c r="AA27" s="17">
        <f>SUMIFS('Pasted Bridges'!$G:$G,'Pasted Bridges'!$B:$B,$C27,'Pasted Bridges'!$F:$F,AA$5)</f>
        <v>0</v>
      </c>
      <c r="AB27" s="17">
        <f>SUMIFS('Pasted Bridges'!$G:$G,'Pasted Bridges'!$B:$B,$C27,'Pasted Bridges'!$F:$F,AB$5)</f>
        <v>0</v>
      </c>
      <c r="AC27" s="17">
        <f>SUMIFS('Pasted Bridges'!$G:$G,'Pasted Bridges'!$B:$B,$C27,'Pasted Bridges'!$F:$F,AC$5)</f>
        <v>0</v>
      </c>
      <c r="AD27" s="17">
        <f>SUMIFS('Pasted Bridges'!$G:$G,'Pasted Bridges'!$B:$B,$C27,'Pasted Bridges'!$F:$F,AD$5)</f>
        <v>0</v>
      </c>
      <c r="AE27" s="17">
        <f>SUMIFS('Pasted Bridges'!$G:$G,'Pasted Bridges'!$B:$B,$C27,'Pasted Bridges'!$F:$F,AE$5)</f>
        <v>0</v>
      </c>
      <c r="AF27" s="17">
        <f>SUMIFS('Pasted Bridges'!$G:$G,'Pasted Bridges'!$B:$B,$C27,'Pasted Bridges'!$F:$F,AF$5)</f>
        <v>0</v>
      </c>
      <c r="AG27" s="17">
        <f>SUMIFS('Pasted Bridges'!$G:$G,'Pasted Bridges'!$B:$B,$C27,'Pasted Bridges'!$F:$F,AG$5)</f>
        <v>0</v>
      </c>
      <c r="AH27" s="17">
        <f>SUMIFS('Pasted Bridges'!$G:$G,'Pasted Bridges'!$B:$B,$C27,'Pasted Bridges'!$F:$F,AH$5)</f>
        <v>0</v>
      </c>
      <c r="AI27" s="17">
        <f>SUMIFS('Pasted Bridges'!$G:$G,'Pasted Bridges'!$B:$B,$C27,'Pasted Bridges'!$F:$F,AI$5)</f>
        <v>0</v>
      </c>
      <c r="AJ27" s="17">
        <f>SUMIFS('Pasted Bridges'!$G:$G,'Pasted Bridges'!$B:$B,$C27,'Pasted Bridges'!$F:$F,AJ$5)</f>
        <v>0</v>
      </c>
      <c r="AK27" s="17">
        <f>SUMIFS('Pasted Bridges'!$G:$G,'Pasted Bridges'!$B:$B,$C27,'Pasted Bridges'!$F:$F,AK$5)</f>
        <v>0</v>
      </c>
      <c r="AL27" s="17">
        <f>SUMIFS('Pasted Bridges'!$G:$G,'Pasted Bridges'!$B:$B,$C27,'Pasted Bridges'!$F:$F,AL$5)</f>
        <v>0</v>
      </c>
      <c r="AM27" s="17">
        <f>SUMIFS('Pasted Bridges'!$G:$G,'Pasted Bridges'!$B:$B,$C27,'Pasted Bridges'!$F:$F,AM$5)</f>
        <v>0</v>
      </c>
      <c r="AN27" s="17">
        <f>SUMIFS('Pasted Bridges'!$G:$G,'Pasted Bridges'!$B:$B,$C27,'Pasted Bridges'!$F:$F,AN$5)</f>
        <v>0</v>
      </c>
      <c r="AO27" s="17">
        <f>SUMIFS('Pasted Bridges'!$G:$G,'Pasted Bridges'!$B:$B,$C27,'Pasted Bridges'!$F:$F,AO$5)</f>
        <v>0</v>
      </c>
      <c r="AP27" s="17">
        <f>SUMIFS('Pasted Bridges'!$G:$G,'Pasted Bridges'!$B:$B,$C27,'Pasted Bridges'!$F:$F,AP$5)</f>
        <v>0</v>
      </c>
      <c r="AQ27" s="17">
        <f>SUMIFS('Pasted Bridges'!$G:$G,'Pasted Bridges'!$B:$B,$C27,'Pasted Bridges'!$F:$F,AQ$5)</f>
        <v>0</v>
      </c>
      <c r="AR27" s="17">
        <f>SUMIFS('Pasted Bridges'!$G:$G,'Pasted Bridges'!$B:$B,$C27,'Pasted Bridges'!$F:$F,AR$5)</f>
        <v>0</v>
      </c>
      <c r="AS27" s="17">
        <f>SUMIFS('Pasted Bridges'!$G:$G,'Pasted Bridges'!$B:$B,$C27,'Pasted Bridges'!$F:$F,AS$5)</f>
        <v>0</v>
      </c>
      <c r="AT27" s="17">
        <f>SUMIFS('Pasted Bridges'!$G:$G,'Pasted Bridges'!$B:$B,$C27,'Pasted Bridges'!$F:$F,AT$5)</f>
        <v>0</v>
      </c>
      <c r="AU27" s="17">
        <f>SUMIFS('Pasted Bridges'!$G:$G,'Pasted Bridges'!$B:$B,$C27,'Pasted Bridges'!$F:$F,AU$5)</f>
        <v>0</v>
      </c>
      <c r="AV27" s="17">
        <f>SUMIFS('Pasted Bridges'!$G:$G,'Pasted Bridges'!$B:$B,$C27,'Pasted Bridges'!$F:$F,AV$5)</f>
        <v>0</v>
      </c>
      <c r="AW27" s="17">
        <f>SUMIFS('Pasted Bridges'!$G:$G,'Pasted Bridges'!$B:$B,$C27,'Pasted Bridges'!$F:$F,AW$5)</f>
        <v>0</v>
      </c>
      <c r="AX27" s="17">
        <f>SUMIFS('Pasted Bridges'!$G:$G,'Pasted Bridges'!$B:$B,$C27,'Pasted Bridges'!$F:$F,AX$5)</f>
        <v>0</v>
      </c>
      <c r="AY27" s="17">
        <f>SUMIFS('Pasted Bridges'!$G:$G,'Pasted Bridges'!$B:$B,$C27,'Pasted Bridges'!$F:$F,AY$5)</f>
        <v>0</v>
      </c>
      <c r="AZ27" s="17">
        <f>SUMIFS('Pasted Bridges'!$G:$G,'Pasted Bridges'!$B:$B,$C27,'Pasted Bridges'!$F:$F,AZ$5)</f>
        <v>0</v>
      </c>
      <c r="BA27" s="17">
        <f>SUMIFS('Pasted Bridges'!$G:$G,'Pasted Bridges'!$B:$B,$C27,'Pasted Bridges'!$F:$F,BA$5)</f>
        <v>0</v>
      </c>
      <c r="BB27" s="17">
        <f>SUMIFS('Pasted Bridges'!$G:$G,'Pasted Bridges'!$B:$B,$C27,'Pasted Bridges'!$F:$F,BB$5)</f>
        <v>0</v>
      </c>
      <c r="BC27" s="17">
        <f>SUMIFS('Pasted Bridges'!$G:$G,'Pasted Bridges'!$B:$B,$C27,'Pasted Bridges'!$F:$F,BC$5)</f>
        <v>0</v>
      </c>
      <c r="BD27" s="17">
        <f>SUMIFS('Pasted Bridges'!$G:$G,'Pasted Bridges'!$B:$B,$C27,'Pasted Bridges'!$F:$F,BD$5)</f>
        <v>0</v>
      </c>
      <c r="BE27" s="17">
        <f>SUMIFS('Pasted Bridges'!$G:$G,'Pasted Bridges'!$B:$B,$C27,'Pasted Bridges'!$F:$F,BE$5)</f>
        <v>0</v>
      </c>
      <c r="BF27" s="17">
        <f>SUMIFS('Pasted Bridges'!$G:$G,'Pasted Bridges'!$B:$B,$C27,'Pasted Bridges'!$F:$F,BF$5)</f>
        <v>0</v>
      </c>
      <c r="BG27" s="17">
        <f>SUMIFS('Pasted Bridges'!$G:$G,'Pasted Bridges'!$B:$B,$C27,'Pasted Bridges'!$F:$F,BG$5)</f>
        <v>0</v>
      </c>
      <c r="BH27" s="17">
        <f>SUMIFS('Pasted Bridges'!$G:$G,'Pasted Bridges'!$B:$B,$C27,'Pasted Bridges'!$F:$F,BH$5)</f>
        <v>0</v>
      </c>
      <c r="BI27" s="17">
        <f>SUMIFS('Pasted Bridges'!$G:$G,'Pasted Bridges'!$B:$B,$C27,'Pasted Bridges'!$F:$F,BI$5)</f>
        <v>0</v>
      </c>
      <c r="BJ27" s="17">
        <f>SUMIFS('Pasted Bridges'!$G:$G,'Pasted Bridges'!$B:$B,$C27,'Pasted Bridges'!$F:$F,BJ$5)</f>
        <v>0</v>
      </c>
      <c r="BK27" s="17">
        <f>SUMIFS('Pasted Bridges'!$G:$G,'Pasted Bridges'!$B:$B,$C27,'Pasted Bridges'!$F:$F,BK$5)</f>
        <v>0</v>
      </c>
      <c r="BL27" s="17">
        <f>SUMIFS('Pasted Bridges'!$G:$G,'Pasted Bridges'!$B:$B,$C27,'Pasted Bridges'!$F:$F,BL$5)</f>
        <v>0</v>
      </c>
      <c r="BM27" s="17">
        <f>SUMIFS('Pasted Bridges'!$G:$G,'Pasted Bridges'!$B:$B,$C27,'Pasted Bridges'!$F:$F,BM$5)</f>
        <v>0</v>
      </c>
      <c r="BN27" s="17">
        <f>SUMIFS('Pasted Bridges'!$G:$G,'Pasted Bridges'!$B:$B,$C27,'Pasted Bridges'!$F:$F,BN$5)</f>
        <v>0</v>
      </c>
      <c r="BO27" s="17">
        <f>SUMIFS('Pasted Bridges'!$G:$G,'Pasted Bridges'!$B:$B,$C27,'Pasted Bridges'!$F:$F,BO$5)</f>
        <v>0</v>
      </c>
      <c r="BP27" s="17">
        <f>SUMIFS('Pasted Bridges'!$G:$G,'Pasted Bridges'!$B:$B,$C27,'Pasted Bridges'!$F:$F,BP$5)</f>
        <v>0</v>
      </c>
      <c r="BQ27" s="17">
        <f>SUMIFS('Pasted Bridges'!$G:$G,'Pasted Bridges'!$B:$B,$C27,'Pasted Bridges'!$F:$F,BQ$5)</f>
        <v>0</v>
      </c>
      <c r="BR27" s="17">
        <f>SUMIFS('Pasted Bridges'!$G:$G,'Pasted Bridges'!$B:$B,$C27,'Pasted Bridges'!$F:$F,BR$5)</f>
        <v>0</v>
      </c>
      <c r="BS27" s="17">
        <f>SUMIFS('Pasted Bridges'!$G:$G,'Pasted Bridges'!$B:$B,$C27,'Pasted Bridges'!$F:$F,BS$5)</f>
        <v>0</v>
      </c>
      <c r="BT27" s="17">
        <f>SUMIFS('Pasted Bridges'!$G:$G,'Pasted Bridges'!$B:$B,$C27,'Pasted Bridges'!$F:$F,BT$5)</f>
        <v>0</v>
      </c>
      <c r="BU27" s="17">
        <f>SUMIFS('Pasted Bridges'!$G:$G,'Pasted Bridges'!$B:$B,$C27,'Pasted Bridges'!$F:$F,BU$5)</f>
        <v>0</v>
      </c>
      <c r="BV27" s="17">
        <f>SUMIFS('Pasted Bridges'!$G:$G,'Pasted Bridges'!$B:$B,$C27,'Pasted Bridges'!$F:$F,BV$5)</f>
        <v>0</v>
      </c>
      <c r="BW27" s="17">
        <f>SUMIFS('Pasted Bridges'!$G:$G,'Pasted Bridges'!$B:$B,$C27,'Pasted Bridges'!$F:$F,BW$5)</f>
        <v>0</v>
      </c>
      <c r="BX27" s="17">
        <f>SUMIFS('Pasted Bridges'!$G:$G,'Pasted Bridges'!$B:$B,$C27,'Pasted Bridges'!$F:$F,BX$5)</f>
        <v>0</v>
      </c>
      <c r="BY27" s="17">
        <f>SUMIFS('Pasted Bridges'!$G:$G,'Pasted Bridges'!$B:$B,$C27,'Pasted Bridges'!$F:$F,BY$5)</f>
        <v>0</v>
      </c>
      <c r="BZ27" s="17">
        <f>SUMIFS('Pasted Bridges'!$G:$G,'Pasted Bridges'!$B:$B,$C27,'Pasted Bridges'!$F:$F,BZ$5)</f>
        <v>0</v>
      </c>
      <c r="CA27" s="17">
        <f>SUMIFS('Pasted Bridges'!$G:$G,'Pasted Bridges'!$B:$B,$C27,'Pasted Bridges'!$F:$F,CA$5)</f>
        <v>0</v>
      </c>
      <c r="CB27" s="17">
        <f>SUMIFS('Pasted Bridges'!$G:$G,'Pasted Bridges'!$B:$B,$C27,'Pasted Bridges'!$F:$F,CB$5)</f>
        <v>0</v>
      </c>
      <c r="CC27" s="17">
        <f>SUMIFS('Pasted Bridges'!$G:$G,'Pasted Bridges'!$B:$B,$C27,'Pasted Bridges'!$F:$F,CC$5)</f>
        <v>0</v>
      </c>
      <c r="CD27" s="17">
        <f>SUMIFS('Pasted Bridges'!$G:$G,'Pasted Bridges'!$B:$B,$C27,'Pasted Bridges'!$F:$F,CD$5)</f>
        <v>0</v>
      </c>
      <c r="CE27" s="17">
        <f>SUMIFS('Pasted Bridges'!$G:$G,'Pasted Bridges'!$B:$B,$C27,'Pasted Bridges'!$F:$F,CE$5)</f>
        <v>0</v>
      </c>
      <c r="CF27" s="17">
        <f>SUMIFS('Pasted Bridges'!$G:$G,'Pasted Bridges'!$B:$B,$C27,'Pasted Bridges'!$F:$F,CF$5)</f>
        <v>0</v>
      </c>
      <c r="CG27" s="17">
        <f>SUMIFS('Pasted Bridges'!$G:$G,'Pasted Bridges'!$B:$B,$C27,'Pasted Bridges'!$F:$F,CG$5)</f>
        <v>0</v>
      </c>
      <c r="CH27" s="17">
        <f>SUMIFS('Pasted Bridges'!$G:$G,'Pasted Bridges'!$B:$B,$C27,'Pasted Bridges'!$F:$F,CH$5)</f>
        <v>0</v>
      </c>
      <c r="CI27" s="17">
        <f>SUMIFS('Pasted Bridges'!$G:$G,'Pasted Bridges'!$B:$B,$C27,'Pasted Bridges'!$F:$F,CI$5)</f>
        <v>0</v>
      </c>
      <c r="CJ27" s="17">
        <f>SUMIFS('Pasted Bridges'!$G:$G,'Pasted Bridges'!$B:$B,$C27,'Pasted Bridges'!$F:$F,CJ$5)</f>
        <v>0</v>
      </c>
      <c r="CK27" s="17">
        <f>SUMIFS('Pasted Bridges'!$G:$G,'Pasted Bridges'!$B:$B,$C27,'Pasted Bridges'!$F:$F,CK$5)</f>
        <v>0</v>
      </c>
      <c r="CL27" s="17">
        <f>SUMIFS('Pasted Bridges'!$G:$G,'Pasted Bridges'!$B:$B,$C27,'Pasted Bridges'!$F:$F,CL$5)</f>
        <v>0</v>
      </c>
      <c r="CM27" s="17">
        <f>SUMIFS('Pasted Bridges'!$G:$G,'Pasted Bridges'!$B:$B,$C27,'Pasted Bridges'!$F:$F,CM$5)</f>
        <v>0</v>
      </c>
      <c r="CN27" s="17">
        <f>SUMIFS('Pasted Bridges'!$G:$G,'Pasted Bridges'!$B:$B,$C27,'Pasted Bridges'!$F:$F,CN$5)</f>
        <v>0</v>
      </c>
      <c r="CO27" s="17">
        <f>SUMIFS('Pasted Bridges'!$G:$G,'Pasted Bridges'!$B:$B,$C27,'Pasted Bridges'!$F:$F,CO$5)</f>
        <v>0</v>
      </c>
      <c r="CP27" s="17">
        <f>SUMIFS('Pasted Bridges'!$G:$G,'Pasted Bridges'!$B:$B,$C27,'Pasted Bridges'!$F:$F,CP$5)</f>
        <v>0</v>
      </c>
      <c r="CQ27" s="17">
        <f>SUMIFS('Pasted Bridges'!$G:$G,'Pasted Bridges'!$B:$B,$C27,'Pasted Bridges'!$F:$F,CQ$5)</f>
        <v>0</v>
      </c>
      <c r="CR27" s="17">
        <f>SUMIFS('Pasted Bridges'!$G:$G,'Pasted Bridges'!$B:$B,$C27,'Pasted Bridges'!$F:$F,CR$5)</f>
        <v>0</v>
      </c>
      <c r="CS27" s="17">
        <f>SUMIFS('Pasted Bridges'!$G:$G,'Pasted Bridges'!$B:$B,$C27,'Pasted Bridges'!$F:$F,CS$5)</f>
        <v>0</v>
      </c>
      <c r="CT27" s="17">
        <f>SUMIFS('Pasted Bridges'!$G:$G,'Pasted Bridges'!$B:$B,$C27,'Pasted Bridges'!$F:$F,CT$5)</f>
        <v>0</v>
      </c>
      <c r="CU27" s="17">
        <f>SUMIFS('Pasted Bridges'!$G:$G,'Pasted Bridges'!$B:$B,$C27,'Pasted Bridges'!$F:$F,CU$5)</f>
        <v>0</v>
      </c>
      <c r="CV27" s="17">
        <f>SUMIFS('Pasted Bridges'!$G:$G,'Pasted Bridges'!$B:$B,$C27,'Pasted Bridges'!$F:$F,CV$5)</f>
        <v>0</v>
      </c>
      <c r="CW27" s="17">
        <f>SUMIFS('Pasted Bridges'!$G:$G,'Pasted Bridges'!$B:$B,$C27,'Pasted Bridges'!$F:$F,CW$5)</f>
        <v>0</v>
      </c>
      <c r="CX27" s="17">
        <f>SUMIFS('Pasted Bridges'!$G:$G,'Pasted Bridges'!$B:$B,$C27,'Pasted Bridges'!$F:$F,CX$5)</f>
        <v>0</v>
      </c>
      <c r="CY27" s="17">
        <f>SUMIFS('Pasted Bridges'!$G:$G,'Pasted Bridges'!$B:$B,$C27,'Pasted Bridges'!$F:$F,CY$5)</f>
        <v>0</v>
      </c>
      <c r="CZ27" s="17">
        <f>SUMIFS('Pasted Bridges'!$G:$G,'Pasted Bridges'!$B:$B,$C27,'Pasted Bridges'!$F:$F,CZ$5)</f>
        <v>0</v>
      </c>
      <c r="DA27" s="17">
        <f>SUMIFS('Pasted Bridges'!$G:$G,'Pasted Bridges'!$B:$B,$C27,'Pasted Bridges'!$F:$F,DA$5)</f>
        <v>0</v>
      </c>
    </row>
    <row r="28" spans="1:105" s="1" customFormat="1" x14ac:dyDescent="0.25">
      <c r="B28" s="58"/>
      <c r="C28" s="19" t="s">
        <v>21</v>
      </c>
      <c r="D28" s="19" t="s">
        <v>176</v>
      </c>
      <c r="E28" s="13" t="s">
        <v>199</v>
      </c>
      <c r="F28" s="2">
        <v>14</v>
      </c>
      <c r="G28" s="5">
        <v>1</v>
      </c>
      <c r="H28" s="2" t="s">
        <v>42</v>
      </c>
      <c r="I28" s="2">
        <v>0.02</v>
      </c>
      <c r="J28" s="3"/>
      <c r="K28" s="17">
        <f>SUMIFS('Pasted Bridges'!$G:$G,'Pasted Bridges'!$B:$B,$C28,'Pasted Bridges'!$F:$F,K$5)</f>
        <v>0</v>
      </c>
      <c r="L28" s="17">
        <f>SUMIFS('Pasted Bridges'!$G:$G,'Pasted Bridges'!$B:$B,$C28,'Pasted Bridges'!$F:$F,L$5)</f>
        <v>0</v>
      </c>
      <c r="M28" s="17">
        <f>SUMIFS('Pasted Bridges'!$G:$G,'Pasted Bridges'!$B:$B,$C28,'Pasted Bridges'!$F:$F,M$5)</f>
        <v>0</v>
      </c>
      <c r="N28" s="17">
        <f>SUMIFS('Pasted Bridges'!$G:$G,'Pasted Bridges'!$B:$B,$C28,'Pasted Bridges'!$F:$F,N$5)</f>
        <v>0</v>
      </c>
      <c r="O28" s="17">
        <f>SUMIFS('Pasted Bridges'!$G:$G,'Pasted Bridges'!$B:$B,$C28,'Pasted Bridges'!$F:$F,O$5)</f>
        <v>0</v>
      </c>
      <c r="P28" s="17">
        <f>SUMIFS('Pasted Bridges'!$G:$G,'Pasted Bridges'!$B:$B,$C28,'Pasted Bridges'!$F:$F,P$5)</f>
        <v>0</v>
      </c>
      <c r="Q28" s="17">
        <f>SUMIFS('Pasted Bridges'!$G:$G,'Pasted Bridges'!$B:$B,$C28,'Pasted Bridges'!$F:$F,Q$5)</f>
        <v>0</v>
      </c>
      <c r="R28" s="17">
        <f>SUMIFS('Pasted Bridges'!$G:$G,'Pasted Bridges'!$B:$B,$C28,'Pasted Bridges'!$F:$F,R$5)</f>
        <v>0</v>
      </c>
      <c r="S28" s="17">
        <f>SUMIFS('Pasted Bridges'!$G:$G,'Pasted Bridges'!$B:$B,$C28,'Pasted Bridges'!$F:$F,S$5)</f>
        <v>0</v>
      </c>
      <c r="T28" s="17">
        <f>SUMIFS('Pasted Bridges'!$G:$G,'Pasted Bridges'!$B:$B,$C28,'Pasted Bridges'!$F:$F,T$5)</f>
        <v>0</v>
      </c>
      <c r="U28" s="17">
        <f>SUMIFS('Pasted Bridges'!$G:$G,'Pasted Bridges'!$B:$B,$C28,'Pasted Bridges'!$F:$F,U$5)</f>
        <v>0</v>
      </c>
      <c r="V28" s="17">
        <f>SUMIFS('Pasted Bridges'!$G:$G,'Pasted Bridges'!$B:$B,$C28,'Pasted Bridges'!$F:$F,V$5)</f>
        <v>0</v>
      </c>
      <c r="W28" s="17">
        <f>SUMIFS('Pasted Bridges'!$G:$G,'Pasted Bridges'!$B:$B,$C28,'Pasted Bridges'!$F:$F,W$5)</f>
        <v>0</v>
      </c>
      <c r="X28" s="17">
        <f>SUMIFS('Pasted Bridges'!$G:$G,'Pasted Bridges'!$B:$B,$C28,'Pasted Bridges'!$F:$F,X$5)</f>
        <v>0</v>
      </c>
      <c r="Y28" s="17">
        <f>SUMIFS('Pasted Bridges'!$G:$G,'Pasted Bridges'!$B:$B,$C28,'Pasted Bridges'!$F:$F,Y$5)</f>
        <v>0</v>
      </c>
      <c r="Z28" s="17">
        <f>SUMIFS('Pasted Bridges'!$G:$G,'Pasted Bridges'!$B:$B,$C28,'Pasted Bridges'!$F:$F,Z$5)</f>
        <v>0</v>
      </c>
      <c r="AA28" s="17">
        <f>SUMIFS('Pasted Bridges'!$G:$G,'Pasted Bridges'!$B:$B,$C28,'Pasted Bridges'!$F:$F,AA$5)</f>
        <v>0</v>
      </c>
      <c r="AB28" s="17">
        <f>SUMIFS('Pasted Bridges'!$G:$G,'Pasted Bridges'!$B:$B,$C28,'Pasted Bridges'!$F:$F,AB$5)</f>
        <v>0</v>
      </c>
      <c r="AC28" s="17">
        <f>SUMIFS('Pasted Bridges'!$G:$G,'Pasted Bridges'!$B:$B,$C28,'Pasted Bridges'!$F:$F,AC$5)</f>
        <v>0</v>
      </c>
      <c r="AD28" s="17">
        <f>SUMIFS('Pasted Bridges'!$G:$G,'Pasted Bridges'!$B:$B,$C28,'Pasted Bridges'!$F:$F,AD$5)</f>
        <v>0</v>
      </c>
      <c r="AE28" s="17">
        <f>SUMIFS('Pasted Bridges'!$G:$G,'Pasted Bridges'!$B:$B,$C28,'Pasted Bridges'!$F:$F,AE$5)</f>
        <v>0</v>
      </c>
      <c r="AF28" s="17">
        <f>SUMIFS('Pasted Bridges'!$G:$G,'Pasted Bridges'!$B:$B,$C28,'Pasted Bridges'!$F:$F,AF$5)</f>
        <v>0</v>
      </c>
      <c r="AG28" s="17">
        <f>SUMIFS('Pasted Bridges'!$G:$G,'Pasted Bridges'!$B:$B,$C28,'Pasted Bridges'!$F:$F,AG$5)</f>
        <v>0</v>
      </c>
      <c r="AH28" s="17">
        <f>SUMIFS('Pasted Bridges'!$G:$G,'Pasted Bridges'!$B:$B,$C28,'Pasted Bridges'!$F:$F,AH$5)</f>
        <v>0</v>
      </c>
      <c r="AI28" s="17">
        <f>SUMIFS('Pasted Bridges'!$G:$G,'Pasted Bridges'!$B:$B,$C28,'Pasted Bridges'!$F:$F,AI$5)</f>
        <v>0</v>
      </c>
      <c r="AJ28" s="17">
        <f>SUMIFS('Pasted Bridges'!$G:$G,'Pasted Bridges'!$B:$B,$C28,'Pasted Bridges'!$F:$F,AJ$5)</f>
        <v>0</v>
      </c>
      <c r="AK28" s="17">
        <f>SUMIFS('Pasted Bridges'!$G:$G,'Pasted Bridges'!$B:$B,$C28,'Pasted Bridges'!$F:$F,AK$5)</f>
        <v>0</v>
      </c>
      <c r="AL28" s="17">
        <f>SUMIFS('Pasted Bridges'!$G:$G,'Pasted Bridges'!$B:$B,$C28,'Pasted Bridges'!$F:$F,AL$5)</f>
        <v>0</v>
      </c>
      <c r="AM28" s="17">
        <f>SUMIFS('Pasted Bridges'!$G:$G,'Pasted Bridges'!$B:$B,$C28,'Pasted Bridges'!$F:$F,AM$5)</f>
        <v>0</v>
      </c>
      <c r="AN28" s="17">
        <f>SUMIFS('Pasted Bridges'!$G:$G,'Pasted Bridges'!$B:$B,$C28,'Pasted Bridges'!$F:$F,AN$5)</f>
        <v>0</v>
      </c>
      <c r="AO28" s="17">
        <f>SUMIFS('Pasted Bridges'!$G:$G,'Pasted Bridges'!$B:$B,$C28,'Pasted Bridges'!$F:$F,AO$5)</f>
        <v>0</v>
      </c>
      <c r="AP28" s="17">
        <f>SUMIFS('Pasted Bridges'!$G:$G,'Pasted Bridges'!$B:$B,$C28,'Pasted Bridges'!$F:$F,AP$5)</f>
        <v>0</v>
      </c>
      <c r="AQ28" s="17">
        <f>SUMIFS('Pasted Bridges'!$G:$G,'Pasted Bridges'!$B:$B,$C28,'Pasted Bridges'!$F:$F,AQ$5)</f>
        <v>0</v>
      </c>
      <c r="AR28" s="17">
        <f>SUMIFS('Pasted Bridges'!$G:$G,'Pasted Bridges'!$B:$B,$C28,'Pasted Bridges'!$F:$F,AR$5)</f>
        <v>0</v>
      </c>
      <c r="AS28" s="17">
        <f>SUMIFS('Pasted Bridges'!$G:$G,'Pasted Bridges'!$B:$B,$C28,'Pasted Bridges'!$F:$F,AS$5)</f>
        <v>0</v>
      </c>
      <c r="AT28" s="17">
        <f>SUMIFS('Pasted Bridges'!$G:$G,'Pasted Bridges'!$B:$B,$C28,'Pasted Bridges'!$F:$F,AT$5)</f>
        <v>0</v>
      </c>
      <c r="AU28" s="17">
        <f>SUMIFS('Pasted Bridges'!$G:$G,'Pasted Bridges'!$B:$B,$C28,'Pasted Bridges'!$F:$F,AU$5)</f>
        <v>0</v>
      </c>
      <c r="AV28" s="17">
        <f>SUMIFS('Pasted Bridges'!$G:$G,'Pasted Bridges'!$B:$B,$C28,'Pasted Bridges'!$F:$F,AV$5)</f>
        <v>0</v>
      </c>
      <c r="AW28" s="17">
        <f>SUMIFS('Pasted Bridges'!$G:$G,'Pasted Bridges'!$B:$B,$C28,'Pasted Bridges'!$F:$F,AW$5)</f>
        <v>0</v>
      </c>
      <c r="AX28" s="17">
        <f>SUMIFS('Pasted Bridges'!$G:$G,'Pasted Bridges'!$B:$B,$C28,'Pasted Bridges'!$F:$F,AX$5)</f>
        <v>0</v>
      </c>
      <c r="AY28" s="17">
        <f>SUMIFS('Pasted Bridges'!$G:$G,'Pasted Bridges'!$B:$B,$C28,'Pasted Bridges'!$F:$F,AY$5)</f>
        <v>0</v>
      </c>
      <c r="AZ28" s="17">
        <f>SUMIFS('Pasted Bridges'!$G:$G,'Pasted Bridges'!$B:$B,$C28,'Pasted Bridges'!$F:$F,AZ$5)</f>
        <v>0</v>
      </c>
      <c r="BA28" s="17">
        <f>SUMIFS('Pasted Bridges'!$G:$G,'Pasted Bridges'!$B:$B,$C28,'Pasted Bridges'!$F:$F,BA$5)</f>
        <v>0</v>
      </c>
      <c r="BB28" s="17">
        <f>SUMIFS('Pasted Bridges'!$G:$G,'Pasted Bridges'!$B:$B,$C28,'Pasted Bridges'!$F:$F,BB$5)</f>
        <v>0</v>
      </c>
      <c r="BC28" s="17">
        <f>SUMIFS('Pasted Bridges'!$G:$G,'Pasted Bridges'!$B:$B,$C28,'Pasted Bridges'!$F:$F,BC$5)</f>
        <v>0</v>
      </c>
      <c r="BD28" s="17">
        <f>SUMIFS('Pasted Bridges'!$G:$G,'Pasted Bridges'!$B:$B,$C28,'Pasted Bridges'!$F:$F,BD$5)</f>
        <v>0</v>
      </c>
      <c r="BE28" s="17">
        <f>SUMIFS('Pasted Bridges'!$G:$G,'Pasted Bridges'!$B:$B,$C28,'Pasted Bridges'!$F:$F,BE$5)</f>
        <v>0</v>
      </c>
      <c r="BF28" s="17">
        <f>SUMIFS('Pasted Bridges'!$G:$G,'Pasted Bridges'!$B:$B,$C28,'Pasted Bridges'!$F:$F,BF$5)</f>
        <v>0</v>
      </c>
      <c r="BG28" s="17">
        <f>SUMIFS('Pasted Bridges'!$G:$G,'Pasted Bridges'!$B:$B,$C28,'Pasted Bridges'!$F:$F,BG$5)</f>
        <v>0</v>
      </c>
      <c r="BH28" s="17">
        <f>SUMIFS('Pasted Bridges'!$G:$G,'Pasted Bridges'!$B:$B,$C28,'Pasted Bridges'!$F:$F,BH$5)</f>
        <v>0</v>
      </c>
      <c r="BI28" s="17">
        <f>SUMIFS('Pasted Bridges'!$G:$G,'Pasted Bridges'!$B:$B,$C28,'Pasted Bridges'!$F:$F,BI$5)</f>
        <v>0</v>
      </c>
      <c r="BJ28" s="17">
        <f>SUMIFS('Pasted Bridges'!$G:$G,'Pasted Bridges'!$B:$B,$C28,'Pasted Bridges'!$F:$F,BJ$5)</f>
        <v>0</v>
      </c>
      <c r="BK28" s="17">
        <f>SUMIFS('Pasted Bridges'!$G:$G,'Pasted Bridges'!$B:$B,$C28,'Pasted Bridges'!$F:$F,BK$5)</f>
        <v>0</v>
      </c>
      <c r="BL28" s="17">
        <f>SUMIFS('Pasted Bridges'!$G:$G,'Pasted Bridges'!$B:$B,$C28,'Pasted Bridges'!$F:$F,BL$5)</f>
        <v>0</v>
      </c>
      <c r="BM28" s="17">
        <f>SUMIFS('Pasted Bridges'!$G:$G,'Pasted Bridges'!$B:$B,$C28,'Pasted Bridges'!$F:$F,BM$5)</f>
        <v>0</v>
      </c>
      <c r="BN28" s="17">
        <f>SUMIFS('Pasted Bridges'!$G:$G,'Pasted Bridges'!$B:$B,$C28,'Pasted Bridges'!$F:$F,BN$5)</f>
        <v>0</v>
      </c>
      <c r="BO28" s="17">
        <f>SUMIFS('Pasted Bridges'!$G:$G,'Pasted Bridges'!$B:$B,$C28,'Pasted Bridges'!$F:$F,BO$5)</f>
        <v>0</v>
      </c>
      <c r="BP28" s="17">
        <f>SUMIFS('Pasted Bridges'!$G:$G,'Pasted Bridges'!$B:$B,$C28,'Pasted Bridges'!$F:$F,BP$5)</f>
        <v>0</v>
      </c>
      <c r="BQ28" s="17">
        <f>SUMIFS('Pasted Bridges'!$G:$G,'Pasted Bridges'!$B:$B,$C28,'Pasted Bridges'!$F:$F,BQ$5)</f>
        <v>0</v>
      </c>
      <c r="BR28" s="17">
        <f>SUMIFS('Pasted Bridges'!$G:$G,'Pasted Bridges'!$B:$B,$C28,'Pasted Bridges'!$F:$F,BR$5)</f>
        <v>0</v>
      </c>
      <c r="BS28" s="17">
        <f>SUMIFS('Pasted Bridges'!$G:$G,'Pasted Bridges'!$B:$B,$C28,'Pasted Bridges'!$F:$F,BS$5)</f>
        <v>0</v>
      </c>
      <c r="BT28" s="17">
        <f>SUMIFS('Pasted Bridges'!$G:$G,'Pasted Bridges'!$B:$B,$C28,'Pasted Bridges'!$F:$F,BT$5)</f>
        <v>0</v>
      </c>
      <c r="BU28" s="17">
        <f>SUMIFS('Pasted Bridges'!$G:$G,'Pasted Bridges'!$B:$B,$C28,'Pasted Bridges'!$F:$F,BU$5)</f>
        <v>0</v>
      </c>
      <c r="BV28" s="17">
        <f>SUMIFS('Pasted Bridges'!$G:$G,'Pasted Bridges'!$B:$B,$C28,'Pasted Bridges'!$F:$F,BV$5)</f>
        <v>0</v>
      </c>
      <c r="BW28" s="17">
        <f>SUMIFS('Pasted Bridges'!$G:$G,'Pasted Bridges'!$B:$B,$C28,'Pasted Bridges'!$F:$F,BW$5)</f>
        <v>0</v>
      </c>
      <c r="BX28" s="17">
        <f>SUMIFS('Pasted Bridges'!$G:$G,'Pasted Bridges'!$B:$B,$C28,'Pasted Bridges'!$F:$F,BX$5)</f>
        <v>0</v>
      </c>
      <c r="BY28" s="17">
        <f>SUMIFS('Pasted Bridges'!$G:$G,'Pasted Bridges'!$B:$B,$C28,'Pasted Bridges'!$F:$F,BY$5)</f>
        <v>0</v>
      </c>
      <c r="BZ28" s="17">
        <f>SUMIFS('Pasted Bridges'!$G:$G,'Pasted Bridges'!$B:$B,$C28,'Pasted Bridges'!$F:$F,BZ$5)</f>
        <v>0</v>
      </c>
      <c r="CA28" s="17">
        <f>SUMIFS('Pasted Bridges'!$G:$G,'Pasted Bridges'!$B:$B,$C28,'Pasted Bridges'!$F:$F,CA$5)</f>
        <v>0</v>
      </c>
      <c r="CB28" s="17">
        <f>SUMIFS('Pasted Bridges'!$G:$G,'Pasted Bridges'!$B:$B,$C28,'Pasted Bridges'!$F:$F,CB$5)</f>
        <v>0</v>
      </c>
      <c r="CC28" s="17">
        <f>SUMIFS('Pasted Bridges'!$G:$G,'Pasted Bridges'!$B:$B,$C28,'Pasted Bridges'!$F:$F,CC$5)</f>
        <v>0</v>
      </c>
      <c r="CD28" s="17">
        <f>SUMIFS('Pasted Bridges'!$G:$G,'Pasted Bridges'!$B:$B,$C28,'Pasted Bridges'!$F:$F,CD$5)</f>
        <v>0</v>
      </c>
      <c r="CE28" s="17">
        <f>SUMIFS('Pasted Bridges'!$G:$G,'Pasted Bridges'!$B:$B,$C28,'Pasted Bridges'!$F:$F,CE$5)</f>
        <v>0</v>
      </c>
      <c r="CF28" s="17">
        <f>SUMIFS('Pasted Bridges'!$G:$G,'Pasted Bridges'!$B:$B,$C28,'Pasted Bridges'!$F:$F,CF$5)</f>
        <v>0</v>
      </c>
      <c r="CG28" s="17">
        <f>SUMIFS('Pasted Bridges'!$G:$G,'Pasted Bridges'!$B:$B,$C28,'Pasted Bridges'!$F:$F,CG$5)</f>
        <v>0</v>
      </c>
      <c r="CH28" s="17">
        <f>SUMIFS('Pasted Bridges'!$G:$G,'Pasted Bridges'!$B:$B,$C28,'Pasted Bridges'!$F:$F,CH$5)</f>
        <v>0</v>
      </c>
      <c r="CI28" s="17">
        <f>SUMIFS('Pasted Bridges'!$G:$G,'Pasted Bridges'!$B:$B,$C28,'Pasted Bridges'!$F:$F,CI$5)</f>
        <v>0</v>
      </c>
      <c r="CJ28" s="17">
        <f>SUMIFS('Pasted Bridges'!$G:$G,'Pasted Bridges'!$B:$B,$C28,'Pasted Bridges'!$F:$F,CJ$5)</f>
        <v>0</v>
      </c>
      <c r="CK28" s="17">
        <f>SUMIFS('Pasted Bridges'!$G:$G,'Pasted Bridges'!$B:$B,$C28,'Pasted Bridges'!$F:$F,CK$5)</f>
        <v>0</v>
      </c>
      <c r="CL28" s="17">
        <f>SUMIFS('Pasted Bridges'!$G:$G,'Pasted Bridges'!$B:$B,$C28,'Pasted Bridges'!$F:$F,CL$5)</f>
        <v>0</v>
      </c>
      <c r="CM28" s="17">
        <f>SUMIFS('Pasted Bridges'!$G:$G,'Pasted Bridges'!$B:$B,$C28,'Pasted Bridges'!$F:$F,CM$5)</f>
        <v>0</v>
      </c>
      <c r="CN28" s="17">
        <f>SUMIFS('Pasted Bridges'!$G:$G,'Pasted Bridges'!$B:$B,$C28,'Pasted Bridges'!$F:$F,CN$5)</f>
        <v>0</v>
      </c>
      <c r="CO28" s="17">
        <f>SUMIFS('Pasted Bridges'!$G:$G,'Pasted Bridges'!$B:$B,$C28,'Pasted Bridges'!$F:$F,CO$5)</f>
        <v>0</v>
      </c>
      <c r="CP28" s="17">
        <f>SUMIFS('Pasted Bridges'!$G:$G,'Pasted Bridges'!$B:$B,$C28,'Pasted Bridges'!$F:$F,CP$5)</f>
        <v>0</v>
      </c>
      <c r="CQ28" s="17">
        <f>SUMIFS('Pasted Bridges'!$G:$G,'Pasted Bridges'!$B:$B,$C28,'Pasted Bridges'!$F:$F,CQ$5)</f>
        <v>0</v>
      </c>
      <c r="CR28" s="17">
        <f>SUMIFS('Pasted Bridges'!$G:$G,'Pasted Bridges'!$B:$B,$C28,'Pasted Bridges'!$F:$F,CR$5)</f>
        <v>0</v>
      </c>
      <c r="CS28" s="17">
        <f>SUMIFS('Pasted Bridges'!$G:$G,'Pasted Bridges'!$B:$B,$C28,'Pasted Bridges'!$F:$F,CS$5)</f>
        <v>0</v>
      </c>
      <c r="CT28" s="17">
        <f>SUMIFS('Pasted Bridges'!$G:$G,'Pasted Bridges'!$B:$B,$C28,'Pasted Bridges'!$F:$F,CT$5)</f>
        <v>0</v>
      </c>
      <c r="CU28" s="17">
        <f>SUMIFS('Pasted Bridges'!$G:$G,'Pasted Bridges'!$B:$B,$C28,'Pasted Bridges'!$F:$F,CU$5)</f>
        <v>0</v>
      </c>
      <c r="CV28" s="17">
        <f>SUMIFS('Pasted Bridges'!$G:$G,'Pasted Bridges'!$B:$B,$C28,'Pasted Bridges'!$F:$F,CV$5)</f>
        <v>0</v>
      </c>
      <c r="CW28" s="17">
        <f>SUMIFS('Pasted Bridges'!$G:$G,'Pasted Bridges'!$B:$B,$C28,'Pasted Bridges'!$F:$F,CW$5)</f>
        <v>0</v>
      </c>
      <c r="CX28" s="17">
        <f>SUMIFS('Pasted Bridges'!$G:$G,'Pasted Bridges'!$B:$B,$C28,'Pasted Bridges'!$F:$F,CX$5)</f>
        <v>0</v>
      </c>
      <c r="CY28" s="17">
        <f>SUMIFS('Pasted Bridges'!$G:$G,'Pasted Bridges'!$B:$B,$C28,'Pasted Bridges'!$F:$F,CY$5)</f>
        <v>0</v>
      </c>
      <c r="CZ28" s="17">
        <f>SUMIFS('Pasted Bridges'!$G:$G,'Pasted Bridges'!$B:$B,$C28,'Pasted Bridges'!$F:$F,CZ$5)</f>
        <v>0</v>
      </c>
      <c r="DA28" s="17">
        <f>SUMIFS('Pasted Bridges'!$G:$G,'Pasted Bridges'!$B:$B,$C28,'Pasted Bridges'!$F:$F,DA$5)</f>
        <v>0</v>
      </c>
    </row>
    <row r="29" spans="1:105" s="1" customFormat="1" x14ac:dyDescent="0.25">
      <c r="B29" s="59"/>
      <c r="C29" s="19" t="s">
        <v>9</v>
      </c>
      <c r="D29" s="19" t="s">
        <v>177</v>
      </c>
      <c r="E29" s="13" t="s">
        <v>199</v>
      </c>
      <c r="F29" s="2">
        <v>16</v>
      </c>
      <c r="G29" s="5">
        <v>0.15</v>
      </c>
      <c r="H29" s="2" t="s">
        <v>42</v>
      </c>
      <c r="I29" s="2">
        <v>0.24</v>
      </c>
      <c r="J29" s="3"/>
      <c r="K29" s="17">
        <f>SUMIFS('Pasted Bridges'!$G:$G,'Pasted Bridges'!$B:$B,$C29,'Pasted Bridges'!$F:$F,K$5)</f>
        <v>0</v>
      </c>
      <c r="L29" s="17">
        <f>SUMIFS('Pasted Bridges'!$G:$G,'Pasted Bridges'!$B:$B,$C29,'Pasted Bridges'!$F:$F,L$5)</f>
        <v>0</v>
      </c>
      <c r="M29" s="17">
        <f>SUMIFS('Pasted Bridges'!$G:$G,'Pasted Bridges'!$B:$B,$C29,'Pasted Bridges'!$F:$F,M$5)</f>
        <v>0</v>
      </c>
      <c r="N29" s="17">
        <f>SUMIFS('Pasted Bridges'!$G:$G,'Pasted Bridges'!$B:$B,$C29,'Pasted Bridges'!$F:$F,N$5)</f>
        <v>0</v>
      </c>
      <c r="O29" s="17">
        <f>SUMIFS('Pasted Bridges'!$G:$G,'Pasted Bridges'!$B:$B,$C29,'Pasted Bridges'!$F:$F,O$5)</f>
        <v>0</v>
      </c>
      <c r="P29" s="17">
        <f>SUMIFS('Pasted Bridges'!$G:$G,'Pasted Bridges'!$B:$B,$C29,'Pasted Bridges'!$F:$F,P$5)</f>
        <v>0</v>
      </c>
      <c r="Q29" s="17">
        <f>SUMIFS('Pasted Bridges'!$G:$G,'Pasted Bridges'!$B:$B,$C29,'Pasted Bridges'!$F:$F,Q$5)</f>
        <v>0</v>
      </c>
      <c r="R29" s="17">
        <f>SUMIFS('Pasted Bridges'!$G:$G,'Pasted Bridges'!$B:$B,$C29,'Pasted Bridges'!$F:$F,R$5)</f>
        <v>0</v>
      </c>
      <c r="S29" s="17">
        <f>SUMIFS('Pasted Bridges'!$G:$G,'Pasted Bridges'!$B:$B,$C29,'Pasted Bridges'!$F:$F,S$5)</f>
        <v>0</v>
      </c>
      <c r="T29" s="17">
        <f>SUMIFS('Pasted Bridges'!$G:$G,'Pasted Bridges'!$B:$B,$C29,'Pasted Bridges'!$F:$F,T$5)</f>
        <v>0</v>
      </c>
      <c r="U29" s="17">
        <f>SUMIFS('Pasted Bridges'!$G:$G,'Pasted Bridges'!$B:$B,$C29,'Pasted Bridges'!$F:$F,U$5)</f>
        <v>0</v>
      </c>
      <c r="V29" s="17">
        <f>SUMIFS('Pasted Bridges'!$G:$G,'Pasted Bridges'!$B:$B,$C29,'Pasted Bridges'!$F:$F,V$5)</f>
        <v>0</v>
      </c>
      <c r="W29" s="17">
        <f>SUMIFS('Pasted Bridges'!$G:$G,'Pasted Bridges'!$B:$B,$C29,'Pasted Bridges'!$F:$F,W$5)</f>
        <v>0</v>
      </c>
      <c r="X29" s="17">
        <f>SUMIFS('Pasted Bridges'!$G:$G,'Pasted Bridges'!$B:$B,$C29,'Pasted Bridges'!$F:$F,X$5)</f>
        <v>0</v>
      </c>
      <c r="Y29" s="17">
        <f>SUMIFS('Pasted Bridges'!$G:$G,'Pasted Bridges'!$B:$B,$C29,'Pasted Bridges'!$F:$F,Y$5)</f>
        <v>0</v>
      </c>
      <c r="Z29" s="17">
        <f>SUMIFS('Pasted Bridges'!$G:$G,'Pasted Bridges'!$B:$B,$C29,'Pasted Bridges'!$F:$F,Z$5)</f>
        <v>0</v>
      </c>
      <c r="AA29" s="17">
        <f>SUMIFS('Pasted Bridges'!$G:$G,'Pasted Bridges'!$B:$B,$C29,'Pasted Bridges'!$F:$F,AA$5)</f>
        <v>0</v>
      </c>
      <c r="AB29" s="17">
        <f>SUMIFS('Pasted Bridges'!$G:$G,'Pasted Bridges'!$B:$B,$C29,'Pasted Bridges'!$F:$F,AB$5)</f>
        <v>0</v>
      </c>
      <c r="AC29" s="17">
        <f>SUMIFS('Pasted Bridges'!$G:$G,'Pasted Bridges'!$B:$B,$C29,'Pasted Bridges'!$F:$F,AC$5)</f>
        <v>0</v>
      </c>
      <c r="AD29" s="17">
        <f>SUMIFS('Pasted Bridges'!$G:$G,'Pasted Bridges'!$B:$B,$C29,'Pasted Bridges'!$F:$F,AD$5)</f>
        <v>0</v>
      </c>
      <c r="AE29" s="17">
        <f>SUMIFS('Pasted Bridges'!$G:$G,'Pasted Bridges'!$B:$B,$C29,'Pasted Bridges'!$F:$F,AE$5)</f>
        <v>0</v>
      </c>
      <c r="AF29" s="17">
        <f>SUMIFS('Pasted Bridges'!$G:$G,'Pasted Bridges'!$B:$B,$C29,'Pasted Bridges'!$F:$F,AF$5)</f>
        <v>0</v>
      </c>
      <c r="AG29" s="17">
        <f>SUMIFS('Pasted Bridges'!$G:$G,'Pasted Bridges'!$B:$B,$C29,'Pasted Bridges'!$F:$F,AG$5)</f>
        <v>0</v>
      </c>
      <c r="AH29" s="17">
        <f>SUMIFS('Pasted Bridges'!$G:$G,'Pasted Bridges'!$B:$B,$C29,'Pasted Bridges'!$F:$F,AH$5)</f>
        <v>0</v>
      </c>
      <c r="AI29" s="17">
        <f>SUMIFS('Pasted Bridges'!$G:$G,'Pasted Bridges'!$B:$B,$C29,'Pasted Bridges'!$F:$F,AI$5)</f>
        <v>0</v>
      </c>
      <c r="AJ29" s="17">
        <f>SUMIFS('Pasted Bridges'!$G:$G,'Pasted Bridges'!$B:$B,$C29,'Pasted Bridges'!$F:$F,AJ$5)</f>
        <v>0</v>
      </c>
      <c r="AK29" s="17">
        <f>SUMIFS('Pasted Bridges'!$G:$G,'Pasted Bridges'!$B:$B,$C29,'Pasted Bridges'!$F:$F,AK$5)</f>
        <v>0</v>
      </c>
      <c r="AL29" s="17">
        <f>SUMIFS('Pasted Bridges'!$G:$G,'Pasted Bridges'!$B:$B,$C29,'Pasted Bridges'!$F:$F,AL$5)</f>
        <v>0</v>
      </c>
      <c r="AM29" s="17">
        <f>SUMIFS('Pasted Bridges'!$G:$G,'Pasted Bridges'!$B:$B,$C29,'Pasted Bridges'!$F:$F,AM$5)</f>
        <v>0</v>
      </c>
      <c r="AN29" s="17">
        <f>SUMIFS('Pasted Bridges'!$G:$G,'Pasted Bridges'!$B:$B,$C29,'Pasted Bridges'!$F:$F,AN$5)</f>
        <v>0</v>
      </c>
      <c r="AO29" s="17">
        <f>SUMIFS('Pasted Bridges'!$G:$G,'Pasted Bridges'!$B:$B,$C29,'Pasted Bridges'!$F:$F,AO$5)</f>
        <v>0</v>
      </c>
      <c r="AP29" s="17">
        <f>SUMIFS('Pasted Bridges'!$G:$G,'Pasted Bridges'!$B:$B,$C29,'Pasted Bridges'!$F:$F,AP$5)</f>
        <v>0</v>
      </c>
      <c r="AQ29" s="17">
        <f>SUMIFS('Pasted Bridges'!$G:$G,'Pasted Bridges'!$B:$B,$C29,'Pasted Bridges'!$F:$F,AQ$5)</f>
        <v>0</v>
      </c>
      <c r="AR29" s="17">
        <f>SUMIFS('Pasted Bridges'!$G:$G,'Pasted Bridges'!$B:$B,$C29,'Pasted Bridges'!$F:$F,AR$5)</f>
        <v>0</v>
      </c>
      <c r="AS29" s="17">
        <f>SUMIFS('Pasted Bridges'!$G:$G,'Pasted Bridges'!$B:$B,$C29,'Pasted Bridges'!$F:$F,AS$5)</f>
        <v>0</v>
      </c>
      <c r="AT29" s="17">
        <f>SUMIFS('Pasted Bridges'!$G:$G,'Pasted Bridges'!$B:$B,$C29,'Pasted Bridges'!$F:$F,AT$5)</f>
        <v>0</v>
      </c>
      <c r="AU29" s="17">
        <f>SUMIFS('Pasted Bridges'!$G:$G,'Pasted Bridges'!$B:$B,$C29,'Pasted Bridges'!$F:$F,AU$5)</f>
        <v>0</v>
      </c>
      <c r="AV29" s="17">
        <f>SUMIFS('Pasted Bridges'!$G:$G,'Pasted Bridges'!$B:$B,$C29,'Pasted Bridges'!$F:$F,AV$5)</f>
        <v>0</v>
      </c>
      <c r="AW29" s="17">
        <f>SUMIFS('Pasted Bridges'!$G:$G,'Pasted Bridges'!$B:$B,$C29,'Pasted Bridges'!$F:$F,AW$5)</f>
        <v>0</v>
      </c>
      <c r="AX29" s="17">
        <f>SUMIFS('Pasted Bridges'!$G:$G,'Pasted Bridges'!$B:$B,$C29,'Pasted Bridges'!$F:$F,AX$5)</f>
        <v>0</v>
      </c>
      <c r="AY29" s="17">
        <f>SUMIFS('Pasted Bridges'!$G:$G,'Pasted Bridges'!$B:$B,$C29,'Pasted Bridges'!$F:$F,AY$5)</f>
        <v>0</v>
      </c>
      <c r="AZ29" s="17">
        <f>SUMIFS('Pasted Bridges'!$G:$G,'Pasted Bridges'!$B:$B,$C29,'Pasted Bridges'!$F:$F,AZ$5)</f>
        <v>0</v>
      </c>
      <c r="BA29" s="17">
        <f>SUMIFS('Pasted Bridges'!$G:$G,'Pasted Bridges'!$B:$B,$C29,'Pasted Bridges'!$F:$F,BA$5)</f>
        <v>0</v>
      </c>
      <c r="BB29" s="17">
        <f>SUMIFS('Pasted Bridges'!$G:$G,'Pasted Bridges'!$B:$B,$C29,'Pasted Bridges'!$F:$F,BB$5)</f>
        <v>0</v>
      </c>
      <c r="BC29" s="17">
        <f>SUMIFS('Pasted Bridges'!$G:$G,'Pasted Bridges'!$B:$B,$C29,'Pasted Bridges'!$F:$F,BC$5)</f>
        <v>0</v>
      </c>
      <c r="BD29" s="17">
        <f>SUMIFS('Pasted Bridges'!$G:$G,'Pasted Bridges'!$B:$B,$C29,'Pasted Bridges'!$F:$F,BD$5)</f>
        <v>0</v>
      </c>
      <c r="BE29" s="17">
        <f>SUMIFS('Pasted Bridges'!$G:$G,'Pasted Bridges'!$B:$B,$C29,'Pasted Bridges'!$F:$F,BE$5)</f>
        <v>0</v>
      </c>
      <c r="BF29" s="17">
        <f>SUMIFS('Pasted Bridges'!$G:$G,'Pasted Bridges'!$B:$B,$C29,'Pasted Bridges'!$F:$F,BF$5)</f>
        <v>0</v>
      </c>
      <c r="BG29" s="17">
        <f>SUMIFS('Pasted Bridges'!$G:$G,'Pasted Bridges'!$B:$B,$C29,'Pasted Bridges'!$F:$F,BG$5)</f>
        <v>0</v>
      </c>
      <c r="BH29" s="17">
        <f>SUMIFS('Pasted Bridges'!$G:$G,'Pasted Bridges'!$B:$B,$C29,'Pasted Bridges'!$F:$F,BH$5)</f>
        <v>0</v>
      </c>
      <c r="BI29" s="17">
        <f>SUMIFS('Pasted Bridges'!$G:$G,'Pasted Bridges'!$B:$B,$C29,'Pasted Bridges'!$F:$F,BI$5)</f>
        <v>0</v>
      </c>
      <c r="BJ29" s="17">
        <f>SUMIFS('Pasted Bridges'!$G:$G,'Pasted Bridges'!$B:$B,$C29,'Pasted Bridges'!$F:$F,BJ$5)</f>
        <v>0</v>
      </c>
      <c r="BK29" s="17">
        <f>SUMIFS('Pasted Bridges'!$G:$G,'Pasted Bridges'!$B:$B,$C29,'Pasted Bridges'!$F:$F,BK$5)</f>
        <v>0</v>
      </c>
      <c r="BL29" s="17">
        <f>SUMIFS('Pasted Bridges'!$G:$G,'Pasted Bridges'!$B:$B,$C29,'Pasted Bridges'!$F:$F,BL$5)</f>
        <v>0</v>
      </c>
      <c r="BM29" s="17">
        <f>SUMIFS('Pasted Bridges'!$G:$G,'Pasted Bridges'!$B:$B,$C29,'Pasted Bridges'!$F:$F,BM$5)</f>
        <v>0</v>
      </c>
      <c r="BN29" s="17">
        <f>SUMIFS('Pasted Bridges'!$G:$G,'Pasted Bridges'!$B:$B,$C29,'Pasted Bridges'!$F:$F,BN$5)</f>
        <v>0</v>
      </c>
      <c r="BO29" s="17">
        <f>SUMIFS('Pasted Bridges'!$G:$G,'Pasted Bridges'!$B:$B,$C29,'Pasted Bridges'!$F:$F,BO$5)</f>
        <v>0</v>
      </c>
      <c r="BP29" s="17">
        <f>SUMIFS('Pasted Bridges'!$G:$G,'Pasted Bridges'!$B:$B,$C29,'Pasted Bridges'!$F:$F,BP$5)</f>
        <v>0</v>
      </c>
      <c r="BQ29" s="17">
        <f>SUMIFS('Pasted Bridges'!$G:$G,'Pasted Bridges'!$B:$B,$C29,'Pasted Bridges'!$F:$F,BQ$5)</f>
        <v>0</v>
      </c>
      <c r="BR29" s="17">
        <f>SUMIFS('Pasted Bridges'!$G:$G,'Pasted Bridges'!$B:$B,$C29,'Pasted Bridges'!$F:$F,BR$5)</f>
        <v>0</v>
      </c>
      <c r="BS29" s="17">
        <f>SUMIFS('Pasted Bridges'!$G:$G,'Pasted Bridges'!$B:$B,$C29,'Pasted Bridges'!$F:$F,BS$5)</f>
        <v>0</v>
      </c>
      <c r="BT29" s="17">
        <f>SUMIFS('Pasted Bridges'!$G:$G,'Pasted Bridges'!$B:$B,$C29,'Pasted Bridges'!$F:$F,BT$5)</f>
        <v>0</v>
      </c>
      <c r="BU29" s="17">
        <f>SUMIFS('Pasted Bridges'!$G:$G,'Pasted Bridges'!$B:$B,$C29,'Pasted Bridges'!$F:$F,BU$5)</f>
        <v>0</v>
      </c>
      <c r="BV29" s="17">
        <f>SUMIFS('Pasted Bridges'!$G:$G,'Pasted Bridges'!$B:$B,$C29,'Pasted Bridges'!$F:$F,BV$5)</f>
        <v>0</v>
      </c>
      <c r="BW29" s="17">
        <f>SUMIFS('Pasted Bridges'!$G:$G,'Pasted Bridges'!$B:$B,$C29,'Pasted Bridges'!$F:$F,BW$5)</f>
        <v>0</v>
      </c>
      <c r="BX29" s="17">
        <f>SUMIFS('Pasted Bridges'!$G:$G,'Pasted Bridges'!$B:$B,$C29,'Pasted Bridges'!$F:$F,BX$5)</f>
        <v>0</v>
      </c>
      <c r="BY29" s="17">
        <f>SUMIFS('Pasted Bridges'!$G:$G,'Pasted Bridges'!$B:$B,$C29,'Pasted Bridges'!$F:$F,BY$5)</f>
        <v>0</v>
      </c>
      <c r="BZ29" s="17">
        <f>SUMIFS('Pasted Bridges'!$G:$G,'Pasted Bridges'!$B:$B,$C29,'Pasted Bridges'!$F:$F,BZ$5)</f>
        <v>0</v>
      </c>
      <c r="CA29" s="17">
        <f>SUMIFS('Pasted Bridges'!$G:$G,'Pasted Bridges'!$B:$B,$C29,'Pasted Bridges'!$F:$F,CA$5)</f>
        <v>0</v>
      </c>
      <c r="CB29" s="17">
        <f>SUMIFS('Pasted Bridges'!$G:$G,'Pasted Bridges'!$B:$B,$C29,'Pasted Bridges'!$F:$F,CB$5)</f>
        <v>0</v>
      </c>
      <c r="CC29" s="17">
        <f>SUMIFS('Pasted Bridges'!$G:$G,'Pasted Bridges'!$B:$B,$C29,'Pasted Bridges'!$F:$F,CC$5)</f>
        <v>0</v>
      </c>
      <c r="CD29" s="17">
        <f>SUMIFS('Pasted Bridges'!$G:$G,'Pasted Bridges'!$B:$B,$C29,'Pasted Bridges'!$F:$F,CD$5)</f>
        <v>0</v>
      </c>
      <c r="CE29" s="17">
        <f>SUMIFS('Pasted Bridges'!$G:$G,'Pasted Bridges'!$B:$B,$C29,'Pasted Bridges'!$F:$F,CE$5)</f>
        <v>0</v>
      </c>
      <c r="CF29" s="17">
        <f>SUMIFS('Pasted Bridges'!$G:$G,'Pasted Bridges'!$B:$B,$C29,'Pasted Bridges'!$F:$F,CF$5)</f>
        <v>0</v>
      </c>
      <c r="CG29" s="17">
        <f>SUMIFS('Pasted Bridges'!$G:$G,'Pasted Bridges'!$B:$B,$C29,'Pasted Bridges'!$F:$F,CG$5)</f>
        <v>0</v>
      </c>
      <c r="CH29" s="17">
        <f>SUMIFS('Pasted Bridges'!$G:$G,'Pasted Bridges'!$B:$B,$C29,'Pasted Bridges'!$F:$F,CH$5)</f>
        <v>0</v>
      </c>
      <c r="CI29" s="17">
        <f>SUMIFS('Pasted Bridges'!$G:$G,'Pasted Bridges'!$B:$B,$C29,'Pasted Bridges'!$F:$F,CI$5)</f>
        <v>0</v>
      </c>
      <c r="CJ29" s="17">
        <f>SUMIFS('Pasted Bridges'!$G:$G,'Pasted Bridges'!$B:$B,$C29,'Pasted Bridges'!$F:$F,CJ$5)</f>
        <v>0</v>
      </c>
      <c r="CK29" s="17">
        <f>SUMIFS('Pasted Bridges'!$G:$G,'Pasted Bridges'!$B:$B,$C29,'Pasted Bridges'!$F:$F,CK$5)</f>
        <v>0</v>
      </c>
      <c r="CL29" s="17">
        <f>SUMIFS('Pasted Bridges'!$G:$G,'Pasted Bridges'!$B:$B,$C29,'Pasted Bridges'!$F:$F,CL$5)</f>
        <v>0</v>
      </c>
      <c r="CM29" s="17">
        <f>SUMIFS('Pasted Bridges'!$G:$G,'Pasted Bridges'!$B:$B,$C29,'Pasted Bridges'!$F:$F,CM$5)</f>
        <v>0</v>
      </c>
      <c r="CN29" s="17">
        <f>SUMIFS('Pasted Bridges'!$G:$G,'Pasted Bridges'!$B:$B,$C29,'Pasted Bridges'!$F:$F,CN$5)</f>
        <v>0</v>
      </c>
      <c r="CO29" s="17">
        <f>SUMIFS('Pasted Bridges'!$G:$G,'Pasted Bridges'!$B:$B,$C29,'Pasted Bridges'!$F:$F,CO$5)</f>
        <v>0</v>
      </c>
      <c r="CP29" s="17">
        <f>SUMIFS('Pasted Bridges'!$G:$G,'Pasted Bridges'!$B:$B,$C29,'Pasted Bridges'!$F:$F,CP$5)</f>
        <v>0</v>
      </c>
      <c r="CQ29" s="17">
        <f>SUMIFS('Pasted Bridges'!$G:$G,'Pasted Bridges'!$B:$B,$C29,'Pasted Bridges'!$F:$F,CQ$5)</f>
        <v>0</v>
      </c>
      <c r="CR29" s="17">
        <f>SUMIFS('Pasted Bridges'!$G:$G,'Pasted Bridges'!$B:$B,$C29,'Pasted Bridges'!$F:$F,CR$5)</f>
        <v>0</v>
      </c>
      <c r="CS29" s="17">
        <f>SUMIFS('Pasted Bridges'!$G:$G,'Pasted Bridges'!$B:$B,$C29,'Pasted Bridges'!$F:$F,CS$5)</f>
        <v>0</v>
      </c>
      <c r="CT29" s="17">
        <f>SUMIFS('Pasted Bridges'!$G:$G,'Pasted Bridges'!$B:$B,$C29,'Pasted Bridges'!$F:$F,CT$5)</f>
        <v>0</v>
      </c>
      <c r="CU29" s="17">
        <f>SUMIFS('Pasted Bridges'!$G:$G,'Pasted Bridges'!$B:$B,$C29,'Pasted Bridges'!$F:$F,CU$5)</f>
        <v>0</v>
      </c>
      <c r="CV29" s="17">
        <f>SUMIFS('Pasted Bridges'!$G:$G,'Pasted Bridges'!$B:$B,$C29,'Pasted Bridges'!$F:$F,CV$5)</f>
        <v>0</v>
      </c>
      <c r="CW29" s="17">
        <f>SUMIFS('Pasted Bridges'!$G:$G,'Pasted Bridges'!$B:$B,$C29,'Pasted Bridges'!$F:$F,CW$5)</f>
        <v>0</v>
      </c>
      <c r="CX29" s="17">
        <f>SUMIFS('Pasted Bridges'!$G:$G,'Pasted Bridges'!$B:$B,$C29,'Pasted Bridges'!$F:$F,CX$5)</f>
        <v>0</v>
      </c>
      <c r="CY29" s="17">
        <f>SUMIFS('Pasted Bridges'!$G:$G,'Pasted Bridges'!$B:$B,$C29,'Pasted Bridges'!$F:$F,CY$5)</f>
        <v>0</v>
      </c>
      <c r="CZ29" s="17">
        <f>SUMIFS('Pasted Bridges'!$G:$G,'Pasted Bridges'!$B:$B,$C29,'Pasted Bridges'!$F:$F,CZ$5)</f>
        <v>0</v>
      </c>
      <c r="DA29" s="17">
        <f>SUMIFS('Pasted Bridges'!$G:$G,'Pasted Bridges'!$B:$B,$C29,'Pasted Bridges'!$F:$F,DA$5)</f>
        <v>0</v>
      </c>
    </row>
    <row r="30" spans="1:105" s="1" customFormat="1" x14ac:dyDescent="0.25">
      <c r="B30" s="60"/>
      <c r="C30" s="19" t="s">
        <v>22</v>
      </c>
      <c r="D30" s="19" t="s">
        <v>178</v>
      </c>
      <c r="E30" s="13" t="s">
        <v>199</v>
      </c>
      <c r="F30" s="2">
        <v>25</v>
      </c>
      <c r="G30" s="14">
        <f>2*0.12</f>
        <v>0.24</v>
      </c>
      <c r="H30" s="2" t="s">
        <v>42</v>
      </c>
      <c r="I30" s="2">
        <v>0.06</v>
      </c>
      <c r="J30" s="3"/>
      <c r="K30" s="17">
        <f>SUMIFS('Pasted Bridges'!$G:$G,'Pasted Bridges'!$B:$B,$C30,'Pasted Bridges'!$F:$F,K$5)</f>
        <v>0</v>
      </c>
      <c r="L30" s="17">
        <f>SUMIFS('Pasted Bridges'!$G:$G,'Pasted Bridges'!$B:$B,$C30,'Pasted Bridges'!$F:$F,L$5)</f>
        <v>0</v>
      </c>
      <c r="M30" s="17">
        <f>SUMIFS('Pasted Bridges'!$G:$G,'Pasted Bridges'!$B:$B,$C30,'Pasted Bridges'!$F:$F,M$5)</f>
        <v>0</v>
      </c>
      <c r="N30" s="17">
        <f>SUMIFS('Pasted Bridges'!$G:$G,'Pasted Bridges'!$B:$B,$C30,'Pasted Bridges'!$F:$F,N$5)</f>
        <v>0</v>
      </c>
      <c r="O30" s="17">
        <f>SUMIFS('Pasted Bridges'!$G:$G,'Pasted Bridges'!$B:$B,$C30,'Pasted Bridges'!$F:$F,O$5)</f>
        <v>0</v>
      </c>
      <c r="P30" s="17">
        <f>SUMIFS('Pasted Bridges'!$G:$G,'Pasted Bridges'!$B:$B,$C30,'Pasted Bridges'!$F:$F,P$5)</f>
        <v>0</v>
      </c>
      <c r="Q30" s="17">
        <f>SUMIFS('Pasted Bridges'!$G:$G,'Pasted Bridges'!$B:$B,$C30,'Pasted Bridges'!$F:$F,Q$5)</f>
        <v>2.5</v>
      </c>
      <c r="R30" s="17">
        <f>SUMIFS('Pasted Bridges'!$G:$G,'Pasted Bridges'!$B:$B,$C30,'Pasted Bridges'!$F:$F,R$5)</f>
        <v>2.5</v>
      </c>
      <c r="S30" s="17">
        <f>SUMIFS('Pasted Bridges'!$G:$G,'Pasted Bridges'!$B:$B,$C30,'Pasted Bridges'!$F:$F,S$5)</f>
        <v>2.5</v>
      </c>
      <c r="T30" s="17">
        <f>SUMIFS('Pasted Bridges'!$G:$G,'Pasted Bridges'!$B:$B,$C30,'Pasted Bridges'!$F:$F,T$5)</f>
        <v>2.5</v>
      </c>
      <c r="U30" s="17">
        <f>SUMIFS('Pasted Bridges'!$G:$G,'Pasted Bridges'!$B:$B,$C30,'Pasted Bridges'!$F:$F,U$5)</f>
        <v>0</v>
      </c>
      <c r="V30" s="17">
        <f>SUMIFS('Pasted Bridges'!$G:$G,'Pasted Bridges'!$B:$B,$C30,'Pasted Bridges'!$F:$F,V$5)</f>
        <v>0</v>
      </c>
      <c r="W30" s="17">
        <f>SUMIFS('Pasted Bridges'!$G:$G,'Pasted Bridges'!$B:$B,$C30,'Pasted Bridges'!$F:$F,W$5)</f>
        <v>0</v>
      </c>
      <c r="X30" s="17">
        <f>SUMIFS('Pasted Bridges'!$G:$G,'Pasted Bridges'!$B:$B,$C30,'Pasted Bridges'!$F:$F,X$5)</f>
        <v>0</v>
      </c>
      <c r="Y30" s="17">
        <f>SUMIFS('Pasted Bridges'!$G:$G,'Pasted Bridges'!$B:$B,$C30,'Pasted Bridges'!$F:$F,Y$5)</f>
        <v>0</v>
      </c>
      <c r="Z30" s="17">
        <f>SUMIFS('Pasted Bridges'!$G:$G,'Pasted Bridges'!$B:$B,$C30,'Pasted Bridges'!$F:$F,Z$5)</f>
        <v>0</v>
      </c>
      <c r="AA30" s="17">
        <f>SUMIFS('Pasted Bridges'!$G:$G,'Pasted Bridges'!$B:$B,$C30,'Pasted Bridges'!$F:$F,AA$5)</f>
        <v>0</v>
      </c>
      <c r="AB30" s="17">
        <f>SUMIFS('Pasted Bridges'!$G:$G,'Pasted Bridges'!$B:$B,$C30,'Pasted Bridges'!$F:$F,AB$5)</f>
        <v>0</v>
      </c>
      <c r="AC30" s="17">
        <f>SUMIFS('Pasted Bridges'!$G:$G,'Pasted Bridges'!$B:$B,$C30,'Pasted Bridges'!$F:$F,AC$5)</f>
        <v>0</v>
      </c>
      <c r="AD30" s="17">
        <f>SUMIFS('Pasted Bridges'!$G:$G,'Pasted Bridges'!$B:$B,$C30,'Pasted Bridges'!$F:$F,AD$5)</f>
        <v>0</v>
      </c>
      <c r="AE30" s="17">
        <f>SUMIFS('Pasted Bridges'!$G:$G,'Pasted Bridges'!$B:$B,$C30,'Pasted Bridges'!$F:$F,AE$5)</f>
        <v>0</v>
      </c>
      <c r="AF30" s="17">
        <f>SUMIFS('Pasted Bridges'!$G:$G,'Pasted Bridges'!$B:$B,$C30,'Pasted Bridges'!$F:$F,AF$5)</f>
        <v>0</v>
      </c>
      <c r="AG30" s="17">
        <f>SUMIFS('Pasted Bridges'!$G:$G,'Pasted Bridges'!$B:$B,$C30,'Pasted Bridges'!$F:$F,AG$5)</f>
        <v>0</v>
      </c>
      <c r="AH30" s="17">
        <f>SUMIFS('Pasted Bridges'!$G:$G,'Pasted Bridges'!$B:$B,$C30,'Pasted Bridges'!$F:$F,AH$5)</f>
        <v>0</v>
      </c>
      <c r="AI30" s="17">
        <f>SUMIFS('Pasted Bridges'!$G:$G,'Pasted Bridges'!$B:$B,$C30,'Pasted Bridges'!$F:$F,AI$5)</f>
        <v>0</v>
      </c>
      <c r="AJ30" s="17">
        <f>SUMIFS('Pasted Bridges'!$G:$G,'Pasted Bridges'!$B:$B,$C30,'Pasted Bridges'!$F:$F,AJ$5)</f>
        <v>0</v>
      </c>
      <c r="AK30" s="17">
        <f>SUMIFS('Pasted Bridges'!$G:$G,'Pasted Bridges'!$B:$B,$C30,'Pasted Bridges'!$F:$F,AK$5)</f>
        <v>0</v>
      </c>
      <c r="AL30" s="17">
        <f>SUMIFS('Pasted Bridges'!$G:$G,'Pasted Bridges'!$B:$B,$C30,'Pasted Bridges'!$F:$F,AL$5)</f>
        <v>0</v>
      </c>
      <c r="AM30" s="17">
        <f>SUMIFS('Pasted Bridges'!$G:$G,'Pasted Bridges'!$B:$B,$C30,'Pasted Bridges'!$F:$F,AM$5)</f>
        <v>0</v>
      </c>
      <c r="AN30" s="17">
        <f>SUMIFS('Pasted Bridges'!$G:$G,'Pasted Bridges'!$B:$B,$C30,'Pasted Bridges'!$F:$F,AN$5)</f>
        <v>0</v>
      </c>
      <c r="AO30" s="17">
        <f>SUMIFS('Pasted Bridges'!$G:$G,'Pasted Bridges'!$B:$B,$C30,'Pasted Bridges'!$F:$F,AO$5)</f>
        <v>0</v>
      </c>
      <c r="AP30" s="17">
        <f>SUMIFS('Pasted Bridges'!$G:$G,'Pasted Bridges'!$B:$B,$C30,'Pasted Bridges'!$F:$F,AP$5)</f>
        <v>0</v>
      </c>
      <c r="AQ30" s="17">
        <f>SUMIFS('Pasted Bridges'!$G:$G,'Pasted Bridges'!$B:$B,$C30,'Pasted Bridges'!$F:$F,AQ$5)</f>
        <v>0</v>
      </c>
      <c r="AR30" s="17">
        <f>SUMIFS('Pasted Bridges'!$G:$G,'Pasted Bridges'!$B:$B,$C30,'Pasted Bridges'!$F:$F,AR$5)</f>
        <v>0</v>
      </c>
      <c r="AS30" s="17">
        <f>SUMIFS('Pasted Bridges'!$G:$G,'Pasted Bridges'!$B:$B,$C30,'Pasted Bridges'!$F:$F,AS$5)</f>
        <v>0</v>
      </c>
      <c r="AT30" s="17">
        <f>SUMIFS('Pasted Bridges'!$G:$G,'Pasted Bridges'!$B:$B,$C30,'Pasted Bridges'!$F:$F,AT$5)</f>
        <v>0</v>
      </c>
      <c r="AU30" s="17">
        <f>SUMIFS('Pasted Bridges'!$G:$G,'Pasted Bridges'!$B:$B,$C30,'Pasted Bridges'!$F:$F,AU$5)</f>
        <v>0</v>
      </c>
      <c r="AV30" s="17">
        <f>SUMIFS('Pasted Bridges'!$G:$G,'Pasted Bridges'!$B:$B,$C30,'Pasted Bridges'!$F:$F,AV$5)</f>
        <v>0</v>
      </c>
      <c r="AW30" s="17">
        <f>SUMIFS('Pasted Bridges'!$G:$G,'Pasted Bridges'!$B:$B,$C30,'Pasted Bridges'!$F:$F,AW$5)</f>
        <v>0</v>
      </c>
      <c r="AX30" s="17">
        <f>SUMIFS('Pasted Bridges'!$G:$G,'Pasted Bridges'!$B:$B,$C30,'Pasted Bridges'!$F:$F,AX$5)</f>
        <v>0</v>
      </c>
      <c r="AY30" s="17">
        <f>SUMIFS('Pasted Bridges'!$G:$G,'Pasted Bridges'!$B:$B,$C30,'Pasted Bridges'!$F:$F,AY$5)</f>
        <v>2.7</v>
      </c>
      <c r="AZ30" s="17">
        <f>SUMIFS('Pasted Bridges'!$G:$G,'Pasted Bridges'!$B:$B,$C30,'Pasted Bridges'!$F:$F,AZ$5)</f>
        <v>0</v>
      </c>
      <c r="BA30" s="17">
        <f>SUMIFS('Pasted Bridges'!$G:$G,'Pasted Bridges'!$B:$B,$C30,'Pasted Bridges'!$F:$F,BA$5)</f>
        <v>2.5</v>
      </c>
      <c r="BB30" s="17">
        <f>SUMIFS('Pasted Bridges'!$G:$G,'Pasted Bridges'!$B:$B,$C30,'Pasted Bridges'!$F:$F,BB$5)</f>
        <v>0</v>
      </c>
      <c r="BC30" s="17">
        <f>SUMIFS('Pasted Bridges'!$G:$G,'Pasted Bridges'!$B:$B,$C30,'Pasted Bridges'!$F:$F,BC$5)</f>
        <v>0</v>
      </c>
      <c r="BD30" s="17">
        <f>SUMIFS('Pasted Bridges'!$G:$G,'Pasted Bridges'!$B:$B,$C30,'Pasted Bridges'!$F:$F,BD$5)</f>
        <v>0</v>
      </c>
      <c r="BE30" s="17">
        <f>SUMIFS('Pasted Bridges'!$G:$G,'Pasted Bridges'!$B:$B,$C30,'Pasted Bridges'!$F:$F,BE$5)</f>
        <v>0</v>
      </c>
      <c r="BF30" s="17">
        <f>SUMIFS('Pasted Bridges'!$G:$G,'Pasted Bridges'!$B:$B,$C30,'Pasted Bridges'!$F:$F,BF$5)</f>
        <v>0</v>
      </c>
      <c r="BG30" s="17">
        <f>SUMIFS('Pasted Bridges'!$G:$G,'Pasted Bridges'!$B:$B,$C30,'Pasted Bridges'!$F:$F,BG$5)</f>
        <v>0</v>
      </c>
      <c r="BH30" s="17">
        <f>SUMIFS('Pasted Bridges'!$G:$G,'Pasted Bridges'!$B:$B,$C30,'Pasted Bridges'!$F:$F,BH$5)</f>
        <v>0</v>
      </c>
      <c r="BI30" s="17">
        <f>SUMIFS('Pasted Bridges'!$G:$G,'Pasted Bridges'!$B:$B,$C30,'Pasted Bridges'!$F:$F,BI$5)</f>
        <v>0</v>
      </c>
      <c r="BJ30" s="17">
        <f>SUMIFS('Pasted Bridges'!$G:$G,'Pasted Bridges'!$B:$B,$C30,'Pasted Bridges'!$F:$F,BJ$5)</f>
        <v>0</v>
      </c>
      <c r="BK30" s="17">
        <f>SUMIFS('Pasted Bridges'!$G:$G,'Pasted Bridges'!$B:$B,$C30,'Pasted Bridges'!$F:$F,BK$5)</f>
        <v>0</v>
      </c>
      <c r="BL30" s="17">
        <f>SUMIFS('Pasted Bridges'!$G:$G,'Pasted Bridges'!$B:$B,$C30,'Pasted Bridges'!$F:$F,BL$5)</f>
        <v>0</v>
      </c>
      <c r="BM30" s="17">
        <f>SUMIFS('Pasted Bridges'!$G:$G,'Pasted Bridges'!$B:$B,$C30,'Pasted Bridges'!$F:$F,BM$5)</f>
        <v>0</v>
      </c>
      <c r="BN30" s="17">
        <f>SUMIFS('Pasted Bridges'!$G:$G,'Pasted Bridges'!$B:$B,$C30,'Pasted Bridges'!$F:$F,BN$5)</f>
        <v>0</v>
      </c>
      <c r="BO30" s="17">
        <f>SUMIFS('Pasted Bridges'!$G:$G,'Pasted Bridges'!$B:$B,$C30,'Pasted Bridges'!$F:$F,BO$5)</f>
        <v>0</v>
      </c>
      <c r="BP30" s="17">
        <f>SUMIFS('Pasted Bridges'!$G:$G,'Pasted Bridges'!$B:$B,$C30,'Pasted Bridges'!$F:$F,BP$5)</f>
        <v>0</v>
      </c>
      <c r="BQ30" s="17">
        <f>SUMIFS('Pasted Bridges'!$G:$G,'Pasted Bridges'!$B:$B,$C30,'Pasted Bridges'!$F:$F,BQ$5)</f>
        <v>0</v>
      </c>
      <c r="BR30" s="17">
        <f>SUMIFS('Pasted Bridges'!$G:$G,'Pasted Bridges'!$B:$B,$C30,'Pasted Bridges'!$F:$F,BR$5)</f>
        <v>0</v>
      </c>
      <c r="BS30" s="17">
        <f>SUMIFS('Pasted Bridges'!$G:$G,'Pasted Bridges'!$B:$B,$C30,'Pasted Bridges'!$F:$F,BS$5)</f>
        <v>0</v>
      </c>
      <c r="BT30" s="17">
        <f>SUMIFS('Pasted Bridges'!$G:$G,'Pasted Bridges'!$B:$B,$C30,'Pasted Bridges'!$F:$F,BT$5)</f>
        <v>0</v>
      </c>
      <c r="BU30" s="17">
        <f>SUMIFS('Pasted Bridges'!$G:$G,'Pasted Bridges'!$B:$B,$C30,'Pasted Bridges'!$F:$F,BU$5)</f>
        <v>0</v>
      </c>
      <c r="BV30" s="17">
        <f>SUMIFS('Pasted Bridges'!$G:$G,'Pasted Bridges'!$B:$B,$C30,'Pasted Bridges'!$F:$F,BV$5)</f>
        <v>0</v>
      </c>
      <c r="BW30" s="17">
        <f>SUMIFS('Pasted Bridges'!$G:$G,'Pasted Bridges'!$B:$B,$C30,'Pasted Bridges'!$F:$F,BW$5)</f>
        <v>2.7</v>
      </c>
      <c r="BX30" s="17">
        <f>SUMIFS('Pasted Bridges'!$G:$G,'Pasted Bridges'!$B:$B,$C30,'Pasted Bridges'!$F:$F,BX$5)</f>
        <v>2.7</v>
      </c>
      <c r="BY30" s="17">
        <f>SUMIFS('Pasted Bridges'!$G:$G,'Pasted Bridges'!$B:$B,$C30,'Pasted Bridges'!$F:$F,BY$5)</f>
        <v>2.7</v>
      </c>
      <c r="BZ30" s="17">
        <f>SUMIFS('Pasted Bridges'!$G:$G,'Pasted Bridges'!$B:$B,$C30,'Pasted Bridges'!$F:$F,BZ$5)</f>
        <v>0</v>
      </c>
      <c r="CA30" s="17">
        <f>SUMIFS('Pasted Bridges'!$G:$G,'Pasted Bridges'!$B:$B,$C30,'Pasted Bridges'!$F:$F,CA$5)</f>
        <v>0</v>
      </c>
      <c r="CB30" s="17">
        <f>SUMIFS('Pasted Bridges'!$G:$G,'Pasted Bridges'!$B:$B,$C30,'Pasted Bridges'!$F:$F,CB$5)</f>
        <v>0</v>
      </c>
      <c r="CC30" s="17">
        <f>SUMIFS('Pasted Bridges'!$G:$G,'Pasted Bridges'!$B:$B,$C30,'Pasted Bridges'!$F:$F,CC$5)</f>
        <v>2.7</v>
      </c>
      <c r="CD30" s="17">
        <f>SUMIFS('Pasted Bridges'!$G:$G,'Pasted Bridges'!$B:$B,$C30,'Pasted Bridges'!$F:$F,CD$5)</f>
        <v>2.7</v>
      </c>
      <c r="CE30" s="17">
        <f>SUMIFS('Pasted Bridges'!$G:$G,'Pasted Bridges'!$B:$B,$C30,'Pasted Bridges'!$F:$F,CE$5)</f>
        <v>0</v>
      </c>
      <c r="CF30" s="17">
        <f>SUMIFS('Pasted Bridges'!$G:$G,'Pasted Bridges'!$B:$B,$C30,'Pasted Bridges'!$F:$F,CF$5)</f>
        <v>0</v>
      </c>
      <c r="CG30" s="17">
        <f>SUMIFS('Pasted Bridges'!$G:$G,'Pasted Bridges'!$B:$B,$C30,'Pasted Bridges'!$F:$F,CG$5)</f>
        <v>2.7</v>
      </c>
      <c r="CH30" s="17">
        <f>SUMIFS('Pasted Bridges'!$G:$G,'Pasted Bridges'!$B:$B,$C30,'Pasted Bridges'!$F:$F,CH$5)</f>
        <v>2.7</v>
      </c>
      <c r="CI30" s="17">
        <f>SUMIFS('Pasted Bridges'!$G:$G,'Pasted Bridges'!$B:$B,$C30,'Pasted Bridges'!$F:$F,CI$5)</f>
        <v>0</v>
      </c>
      <c r="CJ30" s="17">
        <f>SUMIFS('Pasted Bridges'!$G:$G,'Pasted Bridges'!$B:$B,$C30,'Pasted Bridges'!$F:$F,CJ$5)</f>
        <v>0</v>
      </c>
      <c r="CK30" s="17">
        <f>SUMIFS('Pasted Bridges'!$G:$G,'Pasted Bridges'!$B:$B,$C30,'Pasted Bridges'!$F:$F,CK$5)</f>
        <v>0</v>
      </c>
      <c r="CL30" s="17">
        <f>SUMIFS('Pasted Bridges'!$G:$G,'Pasted Bridges'!$B:$B,$C30,'Pasted Bridges'!$F:$F,CL$5)</f>
        <v>0</v>
      </c>
      <c r="CM30" s="17">
        <f>SUMIFS('Pasted Bridges'!$G:$G,'Pasted Bridges'!$B:$B,$C30,'Pasted Bridges'!$F:$F,CM$5)</f>
        <v>2.5</v>
      </c>
      <c r="CN30" s="17">
        <f>SUMIFS('Pasted Bridges'!$G:$G,'Pasted Bridges'!$B:$B,$C30,'Pasted Bridges'!$F:$F,CN$5)</f>
        <v>2.5</v>
      </c>
      <c r="CO30" s="17">
        <f>SUMIFS('Pasted Bridges'!$G:$G,'Pasted Bridges'!$B:$B,$C30,'Pasted Bridges'!$F:$F,CO$5)</f>
        <v>2.5</v>
      </c>
      <c r="CP30" s="17">
        <f>SUMIFS('Pasted Bridges'!$G:$G,'Pasted Bridges'!$B:$B,$C30,'Pasted Bridges'!$F:$F,CP$5)</f>
        <v>2.5</v>
      </c>
      <c r="CQ30" s="17">
        <f>SUMIFS('Pasted Bridges'!$G:$G,'Pasted Bridges'!$B:$B,$C30,'Pasted Bridges'!$F:$F,CQ$5)</f>
        <v>0</v>
      </c>
      <c r="CR30" s="17">
        <f>SUMIFS('Pasted Bridges'!$G:$G,'Pasted Bridges'!$B:$B,$C30,'Pasted Bridges'!$F:$F,CR$5)</f>
        <v>0</v>
      </c>
      <c r="CS30" s="17">
        <f>SUMIFS('Pasted Bridges'!$G:$G,'Pasted Bridges'!$B:$B,$C30,'Pasted Bridges'!$F:$F,CS$5)</f>
        <v>2.5</v>
      </c>
      <c r="CT30" s="17">
        <f>SUMIFS('Pasted Bridges'!$G:$G,'Pasted Bridges'!$B:$B,$C30,'Pasted Bridges'!$F:$F,CT$5)</f>
        <v>2.5</v>
      </c>
      <c r="CU30" s="17">
        <f>SUMIFS('Pasted Bridges'!$G:$G,'Pasted Bridges'!$B:$B,$C30,'Pasted Bridges'!$F:$F,CU$5)</f>
        <v>0</v>
      </c>
      <c r="CV30" s="17">
        <f>SUMIFS('Pasted Bridges'!$G:$G,'Pasted Bridges'!$B:$B,$C30,'Pasted Bridges'!$F:$F,CV$5)</f>
        <v>2.5</v>
      </c>
      <c r="CW30" s="17">
        <f>SUMIFS('Pasted Bridges'!$G:$G,'Pasted Bridges'!$B:$B,$C30,'Pasted Bridges'!$F:$F,CW$5)</f>
        <v>2.5</v>
      </c>
      <c r="CX30" s="17">
        <f>SUMIFS('Pasted Bridges'!$G:$G,'Pasted Bridges'!$B:$B,$C30,'Pasted Bridges'!$F:$F,CX$5)</f>
        <v>0</v>
      </c>
      <c r="CY30" s="17">
        <f>SUMIFS('Pasted Bridges'!$G:$G,'Pasted Bridges'!$B:$B,$C30,'Pasted Bridges'!$F:$F,CY$5)</f>
        <v>2.5</v>
      </c>
      <c r="CZ30" s="17">
        <f>SUMIFS('Pasted Bridges'!$G:$G,'Pasted Bridges'!$B:$B,$C30,'Pasted Bridges'!$F:$F,CZ$5)</f>
        <v>2.5</v>
      </c>
      <c r="DA30" s="17">
        <f>SUMIFS('Pasted Bridges'!$G:$G,'Pasted Bridges'!$B:$B,$C30,'Pasted Bridges'!$F:$F,DA$5)</f>
        <v>0</v>
      </c>
    </row>
    <row r="31" spans="1:105" s="1" customFormat="1" x14ac:dyDescent="0.25">
      <c r="B31" s="61"/>
      <c r="C31" s="19" t="s">
        <v>4</v>
      </c>
      <c r="D31" s="19" t="s">
        <v>179</v>
      </c>
      <c r="E31" s="13" t="s">
        <v>199</v>
      </c>
      <c r="F31" s="2">
        <v>26</v>
      </c>
      <c r="G31" s="14">
        <f>2*0.16</f>
        <v>0.32</v>
      </c>
      <c r="H31" s="2" t="s">
        <v>42</v>
      </c>
      <c r="I31" s="2">
        <v>0.08</v>
      </c>
      <c r="J31" s="3"/>
      <c r="K31" s="17">
        <f>SUMIFS('Pasted Bridges'!$G:$G,'Pasted Bridges'!$B:$B,$C31,'Pasted Bridges'!$F:$F,K$5)</f>
        <v>0</v>
      </c>
      <c r="L31" s="17">
        <f>SUMIFS('Pasted Bridges'!$G:$G,'Pasted Bridges'!$B:$B,$C31,'Pasted Bridges'!$F:$F,L$5)</f>
        <v>0</v>
      </c>
      <c r="M31" s="17">
        <f>SUMIFS('Pasted Bridges'!$G:$G,'Pasted Bridges'!$B:$B,$C31,'Pasted Bridges'!$F:$F,M$5)</f>
        <v>0</v>
      </c>
      <c r="N31" s="17">
        <f>SUMIFS('Pasted Bridges'!$G:$G,'Pasted Bridges'!$B:$B,$C31,'Pasted Bridges'!$F:$F,N$5)</f>
        <v>0</v>
      </c>
      <c r="O31" s="17">
        <f>SUMIFS('Pasted Bridges'!$G:$G,'Pasted Bridges'!$B:$B,$C31,'Pasted Bridges'!$F:$F,O$5)</f>
        <v>0</v>
      </c>
      <c r="P31" s="17">
        <f>SUMIFS('Pasted Bridges'!$G:$G,'Pasted Bridges'!$B:$B,$C31,'Pasted Bridges'!$F:$F,P$5)</f>
        <v>0</v>
      </c>
      <c r="Q31" s="17">
        <f>SUMIFS('Pasted Bridges'!$G:$G,'Pasted Bridges'!$B:$B,$C31,'Pasted Bridges'!$F:$F,Q$5)</f>
        <v>0</v>
      </c>
      <c r="R31" s="17">
        <f>SUMIFS('Pasted Bridges'!$G:$G,'Pasted Bridges'!$B:$B,$C31,'Pasted Bridges'!$F:$F,R$5)</f>
        <v>0</v>
      </c>
      <c r="S31" s="17">
        <f>SUMIFS('Pasted Bridges'!$G:$G,'Pasted Bridges'!$B:$B,$C31,'Pasted Bridges'!$F:$F,S$5)</f>
        <v>0</v>
      </c>
      <c r="T31" s="17">
        <f>SUMIFS('Pasted Bridges'!$G:$G,'Pasted Bridges'!$B:$B,$C31,'Pasted Bridges'!$F:$F,T$5)</f>
        <v>0</v>
      </c>
      <c r="U31" s="17">
        <f>SUMIFS('Pasted Bridges'!$G:$G,'Pasted Bridges'!$B:$B,$C31,'Pasted Bridges'!$F:$F,U$5)</f>
        <v>0</v>
      </c>
      <c r="V31" s="17">
        <f>SUMIFS('Pasted Bridges'!$G:$G,'Pasted Bridges'!$B:$B,$C31,'Pasted Bridges'!$F:$F,V$5)</f>
        <v>0</v>
      </c>
      <c r="W31" s="17">
        <f>SUMIFS('Pasted Bridges'!$G:$G,'Pasted Bridges'!$B:$B,$C31,'Pasted Bridges'!$F:$F,W$5)</f>
        <v>0</v>
      </c>
      <c r="X31" s="17">
        <f>SUMIFS('Pasted Bridges'!$G:$G,'Pasted Bridges'!$B:$B,$C31,'Pasted Bridges'!$F:$F,X$5)</f>
        <v>0</v>
      </c>
      <c r="Y31" s="17">
        <f>SUMIFS('Pasted Bridges'!$G:$G,'Pasted Bridges'!$B:$B,$C31,'Pasted Bridges'!$F:$F,Y$5)</f>
        <v>0</v>
      </c>
      <c r="Z31" s="17">
        <f>SUMIFS('Pasted Bridges'!$G:$G,'Pasted Bridges'!$B:$B,$C31,'Pasted Bridges'!$F:$F,Z$5)</f>
        <v>0</v>
      </c>
      <c r="AA31" s="17">
        <f>SUMIFS('Pasted Bridges'!$G:$G,'Pasted Bridges'!$B:$B,$C31,'Pasted Bridges'!$F:$F,AA$5)</f>
        <v>0</v>
      </c>
      <c r="AB31" s="17">
        <f>SUMIFS('Pasted Bridges'!$G:$G,'Pasted Bridges'!$B:$B,$C31,'Pasted Bridges'!$F:$F,AB$5)</f>
        <v>0</v>
      </c>
      <c r="AC31" s="17">
        <f>SUMIFS('Pasted Bridges'!$G:$G,'Pasted Bridges'!$B:$B,$C31,'Pasted Bridges'!$F:$F,AC$5)</f>
        <v>0</v>
      </c>
      <c r="AD31" s="17">
        <f>SUMIFS('Pasted Bridges'!$G:$G,'Pasted Bridges'!$B:$B,$C31,'Pasted Bridges'!$F:$F,AD$5)</f>
        <v>0</v>
      </c>
      <c r="AE31" s="17">
        <f>SUMIFS('Pasted Bridges'!$G:$G,'Pasted Bridges'!$B:$B,$C31,'Pasted Bridges'!$F:$F,AE$5)</f>
        <v>0</v>
      </c>
      <c r="AF31" s="17">
        <f>SUMIFS('Pasted Bridges'!$G:$G,'Pasted Bridges'!$B:$B,$C31,'Pasted Bridges'!$F:$F,AF$5)</f>
        <v>0</v>
      </c>
      <c r="AG31" s="17">
        <f>SUMIFS('Pasted Bridges'!$G:$G,'Pasted Bridges'!$B:$B,$C31,'Pasted Bridges'!$F:$F,AG$5)</f>
        <v>0</v>
      </c>
      <c r="AH31" s="17">
        <f>SUMIFS('Pasted Bridges'!$G:$G,'Pasted Bridges'!$B:$B,$C31,'Pasted Bridges'!$F:$F,AH$5)</f>
        <v>0</v>
      </c>
      <c r="AI31" s="17">
        <f>SUMIFS('Pasted Bridges'!$G:$G,'Pasted Bridges'!$B:$B,$C31,'Pasted Bridges'!$F:$F,AI$5)</f>
        <v>0</v>
      </c>
      <c r="AJ31" s="17">
        <f>SUMIFS('Pasted Bridges'!$G:$G,'Pasted Bridges'!$B:$B,$C31,'Pasted Bridges'!$F:$F,AJ$5)</f>
        <v>0</v>
      </c>
      <c r="AK31" s="17">
        <f>SUMIFS('Pasted Bridges'!$G:$G,'Pasted Bridges'!$B:$B,$C31,'Pasted Bridges'!$F:$F,AK$5)</f>
        <v>0</v>
      </c>
      <c r="AL31" s="17">
        <f>SUMIFS('Pasted Bridges'!$G:$G,'Pasted Bridges'!$B:$B,$C31,'Pasted Bridges'!$F:$F,AL$5)</f>
        <v>0</v>
      </c>
      <c r="AM31" s="17">
        <f>SUMIFS('Pasted Bridges'!$G:$G,'Pasted Bridges'!$B:$B,$C31,'Pasted Bridges'!$F:$F,AM$5)</f>
        <v>0</v>
      </c>
      <c r="AN31" s="17">
        <f>SUMIFS('Pasted Bridges'!$G:$G,'Pasted Bridges'!$B:$B,$C31,'Pasted Bridges'!$F:$F,AN$5)</f>
        <v>0</v>
      </c>
      <c r="AO31" s="17">
        <f>SUMIFS('Pasted Bridges'!$G:$G,'Pasted Bridges'!$B:$B,$C31,'Pasted Bridges'!$F:$F,AO$5)</f>
        <v>0</v>
      </c>
      <c r="AP31" s="17">
        <f>SUMIFS('Pasted Bridges'!$G:$G,'Pasted Bridges'!$B:$B,$C31,'Pasted Bridges'!$F:$F,AP$5)</f>
        <v>0</v>
      </c>
      <c r="AQ31" s="17">
        <f>SUMIFS('Pasted Bridges'!$G:$G,'Pasted Bridges'!$B:$B,$C31,'Pasted Bridges'!$F:$F,AQ$5)</f>
        <v>0</v>
      </c>
      <c r="AR31" s="17">
        <f>SUMIFS('Pasted Bridges'!$G:$G,'Pasted Bridges'!$B:$B,$C31,'Pasted Bridges'!$F:$F,AR$5)</f>
        <v>0</v>
      </c>
      <c r="AS31" s="17">
        <f>SUMIFS('Pasted Bridges'!$G:$G,'Pasted Bridges'!$B:$B,$C31,'Pasted Bridges'!$F:$F,AS$5)</f>
        <v>0</v>
      </c>
      <c r="AT31" s="17">
        <f>SUMIFS('Pasted Bridges'!$G:$G,'Pasted Bridges'!$B:$B,$C31,'Pasted Bridges'!$F:$F,AT$5)</f>
        <v>0</v>
      </c>
      <c r="AU31" s="17">
        <f>SUMIFS('Pasted Bridges'!$G:$G,'Pasted Bridges'!$B:$B,$C31,'Pasted Bridges'!$F:$F,AU$5)</f>
        <v>0</v>
      </c>
      <c r="AV31" s="17">
        <f>SUMIFS('Pasted Bridges'!$G:$G,'Pasted Bridges'!$B:$B,$C31,'Pasted Bridges'!$F:$F,AV$5)</f>
        <v>0</v>
      </c>
      <c r="AW31" s="17">
        <f>SUMIFS('Pasted Bridges'!$G:$G,'Pasted Bridges'!$B:$B,$C31,'Pasted Bridges'!$F:$F,AW$5)</f>
        <v>0</v>
      </c>
      <c r="AX31" s="17">
        <f>SUMIFS('Pasted Bridges'!$G:$G,'Pasted Bridges'!$B:$B,$C31,'Pasted Bridges'!$F:$F,AX$5)</f>
        <v>0</v>
      </c>
      <c r="AY31" s="17">
        <f>SUMIFS('Pasted Bridges'!$G:$G,'Pasted Bridges'!$B:$B,$C31,'Pasted Bridges'!$F:$F,AY$5)</f>
        <v>0</v>
      </c>
      <c r="AZ31" s="17">
        <f>SUMIFS('Pasted Bridges'!$G:$G,'Pasted Bridges'!$B:$B,$C31,'Pasted Bridges'!$F:$F,AZ$5)</f>
        <v>0</v>
      </c>
      <c r="BA31" s="17">
        <f>SUMIFS('Pasted Bridges'!$G:$G,'Pasted Bridges'!$B:$B,$C31,'Pasted Bridges'!$F:$F,BA$5)</f>
        <v>0</v>
      </c>
      <c r="BB31" s="17">
        <f>SUMIFS('Pasted Bridges'!$G:$G,'Pasted Bridges'!$B:$B,$C31,'Pasted Bridges'!$F:$F,BB$5)</f>
        <v>0</v>
      </c>
      <c r="BC31" s="17">
        <f>SUMIFS('Pasted Bridges'!$G:$G,'Pasted Bridges'!$B:$B,$C31,'Pasted Bridges'!$F:$F,BC$5)</f>
        <v>0</v>
      </c>
      <c r="BD31" s="17">
        <f>SUMIFS('Pasted Bridges'!$G:$G,'Pasted Bridges'!$B:$B,$C31,'Pasted Bridges'!$F:$F,BD$5)</f>
        <v>0</v>
      </c>
      <c r="BE31" s="17">
        <f>SUMIFS('Pasted Bridges'!$G:$G,'Pasted Bridges'!$B:$B,$C31,'Pasted Bridges'!$F:$F,BE$5)</f>
        <v>0</v>
      </c>
      <c r="BF31" s="17">
        <f>SUMIFS('Pasted Bridges'!$G:$G,'Pasted Bridges'!$B:$B,$C31,'Pasted Bridges'!$F:$F,BF$5)</f>
        <v>0</v>
      </c>
      <c r="BG31" s="17">
        <f>SUMIFS('Pasted Bridges'!$G:$G,'Pasted Bridges'!$B:$B,$C31,'Pasted Bridges'!$F:$F,BG$5)</f>
        <v>0</v>
      </c>
      <c r="BH31" s="17">
        <f>SUMIFS('Pasted Bridges'!$G:$G,'Pasted Bridges'!$B:$B,$C31,'Pasted Bridges'!$F:$F,BH$5)</f>
        <v>0</v>
      </c>
      <c r="BI31" s="17">
        <f>SUMIFS('Pasted Bridges'!$G:$G,'Pasted Bridges'!$B:$B,$C31,'Pasted Bridges'!$F:$F,BI$5)</f>
        <v>0</v>
      </c>
      <c r="BJ31" s="17">
        <f>SUMIFS('Pasted Bridges'!$G:$G,'Pasted Bridges'!$B:$B,$C31,'Pasted Bridges'!$F:$F,BJ$5)</f>
        <v>0</v>
      </c>
      <c r="BK31" s="17">
        <f>SUMIFS('Pasted Bridges'!$G:$G,'Pasted Bridges'!$B:$B,$C31,'Pasted Bridges'!$F:$F,BK$5)</f>
        <v>0</v>
      </c>
      <c r="BL31" s="17">
        <f>SUMIFS('Pasted Bridges'!$G:$G,'Pasted Bridges'!$B:$B,$C31,'Pasted Bridges'!$F:$F,BL$5)</f>
        <v>0</v>
      </c>
      <c r="BM31" s="17">
        <f>SUMIFS('Pasted Bridges'!$G:$G,'Pasted Bridges'!$B:$B,$C31,'Pasted Bridges'!$F:$F,BM$5)</f>
        <v>0</v>
      </c>
      <c r="BN31" s="17">
        <f>SUMIFS('Pasted Bridges'!$G:$G,'Pasted Bridges'!$B:$B,$C31,'Pasted Bridges'!$F:$F,BN$5)</f>
        <v>0</v>
      </c>
      <c r="BO31" s="17">
        <f>SUMIFS('Pasted Bridges'!$G:$G,'Pasted Bridges'!$B:$B,$C31,'Pasted Bridges'!$F:$F,BO$5)</f>
        <v>0</v>
      </c>
      <c r="BP31" s="17">
        <f>SUMIFS('Pasted Bridges'!$G:$G,'Pasted Bridges'!$B:$B,$C31,'Pasted Bridges'!$F:$F,BP$5)</f>
        <v>0</v>
      </c>
      <c r="BQ31" s="17">
        <f>SUMIFS('Pasted Bridges'!$G:$G,'Pasted Bridges'!$B:$B,$C31,'Pasted Bridges'!$F:$F,BQ$5)</f>
        <v>0</v>
      </c>
      <c r="BR31" s="17">
        <f>SUMIFS('Pasted Bridges'!$G:$G,'Pasted Bridges'!$B:$B,$C31,'Pasted Bridges'!$F:$F,BR$5)</f>
        <v>0</v>
      </c>
      <c r="BS31" s="17">
        <f>SUMIFS('Pasted Bridges'!$G:$G,'Pasted Bridges'!$B:$B,$C31,'Pasted Bridges'!$F:$F,BS$5)</f>
        <v>0</v>
      </c>
      <c r="BT31" s="17">
        <f>SUMIFS('Pasted Bridges'!$G:$G,'Pasted Bridges'!$B:$B,$C31,'Pasted Bridges'!$F:$F,BT$5)</f>
        <v>0</v>
      </c>
      <c r="BU31" s="17">
        <f>SUMIFS('Pasted Bridges'!$G:$G,'Pasted Bridges'!$B:$B,$C31,'Pasted Bridges'!$F:$F,BU$5)</f>
        <v>0</v>
      </c>
      <c r="BV31" s="17">
        <f>SUMIFS('Pasted Bridges'!$G:$G,'Pasted Bridges'!$B:$B,$C31,'Pasted Bridges'!$F:$F,BV$5)</f>
        <v>0</v>
      </c>
      <c r="BW31" s="17">
        <f>SUMIFS('Pasted Bridges'!$G:$G,'Pasted Bridges'!$B:$B,$C31,'Pasted Bridges'!$F:$F,BW$5)</f>
        <v>0</v>
      </c>
      <c r="BX31" s="17">
        <f>SUMIFS('Pasted Bridges'!$G:$G,'Pasted Bridges'!$B:$B,$C31,'Pasted Bridges'!$F:$F,BX$5)</f>
        <v>0</v>
      </c>
      <c r="BY31" s="17">
        <f>SUMIFS('Pasted Bridges'!$G:$G,'Pasted Bridges'!$B:$B,$C31,'Pasted Bridges'!$F:$F,BY$5)</f>
        <v>0</v>
      </c>
      <c r="BZ31" s="17">
        <f>SUMIFS('Pasted Bridges'!$G:$G,'Pasted Bridges'!$B:$B,$C31,'Pasted Bridges'!$F:$F,BZ$5)</f>
        <v>0</v>
      </c>
      <c r="CA31" s="17">
        <f>SUMIFS('Pasted Bridges'!$G:$G,'Pasted Bridges'!$B:$B,$C31,'Pasted Bridges'!$F:$F,CA$5)</f>
        <v>0</v>
      </c>
      <c r="CB31" s="17">
        <f>SUMIFS('Pasted Bridges'!$G:$G,'Pasted Bridges'!$B:$B,$C31,'Pasted Bridges'!$F:$F,CB$5)</f>
        <v>0</v>
      </c>
      <c r="CC31" s="17">
        <f>SUMIFS('Pasted Bridges'!$G:$G,'Pasted Bridges'!$B:$B,$C31,'Pasted Bridges'!$F:$F,CC$5)</f>
        <v>0</v>
      </c>
      <c r="CD31" s="17">
        <f>SUMIFS('Pasted Bridges'!$G:$G,'Pasted Bridges'!$B:$B,$C31,'Pasted Bridges'!$F:$F,CD$5)</f>
        <v>0</v>
      </c>
      <c r="CE31" s="17">
        <f>SUMIFS('Pasted Bridges'!$G:$G,'Pasted Bridges'!$B:$B,$C31,'Pasted Bridges'!$F:$F,CE$5)</f>
        <v>0</v>
      </c>
      <c r="CF31" s="17">
        <f>SUMIFS('Pasted Bridges'!$G:$G,'Pasted Bridges'!$B:$B,$C31,'Pasted Bridges'!$F:$F,CF$5)</f>
        <v>0</v>
      </c>
      <c r="CG31" s="17">
        <f>SUMIFS('Pasted Bridges'!$G:$G,'Pasted Bridges'!$B:$B,$C31,'Pasted Bridges'!$F:$F,CG$5)</f>
        <v>0</v>
      </c>
      <c r="CH31" s="17">
        <f>SUMIFS('Pasted Bridges'!$G:$G,'Pasted Bridges'!$B:$B,$C31,'Pasted Bridges'!$F:$F,CH$5)</f>
        <v>0</v>
      </c>
      <c r="CI31" s="17">
        <f>SUMIFS('Pasted Bridges'!$G:$G,'Pasted Bridges'!$B:$B,$C31,'Pasted Bridges'!$F:$F,CI$5)</f>
        <v>0</v>
      </c>
      <c r="CJ31" s="17">
        <f>SUMIFS('Pasted Bridges'!$G:$G,'Pasted Bridges'!$B:$B,$C31,'Pasted Bridges'!$F:$F,CJ$5)</f>
        <v>0</v>
      </c>
      <c r="CK31" s="17">
        <f>SUMIFS('Pasted Bridges'!$G:$G,'Pasted Bridges'!$B:$B,$C31,'Pasted Bridges'!$F:$F,CK$5)</f>
        <v>0</v>
      </c>
      <c r="CL31" s="17">
        <f>SUMIFS('Pasted Bridges'!$G:$G,'Pasted Bridges'!$B:$B,$C31,'Pasted Bridges'!$F:$F,CL$5)</f>
        <v>0</v>
      </c>
      <c r="CM31" s="17">
        <f>SUMIFS('Pasted Bridges'!$G:$G,'Pasted Bridges'!$B:$B,$C31,'Pasted Bridges'!$F:$F,CM$5)</f>
        <v>0</v>
      </c>
      <c r="CN31" s="17">
        <f>SUMIFS('Pasted Bridges'!$G:$G,'Pasted Bridges'!$B:$B,$C31,'Pasted Bridges'!$F:$F,CN$5)</f>
        <v>0</v>
      </c>
      <c r="CO31" s="17">
        <f>SUMIFS('Pasted Bridges'!$G:$G,'Pasted Bridges'!$B:$B,$C31,'Pasted Bridges'!$F:$F,CO$5)</f>
        <v>0</v>
      </c>
      <c r="CP31" s="17">
        <f>SUMIFS('Pasted Bridges'!$G:$G,'Pasted Bridges'!$B:$B,$C31,'Pasted Bridges'!$F:$F,CP$5)</f>
        <v>0</v>
      </c>
      <c r="CQ31" s="17">
        <f>SUMIFS('Pasted Bridges'!$G:$G,'Pasted Bridges'!$B:$B,$C31,'Pasted Bridges'!$F:$F,CQ$5)</f>
        <v>0</v>
      </c>
      <c r="CR31" s="17">
        <f>SUMIFS('Pasted Bridges'!$G:$G,'Pasted Bridges'!$B:$B,$C31,'Pasted Bridges'!$F:$F,CR$5)</f>
        <v>0</v>
      </c>
      <c r="CS31" s="17">
        <f>SUMIFS('Pasted Bridges'!$G:$G,'Pasted Bridges'!$B:$B,$C31,'Pasted Bridges'!$F:$F,CS$5)</f>
        <v>0</v>
      </c>
      <c r="CT31" s="17">
        <f>SUMIFS('Pasted Bridges'!$G:$G,'Pasted Bridges'!$B:$B,$C31,'Pasted Bridges'!$F:$F,CT$5)</f>
        <v>0</v>
      </c>
      <c r="CU31" s="17">
        <f>SUMIFS('Pasted Bridges'!$G:$G,'Pasted Bridges'!$B:$B,$C31,'Pasted Bridges'!$F:$F,CU$5)</f>
        <v>0</v>
      </c>
      <c r="CV31" s="17">
        <f>SUMIFS('Pasted Bridges'!$G:$G,'Pasted Bridges'!$B:$B,$C31,'Pasted Bridges'!$F:$F,CV$5)</f>
        <v>0</v>
      </c>
      <c r="CW31" s="17">
        <f>SUMIFS('Pasted Bridges'!$G:$G,'Pasted Bridges'!$B:$B,$C31,'Pasted Bridges'!$F:$F,CW$5)</f>
        <v>0</v>
      </c>
      <c r="CX31" s="17">
        <f>SUMIFS('Pasted Bridges'!$G:$G,'Pasted Bridges'!$B:$B,$C31,'Pasted Bridges'!$F:$F,CX$5)</f>
        <v>0</v>
      </c>
      <c r="CY31" s="17">
        <f>SUMIFS('Pasted Bridges'!$G:$G,'Pasted Bridges'!$B:$B,$C31,'Pasted Bridges'!$F:$F,CY$5)</f>
        <v>0</v>
      </c>
      <c r="CZ31" s="17">
        <f>SUMIFS('Pasted Bridges'!$G:$G,'Pasted Bridges'!$B:$B,$C31,'Pasted Bridges'!$F:$F,CZ$5)</f>
        <v>0</v>
      </c>
      <c r="DA31" s="17">
        <f>SUMIFS('Pasted Bridges'!$G:$G,'Pasted Bridges'!$B:$B,$C31,'Pasted Bridges'!$F:$F,DA$5)</f>
        <v>0</v>
      </c>
    </row>
    <row r="32" spans="1:105" s="1" customFormat="1" x14ac:dyDescent="0.25">
      <c r="B32" s="62"/>
      <c r="C32" s="19" t="s">
        <v>23</v>
      </c>
      <c r="D32" s="19" t="s">
        <v>180</v>
      </c>
      <c r="E32" s="13" t="s">
        <v>199</v>
      </c>
      <c r="F32" s="2">
        <v>28</v>
      </c>
      <c r="G32" s="14">
        <v>0</v>
      </c>
      <c r="H32" s="2" t="s">
        <v>42</v>
      </c>
      <c r="I32" s="2">
        <v>0</v>
      </c>
      <c r="J32" s="3"/>
      <c r="K32" s="17">
        <f>SUMIFS('Pasted Bridges'!$G:$G,'Pasted Bridges'!$B:$B,$C32,'Pasted Bridges'!$F:$F,K$5)</f>
        <v>0</v>
      </c>
      <c r="L32" s="17">
        <f>SUMIFS('Pasted Bridges'!$G:$G,'Pasted Bridges'!$B:$B,$C32,'Pasted Bridges'!$F:$F,L$5)</f>
        <v>0</v>
      </c>
      <c r="M32" s="17">
        <f>SUMIFS('Pasted Bridges'!$G:$G,'Pasted Bridges'!$B:$B,$C32,'Pasted Bridges'!$F:$F,M$5)</f>
        <v>0</v>
      </c>
      <c r="N32" s="17">
        <f>SUMIFS('Pasted Bridges'!$G:$G,'Pasted Bridges'!$B:$B,$C32,'Pasted Bridges'!$F:$F,N$5)</f>
        <v>0</v>
      </c>
      <c r="O32" s="17">
        <f>SUMIFS('Pasted Bridges'!$G:$G,'Pasted Bridges'!$B:$B,$C32,'Pasted Bridges'!$F:$F,O$5)</f>
        <v>0</v>
      </c>
      <c r="P32" s="17">
        <f>SUMIFS('Pasted Bridges'!$G:$G,'Pasted Bridges'!$B:$B,$C32,'Pasted Bridges'!$F:$F,P$5)</f>
        <v>0</v>
      </c>
      <c r="Q32" s="17">
        <f>SUMIFS('Pasted Bridges'!$G:$G,'Pasted Bridges'!$B:$B,$C32,'Pasted Bridges'!$F:$F,Q$5)</f>
        <v>0</v>
      </c>
      <c r="R32" s="17">
        <f>SUMIFS('Pasted Bridges'!$G:$G,'Pasted Bridges'!$B:$B,$C32,'Pasted Bridges'!$F:$F,R$5)</f>
        <v>0</v>
      </c>
      <c r="S32" s="17">
        <f>SUMIFS('Pasted Bridges'!$G:$G,'Pasted Bridges'!$B:$B,$C32,'Pasted Bridges'!$F:$F,S$5)</f>
        <v>0</v>
      </c>
      <c r="T32" s="17">
        <f>SUMIFS('Pasted Bridges'!$G:$G,'Pasted Bridges'!$B:$B,$C32,'Pasted Bridges'!$F:$F,T$5)</f>
        <v>0</v>
      </c>
      <c r="U32" s="17">
        <f>SUMIFS('Pasted Bridges'!$G:$G,'Pasted Bridges'!$B:$B,$C32,'Pasted Bridges'!$F:$F,U$5)</f>
        <v>0</v>
      </c>
      <c r="V32" s="17">
        <f>SUMIFS('Pasted Bridges'!$G:$G,'Pasted Bridges'!$B:$B,$C32,'Pasted Bridges'!$F:$F,V$5)</f>
        <v>0</v>
      </c>
      <c r="W32" s="17">
        <f>SUMIFS('Pasted Bridges'!$G:$G,'Pasted Bridges'!$B:$B,$C32,'Pasted Bridges'!$F:$F,W$5)</f>
        <v>0</v>
      </c>
      <c r="X32" s="17">
        <f>SUMIFS('Pasted Bridges'!$G:$G,'Pasted Bridges'!$B:$B,$C32,'Pasted Bridges'!$F:$F,X$5)</f>
        <v>0</v>
      </c>
      <c r="Y32" s="17">
        <f>SUMIFS('Pasted Bridges'!$G:$G,'Pasted Bridges'!$B:$B,$C32,'Pasted Bridges'!$F:$F,Y$5)</f>
        <v>0</v>
      </c>
      <c r="Z32" s="17">
        <f>SUMIFS('Pasted Bridges'!$G:$G,'Pasted Bridges'!$B:$B,$C32,'Pasted Bridges'!$F:$F,Z$5)</f>
        <v>0</v>
      </c>
      <c r="AA32" s="17">
        <f>SUMIFS('Pasted Bridges'!$G:$G,'Pasted Bridges'!$B:$B,$C32,'Pasted Bridges'!$F:$F,AA$5)</f>
        <v>0</v>
      </c>
      <c r="AB32" s="17">
        <f>SUMIFS('Pasted Bridges'!$G:$G,'Pasted Bridges'!$B:$B,$C32,'Pasted Bridges'!$F:$F,AB$5)</f>
        <v>0</v>
      </c>
      <c r="AC32" s="17">
        <f>SUMIFS('Pasted Bridges'!$G:$G,'Pasted Bridges'!$B:$B,$C32,'Pasted Bridges'!$F:$F,AC$5)</f>
        <v>0</v>
      </c>
      <c r="AD32" s="17">
        <f>SUMIFS('Pasted Bridges'!$G:$G,'Pasted Bridges'!$B:$B,$C32,'Pasted Bridges'!$F:$F,AD$5)</f>
        <v>0</v>
      </c>
      <c r="AE32" s="17">
        <f>SUMIFS('Pasted Bridges'!$G:$G,'Pasted Bridges'!$B:$B,$C32,'Pasted Bridges'!$F:$F,AE$5)</f>
        <v>0</v>
      </c>
      <c r="AF32" s="17">
        <f>SUMIFS('Pasted Bridges'!$G:$G,'Pasted Bridges'!$B:$B,$C32,'Pasted Bridges'!$F:$F,AF$5)</f>
        <v>0</v>
      </c>
      <c r="AG32" s="17">
        <f>SUMIFS('Pasted Bridges'!$G:$G,'Pasted Bridges'!$B:$B,$C32,'Pasted Bridges'!$F:$F,AG$5)</f>
        <v>0</v>
      </c>
      <c r="AH32" s="17">
        <f>SUMIFS('Pasted Bridges'!$G:$G,'Pasted Bridges'!$B:$B,$C32,'Pasted Bridges'!$F:$F,AH$5)</f>
        <v>0</v>
      </c>
      <c r="AI32" s="17">
        <f>SUMIFS('Pasted Bridges'!$G:$G,'Pasted Bridges'!$B:$B,$C32,'Pasted Bridges'!$F:$F,AI$5)</f>
        <v>0</v>
      </c>
      <c r="AJ32" s="17">
        <f>SUMIFS('Pasted Bridges'!$G:$G,'Pasted Bridges'!$B:$B,$C32,'Pasted Bridges'!$F:$F,AJ$5)</f>
        <v>0</v>
      </c>
      <c r="AK32" s="17">
        <f>SUMIFS('Pasted Bridges'!$G:$G,'Pasted Bridges'!$B:$B,$C32,'Pasted Bridges'!$F:$F,AK$5)</f>
        <v>0</v>
      </c>
      <c r="AL32" s="17">
        <f>SUMIFS('Pasted Bridges'!$G:$G,'Pasted Bridges'!$B:$B,$C32,'Pasted Bridges'!$F:$F,AL$5)</f>
        <v>0</v>
      </c>
      <c r="AM32" s="17">
        <f>SUMIFS('Pasted Bridges'!$G:$G,'Pasted Bridges'!$B:$B,$C32,'Pasted Bridges'!$F:$F,AM$5)</f>
        <v>0</v>
      </c>
      <c r="AN32" s="17">
        <f>SUMIFS('Pasted Bridges'!$G:$G,'Pasted Bridges'!$B:$B,$C32,'Pasted Bridges'!$F:$F,AN$5)</f>
        <v>0</v>
      </c>
      <c r="AO32" s="17">
        <f>SUMIFS('Pasted Bridges'!$G:$G,'Pasted Bridges'!$B:$B,$C32,'Pasted Bridges'!$F:$F,AO$5)</f>
        <v>0</v>
      </c>
      <c r="AP32" s="17">
        <f>SUMIFS('Pasted Bridges'!$G:$G,'Pasted Bridges'!$B:$B,$C32,'Pasted Bridges'!$F:$F,AP$5)</f>
        <v>0</v>
      </c>
      <c r="AQ32" s="17">
        <f>SUMIFS('Pasted Bridges'!$G:$G,'Pasted Bridges'!$B:$B,$C32,'Pasted Bridges'!$F:$F,AQ$5)</f>
        <v>0</v>
      </c>
      <c r="AR32" s="17">
        <f>SUMIFS('Pasted Bridges'!$G:$G,'Pasted Bridges'!$B:$B,$C32,'Pasted Bridges'!$F:$F,AR$5)</f>
        <v>0</v>
      </c>
      <c r="AS32" s="17">
        <f>SUMIFS('Pasted Bridges'!$G:$G,'Pasted Bridges'!$B:$B,$C32,'Pasted Bridges'!$F:$F,AS$5)</f>
        <v>0</v>
      </c>
      <c r="AT32" s="17">
        <f>SUMIFS('Pasted Bridges'!$G:$G,'Pasted Bridges'!$B:$B,$C32,'Pasted Bridges'!$F:$F,AT$5)</f>
        <v>0</v>
      </c>
      <c r="AU32" s="17">
        <f>SUMIFS('Pasted Bridges'!$G:$G,'Pasted Bridges'!$B:$B,$C32,'Pasted Bridges'!$F:$F,AU$5)</f>
        <v>0</v>
      </c>
      <c r="AV32" s="17">
        <f>SUMIFS('Pasted Bridges'!$G:$G,'Pasted Bridges'!$B:$B,$C32,'Pasted Bridges'!$F:$F,AV$5)</f>
        <v>0</v>
      </c>
      <c r="AW32" s="17">
        <f>SUMIFS('Pasted Bridges'!$G:$G,'Pasted Bridges'!$B:$B,$C32,'Pasted Bridges'!$F:$F,AW$5)</f>
        <v>0</v>
      </c>
      <c r="AX32" s="17">
        <f>SUMIFS('Pasted Bridges'!$G:$G,'Pasted Bridges'!$B:$B,$C32,'Pasted Bridges'!$F:$F,AX$5)</f>
        <v>0</v>
      </c>
      <c r="AY32" s="17">
        <f>SUMIFS('Pasted Bridges'!$G:$G,'Pasted Bridges'!$B:$B,$C32,'Pasted Bridges'!$F:$F,AY$5)</f>
        <v>0</v>
      </c>
      <c r="AZ32" s="17">
        <f>SUMIFS('Pasted Bridges'!$G:$G,'Pasted Bridges'!$B:$B,$C32,'Pasted Bridges'!$F:$F,AZ$5)</f>
        <v>0</v>
      </c>
      <c r="BA32" s="17">
        <f>SUMIFS('Pasted Bridges'!$G:$G,'Pasted Bridges'!$B:$B,$C32,'Pasted Bridges'!$F:$F,BA$5)</f>
        <v>0</v>
      </c>
      <c r="BB32" s="17">
        <f>SUMIFS('Pasted Bridges'!$G:$G,'Pasted Bridges'!$B:$B,$C32,'Pasted Bridges'!$F:$F,BB$5)</f>
        <v>0</v>
      </c>
      <c r="BC32" s="17">
        <f>SUMIFS('Pasted Bridges'!$G:$G,'Pasted Bridges'!$B:$B,$C32,'Pasted Bridges'!$F:$F,BC$5)</f>
        <v>0</v>
      </c>
      <c r="BD32" s="17">
        <f>SUMIFS('Pasted Bridges'!$G:$G,'Pasted Bridges'!$B:$B,$C32,'Pasted Bridges'!$F:$F,BD$5)</f>
        <v>0</v>
      </c>
      <c r="BE32" s="17">
        <f>SUMIFS('Pasted Bridges'!$G:$G,'Pasted Bridges'!$B:$B,$C32,'Pasted Bridges'!$F:$F,BE$5)</f>
        <v>0</v>
      </c>
      <c r="BF32" s="17">
        <f>SUMIFS('Pasted Bridges'!$G:$G,'Pasted Bridges'!$B:$B,$C32,'Pasted Bridges'!$F:$F,BF$5)</f>
        <v>0</v>
      </c>
      <c r="BG32" s="17">
        <f>SUMIFS('Pasted Bridges'!$G:$G,'Pasted Bridges'!$B:$B,$C32,'Pasted Bridges'!$F:$F,BG$5)</f>
        <v>0</v>
      </c>
      <c r="BH32" s="17">
        <f>SUMIFS('Pasted Bridges'!$G:$G,'Pasted Bridges'!$B:$B,$C32,'Pasted Bridges'!$F:$F,BH$5)</f>
        <v>0</v>
      </c>
      <c r="BI32" s="17">
        <f>SUMIFS('Pasted Bridges'!$G:$G,'Pasted Bridges'!$B:$B,$C32,'Pasted Bridges'!$F:$F,BI$5)</f>
        <v>0</v>
      </c>
      <c r="BJ32" s="17">
        <f>SUMIFS('Pasted Bridges'!$G:$G,'Pasted Bridges'!$B:$B,$C32,'Pasted Bridges'!$F:$F,BJ$5)</f>
        <v>0</v>
      </c>
      <c r="BK32" s="17">
        <f>SUMIFS('Pasted Bridges'!$G:$G,'Pasted Bridges'!$B:$B,$C32,'Pasted Bridges'!$F:$F,BK$5)</f>
        <v>0</v>
      </c>
      <c r="BL32" s="17">
        <f>SUMIFS('Pasted Bridges'!$G:$G,'Pasted Bridges'!$B:$B,$C32,'Pasted Bridges'!$F:$F,BL$5)</f>
        <v>0</v>
      </c>
      <c r="BM32" s="17">
        <f>SUMIFS('Pasted Bridges'!$G:$G,'Pasted Bridges'!$B:$B,$C32,'Pasted Bridges'!$F:$F,BM$5)</f>
        <v>0</v>
      </c>
      <c r="BN32" s="17">
        <f>SUMIFS('Pasted Bridges'!$G:$G,'Pasted Bridges'!$B:$B,$C32,'Pasted Bridges'!$F:$F,BN$5)</f>
        <v>0</v>
      </c>
      <c r="BO32" s="17">
        <f>SUMIFS('Pasted Bridges'!$G:$G,'Pasted Bridges'!$B:$B,$C32,'Pasted Bridges'!$F:$F,BO$5)</f>
        <v>0</v>
      </c>
      <c r="BP32" s="17">
        <f>SUMIFS('Pasted Bridges'!$G:$G,'Pasted Bridges'!$B:$B,$C32,'Pasted Bridges'!$F:$F,BP$5)</f>
        <v>0</v>
      </c>
      <c r="BQ32" s="17">
        <f>SUMIFS('Pasted Bridges'!$G:$G,'Pasted Bridges'!$B:$B,$C32,'Pasted Bridges'!$F:$F,BQ$5)</f>
        <v>0</v>
      </c>
      <c r="BR32" s="17">
        <f>SUMIFS('Pasted Bridges'!$G:$G,'Pasted Bridges'!$B:$B,$C32,'Pasted Bridges'!$F:$F,BR$5)</f>
        <v>0</v>
      </c>
      <c r="BS32" s="17">
        <f>SUMIFS('Pasted Bridges'!$G:$G,'Pasted Bridges'!$B:$B,$C32,'Pasted Bridges'!$F:$F,BS$5)</f>
        <v>0</v>
      </c>
      <c r="BT32" s="17">
        <f>SUMIFS('Pasted Bridges'!$G:$G,'Pasted Bridges'!$B:$B,$C32,'Pasted Bridges'!$F:$F,BT$5)</f>
        <v>0</v>
      </c>
      <c r="BU32" s="17">
        <f>SUMIFS('Pasted Bridges'!$G:$G,'Pasted Bridges'!$B:$B,$C32,'Pasted Bridges'!$F:$F,BU$5)</f>
        <v>0</v>
      </c>
      <c r="BV32" s="17">
        <f>SUMIFS('Pasted Bridges'!$G:$G,'Pasted Bridges'!$B:$B,$C32,'Pasted Bridges'!$F:$F,BV$5)</f>
        <v>0</v>
      </c>
      <c r="BW32" s="17">
        <f>SUMIFS('Pasted Bridges'!$G:$G,'Pasted Bridges'!$B:$B,$C32,'Pasted Bridges'!$F:$F,BW$5)</f>
        <v>0</v>
      </c>
      <c r="BX32" s="17">
        <f>SUMIFS('Pasted Bridges'!$G:$G,'Pasted Bridges'!$B:$B,$C32,'Pasted Bridges'!$F:$F,BX$5)</f>
        <v>0</v>
      </c>
      <c r="BY32" s="17">
        <f>SUMIFS('Pasted Bridges'!$G:$G,'Pasted Bridges'!$B:$B,$C32,'Pasted Bridges'!$F:$F,BY$5)</f>
        <v>0</v>
      </c>
      <c r="BZ32" s="17">
        <f>SUMIFS('Pasted Bridges'!$G:$G,'Pasted Bridges'!$B:$B,$C32,'Pasted Bridges'!$F:$F,BZ$5)</f>
        <v>0</v>
      </c>
      <c r="CA32" s="17">
        <f>SUMIFS('Pasted Bridges'!$G:$G,'Pasted Bridges'!$B:$B,$C32,'Pasted Bridges'!$F:$F,CA$5)</f>
        <v>0</v>
      </c>
      <c r="CB32" s="17">
        <f>SUMIFS('Pasted Bridges'!$G:$G,'Pasted Bridges'!$B:$B,$C32,'Pasted Bridges'!$F:$F,CB$5)</f>
        <v>0</v>
      </c>
      <c r="CC32" s="17">
        <f>SUMIFS('Pasted Bridges'!$G:$G,'Pasted Bridges'!$B:$B,$C32,'Pasted Bridges'!$F:$F,CC$5)</f>
        <v>0</v>
      </c>
      <c r="CD32" s="17">
        <f>SUMIFS('Pasted Bridges'!$G:$G,'Pasted Bridges'!$B:$B,$C32,'Pasted Bridges'!$F:$F,CD$5)</f>
        <v>0</v>
      </c>
      <c r="CE32" s="17">
        <f>SUMIFS('Pasted Bridges'!$G:$G,'Pasted Bridges'!$B:$B,$C32,'Pasted Bridges'!$F:$F,CE$5)</f>
        <v>0</v>
      </c>
      <c r="CF32" s="17">
        <f>SUMIFS('Pasted Bridges'!$G:$G,'Pasted Bridges'!$B:$B,$C32,'Pasted Bridges'!$F:$F,CF$5)</f>
        <v>0</v>
      </c>
      <c r="CG32" s="17">
        <f>SUMIFS('Pasted Bridges'!$G:$G,'Pasted Bridges'!$B:$B,$C32,'Pasted Bridges'!$F:$F,CG$5)</f>
        <v>0</v>
      </c>
      <c r="CH32" s="17">
        <f>SUMIFS('Pasted Bridges'!$G:$G,'Pasted Bridges'!$B:$B,$C32,'Pasted Bridges'!$F:$F,CH$5)</f>
        <v>0</v>
      </c>
      <c r="CI32" s="17">
        <f>SUMIFS('Pasted Bridges'!$G:$G,'Pasted Bridges'!$B:$B,$C32,'Pasted Bridges'!$F:$F,CI$5)</f>
        <v>0</v>
      </c>
      <c r="CJ32" s="17">
        <f>SUMIFS('Pasted Bridges'!$G:$G,'Pasted Bridges'!$B:$B,$C32,'Pasted Bridges'!$F:$F,CJ$5)</f>
        <v>0</v>
      </c>
      <c r="CK32" s="17">
        <f>SUMIFS('Pasted Bridges'!$G:$G,'Pasted Bridges'!$B:$B,$C32,'Pasted Bridges'!$F:$F,CK$5)</f>
        <v>0</v>
      </c>
      <c r="CL32" s="17">
        <f>SUMIFS('Pasted Bridges'!$G:$G,'Pasted Bridges'!$B:$B,$C32,'Pasted Bridges'!$F:$F,CL$5)</f>
        <v>0</v>
      </c>
      <c r="CM32" s="17">
        <f>SUMIFS('Pasted Bridges'!$G:$G,'Pasted Bridges'!$B:$B,$C32,'Pasted Bridges'!$F:$F,CM$5)</f>
        <v>0</v>
      </c>
      <c r="CN32" s="17">
        <f>SUMIFS('Pasted Bridges'!$G:$G,'Pasted Bridges'!$B:$B,$C32,'Pasted Bridges'!$F:$F,CN$5)</f>
        <v>0</v>
      </c>
      <c r="CO32" s="17">
        <f>SUMIFS('Pasted Bridges'!$G:$G,'Pasted Bridges'!$B:$B,$C32,'Pasted Bridges'!$F:$F,CO$5)</f>
        <v>0</v>
      </c>
      <c r="CP32" s="17">
        <f>SUMIFS('Pasted Bridges'!$G:$G,'Pasted Bridges'!$B:$B,$C32,'Pasted Bridges'!$F:$F,CP$5)</f>
        <v>0</v>
      </c>
      <c r="CQ32" s="17">
        <f>SUMIFS('Pasted Bridges'!$G:$G,'Pasted Bridges'!$B:$B,$C32,'Pasted Bridges'!$F:$F,CQ$5)</f>
        <v>0</v>
      </c>
      <c r="CR32" s="17">
        <f>SUMIFS('Pasted Bridges'!$G:$G,'Pasted Bridges'!$B:$B,$C32,'Pasted Bridges'!$F:$F,CR$5)</f>
        <v>0</v>
      </c>
      <c r="CS32" s="17">
        <f>SUMIFS('Pasted Bridges'!$G:$G,'Pasted Bridges'!$B:$B,$C32,'Pasted Bridges'!$F:$F,CS$5)</f>
        <v>0</v>
      </c>
      <c r="CT32" s="17">
        <f>SUMIFS('Pasted Bridges'!$G:$G,'Pasted Bridges'!$B:$B,$C32,'Pasted Bridges'!$F:$F,CT$5)</f>
        <v>0</v>
      </c>
      <c r="CU32" s="17">
        <f>SUMIFS('Pasted Bridges'!$G:$G,'Pasted Bridges'!$B:$B,$C32,'Pasted Bridges'!$F:$F,CU$5)</f>
        <v>0</v>
      </c>
      <c r="CV32" s="17">
        <f>SUMIFS('Pasted Bridges'!$G:$G,'Pasted Bridges'!$B:$B,$C32,'Pasted Bridges'!$F:$F,CV$5)</f>
        <v>0</v>
      </c>
      <c r="CW32" s="17">
        <f>SUMIFS('Pasted Bridges'!$G:$G,'Pasted Bridges'!$B:$B,$C32,'Pasted Bridges'!$F:$F,CW$5)</f>
        <v>0</v>
      </c>
      <c r="CX32" s="17">
        <f>SUMIFS('Pasted Bridges'!$G:$G,'Pasted Bridges'!$B:$B,$C32,'Pasted Bridges'!$F:$F,CX$5)</f>
        <v>0</v>
      </c>
      <c r="CY32" s="17">
        <f>SUMIFS('Pasted Bridges'!$G:$G,'Pasted Bridges'!$B:$B,$C32,'Pasted Bridges'!$F:$F,CY$5)</f>
        <v>0</v>
      </c>
      <c r="CZ32" s="17">
        <f>SUMIFS('Pasted Bridges'!$G:$G,'Pasted Bridges'!$B:$B,$C32,'Pasted Bridges'!$F:$F,CZ$5)</f>
        <v>0</v>
      </c>
      <c r="DA32" s="17">
        <f>SUMIFS('Pasted Bridges'!$G:$G,'Pasted Bridges'!$B:$B,$C32,'Pasted Bridges'!$F:$F,DA$5)</f>
        <v>0</v>
      </c>
    </row>
    <row r="33" spans="2:105" s="1" customFormat="1" x14ac:dyDescent="0.25">
      <c r="B33" s="63"/>
      <c r="C33" s="19" t="s">
        <v>1</v>
      </c>
      <c r="D33" s="19" t="s">
        <v>181</v>
      </c>
      <c r="E33" s="13" t="s">
        <v>199</v>
      </c>
      <c r="F33" s="2">
        <v>29</v>
      </c>
      <c r="G33" s="14">
        <v>0</v>
      </c>
      <c r="H33" s="2" t="s">
        <v>42</v>
      </c>
      <c r="I33" s="2">
        <v>0</v>
      </c>
      <c r="J33" s="3"/>
      <c r="K33" s="17">
        <f>SUMIFS('Pasted Bridges'!$G:$G,'Pasted Bridges'!$B:$B,$C33,'Pasted Bridges'!$F:$F,K$5)</f>
        <v>23.87</v>
      </c>
      <c r="L33" s="17">
        <f>SUMIFS('Pasted Bridges'!$G:$G,'Pasted Bridges'!$B:$B,$C33,'Pasted Bridges'!$F:$F,L$5)</f>
        <v>23.390000000000004</v>
      </c>
      <c r="M33" s="17">
        <f>SUMIFS('Pasted Bridges'!$G:$G,'Pasted Bridges'!$B:$B,$C33,'Pasted Bridges'!$F:$F,M$5)</f>
        <v>43.76</v>
      </c>
      <c r="N33" s="17">
        <f>SUMIFS('Pasted Bridges'!$G:$G,'Pasted Bridges'!$B:$B,$C33,'Pasted Bridges'!$F:$F,N$5)</f>
        <v>37.36</v>
      </c>
      <c r="O33" s="17">
        <f>SUMIFS('Pasted Bridges'!$G:$G,'Pasted Bridges'!$B:$B,$C33,'Pasted Bridges'!$F:$F,O$5)</f>
        <v>37.36</v>
      </c>
      <c r="P33" s="17">
        <f>SUMIFS('Pasted Bridges'!$G:$G,'Pasted Bridges'!$B:$B,$C33,'Pasted Bridges'!$F:$F,P$5)</f>
        <v>43.76</v>
      </c>
      <c r="Q33" s="17">
        <f>SUMIFS('Pasted Bridges'!$G:$G,'Pasted Bridges'!$B:$B,$C33,'Pasted Bridges'!$F:$F,Q$5)</f>
        <v>56.07</v>
      </c>
      <c r="R33" s="17">
        <f>SUMIFS('Pasted Bridges'!$G:$G,'Pasted Bridges'!$B:$B,$C33,'Pasted Bridges'!$F:$F,R$5)</f>
        <v>43.260000000000005</v>
      </c>
      <c r="S33" s="17">
        <f>SUMIFS('Pasted Bridges'!$G:$G,'Pasted Bridges'!$B:$B,$C33,'Pasted Bridges'!$F:$F,S$5)</f>
        <v>43.260000000000005</v>
      </c>
      <c r="T33" s="17">
        <f>SUMIFS('Pasted Bridges'!$G:$G,'Pasted Bridges'!$B:$B,$C33,'Pasted Bridges'!$F:$F,T$5)</f>
        <v>57.319999999999993</v>
      </c>
      <c r="U33" s="17">
        <f>SUMIFS('Pasted Bridges'!$G:$G,'Pasted Bridges'!$B:$B,$C33,'Pasted Bridges'!$F:$F,U$5)</f>
        <v>18.68</v>
      </c>
      <c r="V33" s="17">
        <f>SUMIFS('Pasted Bridges'!$G:$G,'Pasted Bridges'!$B:$B,$C33,'Pasted Bridges'!$F:$F,V$5)</f>
        <v>18.68</v>
      </c>
      <c r="W33" s="17">
        <f>SUMIFS('Pasted Bridges'!$G:$G,'Pasted Bridges'!$B:$B,$C33,'Pasted Bridges'!$F:$F,W$5)</f>
        <v>21.88</v>
      </c>
      <c r="X33" s="17">
        <f>SUMIFS('Pasted Bridges'!$G:$G,'Pasted Bridges'!$B:$B,$C33,'Pasted Bridges'!$F:$F,X$5)</f>
        <v>21.880000000000003</v>
      </c>
      <c r="Y33" s="17">
        <f>SUMIFS('Pasted Bridges'!$G:$G,'Pasted Bridges'!$B:$B,$C33,'Pasted Bridges'!$F:$F,Y$5)</f>
        <v>17.38</v>
      </c>
      <c r="Z33" s="17">
        <f>SUMIFS('Pasted Bridges'!$G:$G,'Pasted Bridges'!$B:$B,$C33,'Pasted Bridges'!$F:$F,Z$5)</f>
        <v>21.16</v>
      </c>
      <c r="AA33" s="17">
        <f>SUMIFS('Pasted Bridges'!$G:$G,'Pasted Bridges'!$B:$B,$C33,'Pasted Bridges'!$F:$F,AA$5)</f>
        <v>17.38</v>
      </c>
      <c r="AB33" s="17">
        <f>SUMIFS('Pasted Bridges'!$G:$G,'Pasted Bridges'!$B:$B,$C33,'Pasted Bridges'!$F:$F,AB$5)</f>
        <v>23.87</v>
      </c>
      <c r="AC33" s="17">
        <f>SUMIFS('Pasted Bridges'!$G:$G,'Pasted Bridges'!$B:$B,$C33,'Pasted Bridges'!$F:$F,AC$5)</f>
        <v>28.610000000000003</v>
      </c>
      <c r="AD33" s="17">
        <f>SUMIFS('Pasted Bridges'!$G:$G,'Pasted Bridges'!$B:$B,$C33,'Pasted Bridges'!$F:$F,AD$5)</f>
        <v>49.059999999999995</v>
      </c>
      <c r="AE33" s="17">
        <f>SUMIFS('Pasted Bridges'!$G:$G,'Pasted Bridges'!$B:$B,$C33,'Pasted Bridges'!$F:$F,AE$5)</f>
        <v>60.019999999999989</v>
      </c>
      <c r="AF33" s="17">
        <f>SUMIFS('Pasted Bridges'!$G:$G,'Pasted Bridges'!$B:$B,$C33,'Pasted Bridges'!$F:$F,AF$5)</f>
        <v>64.72</v>
      </c>
      <c r="AG33" s="17">
        <f>SUMIFS('Pasted Bridges'!$G:$G,'Pasted Bridges'!$B:$B,$C33,'Pasted Bridges'!$F:$F,AG$5)</f>
        <v>36.24</v>
      </c>
      <c r="AH33" s="17">
        <f>SUMIFS('Pasted Bridges'!$G:$G,'Pasted Bridges'!$B:$B,$C33,'Pasted Bridges'!$F:$F,AH$5)</f>
        <v>64.72</v>
      </c>
      <c r="AI33" s="17">
        <f>SUMIFS('Pasted Bridges'!$G:$G,'Pasted Bridges'!$B:$B,$C33,'Pasted Bridges'!$F:$F,AI$5)</f>
        <v>60.02000000000001</v>
      </c>
      <c r="AJ33" s="17">
        <f>SUMIFS('Pasted Bridges'!$G:$G,'Pasted Bridges'!$B:$B,$C33,'Pasted Bridges'!$F:$F,AJ$5)</f>
        <v>49.06</v>
      </c>
      <c r="AK33" s="17">
        <f>SUMIFS('Pasted Bridges'!$G:$G,'Pasted Bridges'!$B:$B,$C33,'Pasted Bridges'!$F:$F,AK$5)</f>
        <v>18.12</v>
      </c>
      <c r="AL33" s="17">
        <f>SUMIFS('Pasted Bridges'!$G:$G,'Pasted Bridges'!$B:$B,$C33,'Pasted Bridges'!$F:$F,AL$5)</f>
        <v>24.53</v>
      </c>
      <c r="AM33" s="17">
        <f>SUMIFS('Pasted Bridges'!$G:$G,'Pasted Bridges'!$B:$B,$C33,'Pasted Bridges'!$F:$F,AM$5)</f>
        <v>22.04</v>
      </c>
      <c r="AN33" s="17">
        <f>SUMIFS('Pasted Bridges'!$G:$G,'Pasted Bridges'!$B:$B,$C33,'Pasted Bridges'!$F:$F,AN$5)</f>
        <v>22.05</v>
      </c>
      <c r="AO33" s="17">
        <f>SUMIFS('Pasted Bridges'!$G:$G,'Pasted Bridges'!$B:$B,$C33,'Pasted Bridges'!$F:$F,AO$5)</f>
        <v>24.53</v>
      </c>
      <c r="AP33" s="17">
        <f>SUMIFS('Pasted Bridges'!$G:$G,'Pasted Bridges'!$B:$B,$C33,'Pasted Bridges'!$F:$F,AP$5)</f>
        <v>20.77</v>
      </c>
      <c r="AQ33" s="17">
        <f>SUMIFS('Pasted Bridges'!$G:$G,'Pasted Bridges'!$B:$B,$C33,'Pasted Bridges'!$F:$F,AQ$5)</f>
        <v>18.119999999999997</v>
      </c>
      <c r="AR33" s="17">
        <f>SUMIFS('Pasted Bridges'!$G:$G,'Pasted Bridges'!$B:$B,$C33,'Pasted Bridges'!$F:$F,AR$5)</f>
        <v>28.340000000000003</v>
      </c>
      <c r="AS33" s="17">
        <f>SUMIFS('Pasted Bridges'!$G:$G,'Pasted Bridges'!$B:$B,$C33,'Pasted Bridges'!$F:$F,AS$5)</f>
        <v>36.24</v>
      </c>
      <c r="AT33" s="17">
        <f>SUMIFS('Pasted Bridges'!$G:$G,'Pasted Bridges'!$B:$B,$C33,'Pasted Bridges'!$F:$F,AT$5)</f>
        <v>28.42</v>
      </c>
      <c r="AU33" s="17">
        <f>SUMIFS('Pasted Bridges'!$G:$G,'Pasted Bridges'!$B:$B,$C33,'Pasted Bridges'!$F:$F,AU$5)</f>
        <v>41.540000000000006</v>
      </c>
      <c r="AV33" s="17">
        <f>SUMIFS('Pasted Bridges'!$G:$G,'Pasted Bridges'!$B:$B,$C33,'Pasted Bridges'!$F:$F,AV$5)</f>
        <v>41.540000000000006</v>
      </c>
      <c r="AW33" s="17">
        <f>SUMIFS('Pasted Bridges'!$G:$G,'Pasted Bridges'!$B:$B,$C33,'Pasted Bridges'!$F:$F,AW$5)</f>
        <v>18.119999999999997</v>
      </c>
      <c r="AX33" s="17">
        <f>SUMIFS('Pasted Bridges'!$G:$G,'Pasted Bridges'!$B:$B,$C33,'Pasted Bridges'!$F:$F,AX$5)</f>
        <v>14.21</v>
      </c>
      <c r="AY33" s="17">
        <f>SUMIFS('Pasted Bridges'!$G:$G,'Pasted Bridges'!$B:$B,$C33,'Pasted Bridges'!$F:$F,AY$5)</f>
        <v>14.17</v>
      </c>
      <c r="AZ33" s="17">
        <f>SUMIFS('Pasted Bridges'!$G:$G,'Pasted Bridges'!$B:$B,$C33,'Pasted Bridges'!$F:$F,AZ$5)</f>
        <v>20.77</v>
      </c>
      <c r="BA33" s="17">
        <f>SUMIFS('Pasted Bridges'!$G:$G,'Pasted Bridges'!$B:$B,$C33,'Pasted Bridges'!$F:$F,BA$5)</f>
        <v>20.060000000000002</v>
      </c>
      <c r="BB33" s="17">
        <f>SUMIFS('Pasted Bridges'!$G:$G,'Pasted Bridges'!$B:$B,$C33,'Pasted Bridges'!$F:$F,BB$5)</f>
        <v>16.8</v>
      </c>
      <c r="BC33" s="17">
        <f>SUMIFS('Pasted Bridges'!$G:$G,'Pasted Bridges'!$B:$B,$C33,'Pasted Bridges'!$F:$F,BC$5)</f>
        <v>24.17</v>
      </c>
      <c r="BD33" s="17">
        <f>SUMIFS('Pasted Bridges'!$G:$G,'Pasted Bridges'!$B:$B,$C33,'Pasted Bridges'!$F:$F,BD$5)</f>
        <v>20.82</v>
      </c>
      <c r="BE33" s="17">
        <f>SUMIFS('Pasted Bridges'!$G:$G,'Pasted Bridges'!$B:$B,$C33,'Pasted Bridges'!$F:$F,BE$5)</f>
        <v>29.31</v>
      </c>
      <c r="BF33" s="17">
        <f>SUMIFS('Pasted Bridges'!$G:$G,'Pasted Bridges'!$B:$B,$C33,'Pasted Bridges'!$F:$F,BF$5)</f>
        <v>33.980000000000004</v>
      </c>
      <c r="BG33" s="17">
        <f>SUMIFS('Pasted Bridges'!$G:$G,'Pasted Bridges'!$B:$B,$C33,'Pasted Bridges'!$F:$F,BG$5)</f>
        <v>37.620000000000005</v>
      </c>
      <c r="BH33" s="17">
        <f>SUMIFS('Pasted Bridges'!$G:$G,'Pasted Bridges'!$B:$B,$C33,'Pasted Bridges'!$F:$F,BH$5)</f>
        <v>33.600000000000009</v>
      </c>
      <c r="BI33" s="17">
        <f>SUMIFS('Pasted Bridges'!$G:$G,'Pasted Bridges'!$B:$B,$C33,'Pasted Bridges'!$F:$F,BI$5)</f>
        <v>41.64</v>
      </c>
      <c r="BJ33" s="17">
        <f>SUMIFS('Pasted Bridges'!$G:$G,'Pasted Bridges'!$B:$B,$C33,'Pasted Bridges'!$F:$F,BJ$5)</f>
        <v>41.64</v>
      </c>
      <c r="BK33" s="17">
        <f>SUMIFS('Pasted Bridges'!$G:$G,'Pasted Bridges'!$B:$B,$C33,'Pasted Bridges'!$F:$F,BK$5)</f>
        <v>33.58</v>
      </c>
      <c r="BL33" s="17">
        <f>SUMIFS('Pasted Bridges'!$G:$G,'Pasted Bridges'!$B:$B,$C33,'Pasted Bridges'!$F:$F,BL$5)</f>
        <v>33.06</v>
      </c>
      <c r="BM33" s="17">
        <f>SUMIFS('Pasted Bridges'!$G:$G,'Pasted Bridges'!$B:$B,$C33,'Pasted Bridges'!$F:$F,BM$5)</f>
        <v>38.92</v>
      </c>
      <c r="BN33" s="17">
        <f>SUMIFS('Pasted Bridges'!$G:$G,'Pasted Bridges'!$B:$B,$C33,'Pasted Bridges'!$F:$F,BN$5)</f>
        <v>38.92</v>
      </c>
      <c r="BO33" s="17">
        <f>SUMIFS('Pasted Bridges'!$G:$G,'Pasted Bridges'!$B:$B,$C33,'Pasted Bridges'!$F:$F,BO$5)</f>
        <v>19.46</v>
      </c>
      <c r="BP33" s="17">
        <f>SUMIFS('Pasted Bridges'!$G:$G,'Pasted Bridges'!$B:$B,$C33,'Pasted Bridges'!$F:$F,BP$5)</f>
        <v>19.46</v>
      </c>
      <c r="BQ33" s="17">
        <f>SUMIFS('Pasted Bridges'!$G:$G,'Pasted Bridges'!$B:$B,$C33,'Pasted Bridges'!$F:$F,BQ$5)</f>
        <v>18.810000000000002</v>
      </c>
      <c r="BR33" s="17">
        <f>SUMIFS('Pasted Bridges'!$G:$G,'Pasted Bridges'!$B:$B,$C33,'Pasted Bridges'!$F:$F,BR$5)</f>
        <v>16.8</v>
      </c>
      <c r="BS33" s="17">
        <f>SUMIFS('Pasted Bridges'!$G:$G,'Pasted Bridges'!$B:$B,$C33,'Pasted Bridges'!$F:$F,BS$5)</f>
        <v>20.82</v>
      </c>
      <c r="BT33" s="17">
        <f>SUMIFS('Pasted Bridges'!$G:$G,'Pasted Bridges'!$B:$B,$C33,'Pasted Bridges'!$F:$F,BT$5)</f>
        <v>20.82</v>
      </c>
      <c r="BU33" s="17">
        <f>SUMIFS('Pasted Bridges'!$G:$G,'Pasted Bridges'!$B:$B,$C33,'Pasted Bridges'!$F:$F,BU$5)</f>
        <v>16.79</v>
      </c>
      <c r="BV33" s="17">
        <f>SUMIFS('Pasted Bridges'!$G:$G,'Pasted Bridges'!$B:$B,$C33,'Pasted Bridges'!$F:$F,BV$5)</f>
        <v>16.53</v>
      </c>
      <c r="BW33" s="17">
        <f>SUMIFS('Pasted Bridges'!$G:$G,'Pasted Bridges'!$B:$B,$C33,'Pasted Bridges'!$F:$F,BW$5)</f>
        <v>23.04</v>
      </c>
      <c r="BX33" s="17">
        <f>SUMIFS('Pasted Bridges'!$G:$G,'Pasted Bridges'!$B:$B,$C33,'Pasted Bridges'!$F:$F,BX$5)</f>
        <v>19.09</v>
      </c>
      <c r="BY33" s="17">
        <f>SUMIFS('Pasted Bridges'!$G:$G,'Pasted Bridges'!$B:$B,$C33,'Pasted Bridges'!$F:$F,BY$5)</f>
        <v>19.73</v>
      </c>
      <c r="BZ33" s="17">
        <f>SUMIFS('Pasted Bridges'!$G:$G,'Pasted Bridges'!$B:$B,$C33,'Pasted Bridges'!$F:$F,BZ$5)</f>
        <v>24.990000000000002</v>
      </c>
      <c r="CA33" s="17">
        <f>SUMIFS('Pasted Bridges'!$G:$G,'Pasted Bridges'!$B:$B,$C33,'Pasted Bridges'!$F:$F,CA$5)</f>
        <v>23.47</v>
      </c>
      <c r="CB33" s="17">
        <f>SUMIFS('Pasted Bridges'!$G:$G,'Pasted Bridges'!$B:$B,$C33,'Pasted Bridges'!$F:$F,CB$5)</f>
        <v>41.540000000000006</v>
      </c>
      <c r="CC33" s="17">
        <f>SUMIFS('Pasted Bridges'!$G:$G,'Pasted Bridges'!$B:$B,$C33,'Pasted Bridges'!$F:$F,CC$5)</f>
        <v>38.18</v>
      </c>
      <c r="CD33" s="17">
        <f>SUMIFS('Pasted Bridges'!$G:$G,'Pasted Bridges'!$B:$B,$C33,'Pasted Bridges'!$F:$F,CD$5)</f>
        <v>39.46</v>
      </c>
      <c r="CE33" s="17">
        <f>SUMIFS('Pasted Bridges'!$G:$G,'Pasted Bridges'!$B:$B,$C33,'Pasted Bridges'!$F:$F,CE$5)</f>
        <v>49.980000000000004</v>
      </c>
      <c r="CF33" s="17">
        <f>SUMIFS('Pasted Bridges'!$G:$G,'Pasted Bridges'!$B:$B,$C33,'Pasted Bridges'!$F:$F,CF$5)</f>
        <v>46.94</v>
      </c>
      <c r="CG33" s="17">
        <f>SUMIFS('Pasted Bridges'!$G:$G,'Pasted Bridges'!$B:$B,$C33,'Pasted Bridges'!$F:$F,CG$5)</f>
        <v>19.09</v>
      </c>
      <c r="CH33" s="17">
        <f>SUMIFS('Pasted Bridges'!$G:$G,'Pasted Bridges'!$B:$B,$C33,'Pasted Bridges'!$F:$F,CH$5)</f>
        <v>19.73</v>
      </c>
      <c r="CI33" s="17">
        <f>SUMIFS('Pasted Bridges'!$G:$G,'Pasted Bridges'!$B:$B,$C33,'Pasted Bridges'!$F:$F,CI$5)</f>
        <v>22.18</v>
      </c>
      <c r="CJ33" s="17">
        <f>SUMIFS('Pasted Bridges'!$G:$G,'Pasted Bridges'!$B:$B,$C33,'Pasted Bridges'!$F:$F,CJ$5)</f>
        <v>19.159999999999997</v>
      </c>
      <c r="CK33" s="17">
        <f>SUMIFS('Pasted Bridges'!$G:$G,'Pasted Bridges'!$B:$B,$C33,'Pasted Bridges'!$F:$F,CK$5)</f>
        <v>11.49</v>
      </c>
      <c r="CL33" s="17">
        <f>SUMIFS('Pasted Bridges'!$G:$G,'Pasted Bridges'!$B:$B,$C33,'Pasted Bridges'!$F:$F,CL$5)</f>
        <v>24.349999999999998</v>
      </c>
      <c r="CM33" s="17">
        <f>SUMIFS('Pasted Bridges'!$G:$G,'Pasted Bridges'!$B:$B,$C33,'Pasted Bridges'!$F:$F,CM$5)</f>
        <v>14.31</v>
      </c>
      <c r="CN33" s="17">
        <f>SUMIFS('Pasted Bridges'!$G:$G,'Pasted Bridges'!$B:$B,$C33,'Pasted Bridges'!$F:$F,CN$5)</f>
        <v>20.99</v>
      </c>
      <c r="CO33" s="17">
        <f>SUMIFS('Pasted Bridges'!$G:$G,'Pasted Bridges'!$B:$B,$C33,'Pasted Bridges'!$F:$F,CO$5)</f>
        <v>25.6</v>
      </c>
      <c r="CP33" s="17">
        <f>SUMIFS('Pasted Bridges'!$G:$G,'Pasted Bridges'!$B:$B,$C33,'Pasted Bridges'!$F:$F,CP$5)</f>
        <v>41.97999999999999</v>
      </c>
      <c r="CQ33" s="17">
        <f>SUMIFS('Pasted Bridges'!$G:$G,'Pasted Bridges'!$B:$B,$C33,'Pasted Bridges'!$F:$F,CQ$5)</f>
        <v>32.9</v>
      </c>
      <c r="CR33" s="17">
        <f>SUMIFS('Pasted Bridges'!$G:$G,'Pasted Bridges'!$B:$B,$C33,'Pasted Bridges'!$F:$F,CR$5)</f>
        <v>45.140000000000008</v>
      </c>
      <c r="CS33" s="17">
        <f>SUMIFS('Pasted Bridges'!$G:$G,'Pasted Bridges'!$B:$B,$C33,'Pasted Bridges'!$F:$F,CS$5)</f>
        <v>25.580000000000005</v>
      </c>
      <c r="CT33" s="17">
        <f>SUMIFS('Pasted Bridges'!$G:$G,'Pasted Bridges'!$B:$B,$C33,'Pasted Bridges'!$F:$F,CT$5)</f>
        <v>30.38</v>
      </c>
      <c r="CU33" s="17">
        <f>SUMIFS('Pasted Bridges'!$G:$G,'Pasted Bridges'!$B:$B,$C33,'Pasted Bridges'!$F:$F,CU$5)</f>
        <v>37.539999999999992</v>
      </c>
      <c r="CV33" s="17">
        <f>SUMIFS('Pasted Bridges'!$G:$G,'Pasted Bridges'!$B:$B,$C33,'Pasted Bridges'!$F:$F,CV$5)</f>
        <v>12.799999999999999</v>
      </c>
      <c r="CW33" s="17">
        <f>SUMIFS('Pasted Bridges'!$G:$G,'Pasted Bridges'!$B:$B,$C33,'Pasted Bridges'!$F:$F,CW$5)</f>
        <v>15.200000000000001</v>
      </c>
      <c r="CX33" s="17">
        <f>SUMIFS('Pasted Bridges'!$G:$G,'Pasted Bridges'!$B:$B,$C33,'Pasted Bridges'!$F:$F,CX$5)</f>
        <v>18.759999999999998</v>
      </c>
      <c r="CY33" s="17">
        <f>SUMIFS('Pasted Bridges'!$G:$G,'Pasted Bridges'!$B:$B,$C33,'Pasted Bridges'!$F:$F,CY$5)</f>
        <v>12.790000000000001</v>
      </c>
      <c r="CZ33" s="17">
        <f>SUMIFS('Pasted Bridges'!$G:$G,'Pasted Bridges'!$B:$B,$C33,'Pasted Bridges'!$F:$F,CZ$5)</f>
        <v>15.19</v>
      </c>
      <c r="DA33" s="17">
        <f>SUMIFS('Pasted Bridges'!$G:$G,'Pasted Bridges'!$B:$B,$C33,'Pasted Bridges'!$F:$F,DA$5)</f>
        <v>18.77</v>
      </c>
    </row>
    <row r="34" spans="2:105" s="1" customFormat="1" x14ac:dyDescent="0.25">
      <c r="B34" s="64"/>
      <c r="C34" s="19" t="s">
        <v>53</v>
      </c>
      <c r="D34" s="19" t="s">
        <v>182</v>
      </c>
      <c r="E34" s="13" t="s">
        <v>199</v>
      </c>
      <c r="F34" s="2">
        <v>32</v>
      </c>
      <c r="G34" s="14">
        <f>2*0.24</f>
        <v>0.48</v>
      </c>
      <c r="H34" s="2" t="s">
        <v>42</v>
      </c>
      <c r="I34" s="2">
        <v>0.12</v>
      </c>
      <c r="J34" s="3"/>
      <c r="K34" s="17">
        <f>SUMIFS('Pasted Bridges'!$G:$G,'Pasted Bridges'!$B:$B,$C34,'Pasted Bridges'!$F:$F,K$5)</f>
        <v>0</v>
      </c>
      <c r="L34" s="17">
        <f>SUMIFS('Pasted Bridges'!$G:$G,'Pasted Bridges'!$B:$B,$C34,'Pasted Bridges'!$F:$F,L$5)</f>
        <v>0</v>
      </c>
      <c r="M34" s="17">
        <f>SUMIFS('Pasted Bridges'!$G:$G,'Pasted Bridges'!$B:$B,$C34,'Pasted Bridges'!$F:$F,M$5)</f>
        <v>0</v>
      </c>
      <c r="N34" s="17">
        <f>SUMIFS('Pasted Bridges'!$G:$G,'Pasted Bridges'!$B:$B,$C34,'Pasted Bridges'!$F:$F,N$5)</f>
        <v>0</v>
      </c>
      <c r="O34" s="17">
        <f>SUMIFS('Pasted Bridges'!$G:$G,'Pasted Bridges'!$B:$B,$C34,'Pasted Bridges'!$F:$F,O$5)</f>
        <v>0</v>
      </c>
      <c r="P34" s="17">
        <f>SUMIFS('Pasted Bridges'!$G:$G,'Pasted Bridges'!$B:$B,$C34,'Pasted Bridges'!$F:$F,P$5)</f>
        <v>0</v>
      </c>
      <c r="Q34" s="17">
        <f>SUMIFS('Pasted Bridges'!$G:$G,'Pasted Bridges'!$B:$B,$C34,'Pasted Bridges'!$F:$F,Q$5)</f>
        <v>0</v>
      </c>
      <c r="R34" s="17">
        <f>SUMIFS('Pasted Bridges'!$G:$G,'Pasted Bridges'!$B:$B,$C34,'Pasted Bridges'!$F:$F,R$5)</f>
        <v>0</v>
      </c>
      <c r="S34" s="17">
        <f>SUMIFS('Pasted Bridges'!$G:$G,'Pasted Bridges'!$B:$B,$C34,'Pasted Bridges'!$F:$F,S$5)</f>
        <v>0</v>
      </c>
      <c r="T34" s="17">
        <f>SUMIFS('Pasted Bridges'!$G:$G,'Pasted Bridges'!$B:$B,$C34,'Pasted Bridges'!$F:$F,T$5)</f>
        <v>0</v>
      </c>
      <c r="U34" s="17">
        <f>SUMIFS('Pasted Bridges'!$G:$G,'Pasted Bridges'!$B:$B,$C34,'Pasted Bridges'!$F:$F,U$5)</f>
        <v>18.68</v>
      </c>
      <c r="V34" s="17">
        <f>SUMIFS('Pasted Bridges'!$G:$G,'Pasted Bridges'!$B:$B,$C34,'Pasted Bridges'!$F:$F,V$5)</f>
        <v>18.68</v>
      </c>
      <c r="W34" s="17">
        <f>SUMIFS('Pasted Bridges'!$G:$G,'Pasted Bridges'!$B:$B,$C34,'Pasted Bridges'!$F:$F,W$5)</f>
        <v>21.88</v>
      </c>
      <c r="X34" s="17">
        <f>SUMIFS('Pasted Bridges'!$G:$G,'Pasted Bridges'!$B:$B,$C34,'Pasted Bridges'!$F:$F,X$5)</f>
        <v>21.880000000000003</v>
      </c>
      <c r="Y34" s="17">
        <f>SUMIFS('Pasted Bridges'!$G:$G,'Pasted Bridges'!$B:$B,$C34,'Pasted Bridges'!$F:$F,Y$5)</f>
        <v>17.38</v>
      </c>
      <c r="Z34" s="17">
        <f>SUMIFS('Pasted Bridges'!$G:$G,'Pasted Bridges'!$B:$B,$C34,'Pasted Bridges'!$F:$F,Z$5)</f>
        <v>21.16</v>
      </c>
      <c r="AA34" s="17">
        <f>SUMIFS('Pasted Bridges'!$G:$G,'Pasted Bridges'!$B:$B,$C34,'Pasted Bridges'!$F:$F,AA$5)</f>
        <v>17.380000000000003</v>
      </c>
      <c r="AB34" s="17">
        <f>SUMIFS('Pasted Bridges'!$G:$G,'Pasted Bridges'!$B:$B,$C34,'Pasted Bridges'!$F:$F,AB$5)</f>
        <v>0</v>
      </c>
      <c r="AC34" s="17">
        <f>SUMIFS('Pasted Bridges'!$G:$G,'Pasted Bridges'!$B:$B,$C34,'Pasted Bridges'!$F:$F,AC$5)</f>
        <v>0</v>
      </c>
      <c r="AD34" s="17">
        <f>SUMIFS('Pasted Bridges'!$G:$G,'Pasted Bridges'!$B:$B,$C34,'Pasted Bridges'!$F:$F,AD$5)</f>
        <v>0</v>
      </c>
      <c r="AE34" s="17">
        <f>SUMIFS('Pasted Bridges'!$G:$G,'Pasted Bridges'!$B:$B,$C34,'Pasted Bridges'!$F:$F,AE$5)</f>
        <v>0</v>
      </c>
      <c r="AF34" s="17">
        <f>SUMIFS('Pasted Bridges'!$G:$G,'Pasted Bridges'!$B:$B,$C34,'Pasted Bridges'!$F:$F,AF$5)</f>
        <v>0</v>
      </c>
      <c r="AG34" s="17">
        <f>SUMIFS('Pasted Bridges'!$G:$G,'Pasted Bridges'!$B:$B,$C34,'Pasted Bridges'!$F:$F,AG$5)</f>
        <v>0</v>
      </c>
      <c r="AH34" s="17">
        <f>SUMIFS('Pasted Bridges'!$G:$G,'Pasted Bridges'!$B:$B,$C34,'Pasted Bridges'!$F:$F,AH$5)</f>
        <v>0</v>
      </c>
      <c r="AI34" s="17">
        <f>SUMIFS('Pasted Bridges'!$G:$G,'Pasted Bridges'!$B:$B,$C34,'Pasted Bridges'!$F:$F,AI$5)</f>
        <v>0</v>
      </c>
      <c r="AJ34" s="17">
        <f>SUMIFS('Pasted Bridges'!$G:$G,'Pasted Bridges'!$B:$B,$C34,'Pasted Bridges'!$F:$F,AJ$5)</f>
        <v>0</v>
      </c>
      <c r="AK34" s="17">
        <f>SUMIFS('Pasted Bridges'!$G:$G,'Pasted Bridges'!$B:$B,$C34,'Pasted Bridges'!$F:$F,AK$5)</f>
        <v>18.12</v>
      </c>
      <c r="AL34" s="17">
        <f>SUMIFS('Pasted Bridges'!$G:$G,'Pasted Bridges'!$B:$B,$C34,'Pasted Bridges'!$F:$F,AL$5)</f>
        <v>24.53</v>
      </c>
      <c r="AM34" s="17">
        <f>SUMIFS('Pasted Bridges'!$G:$G,'Pasted Bridges'!$B:$B,$C34,'Pasted Bridges'!$F:$F,AM$5)</f>
        <v>22.040000000000003</v>
      </c>
      <c r="AN34" s="17">
        <f>SUMIFS('Pasted Bridges'!$G:$G,'Pasted Bridges'!$B:$B,$C34,'Pasted Bridges'!$F:$F,AN$5)</f>
        <v>22.050000000000004</v>
      </c>
      <c r="AO34" s="17">
        <f>SUMIFS('Pasted Bridges'!$G:$G,'Pasted Bridges'!$B:$B,$C34,'Pasted Bridges'!$F:$F,AO$5)</f>
        <v>24.53</v>
      </c>
      <c r="AP34" s="17">
        <f>SUMIFS('Pasted Bridges'!$G:$G,'Pasted Bridges'!$B:$B,$C34,'Pasted Bridges'!$F:$F,AP$5)</f>
        <v>0</v>
      </c>
      <c r="AQ34" s="17">
        <f>SUMIFS('Pasted Bridges'!$G:$G,'Pasted Bridges'!$B:$B,$C34,'Pasted Bridges'!$F:$F,AQ$5)</f>
        <v>0</v>
      </c>
      <c r="AR34" s="17">
        <f>SUMIFS('Pasted Bridges'!$G:$G,'Pasted Bridges'!$B:$B,$C34,'Pasted Bridges'!$F:$F,AR$5)</f>
        <v>0</v>
      </c>
      <c r="AS34" s="17">
        <f>SUMIFS('Pasted Bridges'!$G:$G,'Pasted Bridges'!$B:$B,$C34,'Pasted Bridges'!$F:$F,AS$5)</f>
        <v>0</v>
      </c>
      <c r="AT34" s="17">
        <f>SUMIFS('Pasted Bridges'!$G:$G,'Pasted Bridges'!$B:$B,$C34,'Pasted Bridges'!$F:$F,AT$5)</f>
        <v>0</v>
      </c>
      <c r="AU34" s="17">
        <f>SUMIFS('Pasted Bridges'!$G:$G,'Pasted Bridges'!$B:$B,$C34,'Pasted Bridges'!$F:$F,AU$5)</f>
        <v>0</v>
      </c>
      <c r="AV34" s="17">
        <f>SUMIFS('Pasted Bridges'!$G:$G,'Pasted Bridges'!$B:$B,$C34,'Pasted Bridges'!$F:$F,AV$5)</f>
        <v>0</v>
      </c>
      <c r="AW34" s="17">
        <f>SUMIFS('Pasted Bridges'!$G:$G,'Pasted Bridges'!$B:$B,$C34,'Pasted Bridges'!$F:$F,AW$5)</f>
        <v>18.119999999999997</v>
      </c>
      <c r="AX34" s="17">
        <f>SUMIFS('Pasted Bridges'!$G:$G,'Pasted Bridges'!$B:$B,$C34,'Pasted Bridges'!$F:$F,AX$5)</f>
        <v>14.21</v>
      </c>
      <c r="AY34" s="17">
        <f>SUMIFS('Pasted Bridges'!$G:$G,'Pasted Bridges'!$B:$B,$C34,'Pasted Bridges'!$F:$F,AY$5)</f>
        <v>11.29</v>
      </c>
      <c r="AZ34" s="17">
        <f>SUMIFS('Pasted Bridges'!$G:$G,'Pasted Bridges'!$B:$B,$C34,'Pasted Bridges'!$F:$F,AZ$5)</f>
        <v>20.77</v>
      </c>
      <c r="BA34" s="17">
        <f>SUMIFS('Pasted Bridges'!$G:$G,'Pasted Bridges'!$B:$B,$C34,'Pasted Bridges'!$F:$F,BA$5)</f>
        <v>0</v>
      </c>
      <c r="BB34" s="17">
        <f>SUMIFS('Pasted Bridges'!$G:$G,'Pasted Bridges'!$B:$B,$C34,'Pasted Bridges'!$F:$F,BB$5)</f>
        <v>0</v>
      </c>
      <c r="BC34" s="17">
        <f>SUMIFS('Pasted Bridges'!$G:$G,'Pasted Bridges'!$B:$B,$C34,'Pasted Bridges'!$F:$F,BC$5)</f>
        <v>0</v>
      </c>
      <c r="BD34" s="17">
        <f>SUMIFS('Pasted Bridges'!$G:$G,'Pasted Bridges'!$B:$B,$C34,'Pasted Bridges'!$F:$F,BD$5)</f>
        <v>0</v>
      </c>
      <c r="BE34" s="17">
        <f>SUMIFS('Pasted Bridges'!$G:$G,'Pasted Bridges'!$B:$B,$C34,'Pasted Bridges'!$F:$F,BE$5)</f>
        <v>0</v>
      </c>
      <c r="BF34" s="17">
        <f>SUMIFS('Pasted Bridges'!$G:$G,'Pasted Bridges'!$B:$B,$C34,'Pasted Bridges'!$F:$F,BF$5)</f>
        <v>0</v>
      </c>
      <c r="BG34" s="17">
        <f>SUMIFS('Pasted Bridges'!$G:$G,'Pasted Bridges'!$B:$B,$C34,'Pasted Bridges'!$F:$F,BG$5)</f>
        <v>0</v>
      </c>
      <c r="BH34" s="17">
        <f>SUMIFS('Pasted Bridges'!$G:$G,'Pasted Bridges'!$B:$B,$C34,'Pasted Bridges'!$F:$F,BH$5)</f>
        <v>0</v>
      </c>
      <c r="BI34" s="17">
        <f>SUMIFS('Pasted Bridges'!$G:$G,'Pasted Bridges'!$B:$B,$C34,'Pasted Bridges'!$F:$F,BI$5)</f>
        <v>0</v>
      </c>
      <c r="BJ34" s="17">
        <f>SUMIFS('Pasted Bridges'!$G:$G,'Pasted Bridges'!$B:$B,$C34,'Pasted Bridges'!$F:$F,BJ$5)</f>
        <v>0</v>
      </c>
      <c r="BK34" s="17">
        <f>SUMIFS('Pasted Bridges'!$G:$G,'Pasted Bridges'!$B:$B,$C34,'Pasted Bridges'!$F:$F,BK$5)</f>
        <v>0</v>
      </c>
      <c r="BL34" s="17">
        <f>SUMIFS('Pasted Bridges'!$G:$G,'Pasted Bridges'!$B:$B,$C34,'Pasted Bridges'!$F:$F,BL$5)</f>
        <v>0</v>
      </c>
      <c r="BM34" s="17">
        <f>SUMIFS('Pasted Bridges'!$G:$G,'Pasted Bridges'!$B:$B,$C34,'Pasted Bridges'!$F:$F,BM$5)</f>
        <v>0</v>
      </c>
      <c r="BN34" s="17">
        <f>SUMIFS('Pasted Bridges'!$G:$G,'Pasted Bridges'!$B:$B,$C34,'Pasted Bridges'!$F:$F,BN$5)</f>
        <v>0</v>
      </c>
      <c r="BO34" s="17">
        <f>SUMIFS('Pasted Bridges'!$G:$G,'Pasted Bridges'!$B:$B,$C34,'Pasted Bridges'!$F:$F,BO$5)</f>
        <v>19.46</v>
      </c>
      <c r="BP34" s="17">
        <f>SUMIFS('Pasted Bridges'!$G:$G,'Pasted Bridges'!$B:$B,$C34,'Pasted Bridges'!$F:$F,BP$5)</f>
        <v>19.46</v>
      </c>
      <c r="BQ34" s="17">
        <f>SUMIFS('Pasted Bridges'!$G:$G,'Pasted Bridges'!$B:$B,$C34,'Pasted Bridges'!$F:$F,BQ$5)</f>
        <v>18.810000000000002</v>
      </c>
      <c r="BR34" s="17">
        <f>SUMIFS('Pasted Bridges'!$G:$G,'Pasted Bridges'!$B:$B,$C34,'Pasted Bridges'!$F:$F,BR$5)</f>
        <v>16.8</v>
      </c>
      <c r="BS34" s="17">
        <f>SUMIFS('Pasted Bridges'!$G:$G,'Pasted Bridges'!$B:$B,$C34,'Pasted Bridges'!$F:$F,BS$5)</f>
        <v>20.82</v>
      </c>
      <c r="BT34" s="17">
        <f>SUMIFS('Pasted Bridges'!$G:$G,'Pasted Bridges'!$B:$B,$C34,'Pasted Bridges'!$F:$F,BT$5)</f>
        <v>20.82</v>
      </c>
      <c r="BU34" s="17">
        <f>SUMIFS('Pasted Bridges'!$G:$G,'Pasted Bridges'!$B:$B,$C34,'Pasted Bridges'!$F:$F,BU$5)</f>
        <v>16.79</v>
      </c>
      <c r="BV34" s="17">
        <f>SUMIFS('Pasted Bridges'!$G:$G,'Pasted Bridges'!$B:$B,$C34,'Pasted Bridges'!$F:$F,BV$5)</f>
        <v>16.529999999999998</v>
      </c>
      <c r="BW34" s="17">
        <f>SUMIFS('Pasted Bridges'!$G:$G,'Pasted Bridges'!$B:$B,$C34,'Pasted Bridges'!$F:$F,BW$5)</f>
        <v>0</v>
      </c>
      <c r="BX34" s="17">
        <f>SUMIFS('Pasted Bridges'!$G:$G,'Pasted Bridges'!$B:$B,$C34,'Pasted Bridges'!$F:$F,BX$5)</f>
        <v>0</v>
      </c>
      <c r="BY34" s="17">
        <f>SUMIFS('Pasted Bridges'!$G:$G,'Pasted Bridges'!$B:$B,$C34,'Pasted Bridges'!$F:$F,BY$5)</f>
        <v>0</v>
      </c>
      <c r="BZ34" s="17">
        <f>SUMIFS('Pasted Bridges'!$G:$G,'Pasted Bridges'!$B:$B,$C34,'Pasted Bridges'!$F:$F,BZ$5)</f>
        <v>0</v>
      </c>
      <c r="CA34" s="17">
        <f>SUMIFS('Pasted Bridges'!$G:$G,'Pasted Bridges'!$B:$B,$C34,'Pasted Bridges'!$F:$F,CA$5)</f>
        <v>0</v>
      </c>
      <c r="CB34" s="17">
        <f>SUMIFS('Pasted Bridges'!$G:$G,'Pasted Bridges'!$B:$B,$C34,'Pasted Bridges'!$F:$F,CB$5)</f>
        <v>0</v>
      </c>
      <c r="CC34" s="17">
        <f>SUMIFS('Pasted Bridges'!$G:$G,'Pasted Bridges'!$B:$B,$C34,'Pasted Bridges'!$F:$F,CC$5)</f>
        <v>0</v>
      </c>
      <c r="CD34" s="17">
        <f>SUMIFS('Pasted Bridges'!$G:$G,'Pasted Bridges'!$B:$B,$C34,'Pasted Bridges'!$F:$F,CD$5)</f>
        <v>0</v>
      </c>
      <c r="CE34" s="17">
        <f>SUMIFS('Pasted Bridges'!$G:$G,'Pasted Bridges'!$B:$B,$C34,'Pasted Bridges'!$F:$F,CE$5)</f>
        <v>0</v>
      </c>
      <c r="CF34" s="17">
        <f>SUMIFS('Pasted Bridges'!$G:$G,'Pasted Bridges'!$B:$B,$C34,'Pasted Bridges'!$F:$F,CF$5)</f>
        <v>0</v>
      </c>
      <c r="CG34" s="17">
        <f>SUMIFS('Pasted Bridges'!$G:$G,'Pasted Bridges'!$B:$B,$C34,'Pasted Bridges'!$F:$F,CG$5)</f>
        <v>19.09</v>
      </c>
      <c r="CH34" s="17">
        <f>SUMIFS('Pasted Bridges'!$G:$G,'Pasted Bridges'!$B:$B,$C34,'Pasted Bridges'!$F:$F,CH$5)</f>
        <v>19.73</v>
      </c>
      <c r="CI34" s="17">
        <f>SUMIFS('Pasted Bridges'!$G:$G,'Pasted Bridges'!$B:$B,$C34,'Pasted Bridges'!$F:$F,CI$5)</f>
        <v>22.18</v>
      </c>
      <c r="CJ34" s="17">
        <f>SUMIFS('Pasted Bridges'!$G:$G,'Pasted Bridges'!$B:$B,$C34,'Pasted Bridges'!$F:$F,CJ$5)</f>
        <v>19.16</v>
      </c>
      <c r="CK34" s="17">
        <f>SUMIFS('Pasted Bridges'!$G:$G,'Pasted Bridges'!$B:$B,$C34,'Pasted Bridges'!$F:$F,CK$5)</f>
        <v>0</v>
      </c>
      <c r="CL34" s="17">
        <f>SUMIFS('Pasted Bridges'!$G:$G,'Pasted Bridges'!$B:$B,$C34,'Pasted Bridges'!$F:$F,CL$5)</f>
        <v>0</v>
      </c>
      <c r="CM34" s="17">
        <f>SUMIFS('Pasted Bridges'!$G:$G,'Pasted Bridges'!$B:$B,$C34,'Pasted Bridges'!$F:$F,CM$5)</f>
        <v>0</v>
      </c>
      <c r="CN34" s="17">
        <f>SUMIFS('Pasted Bridges'!$G:$G,'Pasted Bridges'!$B:$B,$C34,'Pasted Bridges'!$F:$F,CN$5)</f>
        <v>0</v>
      </c>
      <c r="CO34" s="17">
        <f>SUMIFS('Pasted Bridges'!$G:$G,'Pasted Bridges'!$B:$B,$C34,'Pasted Bridges'!$F:$F,CO$5)</f>
        <v>0</v>
      </c>
      <c r="CP34" s="17">
        <f>SUMIFS('Pasted Bridges'!$G:$G,'Pasted Bridges'!$B:$B,$C34,'Pasted Bridges'!$F:$F,CP$5)</f>
        <v>0</v>
      </c>
      <c r="CQ34" s="17">
        <f>SUMIFS('Pasted Bridges'!$G:$G,'Pasted Bridges'!$B:$B,$C34,'Pasted Bridges'!$F:$F,CQ$5)</f>
        <v>0</v>
      </c>
      <c r="CR34" s="17">
        <f>SUMIFS('Pasted Bridges'!$G:$G,'Pasted Bridges'!$B:$B,$C34,'Pasted Bridges'!$F:$F,CR$5)</f>
        <v>0</v>
      </c>
      <c r="CS34" s="17">
        <f>SUMIFS('Pasted Bridges'!$G:$G,'Pasted Bridges'!$B:$B,$C34,'Pasted Bridges'!$F:$F,CS$5)</f>
        <v>0</v>
      </c>
      <c r="CT34" s="17">
        <f>SUMIFS('Pasted Bridges'!$G:$G,'Pasted Bridges'!$B:$B,$C34,'Pasted Bridges'!$F:$F,CT$5)</f>
        <v>0</v>
      </c>
      <c r="CU34" s="17">
        <f>SUMIFS('Pasted Bridges'!$G:$G,'Pasted Bridges'!$B:$B,$C34,'Pasted Bridges'!$F:$F,CU$5)</f>
        <v>0</v>
      </c>
      <c r="CV34" s="17">
        <f>SUMIFS('Pasted Bridges'!$G:$G,'Pasted Bridges'!$B:$B,$C34,'Pasted Bridges'!$F:$F,CV$5)</f>
        <v>12.799999999999999</v>
      </c>
      <c r="CW34" s="17">
        <f>SUMIFS('Pasted Bridges'!$G:$G,'Pasted Bridges'!$B:$B,$C34,'Pasted Bridges'!$F:$F,CW$5)</f>
        <v>15.2</v>
      </c>
      <c r="CX34" s="17">
        <f>SUMIFS('Pasted Bridges'!$G:$G,'Pasted Bridges'!$B:$B,$C34,'Pasted Bridges'!$F:$F,CX$5)</f>
        <v>18.759999999999998</v>
      </c>
      <c r="CY34" s="17">
        <f>SUMIFS('Pasted Bridges'!$G:$G,'Pasted Bridges'!$B:$B,$C34,'Pasted Bridges'!$F:$F,CY$5)</f>
        <v>12.790000000000001</v>
      </c>
      <c r="CZ34" s="17">
        <f>SUMIFS('Pasted Bridges'!$G:$G,'Pasted Bridges'!$B:$B,$C34,'Pasted Bridges'!$F:$F,CZ$5)</f>
        <v>15.19</v>
      </c>
      <c r="DA34" s="17">
        <f>SUMIFS('Pasted Bridges'!$G:$G,'Pasted Bridges'!$B:$B,$C34,'Pasted Bridges'!$F:$F,DA$5)</f>
        <v>18.77</v>
      </c>
    </row>
    <row r="35" spans="2:105" s="1" customFormat="1" x14ac:dyDescent="0.25">
      <c r="B35" s="65"/>
      <c r="C35" s="19" t="s">
        <v>24</v>
      </c>
      <c r="D35" s="19" t="s">
        <v>183</v>
      </c>
      <c r="E35" s="13" t="s">
        <v>199</v>
      </c>
      <c r="F35" s="2">
        <v>33</v>
      </c>
      <c r="G35" s="14">
        <v>0.48</v>
      </c>
      <c r="H35" s="2" t="s">
        <v>42</v>
      </c>
      <c r="I35" s="2">
        <v>0.08</v>
      </c>
      <c r="J35" s="3"/>
      <c r="K35" s="17">
        <f>SUMIFS('Pasted Bridges'!$G:$G,'Pasted Bridges'!$B:$B,$C35,'Pasted Bridges'!$F:$F,K$5)</f>
        <v>0</v>
      </c>
      <c r="L35" s="17">
        <f>SUMIFS('Pasted Bridges'!$G:$G,'Pasted Bridges'!$B:$B,$C35,'Pasted Bridges'!$F:$F,L$5)</f>
        <v>0</v>
      </c>
      <c r="M35" s="17">
        <f>SUMIFS('Pasted Bridges'!$G:$G,'Pasted Bridges'!$B:$B,$C35,'Pasted Bridges'!$F:$F,M$5)</f>
        <v>0</v>
      </c>
      <c r="N35" s="17">
        <f>SUMIFS('Pasted Bridges'!$G:$G,'Pasted Bridges'!$B:$B,$C35,'Pasted Bridges'!$F:$F,N$5)</f>
        <v>0</v>
      </c>
      <c r="O35" s="17">
        <f>SUMIFS('Pasted Bridges'!$G:$G,'Pasted Bridges'!$B:$B,$C35,'Pasted Bridges'!$F:$F,O$5)</f>
        <v>0</v>
      </c>
      <c r="P35" s="17">
        <f>SUMIFS('Pasted Bridges'!$G:$G,'Pasted Bridges'!$B:$B,$C35,'Pasted Bridges'!$F:$F,P$5)</f>
        <v>0</v>
      </c>
      <c r="Q35" s="17">
        <f>SUMIFS('Pasted Bridges'!$G:$G,'Pasted Bridges'!$B:$B,$C35,'Pasted Bridges'!$F:$F,Q$5)</f>
        <v>0</v>
      </c>
      <c r="R35" s="17">
        <f>SUMIFS('Pasted Bridges'!$G:$G,'Pasted Bridges'!$B:$B,$C35,'Pasted Bridges'!$F:$F,R$5)</f>
        <v>0</v>
      </c>
      <c r="S35" s="17">
        <f>SUMIFS('Pasted Bridges'!$G:$G,'Pasted Bridges'!$B:$B,$C35,'Pasted Bridges'!$F:$F,S$5)</f>
        <v>0</v>
      </c>
      <c r="T35" s="17">
        <f>SUMIFS('Pasted Bridges'!$G:$G,'Pasted Bridges'!$B:$B,$C35,'Pasted Bridges'!$F:$F,T$5)</f>
        <v>0</v>
      </c>
      <c r="U35" s="17">
        <f>SUMIFS('Pasted Bridges'!$G:$G,'Pasted Bridges'!$B:$B,$C35,'Pasted Bridges'!$F:$F,U$5)</f>
        <v>0</v>
      </c>
      <c r="V35" s="17">
        <f>SUMIFS('Pasted Bridges'!$G:$G,'Pasted Bridges'!$B:$B,$C35,'Pasted Bridges'!$F:$F,V$5)</f>
        <v>0</v>
      </c>
      <c r="W35" s="17">
        <f>SUMIFS('Pasted Bridges'!$G:$G,'Pasted Bridges'!$B:$B,$C35,'Pasted Bridges'!$F:$F,W$5)</f>
        <v>0</v>
      </c>
      <c r="X35" s="17">
        <f>SUMIFS('Pasted Bridges'!$G:$G,'Pasted Bridges'!$B:$B,$C35,'Pasted Bridges'!$F:$F,X$5)</f>
        <v>0</v>
      </c>
      <c r="Y35" s="17">
        <f>SUMIFS('Pasted Bridges'!$G:$G,'Pasted Bridges'!$B:$B,$C35,'Pasted Bridges'!$F:$F,Y$5)</f>
        <v>0</v>
      </c>
      <c r="Z35" s="17">
        <f>SUMIFS('Pasted Bridges'!$G:$G,'Pasted Bridges'!$B:$B,$C35,'Pasted Bridges'!$F:$F,Z$5)</f>
        <v>0</v>
      </c>
      <c r="AA35" s="17">
        <f>SUMIFS('Pasted Bridges'!$G:$G,'Pasted Bridges'!$B:$B,$C35,'Pasted Bridges'!$F:$F,AA$5)</f>
        <v>0</v>
      </c>
      <c r="AB35" s="17">
        <f>SUMIFS('Pasted Bridges'!$G:$G,'Pasted Bridges'!$B:$B,$C35,'Pasted Bridges'!$F:$F,AB$5)</f>
        <v>0</v>
      </c>
      <c r="AC35" s="17">
        <f>SUMIFS('Pasted Bridges'!$G:$G,'Pasted Bridges'!$B:$B,$C35,'Pasted Bridges'!$F:$F,AC$5)</f>
        <v>0</v>
      </c>
      <c r="AD35" s="17">
        <f>SUMIFS('Pasted Bridges'!$G:$G,'Pasted Bridges'!$B:$B,$C35,'Pasted Bridges'!$F:$F,AD$5)</f>
        <v>0</v>
      </c>
      <c r="AE35" s="17">
        <f>SUMIFS('Pasted Bridges'!$G:$G,'Pasted Bridges'!$B:$B,$C35,'Pasted Bridges'!$F:$F,AE$5)</f>
        <v>0</v>
      </c>
      <c r="AF35" s="17">
        <f>SUMIFS('Pasted Bridges'!$G:$G,'Pasted Bridges'!$B:$B,$C35,'Pasted Bridges'!$F:$F,AF$5)</f>
        <v>0</v>
      </c>
      <c r="AG35" s="17">
        <f>SUMIFS('Pasted Bridges'!$G:$G,'Pasted Bridges'!$B:$B,$C35,'Pasted Bridges'!$F:$F,AG$5)</f>
        <v>0</v>
      </c>
      <c r="AH35" s="17">
        <f>SUMIFS('Pasted Bridges'!$G:$G,'Pasted Bridges'!$B:$B,$C35,'Pasted Bridges'!$F:$F,AH$5)</f>
        <v>0</v>
      </c>
      <c r="AI35" s="17">
        <f>SUMIFS('Pasted Bridges'!$G:$G,'Pasted Bridges'!$B:$B,$C35,'Pasted Bridges'!$F:$F,AI$5)</f>
        <v>0</v>
      </c>
      <c r="AJ35" s="17">
        <f>SUMIFS('Pasted Bridges'!$G:$G,'Pasted Bridges'!$B:$B,$C35,'Pasted Bridges'!$F:$F,AJ$5)</f>
        <v>0</v>
      </c>
      <c r="AK35" s="17">
        <f>SUMIFS('Pasted Bridges'!$G:$G,'Pasted Bridges'!$B:$B,$C35,'Pasted Bridges'!$F:$F,AK$5)</f>
        <v>0</v>
      </c>
      <c r="AL35" s="17">
        <f>SUMIFS('Pasted Bridges'!$G:$G,'Pasted Bridges'!$B:$B,$C35,'Pasted Bridges'!$F:$F,AL$5)</f>
        <v>0</v>
      </c>
      <c r="AM35" s="17">
        <f>SUMIFS('Pasted Bridges'!$G:$G,'Pasted Bridges'!$B:$B,$C35,'Pasted Bridges'!$F:$F,AM$5)</f>
        <v>0</v>
      </c>
      <c r="AN35" s="17">
        <f>SUMIFS('Pasted Bridges'!$G:$G,'Pasted Bridges'!$B:$B,$C35,'Pasted Bridges'!$F:$F,AN$5)</f>
        <v>0</v>
      </c>
      <c r="AO35" s="17">
        <f>SUMIFS('Pasted Bridges'!$G:$G,'Pasted Bridges'!$B:$B,$C35,'Pasted Bridges'!$F:$F,AO$5)</f>
        <v>0</v>
      </c>
      <c r="AP35" s="17">
        <f>SUMIFS('Pasted Bridges'!$G:$G,'Pasted Bridges'!$B:$B,$C35,'Pasted Bridges'!$F:$F,AP$5)</f>
        <v>0</v>
      </c>
      <c r="AQ35" s="17">
        <f>SUMIFS('Pasted Bridges'!$G:$G,'Pasted Bridges'!$B:$B,$C35,'Pasted Bridges'!$F:$F,AQ$5)</f>
        <v>0</v>
      </c>
      <c r="AR35" s="17">
        <f>SUMIFS('Pasted Bridges'!$G:$G,'Pasted Bridges'!$B:$B,$C35,'Pasted Bridges'!$F:$F,AR$5)</f>
        <v>0</v>
      </c>
      <c r="AS35" s="17">
        <f>SUMIFS('Pasted Bridges'!$G:$G,'Pasted Bridges'!$B:$B,$C35,'Pasted Bridges'!$F:$F,AS$5)</f>
        <v>0</v>
      </c>
      <c r="AT35" s="17">
        <f>SUMIFS('Pasted Bridges'!$G:$G,'Pasted Bridges'!$B:$B,$C35,'Pasted Bridges'!$F:$F,AT$5)</f>
        <v>0</v>
      </c>
      <c r="AU35" s="17">
        <f>SUMIFS('Pasted Bridges'!$G:$G,'Pasted Bridges'!$B:$B,$C35,'Pasted Bridges'!$F:$F,AU$5)</f>
        <v>0</v>
      </c>
      <c r="AV35" s="17">
        <f>SUMIFS('Pasted Bridges'!$G:$G,'Pasted Bridges'!$B:$B,$C35,'Pasted Bridges'!$F:$F,AV$5)</f>
        <v>0</v>
      </c>
      <c r="AW35" s="17">
        <f>SUMIFS('Pasted Bridges'!$G:$G,'Pasted Bridges'!$B:$B,$C35,'Pasted Bridges'!$F:$F,AW$5)</f>
        <v>0</v>
      </c>
      <c r="AX35" s="17">
        <f>SUMIFS('Pasted Bridges'!$G:$G,'Pasted Bridges'!$B:$B,$C35,'Pasted Bridges'!$F:$F,AX$5)</f>
        <v>0</v>
      </c>
      <c r="AY35" s="17">
        <f>SUMIFS('Pasted Bridges'!$G:$G,'Pasted Bridges'!$B:$B,$C35,'Pasted Bridges'!$F:$F,AY$5)</f>
        <v>0</v>
      </c>
      <c r="AZ35" s="17">
        <f>SUMIFS('Pasted Bridges'!$G:$G,'Pasted Bridges'!$B:$B,$C35,'Pasted Bridges'!$F:$F,AZ$5)</f>
        <v>0</v>
      </c>
      <c r="BA35" s="17">
        <f>SUMIFS('Pasted Bridges'!$G:$G,'Pasted Bridges'!$B:$B,$C35,'Pasted Bridges'!$F:$F,BA$5)</f>
        <v>0</v>
      </c>
      <c r="BB35" s="17">
        <f>SUMIFS('Pasted Bridges'!$G:$G,'Pasted Bridges'!$B:$B,$C35,'Pasted Bridges'!$F:$F,BB$5)</f>
        <v>0</v>
      </c>
      <c r="BC35" s="17">
        <f>SUMIFS('Pasted Bridges'!$G:$G,'Pasted Bridges'!$B:$B,$C35,'Pasted Bridges'!$F:$F,BC$5)</f>
        <v>0</v>
      </c>
      <c r="BD35" s="17">
        <f>SUMIFS('Pasted Bridges'!$G:$G,'Pasted Bridges'!$B:$B,$C35,'Pasted Bridges'!$F:$F,BD$5)</f>
        <v>0</v>
      </c>
      <c r="BE35" s="17">
        <f>SUMIFS('Pasted Bridges'!$G:$G,'Pasted Bridges'!$B:$B,$C35,'Pasted Bridges'!$F:$F,BE$5)</f>
        <v>0</v>
      </c>
      <c r="BF35" s="17">
        <f>SUMIFS('Pasted Bridges'!$G:$G,'Pasted Bridges'!$B:$B,$C35,'Pasted Bridges'!$F:$F,BF$5)</f>
        <v>0</v>
      </c>
      <c r="BG35" s="17">
        <f>SUMIFS('Pasted Bridges'!$G:$G,'Pasted Bridges'!$B:$B,$C35,'Pasted Bridges'!$F:$F,BG$5)</f>
        <v>0</v>
      </c>
      <c r="BH35" s="17">
        <f>SUMIFS('Pasted Bridges'!$G:$G,'Pasted Bridges'!$B:$B,$C35,'Pasted Bridges'!$F:$F,BH$5)</f>
        <v>0</v>
      </c>
      <c r="BI35" s="17">
        <f>SUMIFS('Pasted Bridges'!$G:$G,'Pasted Bridges'!$B:$B,$C35,'Pasted Bridges'!$F:$F,BI$5)</f>
        <v>0</v>
      </c>
      <c r="BJ35" s="17">
        <f>SUMIFS('Pasted Bridges'!$G:$G,'Pasted Bridges'!$B:$B,$C35,'Pasted Bridges'!$F:$F,BJ$5)</f>
        <v>0</v>
      </c>
      <c r="BK35" s="17">
        <f>SUMIFS('Pasted Bridges'!$G:$G,'Pasted Bridges'!$B:$B,$C35,'Pasted Bridges'!$F:$F,BK$5)</f>
        <v>0</v>
      </c>
      <c r="BL35" s="17">
        <f>SUMIFS('Pasted Bridges'!$G:$G,'Pasted Bridges'!$B:$B,$C35,'Pasted Bridges'!$F:$F,BL$5)</f>
        <v>0</v>
      </c>
      <c r="BM35" s="17">
        <f>SUMIFS('Pasted Bridges'!$G:$G,'Pasted Bridges'!$B:$B,$C35,'Pasted Bridges'!$F:$F,BM$5)</f>
        <v>0</v>
      </c>
      <c r="BN35" s="17">
        <f>SUMIFS('Pasted Bridges'!$G:$G,'Pasted Bridges'!$B:$B,$C35,'Pasted Bridges'!$F:$F,BN$5)</f>
        <v>0</v>
      </c>
      <c r="BO35" s="17">
        <f>SUMIFS('Pasted Bridges'!$G:$G,'Pasted Bridges'!$B:$B,$C35,'Pasted Bridges'!$F:$F,BO$5)</f>
        <v>0</v>
      </c>
      <c r="BP35" s="17">
        <f>SUMIFS('Pasted Bridges'!$G:$G,'Pasted Bridges'!$B:$B,$C35,'Pasted Bridges'!$F:$F,BP$5)</f>
        <v>0</v>
      </c>
      <c r="BQ35" s="17">
        <f>SUMIFS('Pasted Bridges'!$G:$G,'Pasted Bridges'!$B:$B,$C35,'Pasted Bridges'!$F:$F,BQ$5)</f>
        <v>0</v>
      </c>
      <c r="BR35" s="17">
        <f>SUMIFS('Pasted Bridges'!$G:$G,'Pasted Bridges'!$B:$B,$C35,'Pasted Bridges'!$F:$F,BR$5)</f>
        <v>0</v>
      </c>
      <c r="BS35" s="17">
        <f>SUMIFS('Pasted Bridges'!$G:$G,'Pasted Bridges'!$B:$B,$C35,'Pasted Bridges'!$F:$F,BS$5)</f>
        <v>0</v>
      </c>
      <c r="BT35" s="17">
        <f>SUMIFS('Pasted Bridges'!$G:$G,'Pasted Bridges'!$B:$B,$C35,'Pasted Bridges'!$F:$F,BT$5)</f>
        <v>0</v>
      </c>
      <c r="BU35" s="17">
        <f>SUMIFS('Pasted Bridges'!$G:$G,'Pasted Bridges'!$B:$B,$C35,'Pasted Bridges'!$F:$F,BU$5)</f>
        <v>0</v>
      </c>
      <c r="BV35" s="17">
        <f>SUMIFS('Pasted Bridges'!$G:$G,'Pasted Bridges'!$B:$B,$C35,'Pasted Bridges'!$F:$F,BV$5)</f>
        <v>0</v>
      </c>
      <c r="BW35" s="17">
        <f>SUMIFS('Pasted Bridges'!$G:$G,'Pasted Bridges'!$B:$B,$C35,'Pasted Bridges'!$F:$F,BW$5)</f>
        <v>0</v>
      </c>
      <c r="BX35" s="17">
        <f>SUMIFS('Pasted Bridges'!$G:$G,'Pasted Bridges'!$B:$B,$C35,'Pasted Bridges'!$F:$F,BX$5)</f>
        <v>0</v>
      </c>
      <c r="BY35" s="17">
        <f>SUMIFS('Pasted Bridges'!$G:$G,'Pasted Bridges'!$B:$B,$C35,'Pasted Bridges'!$F:$F,BY$5)</f>
        <v>0</v>
      </c>
      <c r="BZ35" s="17">
        <f>SUMIFS('Pasted Bridges'!$G:$G,'Pasted Bridges'!$B:$B,$C35,'Pasted Bridges'!$F:$F,BZ$5)</f>
        <v>0</v>
      </c>
      <c r="CA35" s="17">
        <f>SUMIFS('Pasted Bridges'!$G:$G,'Pasted Bridges'!$B:$B,$C35,'Pasted Bridges'!$F:$F,CA$5)</f>
        <v>0</v>
      </c>
      <c r="CB35" s="17">
        <f>SUMIFS('Pasted Bridges'!$G:$G,'Pasted Bridges'!$B:$B,$C35,'Pasted Bridges'!$F:$F,CB$5)</f>
        <v>0</v>
      </c>
      <c r="CC35" s="17">
        <f>SUMIFS('Pasted Bridges'!$G:$G,'Pasted Bridges'!$B:$B,$C35,'Pasted Bridges'!$F:$F,CC$5)</f>
        <v>0</v>
      </c>
      <c r="CD35" s="17">
        <f>SUMIFS('Pasted Bridges'!$G:$G,'Pasted Bridges'!$B:$B,$C35,'Pasted Bridges'!$F:$F,CD$5)</f>
        <v>0</v>
      </c>
      <c r="CE35" s="17">
        <f>SUMIFS('Pasted Bridges'!$G:$G,'Pasted Bridges'!$B:$B,$C35,'Pasted Bridges'!$F:$F,CE$5)</f>
        <v>0</v>
      </c>
      <c r="CF35" s="17">
        <f>SUMIFS('Pasted Bridges'!$G:$G,'Pasted Bridges'!$B:$B,$C35,'Pasted Bridges'!$F:$F,CF$5)</f>
        <v>0</v>
      </c>
      <c r="CG35" s="17">
        <f>SUMIFS('Pasted Bridges'!$G:$G,'Pasted Bridges'!$B:$B,$C35,'Pasted Bridges'!$F:$F,CG$5)</f>
        <v>0</v>
      </c>
      <c r="CH35" s="17">
        <f>SUMIFS('Pasted Bridges'!$G:$G,'Pasted Bridges'!$B:$B,$C35,'Pasted Bridges'!$F:$F,CH$5)</f>
        <v>0</v>
      </c>
      <c r="CI35" s="17">
        <f>SUMIFS('Pasted Bridges'!$G:$G,'Pasted Bridges'!$B:$B,$C35,'Pasted Bridges'!$F:$F,CI$5)</f>
        <v>0</v>
      </c>
      <c r="CJ35" s="17">
        <f>SUMIFS('Pasted Bridges'!$G:$G,'Pasted Bridges'!$B:$B,$C35,'Pasted Bridges'!$F:$F,CJ$5)</f>
        <v>0</v>
      </c>
      <c r="CK35" s="17">
        <f>SUMIFS('Pasted Bridges'!$G:$G,'Pasted Bridges'!$B:$B,$C35,'Pasted Bridges'!$F:$F,CK$5)</f>
        <v>0</v>
      </c>
      <c r="CL35" s="17">
        <f>SUMIFS('Pasted Bridges'!$G:$G,'Pasted Bridges'!$B:$B,$C35,'Pasted Bridges'!$F:$F,CL$5)</f>
        <v>0</v>
      </c>
      <c r="CM35" s="17">
        <f>SUMIFS('Pasted Bridges'!$G:$G,'Pasted Bridges'!$B:$B,$C35,'Pasted Bridges'!$F:$F,CM$5)</f>
        <v>0</v>
      </c>
      <c r="CN35" s="17">
        <f>SUMIFS('Pasted Bridges'!$G:$G,'Pasted Bridges'!$B:$B,$C35,'Pasted Bridges'!$F:$F,CN$5)</f>
        <v>0</v>
      </c>
      <c r="CO35" s="17">
        <f>SUMIFS('Pasted Bridges'!$G:$G,'Pasted Bridges'!$B:$B,$C35,'Pasted Bridges'!$F:$F,CO$5)</f>
        <v>0</v>
      </c>
      <c r="CP35" s="17">
        <f>SUMIFS('Pasted Bridges'!$G:$G,'Pasted Bridges'!$B:$B,$C35,'Pasted Bridges'!$F:$F,CP$5)</f>
        <v>0</v>
      </c>
      <c r="CQ35" s="17">
        <f>SUMIFS('Pasted Bridges'!$G:$G,'Pasted Bridges'!$B:$B,$C35,'Pasted Bridges'!$F:$F,CQ$5)</f>
        <v>0</v>
      </c>
      <c r="CR35" s="17">
        <f>SUMIFS('Pasted Bridges'!$G:$G,'Pasted Bridges'!$B:$B,$C35,'Pasted Bridges'!$F:$F,CR$5)</f>
        <v>0</v>
      </c>
      <c r="CS35" s="17">
        <f>SUMIFS('Pasted Bridges'!$G:$G,'Pasted Bridges'!$B:$B,$C35,'Pasted Bridges'!$F:$F,CS$5)</f>
        <v>0</v>
      </c>
      <c r="CT35" s="17">
        <f>SUMIFS('Pasted Bridges'!$G:$G,'Pasted Bridges'!$B:$B,$C35,'Pasted Bridges'!$F:$F,CT$5)</f>
        <v>0</v>
      </c>
      <c r="CU35" s="17">
        <f>SUMIFS('Pasted Bridges'!$G:$G,'Pasted Bridges'!$B:$B,$C35,'Pasted Bridges'!$F:$F,CU$5)</f>
        <v>0</v>
      </c>
      <c r="CV35" s="17">
        <f>SUMIFS('Pasted Bridges'!$G:$G,'Pasted Bridges'!$B:$B,$C35,'Pasted Bridges'!$F:$F,CV$5)</f>
        <v>0</v>
      </c>
      <c r="CW35" s="17">
        <f>SUMIFS('Pasted Bridges'!$G:$G,'Pasted Bridges'!$B:$B,$C35,'Pasted Bridges'!$F:$F,CW$5)</f>
        <v>0</v>
      </c>
      <c r="CX35" s="17">
        <f>SUMIFS('Pasted Bridges'!$G:$G,'Pasted Bridges'!$B:$B,$C35,'Pasted Bridges'!$F:$F,CX$5)</f>
        <v>0</v>
      </c>
      <c r="CY35" s="17">
        <f>SUMIFS('Pasted Bridges'!$G:$G,'Pasted Bridges'!$B:$B,$C35,'Pasted Bridges'!$F:$F,CY$5)</f>
        <v>0</v>
      </c>
      <c r="CZ35" s="17">
        <f>SUMIFS('Pasted Bridges'!$G:$G,'Pasted Bridges'!$B:$B,$C35,'Pasted Bridges'!$F:$F,CZ$5)</f>
        <v>0</v>
      </c>
      <c r="DA35" s="17">
        <f>SUMIFS('Pasted Bridges'!$G:$G,'Pasted Bridges'!$B:$B,$C35,'Pasted Bridges'!$F:$F,DA$5)</f>
        <v>0</v>
      </c>
    </row>
    <row r="36" spans="2:105" s="1" customFormat="1" x14ac:dyDescent="0.25">
      <c r="B36" s="66"/>
      <c r="C36" s="19" t="s">
        <v>25</v>
      </c>
      <c r="D36" s="19" t="s">
        <v>184</v>
      </c>
      <c r="E36" s="13" t="s">
        <v>199</v>
      </c>
      <c r="F36" s="2">
        <v>27</v>
      </c>
      <c r="G36" s="14">
        <v>0.32</v>
      </c>
      <c r="H36" s="2" t="s">
        <v>42</v>
      </c>
      <c r="I36" s="2">
        <v>7.0000000000000007E-2</v>
      </c>
      <c r="J36" s="3"/>
      <c r="K36" s="17">
        <f>SUMIFS('Pasted Bridges'!$G:$G,'Pasted Bridges'!$B:$B,$C36,'Pasted Bridges'!$F:$F,K$5)</f>
        <v>0</v>
      </c>
      <c r="L36" s="17">
        <f>SUMIFS('Pasted Bridges'!$G:$G,'Pasted Bridges'!$B:$B,$C36,'Pasted Bridges'!$F:$F,L$5)</f>
        <v>0</v>
      </c>
      <c r="M36" s="17">
        <f>SUMIFS('Pasted Bridges'!$G:$G,'Pasted Bridges'!$B:$B,$C36,'Pasted Bridges'!$F:$F,M$5)</f>
        <v>0</v>
      </c>
      <c r="N36" s="17">
        <f>SUMIFS('Pasted Bridges'!$G:$G,'Pasted Bridges'!$B:$B,$C36,'Pasted Bridges'!$F:$F,N$5)</f>
        <v>0</v>
      </c>
      <c r="O36" s="17">
        <f>SUMIFS('Pasted Bridges'!$G:$G,'Pasted Bridges'!$B:$B,$C36,'Pasted Bridges'!$F:$F,O$5)</f>
        <v>0</v>
      </c>
      <c r="P36" s="17">
        <f>SUMIFS('Pasted Bridges'!$G:$G,'Pasted Bridges'!$B:$B,$C36,'Pasted Bridges'!$F:$F,P$5)</f>
        <v>0</v>
      </c>
      <c r="Q36" s="17">
        <f>SUMIFS('Pasted Bridges'!$G:$G,'Pasted Bridges'!$B:$B,$C36,'Pasted Bridges'!$F:$F,Q$5)</f>
        <v>0</v>
      </c>
      <c r="R36" s="17">
        <f>SUMIFS('Pasted Bridges'!$G:$G,'Pasted Bridges'!$B:$B,$C36,'Pasted Bridges'!$F:$F,R$5)</f>
        <v>0</v>
      </c>
      <c r="S36" s="17">
        <f>SUMIFS('Pasted Bridges'!$G:$G,'Pasted Bridges'!$B:$B,$C36,'Pasted Bridges'!$F:$F,S$5)</f>
        <v>0</v>
      </c>
      <c r="T36" s="17">
        <f>SUMIFS('Pasted Bridges'!$G:$G,'Pasted Bridges'!$B:$B,$C36,'Pasted Bridges'!$F:$F,T$5)</f>
        <v>0</v>
      </c>
      <c r="U36" s="17">
        <f>SUMIFS('Pasted Bridges'!$G:$G,'Pasted Bridges'!$B:$B,$C36,'Pasted Bridges'!$F:$F,U$5)</f>
        <v>0</v>
      </c>
      <c r="V36" s="17">
        <f>SUMIFS('Pasted Bridges'!$G:$G,'Pasted Bridges'!$B:$B,$C36,'Pasted Bridges'!$F:$F,V$5)</f>
        <v>0</v>
      </c>
      <c r="W36" s="17">
        <f>SUMIFS('Pasted Bridges'!$G:$G,'Pasted Bridges'!$B:$B,$C36,'Pasted Bridges'!$F:$F,W$5)</f>
        <v>0</v>
      </c>
      <c r="X36" s="17">
        <f>SUMIFS('Pasted Bridges'!$G:$G,'Pasted Bridges'!$B:$B,$C36,'Pasted Bridges'!$F:$F,X$5)</f>
        <v>0</v>
      </c>
      <c r="Y36" s="17">
        <f>SUMIFS('Pasted Bridges'!$G:$G,'Pasted Bridges'!$B:$B,$C36,'Pasted Bridges'!$F:$F,Y$5)</f>
        <v>0</v>
      </c>
      <c r="Z36" s="17">
        <f>SUMIFS('Pasted Bridges'!$G:$G,'Pasted Bridges'!$B:$B,$C36,'Pasted Bridges'!$F:$F,Z$5)</f>
        <v>0</v>
      </c>
      <c r="AA36" s="17">
        <f>SUMIFS('Pasted Bridges'!$G:$G,'Pasted Bridges'!$B:$B,$C36,'Pasted Bridges'!$F:$F,AA$5)</f>
        <v>0</v>
      </c>
      <c r="AB36" s="17">
        <f>SUMIFS('Pasted Bridges'!$G:$G,'Pasted Bridges'!$B:$B,$C36,'Pasted Bridges'!$F:$F,AB$5)</f>
        <v>0</v>
      </c>
      <c r="AC36" s="17">
        <f>SUMIFS('Pasted Bridges'!$G:$G,'Pasted Bridges'!$B:$B,$C36,'Pasted Bridges'!$F:$F,AC$5)</f>
        <v>0</v>
      </c>
      <c r="AD36" s="17">
        <f>SUMIFS('Pasted Bridges'!$G:$G,'Pasted Bridges'!$B:$B,$C36,'Pasted Bridges'!$F:$F,AD$5)</f>
        <v>0</v>
      </c>
      <c r="AE36" s="17">
        <f>SUMIFS('Pasted Bridges'!$G:$G,'Pasted Bridges'!$B:$B,$C36,'Pasted Bridges'!$F:$F,AE$5)</f>
        <v>0</v>
      </c>
      <c r="AF36" s="17">
        <f>SUMIFS('Pasted Bridges'!$G:$G,'Pasted Bridges'!$B:$B,$C36,'Pasted Bridges'!$F:$F,AF$5)</f>
        <v>0</v>
      </c>
      <c r="AG36" s="17">
        <f>SUMIFS('Pasted Bridges'!$G:$G,'Pasted Bridges'!$B:$B,$C36,'Pasted Bridges'!$F:$F,AG$5)</f>
        <v>0</v>
      </c>
      <c r="AH36" s="17">
        <f>SUMIFS('Pasted Bridges'!$G:$G,'Pasted Bridges'!$B:$B,$C36,'Pasted Bridges'!$F:$F,AH$5)</f>
        <v>0</v>
      </c>
      <c r="AI36" s="17">
        <f>SUMIFS('Pasted Bridges'!$G:$G,'Pasted Bridges'!$B:$B,$C36,'Pasted Bridges'!$F:$F,AI$5)</f>
        <v>0</v>
      </c>
      <c r="AJ36" s="17">
        <f>SUMIFS('Pasted Bridges'!$G:$G,'Pasted Bridges'!$B:$B,$C36,'Pasted Bridges'!$F:$F,AJ$5)</f>
        <v>0</v>
      </c>
      <c r="AK36" s="17">
        <f>SUMIFS('Pasted Bridges'!$G:$G,'Pasted Bridges'!$B:$B,$C36,'Pasted Bridges'!$F:$F,AK$5)</f>
        <v>0</v>
      </c>
      <c r="AL36" s="17">
        <f>SUMIFS('Pasted Bridges'!$G:$G,'Pasted Bridges'!$B:$B,$C36,'Pasted Bridges'!$F:$F,AL$5)</f>
        <v>0</v>
      </c>
      <c r="AM36" s="17">
        <f>SUMIFS('Pasted Bridges'!$G:$G,'Pasted Bridges'!$B:$B,$C36,'Pasted Bridges'!$F:$F,AM$5)</f>
        <v>0</v>
      </c>
      <c r="AN36" s="17">
        <f>SUMIFS('Pasted Bridges'!$G:$G,'Pasted Bridges'!$B:$B,$C36,'Pasted Bridges'!$F:$F,AN$5)</f>
        <v>0</v>
      </c>
      <c r="AO36" s="17">
        <f>SUMIFS('Pasted Bridges'!$G:$G,'Pasted Bridges'!$B:$B,$C36,'Pasted Bridges'!$F:$F,AO$5)</f>
        <v>0</v>
      </c>
      <c r="AP36" s="17">
        <f>SUMIFS('Pasted Bridges'!$G:$G,'Pasted Bridges'!$B:$B,$C36,'Pasted Bridges'!$F:$F,AP$5)</f>
        <v>0</v>
      </c>
      <c r="AQ36" s="17">
        <f>SUMIFS('Pasted Bridges'!$G:$G,'Pasted Bridges'!$B:$B,$C36,'Pasted Bridges'!$F:$F,AQ$5)</f>
        <v>0</v>
      </c>
      <c r="AR36" s="17">
        <f>SUMIFS('Pasted Bridges'!$G:$G,'Pasted Bridges'!$B:$B,$C36,'Pasted Bridges'!$F:$F,AR$5)</f>
        <v>0</v>
      </c>
      <c r="AS36" s="17">
        <f>SUMIFS('Pasted Bridges'!$G:$G,'Pasted Bridges'!$B:$B,$C36,'Pasted Bridges'!$F:$F,AS$5)</f>
        <v>0</v>
      </c>
      <c r="AT36" s="17">
        <f>SUMIFS('Pasted Bridges'!$G:$G,'Pasted Bridges'!$B:$B,$C36,'Pasted Bridges'!$F:$F,AT$5)</f>
        <v>0</v>
      </c>
      <c r="AU36" s="17">
        <f>SUMIFS('Pasted Bridges'!$G:$G,'Pasted Bridges'!$B:$B,$C36,'Pasted Bridges'!$F:$F,AU$5)</f>
        <v>0</v>
      </c>
      <c r="AV36" s="17">
        <f>SUMIFS('Pasted Bridges'!$G:$G,'Pasted Bridges'!$B:$B,$C36,'Pasted Bridges'!$F:$F,AV$5)</f>
        <v>0</v>
      </c>
      <c r="AW36" s="17">
        <f>SUMIFS('Pasted Bridges'!$G:$G,'Pasted Bridges'!$B:$B,$C36,'Pasted Bridges'!$F:$F,AW$5)</f>
        <v>0</v>
      </c>
      <c r="AX36" s="17">
        <f>SUMIFS('Pasted Bridges'!$G:$G,'Pasted Bridges'!$B:$B,$C36,'Pasted Bridges'!$F:$F,AX$5)</f>
        <v>0</v>
      </c>
      <c r="AY36" s="17">
        <f>SUMIFS('Pasted Bridges'!$G:$G,'Pasted Bridges'!$B:$B,$C36,'Pasted Bridges'!$F:$F,AY$5)</f>
        <v>0</v>
      </c>
      <c r="AZ36" s="17">
        <f>SUMIFS('Pasted Bridges'!$G:$G,'Pasted Bridges'!$B:$B,$C36,'Pasted Bridges'!$F:$F,AZ$5)</f>
        <v>0</v>
      </c>
      <c r="BA36" s="17">
        <f>SUMIFS('Pasted Bridges'!$G:$G,'Pasted Bridges'!$B:$B,$C36,'Pasted Bridges'!$F:$F,BA$5)</f>
        <v>0</v>
      </c>
      <c r="BB36" s="17">
        <f>SUMIFS('Pasted Bridges'!$G:$G,'Pasted Bridges'!$B:$B,$C36,'Pasted Bridges'!$F:$F,BB$5)</f>
        <v>0</v>
      </c>
      <c r="BC36" s="17">
        <f>SUMIFS('Pasted Bridges'!$G:$G,'Pasted Bridges'!$B:$B,$C36,'Pasted Bridges'!$F:$F,BC$5)</f>
        <v>0</v>
      </c>
      <c r="BD36" s="17">
        <f>SUMIFS('Pasted Bridges'!$G:$G,'Pasted Bridges'!$B:$B,$C36,'Pasted Bridges'!$F:$F,BD$5)</f>
        <v>0</v>
      </c>
      <c r="BE36" s="17">
        <f>SUMIFS('Pasted Bridges'!$G:$G,'Pasted Bridges'!$B:$B,$C36,'Pasted Bridges'!$F:$F,BE$5)</f>
        <v>0</v>
      </c>
      <c r="BF36" s="17">
        <f>SUMIFS('Pasted Bridges'!$G:$G,'Pasted Bridges'!$B:$B,$C36,'Pasted Bridges'!$F:$F,BF$5)</f>
        <v>0</v>
      </c>
      <c r="BG36" s="17">
        <f>SUMIFS('Pasted Bridges'!$G:$G,'Pasted Bridges'!$B:$B,$C36,'Pasted Bridges'!$F:$F,BG$5)</f>
        <v>0</v>
      </c>
      <c r="BH36" s="17">
        <f>SUMIFS('Pasted Bridges'!$G:$G,'Pasted Bridges'!$B:$B,$C36,'Pasted Bridges'!$F:$F,BH$5)</f>
        <v>0</v>
      </c>
      <c r="BI36" s="17">
        <f>SUMIFS('Pasted Bridges'!$G:$G,'Pasted Bridges'!$B:$B,$C36,'Pasted Bridges'!$F:$F,BI$5)</f>
        <v>0</v>
      </c>
      <c r="BJ36" s="17">
        <f>SUMIFS('Pasted Bridges'!$G:$G,'Pasted Bridges'!$B:$B,$C36,'Pasted Bridges'!$F:$F,BJ$5)</f>
        <v>0</v>
      </c>
      <c r="BK36" s="17">
        <f>SUMIFS('Pasted Bridges'!$G:$G,'Pasted Bridges'!$B:$B,$C36,'Pasted Bridges'!$F:$F,BK$5)</f>
        <v>0</v>
      </c>
      <c r="BL36" s="17">
        <f>SUMIFS('Pasted Bridges'!$G:$G,'Pasted Bridges'!$B:$B,$C36,'Pasted Bridges'!$F:$F,BL$5)</f>
        <v>0</v>
      </c>
      <c r="BM36" s="17">
        <f>SUMIFS('Pasted Bridges'!$G:$G,'Pasted Bridges'!$B:$B,$C36,'Pasted Bridges'!$F:$F,BM$5)</f>
        <v>0</v>
      </c>
      <c r="BN36" s="17">
        <f>SUMIFS('Pasted Bridges'!$G:$G,'Pasted Bridges'!$B:$B,$C36,'Pasted Bridges'!$F:$F,BN$5)</f>
        <v>0</v>
      </c>
      <c r="BO36" s="17">
        <f>SUMIFS('Pasted Bridges'!$G:$G,'Pasted Bridges'!$B:$B,$C36,'Pasted Bridges'!$F:$F,BO$5)</f>
        <v>0</v>
      </c>
      <c r="BP36" s="17">
        <f>SUMIFS('Pasted Bridges'!$G:$G,'Pasted Bridges'!$B:$B,$C36,'Pasted Bridges'!$F:$F,BP$5)</f>
        <v>0</v>
      </c>
      <c r="BQ36" s="17">
        <f>SUMIFS('Pasted Bridges'!$G:$G,'Pasted Bridges'!$B:$B,$C36,'Pasted Bridges'!$F:$F,BQ$5)</f>
        <v>0</v>
      </c>
      <c r="BR36" s="17">
        <f>SUMIFS('Pasted Bridges'!$G:$G,'Pasted Bridges'!$B:$B,$C36,'Pasted Bridges'!$F:$F,BR$5)</f>
        <v>0</v>
      </c>
      <c r="BS36" s="17">
        <f>SUMIFS('Pasted Bridges'!$G:$G,'Pasted Bridges'!$B:$B,$C36,'Pasted Bridges'!$F:$F,BS$5)</f>
        <v>0</v>
      </c>
      <c r="BT36" s="17">
        <f>SUMIFS('Pasted Bridges'!$G:$G,'Pasted Bridges'!$B:$B,$C36,'Pasted Bridges'!$F:$F,BT$5)</f>
        <v>0</v>
      </c>
      <c r="BU36" s="17">
        <f>SUMIFS('Pasted Bridges'!$G:$G,'Pasted Bridges'!$B:$B,$C36,'Pasted Bridges'!$F:$F,BU$5)</f>
        <v>0</v>
      </c>
      <c r="BV36" s="17">
        <f>SUMIFS('Pasted Bridges'!$G:$G,'Pasted Bridges'!$B:$B,$C36,'Pasted Bridges'!$F:$F,BV$5)</f>
        <v>0</v>
      </c>
      <c r="BW36" s="17">
        <f>SUMIFS('Pasted Bridges'!$G:$G,'Pasted Bridges'!$B:$B,$C36,'Pasted Bridges'!$F:$F,BW$5)</f>
        <v>0</v>
      </c>
      <c r="BX36" s="17">
        <f>SUMIFS('Pasted Bridges'!$G:$G,'Pasted Bridges'!$B:$B,$C36,'Pasted Bridges'!$F:$F,BX$5)</f>
        <v>0</v>
      </c>
      <c r="BY36" s="17">
        <f>SUMIFS('Pasted Bridges'!$G:$G,'Pasted Bridges'!$B:$B,$C36,'Pasted Bridges'!$F:$F,BY$5)</f>
        <v>0</v>
      </c>
      <c r="BZ36" s="17">
        <f>SUMIFS('Pasted Bridges'!$G:$G,'Pasted Bridges'!$B:$B,$C36,'Pasted Bridges'!$F:$F,BZ$5)</f>
        <v>0</v>
      </c>
      <c r="CA36" s="17">
        <f>SUMIFS('Pasted Bridges'!$G:$G,'Pasted Bridges'!$B:$B,$C36,'Pasted Bridges'!$F:$F,CA$5)</f>
        <v>0</v>
      </c>
      <c r="CB36" s="17">
        <f>SUMIFS('Pasted Bridges'!$G:$G,'Pasted Bridges'!$B:$B,$C36,'Pasted Bridges'!$F:$F,CB$5)</f>
        <v>0</v>
      </c>
      <c r="CC36" s="17">
        <f>SUMIFS('Pasted Bridges'!$G:$G,'Pasted Bridges'!$B:$B,$C36,'Pasted Bridges'!$F:$F,CC$5)</f>
        <v>0</v>
      </c>
      <c r="CD36" s="17">
        <f>SUMIFS('Pasted Bridges'!$G:$G,'Pasted Bridges'!$B:$B,$C36,'Pasted Bridges'!$F:$F,CD$5)</f>
        <v>0</v>
      </c>
      <c r="CE36" s="17">
        <f>SUMIFS('Pasted Bridges'!$G:$G,'Pasted Bridges'!$B:$B,$C36,'Pasted Bridges'!$F:$F,CE$5)</f>
        <v>0</v>
      </c>
      <c r="CF36" s="17">
        <f>SUMIFS('Pasted Bridges'!$G:$G,'Pasted Bridges'!$B:$B,$C36,'Pasted Bridges'!$F:$F,CF$5)</f>
        <v>0</v>
      </c>
      <c r="CG36" s="17">
        <f>SUMIFS('Pasted Bridges'!$G:$G,'Pasted Bridges'!$B:$B,$C36,'Pasted Bridges'!$F:$F,CG$5)</f>
        <v>0</v>
      </c>
      <c r="CH36" s="17">
        <f>SUMIFS('Pasted Bridges'!$G:$G,'Pasted Bridges'!$B:$B,$C36,'Pasted Bridges'!$F:$F,CH$5)</f>
        <v>0</v>
      </c>
      <c r="CI36" s="17">
        <f>SUMIFS('Pasted Bridges'!$G:$G,'Pasted Bridges'!$B:$B,$C36,'Pasted Bridges'!$F:$F,CI$5)</f>
        <v>0</v>
      </c>
      <c r="CJ36" s="17">
        <f>SUMIFS('Pasted Bridges'!$G:$G,'Pasted Bridges'!$B:$B,$C36,'Pasted Bridges'!$F:$F,CJ$5)</f>
        <v>0</v>
      </c>
      <c r="CK36" s="17">
        <f>SUMIFS('Pasted Bridges'!$G:$G,'Pasted Bridges'!$B:$B,$C36,'Pasted Bridges'!$F:$F,CK$5)</f>
        <v>0</v>
      </c>
      <c r="CL36" s="17">
        <f>SUMIFS('Pasted Bridges'!$G:$G,'Pasted Bridges'!$B:$B,$C36,'Pasted Bridges'!$F:$F,CL$5)</f>
        <v>0</v>
      </c>
      <c r="CM36" s="17">
        <f>SUMIFS('Pasted Bridges'!$G:$G,'Pasted Bridges'!$B:$B,$C36,'Pasted Bridges'!$F:$F,CM$5)</f>
        <v>0</v>
      </c>
      <c r="CN36" s="17">
        <f>SUMIFS('Pasted Bridges'!$G:$G,'Pasted Bridges'!$B:$B,$C36,'Pasted Bridges'!$F:$F,CN$5)</f>
        <v>0</v>
      </c>
      <c r="CO36" s="17">
        <f>SUMIFS('Pasted Bridges'!$G:$G,'Pasted Bridges'!$B:$B,$C36,'Pasted Bridges'!$F:$F,CO$5)</f>
        <v>0</v>
      </c>
      <c r="CP36" s="17">
        <f>SUMIFS('Pasted Bridges'!$G:$G,'Pasted Bridges'!$B:$B,$C36,'Pasted Bridges'!$F:$F,CP$5)</f>
        <v>0</v>
      </c>
      <c r="CQ36" s="17">
        <f>SUMIFS('Pasted Bridges'!$G:$G,'Pasted Bridges'!$B:$B,$C36,'Pasted Bridges'!$F:$F,CQ$5)</f>
        <v>0</v>
      </c>
      <c r="CR36" s="17">
        <f>SUMIFS('Pasted Bridges'!$G:$G,'Pasted Bridges'!$B:$B,$C36,'Pasted Bridges'!$F:$F,CR$5)</f>
        <v>0</v>
      </c>
      <c r="CS36" s="17">
        <f>SUMIFS('Pasted Bridges'!$G:$G,'Pasted Bridges'!$B:$B,$C36,'Pasted Bridges'!$F:$F,CS$5)</f>
        <v>0</v>
      </c>
      <c r="CT36" s="17">
        <f>SUMIFS('Pasted Bridges'!$G:$G,'Pasted Bridges'!$B:$B,$C36,'Pasted Bridges'!$F:$F,CT$5)</f>
        <v>0</v>
      </c>
      <c r="CU36" s="17">
        <f>SUMIFS('Pasted Bridges'!$G:$G,'Pasted Bridges'!$B:$B,$C36,'Pasted Bridges'!$F:$F,CU$5)</f>
        <v>0</v>
      </c>
      <c r="CV36" s="17">
        <f>SUMIFS('Pasted Bridges'!$G:$G,'Pasted Bridges'!$B:$B,$C36,'Pasted Bridges'!$F:$F,CV$5)</f>
        <v>0</v>
      </c>
      <c r="CW36" s="17">
        <f>SUMIFS('Pasted Bridges'!$G:$G,'Pasted Bridges'!$B:$B,$C36,'Pasted Bridges'!$F:$F,CW$5)</f>
        <v>0</v>
      </c>
      <c r="CX36" s="17">
        <f>SUMIFS('Pasted Bridges'!$G:$G,'Pasted Bridges'!$B:$B,$C36,'Pasted Bridges'!$F:$F,CX$5)</f>
        <v>0</v>
      </c>
      <c r="CY36" s="17">
        <f>SUMIFS('Pasted Bridges'!$G:$G,'Pasted Bridges'!$B:$B,$C36,'Pasted Bridges'!$F:$F,CY$5)</f>
        <v>0</v>
      </c>
      <c r="CZ36" s="17">
        <f>SUMIFS('Pasted Bridges'!$G:$G,'Pasted Bridges'!$B:$B,$C36,'Pasted Bridges'!$F:$F,CZ$5)</f>
        <v>0</v>
      </c>
      <c r="DA36" s="17">
        <f>SUMIFS('Pasted Bridges'!$G:$G,'Pasted Bridges'!$B:$B,$C36,'Pasted Bridges'!$F:$F,DA$5)</f>
        <v>0</v>
      </c>
    </row>
    <row r="37" spans="2:105" s="1" customFormat="1" x14ac:dyDescent="0.25">
      <c r="B37" s="67"/>
      <c r="C37" s="19" t="s">
        <v>26</v>
      </c>
      <c r="D37" s="19" t="s">
        <v>185</v>
      </c>
      <c r="E37" s="13" t="s">
        <v>199</v>
      </c>
      <c r="F37" s="2">
        <v>30</v>
      </c>
      <c r="G37" s="14">
        <v>0.48</v>
      </c>
      <c r="H37" s="2" t="s">
        <v>42</v>
      </c>
      <c r="I37" s="2">
        <v>0.16</v>
      </c>
      <c r="J37" s="3"/>
      <c r="K37" s="17">
        <f>SUMIFS('Pasted Bridges'!$G:$G,'Pasted Bridges'!$B:$B,$C37,'Pasted Bridges'!$F:$F,K$5)</f>
        <v>0</v>
      </c>
      <c r="L37" s="17">
        <f>SUMIFS('Pasted Bridges'!$G:$G,'Pasted Bridges'!$B:$B,$C37,'Pasted Bridges'!$F:$F,L$5)</f>
        <v>0</v>
      </c>
      <c r="M37" s="17">
        <f>SUMIFS('Pasted Bridges'!$G:$G,'Pasted Bridges'!$B:$B,$C37,'Pasted Bridges'!$F:$F,M$5)</f>
        <v>0</v>
      </c>
      <c r="N37" s="17">
        <f>SUMIFS('Pasted Bridges'!$G:$G,'Pasted Bridges'!$B:$B,$C37,'Pasted Bridges'!$F:$F,N$5)</f>
        <v>0</v>
      </c>
      <c r="O37" s="17">
        <f>SUMIFS('Pasted Bridges'!$G:$G,'Pasted Bridges'!$B:$B,$C37,'Pasted Bridges'!$F:$F,O$5)</f>
        <v>0</v>
      </c>
      <c r="P37" s="17">
        <f>SUMIFS('Pasted Bridges'!$G:$G,'Pasted Bridges'!$B:$B,$C37,'Pasted Bridges'!$F:$F,P$5)</f>
        <v>0</v>
      </c>
      <c r="Q37" s="17">
        <f>SUMIFS('Pasted Bridges'!$G:$G,'Pasted Bridges'!$B:$B,$C37,'Pasted Bridges'!$F:$F,Q$5)</f>
        <v>0</v>
      </c>
      <c r="R37" s="17">
        <f>SUMIFS('Pasted Bridges'!$G:$G,'Pasted Bridges'!$B:$B,$C37,'Pasted Bridges'!$F:$F,R$5)</f>
        <v>0</v>
      </c>
      <c r="S37" s="17">
        <f>SUMIFS('Pasted Bridges'!$G:$G,'Pasted Bridges'!$B:$B,$C37,'Pasted Bridges'!$F:$F,S$5)</f>
        <v>0</v>
      </c>
      <c r="T37" s="17">
        <f>SUMIFS('Pasted Bridges'!$G:$G,'Pasted Bridges'!$B:$B,$C37,'Pasted Bridges'!$F:$F,T$5)</f>
        <v>0</v>
      </c>
      <c r="U37" s="17">
        <f>SUMIFS('Pasted Bridges'!$G:$G,'Pasted Bridges'!$B:$B,$C37,'Pasted Bridges'!$F:$F,U$5)</f>
        <v>0</v>
      </c>
      <c r="V37" s="17">
        <f>SUMIFS('Pasted Bridges'!$G:$G,'Pasted Bridges'!$B:$B,$C37,'Pasted Bridges'!$F:$F,V$5)</f>
        <v>0</v>
      </c>
      <c r="W37" s="17">
        <f>SUMIFS('Pasted Bridges'!$G:$G,'Pasted Bridges'!$B:$B,$C37,'Pasted Bridges'!$F:$F,W$5)</f>
        <v>0</v>
      </c>
      <c r="X37" s="17">
        <f>SUMIFS('Pasted Bridges'!$G:$G,'Pasted Bridges'!$B:$B,$C37,'Pasted Bridges'!$F:$F,X$5)</f>
        <v>0</v>
      </c>
      <c r="Y37" s="17">
        <f>SUMIFS('Pasted Bridges'!$G:$G,'Pasted Bridges'!$B:$B,$C37,'Pasted Bridges'!$F:$F,Y$5)</f>
        <v>0</v>
      </c>
      <c r="Z37" s="17">
        <f>SUMIFS('Pasted Bridges'!$G:$G,'Pasted Bridges'!$B:$B,$C37,'Pasted Bridges'!$F:$F,Z$5)</f>
        <v>0</v>
      </c>
      <c r="AA37" s="17">
        <f>SUMIFS('Pasted Bridges'!$G:$G,'Pasted Bridges'!$B:$B,$C37,'Pasted Bridges'!$F:$F,AA$5)</f>
        <v>0</v>
      </c>
      <c r="AB37" s="17">
        <f>SUMIFS('Pasted Bridges'!$G:$G,'Pasted Bridges'!$B:$B,$C37,'Pasted Bridges'!$F:$F,AB$5)</f>
        <v>0</v>
      </c>
      <c r="AC37" s="17">
        <f>SUMIFS('Pasted Bridges'!$G:$G,'Pasted Bridges'!$B:$B,$C37,'Pasted Bridges'!$F:$F,AC$5)</f>
        <v>0</v>
      </c>
      <c r="AD37" s="17">
        <f>SUMIFS('Pasted Bridges'!$G:$G,'Pasted Bridges'!$B:$B,$C37,'Pasted Bridges'!$F:$F,AD$5)</f>
        <v>0</v>
      </c>
      <c r="AE37" s="17">
        <f>SUMIFS('Pasted Bridges'!$G:$G,'Pasted Bridges'!$B:$B,$C37,'Pasted Bridges'!$F:$F,AE$5)</f>
        <v>0</v>
      </c>
      <c r="AF37" s="17">
        <f>SUMIFS('Pasted Bridges'!$G:$G,'Pasted Bridges'!$B:$B,$C37,'Pasted Bridges'!$F:$F,AF$5)</f>
        <v>0</v>
      </c>
      <c r="AG37" s="17">
        <f>SUMIFS('Pasted Bridges'!$G:$G,'Pasted Bridges'!$B:$B,$C37,'Pasted Bridges'!$F:$F,AG$5)</f>
        <v>0</v>
      </c>
      <c r="AH37" s="17">
        <f>SUMIFS('Pasted Bridges'!$G:$G,'Pasted Bridges'!$B:$B,$C37,'Pasted Bridges'!$F:$F,AH$5)</f>
        <v>0</v>
      </c>
      <c r="AI37" s="17">
        <f>SUMIFS('Pasted Bridges'!$G:$G,'Pasted Bridges'!$B:$B,$C37,'Pasted Bridges'!$F:$F,AI$5)</f>
        <v>0</v>
      </c>
      <c r="AJ37" s="17">
        <f>SUMIFS('Pasted Bridges'!$G:$G,'Pasted Bridges'!$B:$B,$C37,'Pasted Bridges'!$F:$F,AJ$5)</f>
        <v>0</v>
      </c>
      <c r="AK37" s="17">
        <f>SUMIFS('Pasted Bridges'!$G:$G,'Pasted Bridges'!$B:$B,$C37,'Pasted Bridges'!$F:$F,AK$5)</f>
        <v>0</v>
      </c>
      <c r="AL37" s="17">
        <f>SUMIFS('Pasted Bridges'!$G:$G,'Pasted Bridges'!$B:$B,$C37,'Pasted Bridges'!$F:$F,AL$5)</f>
        <v>0</v>
      </c>
      <c r="AM37" s="17">
        <f>SUMIFS('Pasted Bridges'!$G:$G,'Pasted Bridges'!$B:$B,$C37,'Pasted Bridges'!$F:$F,AM$5)</f>
        <v>0</v>
      </c>
      <c r="AN37" s="17">
        <f>SUMIFS('Pasted Bridges'!$G:$G,'Pasted Bridges'!$B:$B,$C37,'Pasted Bridges'!$F:$F,AN$5)</f>
        <v>0</v>
      </c>
      <c r="AO37" s="17">
        <f>SUMIFS('Pasted Bridges'!$G:$G,'Pasted Bridges'!$B:$B,$C37,'Pasted Bridges'!$F:$F,AO$5)</f>
        <v>0</v>
      </c>
      <c r="AP37" s="17">
        <f>SUMIFS('Pasted Bridges'!$G:$G,'Pasted Bridges'!$B:$B,$C37,'Pasted Bridges'!$F:$F,AP$5)</f>
        <v>0</v>
      </c>
      <c r="AQ37" s="17">
        <f>SUMIFS('Pasted Bridges'!$G:$G,'Pasted Bridges'!$B:$B,$C37,'Pasted Bridges'!$F:$F,AQ$5)</f>
        <v>0</v>
      </c>
      <c r="AR37" s="17">
        <f>SUMIFS('Pasted Bridges'!$G:$G,'Pasted Bridges'!$B:$B,$C37,'Pasted Bridges'!$F:$F,AR$5)</f>
        <v>0</v>
      </c>
      <c r="AS37" s="17">
        <f>SUMIFS('Pasted Bridges'!$G:$G,'Pasted Bridges'!$B:$B,$C37,'Pasted Bridges'!$F:$F,AS$5)</f>
        <v>0</v>
      </c>
      <c r="AT37" s="17">
        <f>SUMIFS('Pasted Bridges'!$G:$G,'Pasted Bridges'!$B:$B,$C37,'Pasted Bridges'!$F:$F,AT$5)</f>
        <v>0</v>
      </c>
      <c r="AU37" s="17">
        <f>SUMIFS('Pasted Bridges'!$G:$G,'Pasted Bridges'!$B:$B,$C37,'Pasted Bridges'!$F:$F,AU$5)</f>
        <v>0</v>
      </c>
      <c r="AV37" s="17">
        <f>SUMIFS('Pasted Bridges'!$G:$G,'Pasted Bridges'!$B:$B,$C37,'Pasted Bridges'!$F:$F,AV$5)</f>
        <v>0</v>
      </c>
      <c r="AW37" s="17">
        <f>SUMIFS('Pasted Bridges'!$G:$G,'Pasted Bridges'!$B:$B,$C37,'Pasted Bridges'!$F:$F,AW$5)</f>
        <v>0</v>
      </c>
      <c r="AX37" s="17">
        <f>SUMIFS('Pasted Bridges'!$G:$G,'Pasted Bridges'!$B:$B,$C37,'Pasted Bridges'!$F:$F,AX$5)</f>
        <v>0</v>
      </c>
      <c r="AY37" s="17">
        <f>SUMIFS('Pasted Bridges'!$G:$G,'Pasted Bridges'!$B:$B,$C37,'Pasted Bridges'!$F:$F,AY$5)</f>
        <v>0</v>
      </c>
      <c r="AZ37" s="17">
        <f>SUMIFS('Pasted Bridges'!$G:$G,'Pasted Bridges'!$B:$B,$C37,'Pasted Bridges'!$F:$F,AZ$5)</f>
        <v>0</v>
      </c>
      <c r="BA37" s="17">
        <f>SUMIFS('Pasted Bridges'!$G:$G,'Pasted Bridges'!$B:$B,$C37,'Pasted Bridges'!$F:$F,BA$5)</f>
        <v>8.32</v>
      </c>
      <c r="BB37" s="17">
        <f>SUMIFS('Pasted Bridges'!$G:$G,'Pasted Bridges'!$B:$B,$C37,'Pasted Bridges'!$F:$F,BB$5)</f>
        <v>14.92</v>
      </c>
      <c r="BC37" s="17">
        <f>SUMIFS('Pasted Bridges'!$G:$G,'Pasted Bridges'!$B:$B,$C37,'Pasted Bridges'!$F:$F,BC$5)</f>
        <v>6.6</v>
      </c>
      <c r="BD37" s="17">
        <f>SUMIFS('Pasted Bridges'!$G:$G,'Pasted Bridges'!$B:$B,$C37,'Pasted Bridges'!$F:$F,BD$5)</f>
        <v>0</v>
      </c>
      <c r="BE37" s="17">
        <f>SUMIFS('Pasted Bridges'!$G:$G,'Pasted Bridges'!$B:$B,$C37,'Pasted Bridges'!$F:$F,BE$5)</f>
        <v>5.85</v>
      </c>
      <c r="BF37" s="17">
        <f>SUMIFS('Pasted Bridges'!$G:$G,'Pasted Bridges'!$B:$B,$C37,'Pasted Bridges'!$F:$F,BF$5)</f>
        <v>5.85</v>
      </c>
      <c r="BG37" s="17">
        <f>SUMIFS('Pasted Bridges'!$G:$G,'Pasted Bridges'!$B:$B,$C37,'Pasted Bridges'!$F:$F,BG$5)</f>
        <v>0</v>
      </c>
      <c r="BH37" s="17">
        <f>SUMIFS('Pasted Bridges'!$G:$G,'Pasted Bridges'!$B:$B,$C37,'Pasted Bridges'!$F:$F,BH$5)</f>
        <v>0</v>
      </c>
      <c r="BI37" s="17">
        <f>SUMIFS('Pasted Bridges'!$G:$G,'Pasted Bridges'!$B:$B,$C37,'Pasted Bridges'!$F:$F,BI$5)</f>
        <v>0</v>
      </c>
      <c r="BJ37" s="17">
        <f>SUMIFS('Pasted Bridges'!$G:$G,'Pasted Bridges'!$B:$B,$C37,'Pasted Bridges'!$F:$F,BJ$5)</f>
        <v>0</v>
      </c>
      <c r="BK37" s="17">
        <f>SUMIFS('Pasted Bridges'!$G:$G,'Pasted Bridges'!$B:$B,$C37,'Pasted Bridges'!$F:$F,BK$5)</f>
        <v>0</v>
      </c>
      <c r="BL37" s="17">
        <f>SUMIFS('Pasted Bridges'!$G:$G,'Pasted Bridges'!$B:$B,$C37,'Pasted Bridges'!$F:$F,BL$5)</f>
        <v>0</v>
      </c>
      <c r="BM37" s="17">
        <f>SUMIFS('Pasted Bridges'!$G:$G,'Pasted Bridges'!$B:$B,$C37,'Pasted Bridges'!$F:$F,BM$5)</f>
        <v>0</v>
      </c>
      <c r="BN37" s="17">
        <f>SUMIFS('Pasted Bridges'!$G:$G,'Pasted Bridges'!$B:$B,$C37,'Pasted Bridges'!$F:$F,BN$5)</f>
        <v>0</v>
      </c>
      <c r="BO37" s="17">
        <f>SUMIFS('Pasted Bridges'!$G:$G,'Pasted Bridges'!$B:$B,$C37,'Pasted Bridges'!$F:$F,BO$5)</f>
        <v>0</v>
      </c>
      <c r="BP37" s="17">
        <f>SUMIFS('Pasted Bridges'!$G:$G,'Pasted Bridges'!$B:$B,$C37,'Pasted Bridges'!$F:$F,BP$5)</f>
        <v>0</v>
      </c>
      <c r="BQ37" s="17">
        <f>SUMIFS('Pasted Bridges'!$G:$G,'Pasted Bridges'!$B:$B,$C37,'Pasted Bridges'!$F:$F,BQ$5)</f>
        <v>0</v>
      </c>
      <c r="BR37" s="17">
        <f>SUMIFS('Pasted Bridges'!$G:$G,'Pasted Bridges'!$B:$B,$C37,'Pasted Bridges'!$F:$F,BR$5)</f>
        <v>0</v>
      </c>
      <c r="BS37" s="17">
        <f>SUMIFS('Pasted Bridges'!$G:$G,'Pasted Bridges'!$B:$B,$C37,'Pasted Bridges'!$F:$F,BS$5)</f>
        <v>0</v>
      </c>
      <c r="BT37" s="17">
        <f>SUMIFS('Pasted Bridges'!$G:$G,'Pasted Bridges'!$B:$B,$C37,'Pasted Bridges'!$F:$F,BT$5)</f>
        <v>0</v>
      </c>
      <c r="BU37" s="17">
        <f>SUMIFS('Pasted Bridges'!$G:$G,'Pasted Bridges'!$B:$B,$C37,'Pasted Bridges'!$F:$F,BU$5)</f>
        <v>0</v>
      </c>
      <c r="BV37" s="17">
        <f>SUMIFS('Pasted Bridges'!$G:$G,'Pasted Bridges'!$B:$B,$C37,'Pasted Bridges'!$F:$F,BV$5)</f>
        <v>0</v>
      </c>
      <c r="BW37" s="17">
        <f>SUMIFS('Pasted Bridges'!$G:$G,'Pasted Bridges'!$B:$B,$C37,'Pasted Bridges'!$F:$F,BW$5)</f>
        <v>14.17</v>
      </c>
      <c r="BX37" s="17">
        <f>SUMIFS('Pasted Bridges'!$G:$G,'Pasted Bridges'!$B:$B,$C37,'Pasted Bridges'!$F:$F,BX$5)</f>
        <v>19.09</v>
      </c>
      <c r="BY37" s="17">
        <f>SUMIFS('Pasted Bridges'!$G:$G,'Pasted Bridges'!$B:$B,$C37,'Pasted Bridges'!$F:$F,BY$5)</f>
        <v>19.73</v>
      </c>
      <c r="BZ37" s="17">
        <f>SUMIFS('Pasted Bridges'!$G:$G,'Pasted Bridges'!$B:$B,$C37,'Pasted Bridges'!$F:$F,BZ$5)</f>
        <v>24.349999999999998</v>
      </c>
      <c r="CA37" s="17">
        <f>SUMIFS('Pasted Bridges'!$G:$G,'Pasted Bridges'!$B:$B,$C37,'Pasted Bridges'!$F:$F,CA$5)</f>
        <v>13.2</v>
      </c>
      <c r="CB37" s="17">
        <f>SUMIFS('Pasted Bridges'!$G:$G,'Pasted Bridges'!$B:$B,$C37,'Pasted Bridges'!$F:$F,CB$5)</f>
        <v>0</v>
      </c>
      <c r="CC37" s="17">
        <f>SUMIFS('Pasted Bridges'!$G:$G,'Pasted Bridges'!$B:$B,$C37,'Pasted Bridges'!$F:$F,CC$5)</f>
        <v>0</v>
      </c>
      <c r="CD37" s="17">
        <f>SUMIFS('Pasted Bridges'!$G:$G,'Pasted Bridges'!$B:$B,$C37,'Pasted Bridges'!$F:$F,CD$5)</f>
        <v>0</v>
      </c>
      <c r="CE37" s="17">
        <f>SUMIFS('Pasted Bridges'!$G:$G,'Pasted Bridges'!$B:$B,$C37,'Pasted Bridges'!$F:$F,CE$5)</f>
        <v>0</v>
      </c>
      <c r="CF37" s="17">
        <f>SUMIFS('Pasted Bridges'!$G:$G,'Pasted Bridges'!$B:$B,$C37,'Pasted Bridges'!$F:$F,CF$5)</f>
        <v>0</v>
      </c>
      <c r="CG37" s="17">
        <f>SUMIFS('Pasted Bridges'!$G:$G,'Pasted Bridges'!$B:$B,$C37,'Pasted Bridges'!$F:$F,CG$5)</f>
        <v>0</v>
      </c>
      <c r="CH37" s="17">
        <f>SUMIFS('Pasted Bridges'!$G:$G,'Pasted Bridges'!$B:$B,$C37,'Pasted Bridges'!$F:$F,CH$5)</f>
        <v>0</v>
      </c>
      <c r="CI37" s="17">
        <f>SUMIFS('Pasted Bridges'!$G:$G,'Pasted Bridges'!$B:$B,$C37,'Pasted Bridges'!$F:$F,CI$5)</f>
        <v>0</v>
      </c>
      <c r="CJ37" s="17">
        <f>SUMIFS('Pasted Bridges'!$G:$G,'Pasted Bridges'!$B:$B,$C37,'Pasted Bridges'!$F:$F,CJ$5)</f>
        <v>0</v>
      </c>
      <c r="CK37" s="17">
        <f>SUMIFS('Pasted Bridges'!$G:$G,'Pasted Bridges'!$B:$B,$C37,'Pasted Bridges'!$F:$F,CK$5)</f>
        <v>7.26</v>
      </c>
      <c r="CL37" s="17">
        <f>SUMIFS('Pasted Bridges'!$G:$G,'Pasted Bridges'!$B:$B,$C37,'Pasted Bridges'!$F:$F,CL$5)</f>
        <v>11.22</v>
      </c>
      <c r="CM37" s="17">
        <f>SUMIFS('Pasted Bridges'!$G:$G,'Pasted Bridges'!$B:$B,$C37,'Pasted Bridges'!$F:$F,CM$5)</f>
        <v>5.88</v>
      </c>
      <c r="CN37" s="17">
        <f>SUMIFS('Pasted Bridges'!$G:$G,'Pasted Bridges'!$B:$B,$C37,'Pasted Bridges'!$F:$F,CN$5)</f>
        <v>16.61</v>
      </c>
      <c r="CO37" s="17">
        <f>SUMIFS('Pasted Bridges'!$G:$G,'Pasted Bridges'!$B:$B,$C37,'Pasted Bridges'!$F:$F,CO$5)</f>
        <v>0</v>
      </c>
      <c r="CP37" s="17">
        <f>SUMIFS('Pasted Bridges'!$G:$G,'Pasted Bridges'!$B:$B,$C37,'Pasted Bridges'!$F:$F,CP$5)</f>
        <v>0</v>
      </c>
      <c r="CQ37" s="17">
        <f>SUMIFS('Pasted Bridges'!$G:$G,'Pasted Bridges'!$B:$B,$C37,'Pasted Bridges'!$F:$F,CQ$5)</f>
        <v>0</v>
      </c>
      <c r="CR37" s="17">
        <f>SUMIFS('Pasted Bridges'!$G:$G,'Pasted Bridges'!$B:$B,$C37,'Pasted Bridges'!$F:$F,CR$5)</f>
        <v>0</v>
      </c>
      <c r="CS37" s="17">
        <f>SUMIFS('Pasted Bridges'!$G:$G,'Pasted Bridges'!$B:$B,$C37,'Pasted Bridges'!$F:$F,CS$5)</f>
        <v>0</v>
      </c>
      <c r="CT37" s="17">
        <f>SUMIFS('Pasted Bridges'!$G:$G,'Pasted Bridges'!$B:$B,$C37,'Pasted Bridges'!$F:$F,CT$5)</f>
        <v>0</v>
      </c>
      <c r="CU37" s="17">
        <f>SUMIFS('Pasted Bridges'!$G:$G,'Pasted Bridges'!$B:$B,$C37,'Pasted Bridges'!$F:$F,CU$5)</f>
        <v>0</v>
      </c>
      <c r="CV37" s="17">
        <f>SUMIFS('Pasted Bridges'!$G:$G,'Pasted Bridges'!$B:$B,$C37,'Pasted Bridges'!$F:$F,CV$5)</f>
        <v>0</v>
      </c>
      <c r="CW37" s="17">
        <f>SUMIFS('Pasted Bridges'!$G:$G,'Pasted Bridges'!$B:$B,$C37,'Pasted Bridges'!$F:$F,CW$5)</f>
        <v>0</v>
      </c>
      <c r="CX37" s="17">
        <f>SUMIFS('Pasted Bridges'!$G:$G,'Pasted Bridges'!$B:$B,$C37,'Pasted Bridges'!$F:$F,CX$5)</f>
        <v>0</v>
      </c>
      <c r="CY37" s="17">
        <f>SUMIFS('Pasted Bridges'!$G:$G,'Pasted Bridges'!$B:$B,$C37,'Pasted Bridges'!$F:$F,CY$5)</f>
        <v>0</v>
      </c>
      <c r="CZ37" s="17">
        <f>SUMIFS('Pasted Bridges'!$G:$G,'Pasted Bridges'!$B:$B,$C37,'Pasted Bridges'!$F:$F,CZ$5)</f>
        <v>0</v>
      </c>
      <c r="DA37" s="17">
        <f>SUMIFS('Pasted Bridges'!$G:$G,'Pasted Bridges'!$B:$B,$C37,'Pasted Bridges'!$F:$F,DA$5)</f>
        <v>0</v>
      </c>
    </row>
    <row r="38" spans="2:105" s="1" customFormat="1" x14ac:dyDescent="0.25">
      <c r="B38" s="68"/>
      <c r="C38" s="19" t="s">
        <v>57</v>
      </c>
      <c r="D38" s="19" t="s">
        <v>186</v>
      </c>
      <c r="E38" s="13" t="s">
        <v>199</v>
      </c>
      <c r="F38" s="2">
        <v>31</v>
      </c>
      <c r="G38" s="14">
        <f>2*0.24</f>
        <v>0.48</v>
      </c>
      <c r="H38" s="2" t="s">
        <v>42</v>
      </c>
      <c r="I38" s="2">
        <v>0.24</v>
      </c>
      <c r="J38" s="3"/>
      <c r="K38" s="17">
        <f>SUMIFS('Pasted Bridges'!$G:$G,'Pasted Bridges'!$B:$B,$C38,'Pasted Bridges'!$F:$F,K$5)</f>
        <v>2.71</v>
      </c>
      <c r="L38" s="17">
        <f>SUMIFS('Pasted Bridges'!$G:$G,'Pasted Bridges'!$B:$B,$C38,'Pasted Bridges'!$F:$F,L$5)</f>
        <v>0.48</v>
      </c>
      <c r="M38" s="17">
        <f>SUMIFS('Pasted Bridges'!$G:$G,'Pasted Bridges'!$B:$B,$C38,'Pasted Bridges'!$F:$F,M$5)</f>
        <v>0</v>
      </c>
      <c r="N38" s="17">
        <f>SUMIFS('Pasted Bridges'!$G:$G,'Pasted Bridges'!$B:$B,$C38,'Pasted Bridges'!$F:$F,N$5)</f>
        <v>0</v>
      </c>
      <c r="O38" s="17">
        <f>SUMIFS('Pasted Bridges'!$G:$G,'Pasted Bridges'!$B:$B,$C38,'Pasted Bridges'!$F:$F,O$5)</f>
        <v>0</v>
      </c>
      <c r="P38" s="17">
        <f>SUMIFS('Pasted Bridges'!$G:$G,'Pasted Bridges'!$B:$B,$C38,'Pasted Bridges'!$F:$F,P$5)</f>
        <v>0</v>
      </c>
      <c r="Q38" s="17">
        <f>SUMIFS('Pasted Bridges'!$G:$G,'Pasted Bridges'!$B:$B,$C38,'Pasted Bridges'!$F:$F,Q$5)</f>
        <v>0</v>
      </c>
      <c r="R38" s="17">
        <f>SUMIFS('Pasted Bridges'!$G:$G,'Pasted Bridges'!$B:$B,$C38,'Pasted Bridges'!$F:$F,R$5)</f>
        <v>0</v>
      </c>
      <c r="S38" s="17">
        <f>SUMIFS('Pasted Bridges'!$G:$G,'Pasted Bridges'!$B:$B,$C38,'Pasted Bridges'!$F:$F,S$5)</f>
        <v>0</v>
      </c>
      <c r="T38" s="17">
        <f>SUMIFS('Pasted Bridges'!$G:$G,'Pasted Bridges'!$B:$B,$C38,'Pasted Bridges'!$F:$F,T$5)</f>
        <v>0</v>
      </c>
      <c r="U38" s="17">
        <f>SUMIFS('Pasted Bridges'!$G:$G,'Pasted Bridges'!$B:$B,$C38,'Pasted Bridges'!$F:$F,U$5)</f>
        <v>0</v>
      </c>
      <c r="V38" s="17">
        <f>SUMIFS('Pasted Bridges'!$G:$G,'Pasted Bridges'!$B:$B,$C38,'Pasted Bridges'!$F:$F,V$5)</f>
        <v>0</v>
      </c>
      <c r="W38" s="17">
        <f>SUMIFS('Pasted Bridges'!$G:$G,'Pasted Bridges'!$B:$B,$C38,'Pasted Bridges'!$F:$F,W$5)</f>
        <v>0</v>
      </c>
      <c r="X38" s="17">
        <f>SUMIFS('Pasted Bridges'!$G:$G,'Pasted Bridges'!$B:$B,$C38,'Pasted Bridges'!$F:$F,X$5)</f>
        <v>0</v>
      </c>
      <c r="Y38" s="17">
        <f>SUMIFS('Pasted Bridges'!$G:$G,'Pasted Bridges'!$B:$B,$C38,'Pasted Bridges'!$F:$F,Y$5)</f>
        <v>0</v>
      </c>
      <c r="Z38" s="17">
        <f>SUMIFS('Pasted Bridges'!$G:$G,'Pasted Bridges'!$B:$B,$C38,'Pasted Bridges'!$F:$F,Z$5)</f>
        <v>0</v>
      </c>
      <c r="AA38" s="17">
        <f>SUMIFS('Pasted Bridges'!$G:$G,'Pasted Bridges'!$B:$B,$C38,'Pasted Bridges'!$F:$F,AA$5)</f>
        <v>0</v>
      </c>
      <c r="AB38" s="17">
        <f>SUMIFS('Pasted Bridges'!$G:$G,'Pasted Bridges'!$B:$B,$C38,'Pasted Bridges'!$F:$F,AB$5)</f>
        <v>0</v>
      </c>
      <c r="AC38" s="17">
        <f>SUMIFS('Pasted Bridges'!$G:$G,'Pasted Bridges'!$B:$B,$C38,'Pasted Bridges'!$F:$F,AC$5)</f>
        <v>2.71</v>
      </c>
      <c r="AD38" s="17">
        <f>SUMIFS('Pasted Bridges'!$G:$G,'Pasted Bridges'!$B:$B,$C38,'Pasted Bridges'!$F:$F,AD$5)</f>
        <v>0</v>
      </c>
      <c r="AE38" s="17">
        <f>SUMIFS('Pasted Bridges'!$G:$G,'Pasted Bridges'!$B:$B,$C38,'Pasted Bridges'!$F:$F,AE$5)</f>
        <v>0</v>
      </c>
      <c r="AF38" s="17">
        <f>SUMIFS('Pasted Bridges'!$G:$G,'Pasted Bridges'!$B:$B,$C38,'Pasted Bridges'!$F:$F,AF$5)</f>
        <v>0</v>
      </c>
      <c r="AG38" s="17">
        <f>SUMIFS('Pasted Bridges'!$G:$G,'Pasted Bridges'!$B:$B,$C38,'Pasted Bridges'!$F:$F,AG$5)</f>
        <v>0</v>
      </c>
      <c r="AH38" s="17">
        <f>SUMIFS('Pasted Bridges'!$G:$G,'Pasted Bridges'!$B:$B,$C38,'Pasted Bridges'!$F:$F,AH$5)</f>
        <v>0</v>
      </c>
      <c r="AI38" s="17">
        <f>SUMIFS('Pasted Bridges'!$G:$G,'Pasted Bridges'!$B:$B,$C38,'Pasted Bridges'!$F:$F,AI$5)</f>
        <v>0</v>
      </c>
      <c r="AJ38" s="17">
        <f>SUMIFS('Pasted Bridges'!$G:$G,'Pasted Bridges'!$B:$B,$C38,'Pasted Bridges'!$F:$F,AJ$5)</f>
        <v>0</v>
      </c>
      <c r="AK38" s="17">
        <f>SUMIFS('Pasted Bridges'!$G:$G,'Pasted Bridges'!$B:$B,$C38,'Pasted Bridges'!$F:$F,AK$5)</f>
        <v>0</v>
      </c>
      <c r="AL38" s="17">
        <f>SUMIFS('Pasted Bridges'!$G:$G,'Pasted Bridges'!$B:$B,$C38,'Pasted Bridges'!$F:$F,AL$5)</f>
        <v>0</v>
      </c>
      <c r="AM38" s="17">
        <f>SUMIFS('Pasted Bridges'!$G:$G,'Pasted Bridges'!$B:$B,$C38,'Pasted Bridges'!$F:$F,AM$5)</f>
        <v>0</v>
      </c>
      <c r="AN38" s="17">
        <f>SUMIFS('Pasted Bridges'!$G:$G,'Pasted Bridges'!$B:$B,$C38,'Pasted Bridges'!$F:$F,AN$5)</f>
        <v>0</v>
      </c>
      <c r="AO38" s="17">
        <f>SUMIFS('Pasted Bridges'!$G:$G,'Pasted Bridges'!$B:$B,$C38,'Pasted Bridges'!$F:$F,AO$5)</f>
        <v>0</v>
      </c>
      <c r="AP38" s="17">
        <f>SUMIFS('Pasted Bridges'!$G:$G,'Pasted Bridges'!$B:$B,$C38,'Pasted Bridges'!$F:$F,AP$5)</f>
        <v>20.77</v>
      </c>
      <c r="AQ38" s="17">
        <f>SUMIFS('Pasted Bridges'!$G:$G,'Pasted Bridges'!$B:$B,$C38,'Pasted Bridges'!$F:$F,AQ$5)</f>
        <v>18.119999999999997</v>
      </c>
      <c r="AR38" s="17">
        <f>SUMIFS('Pasted Bridges'!$G:$G,'Pasted Bridges'!$B:$B,$C38,'Pasted Bridges'!$F:$F,AR$5)</f>
        <v>0</v>
      </c>
      <c r="AS38" s="17">
        <f>SUMIFS('Pasted Bridges'!$G:$G,'Pasted Bridges'!$B:$B,$C38,'Pasted Bridges'!$F:$F,AS$5)</f>
        <v>0</v>
      </c>
      <c r="AT38" s="17">
        <f>SUMIFS('Pasted Bridges'!$G:$G,'Pasted Bridges'!$B:$B,$C38,'Pasted Bridges'!$F:$F,AT$5)</f>
        <v>0</v>
      </c>
      <c r="AU38" s="17">
        <f>SUMIFS('Pasted Bridges'!$G:$G,'Pasted Bridges'!$B:$B,$C38,'Pasted Bridges'!$F:$F,AU$5)</f>
        <v>0</v>
      </c>
      <c r="AV38" s="17">
        <f>SUMIFS('Pasted Bridges'!$G:$G,'Pasted Bridges'!$B:$B,$C38,'Pasted Bridges'!$F:$F,AV$5)</f>
        <v>0</v>
      </c>
      <c r="AW38" s="17">
        <f>SUMIFS('Pasted Bridges'!$G:$G,'Pasted Bridges'!$B:$B,$C38,'Pasted Bridges'!$F:$F,AW$5)</f>
        <v>0</v>
      </c>
      <c r="AX38" s="17">
        <f>SUMIFS('Pasted Bridges'!$G:$G,'Pasted Bridges'!$B:$B,$C38,'Pasted Bridges'!$F:$F,AX$5)</f>
        <v>0</v>
      </c>
      <c r="AY38" s="17">
        <f>SUMIFS('Pasted Bridges'!$G:$G,'Pasted Bridges'!$B:$B,$C38,'Pasted Bridges'!$F:$F,AY$5)</f>
        <v>0</v>
      </c>
      <c r="AZ38" s="17">
        <f>SUMIFS('Pasted Bridges'!$G:$G,'Pasted Bridges'!$B:$B,$C38,'Pasted Bridges'!$F:$F,AZ$5)</f>
        <v>0</v>
      </c>
      <c r="BA38" s="17">
        <f>SUMIFS('Pasted Bridges'!$G:$G,'Pasted Bridges'!$B:$B,$C38,'Pasted Bridges'!$F:$F,BA$5)</f>
        <v>11.74</v>
      </c>
      <c r="BB38" s="17">
        <f>SUMIFS('Pasted Bridges'!$G:$G,'Pasted Bridges'!$B:$B,$C38,'Pasted Bridges'!$F:$F,BB$5)</f>
        <v>1.8800000000000001</v>
      </c>
      <c r="BC38" s="17">
        <f>SUMIFS('Pasted Bridges'!$G:$G,'Pasted Bridges'!$B:$B,$C38,'Pasted Bridges'!$F:$F,BC$5)</f>
        <v>10.87</v>
      </c>
      <c r="BD38" s="17">
        <f>SUMIFS('Pasted Bridges'!$G:$G,'Pasted Bridges'!$B:$B,$C38,'Pasted Bridges'!$F:$F,BD$5)</f>
        <v>20.82</v>
      </c>
      <c r="BE38" s="17">
        <f>SUMIFS('Pasted Bridges'!$G:$G,'Pasted Bridges'!$B:$B,$C38,'Pasted Bridges'!$F:$F,BE$5)</f>
        <v>10.96</v>
      </c>
      <c r="BF38" s="17">
        <f>SUMIFS('Pasted Bridges'!$G:$G,'Pasted Bridges'!$B:$B,$C38,'Pasted Bridges'!$F:$F,BF$5)</f>
        <v>6.77</v>
      </c>
      <c r="BG38" s="17">
        <f>SUMIFS('Pasted Bridges'!$G:$G,'Pasted Bridges'!$B:$B,$C38,'Pasted Bridges'!$F:$F,BG$5)</f>
        <v>0</v>
      </c>
      <c r="BH38" s="17">
        <f>SUMIFS('Pasted Bridges'!$G:$G,'Pasted Bridges'!$B:$B,$C38,'Pasted Bridges'!$F:$F,BH$5)</f>
        <v>0</v>
      </c>
      <c r="BI38" s="17">
        <f>SUMIFS('Pasted Bridges'!$G:$G,'Pasted Bridges'!$B:$B,$C38,'Pasted Bridges'!$F:$F,BI$5)</f>
        <v>0</v>
      </c>
      <c r="BJ38" s="17">
        <f>SUMIFS('Pasted Bridges'!$G:$G,'Pasted Bridges'!$B:$B,$C38,'Pasted Bridges'!$F:$F,BJ$5)</f>
        <v>0</v>
      </c>
      <c r="BK38" s="17">
        <f>SUMIFS('Pasted Bridges'!$G:$G,'Pasted Bridges'!$B:$B,$C38,'Pasted Bridges'!$F:$F,BK$5)</f>
        <v>0</v>
      </c>
      <c r="BL38" s="17">
        <f>SUMIFS('Pasted Bridges'!$G:$G,'Pasted Bridges'!$B:$B,$C38,'Pasted Bridges'!$F:$F,BL$5)</f>
        <v>0</v>
      </c>
      <c r="BM38" s="17">
        <f>SUMIFS('Pasted Bridges'!$G:$G,'Pasted Bridges'!$B:$B,$C38,'Pasted Bridges'!$F:$F,BM$5)</f>
        <v>0</v>
      </c>
      <c r="BN38" s="17">
        <f>SUMIFS('Pasted Bridges'!$G:$G,'Pasted Bridges'!$B:$B,$C38,'Pasted Bridges'!$F:$F,BN$5)</f>
        <v>0</v>
      </c>
      <c r="BO38" s="17">
        <f>SUMIFS('Pasted Bridges'!$G:$G,'Pasted Bridges'!$B:$B,$C38,'Pasted Bridges'!$F:$F,BO$5)</f>
        <v>0</v>
      </c>
      <c r="BP38" s="17">
        <f>SUMIFS('Pasted Bridges'!$G:$G,'Pasted Bridges'!$B:$B,$C38,'Pasted Bridges'!$F:$F,BP$5)</f>
        <v>0</v>
      </c>
      <c r="BQ38" s="17">
        <f>SUMIFS('Pasted Bridges'!$G:$G,'Pasted Bridges'!$B:$B,$C38,'Pasted Bridges'!$F:$F,BQ$5)</f>
        <v>0</v>
      </c>
      <c r="BR38" s="17">
        <f>SUMIFS('Pasted Bridges'!$G:$G,'Pasted Bridges'!$B:$B,$C38,'Pasted Bridges'!$F:$F,BR$5)</f>
        <v>0</v>
      </c>
      <c r="BS38" s="17">
        <f>SUMIFS('Pasted Bridges'!$G:$G,'Pasted Bridges'!$B:$B,$C38,'Pasted Bridges'!$F:$F,BS$5)</f>
        <v>0</v>
      </c>
      <c r="BT38" s="17">
        <f>SUMIFS('Pasted Bridges'!$G:$G,'Pasted Bridges'!$B:$B,$C38,'Pasted Bridges'!$F:$F,BT$5)</f>
        <v>0</v>
      </c>
      <c r="BU38" s="17">
        <f>SUMIFS('Pasted Bridges'!$G:$G,'Pasted Bridges'!$B:$B,$C38,'Pasted Bridges'!$F:$F,BU$5)</f>
        <v>0</v>
      </c>
      <c r="BV38" s="17">
        <f>SUMIFS('Pasted Bridges'!$G:$G,'Pasted Bridges'!$B:$B,$C38,'Pasted Bridges'!$F:$F,BV$5)</f>
        <v>0</v>
      </c>
      <c r="BW38" s="17">
        <f>SUMIFS('Pasted Bridges'!$G:$G,'Pasted Bridges'!$B:$B,$C38,'Pasted Bridges'!$F:$F,BW$5)</f>
        <v>4.32</v>
      </c>
      <c r="BX38" s="17">
        <f>SUMIFS('Pasted Bridges'!$G:$G,'Pasted Bridges'!$B:$B,$C38,'Pasted Bridges'!$F:$F,BX$5)</f>
        <v>0</v>
      </c>
      <c r="BY38" s="17">
        <f>SUMIFS('Pasted Bridges'!$G:$G,'Pasted Bridges'!$B:$B,$C38,'Pasted Bridges'!$F:$F,BY$5)</f>
        <v>0</v>
      </c>
      <c r="BZ38" s="17">
        <f>SUMIFS('Pasted Bridges'!$G:$G,'Pasted Bridges'!$B:$B,$C38,'Pasted Bridges'!$F:$F,BZ$5)</f>
        <v>0.64</v>
      </c>
      <c r="CA38" s="17">
        <f>SUMIFS('Pasted Bridges'!$G:$G,'Pasted Bridges'!$B:$B,$C38,'Pasted Bridges'!$F:$F,CA$5)</f>
        <v>10.27</v>
      </c>
      <c r="CB38" s="17">
        <f>SUMIFS('Pasted Bridges'!$G:$G,'Pasted Bridges'!$B:$B,$C38,'Pasted Bridges'!$F:$F,CB$5)</f>
        <v>0</v>
      </c>
      <c r="CC38" s="17">
        <f>SUMIFS('Pasted Bridges'!$G:$G,'Pasted Bridges'!$B:$B,$C38,'Pasted Bridges'!$F:$F,CC$5)</f>
        <v>0</v>
      </c>
      <c r="CD38" s="17">
        <f>SUMIFS('Pasted Bridges'!$G:$G,'Pasted Bridges'!$B:$B,$C38,'Pasted Bridges'!$F:$F,CD$5)</f>
        <v>0</v>
      </c>
      <c r="CE38" s="17">
        <f>SUMIFS('Pasted Bridges'!$G:$G,'Pasted Bridges'!$B:$B,$C38,'Pasted Bridges'!$F:$F,CE$5)</f>
        <v>0</v>
      </c>
      <c r="CF38" s="17">
        <f>SUMIFS('Pasted Bridges'!$G:$G,'Pasted Bridges'!$B:$B,$C38,'Pasted Bridges'!$F:$F,CF$5)</f>
        <v>0</v>
      </c>
      <c r="CG38" s="17">
        <f>SUMIFS('Pasted Bridges'!$G:$G,'Pasted Bridges'!$B:$B,$C38,'Pasted Bridges'!$F:$F,CG$5)</f>
        <v>0</v>
      </c>
      <c r="CH38" s="17">
        <f>SUMIFS('Pasted Bridges'!$G:$G,'Pasted Bridges'!$B:$B,$C38,'Pasted Bridges'!$F:$F,CH$5)</f>
        <v>0</v>
      </c>
      <c r="CI38" s="17">
        <f>SUMIFS('Pasted Bridges'!$G:$G,'Pasted Bridges'!$B:$B,$C38,'Pasted Bridges'!$F:$F,CI$5)</f>
        <v>0</v>
      </c>
      <c r="CJ38" s="17">
        <f>SUMIFS('Pasted Bridges'!$G:$G,'Pasted Bridges'!$B:$B,$C38,'Pasted Bridges'!$F:$F,CJ$5)</f>
        <v>0</v>
      </c>
      <c r="CK38" s="17">
        <f>SUMIFS('Pasted Bridges'!$G:$G,'Pasted Bridges'!$B:$B,$C38,'Pasted Bridges'!$F:$F,CK$5)</f>
        <v>4.2300000000000004</v>
      </c>
      <c r="CL38" s="17">
        <f>SUMIFS('Pasted Bridges'!$G:$G,'Pasted Bridges'!$B:$B,$C38,'Pasted Bridges'!$F:$F,CL$5)</f>
        <v>9.56</v>
      </c>
      <c r="CM38" s="17">
        <f>SUMIFS('Pasted Bridges'!$G:$G,'Pasted Bridges'!$B:$B,$C38,'Pasted Bridges'!$F:$F,CM$5)</f>
        <v>5.38</v>
      </c>
      <c r="CN38" s="17">
        <f>SUMIFS('Pasted Bridges'!$G:$G,'Pasted Bridges'!$B:$B,$C38,'Pasted Bridges'!$F:$F,CN$5)</f>
        <v>4.38</v>
      </c>
      <c r="CO38" s="17">
        <f>SUMIFS('Pasted Bridges'!$G:$G,'Pasted Bridges'!$B:$B,$C38,'Pasted Bridges'!$F:$F,CO$5)</f>
        <v>0</v>
      </c>
      <c r="CP38" s="17">
        <f>SUMIFS('Pasted Bridges'!$G:$G,'Pasted Bridges'!$B:$B,$C38,'Pasted Bridges'!$F:$F,CP$5)</f>
        <v>0</v>
      </c>
      <c r="CQ38" s="17">
        <f>SUMIFS('Pasted Bridges'!$G:$G,'Pasted Bridges'!$B:$B,$C38,'Pasted Bridges'!$F:$F,CQ$5)</f>
        <v>0</v>
      </c>
      <c r="CR38" s="17">
        <f>SUMIFS('Pasted Bridges'!$G:$G,'Pasted Bridges'!$B:$B,$C38,'Pasted Bridges'!$F:$F,CR$5)</f>
        <v>0</v>
      </c>
      <c r="CS38" s="17">
        <f>SUMIFS('Pasted Bridges'!$G:$G,'Pasted Bridges'!$B:$B,$C38,'Pasted Bridges'!$F:$F,CS$5)</f>
        <v>0</v>
      </c>
      <c r="CT38" s="17">
        <f>SUMIFS('Pasted Bridges'!$G:$G,'Pasted Bridges'!$B:$B,$C38,'Pasted Bridges'!$F:$F,CT$5)</f>
        <v>0</v>
      </c>
      <c r="CU38" s="17">
        <f>SUMIFS('Pasted Bridges'!$G:$G,'Pasted Bridges'!$B:$B,$C38,'Pasted Bridges'!$F:$F,CU$5)</f>
        <v>0</v>
      </c>
      <c r="CV38" s="17">
        <f>SUMIFS('Pasted Bridges'!$G:$G,'Pasted Bridges'!$B:$B,$C38,'Pasted Bridges'!$F:$F,CV$5)</f>
        <v>0</v>
      </c>
      <c r="CW38" s="17">
        <f>SUMIFS('Pasted Bridges'!$G:$G,'Pasted Bridges'!$B:$B,$C38,'Pasted Bridges'!$F:$F,CW$5)</f>
        <v>0</v>
      </c>
      <c r="CX38" s="17">
        <f>SUMIFS('Pasted Bridges'!$G:$G,'Pasted Bridges'!$B:$B,$C38,'Pasted Bridges'!$F:$F,CX$5)</f>
        <v>0</v>
      </c>
      <c r="CY38" s="17">
        <f>SUMIFS('Pasted Bridges'!$G:$G,'Pasted Bridges'!$B:$B,$C38,'Pasted Bridges'!$F:$F,CY$5)</f>
        <v>0</v>
      </c>
      <c r="CZ38" s="17">
        <f>SUMIFS('Pasted Bridges'!$G:$G,'Pasted Bridges'!$B:$B,$C38,'Pasted Bridges'!$F:$F,CZ$5)</f>
        <v>0</v>
      </c>
      <c r="DA38" s="17">
        <f>SUMIFS('Pasted Bridges'!$G:$G,'Pasted Bridges'!$B:$B,$C38,'Pasted Bridges'!$F:$F,DA$5)</f>
        <v>0</v>
      </c>
    </row>
    <row r="39" spans="2:105" s="1" customFormat="1" x14ac:dyDescent="0.25">
      <c r="B39" s="69"/>
      <c r="C39" s="19" t="s">
        <v>27</v>
      </c>
      <c r="D39" s="19" t="s">
        <v>187</v>
      </c>
      <c r="E39" s="13" t="s">
        <v>199</v>
      </c>
      <c r="F39" s="2">
        <v>34</v>
      </c>
      <c r="G39" s="5">
        <v>0.24</v>
      </c>
      <c r="H39" s="2" t="s">
        <v>42</v>
      </c>
      <c r="I39" s="2">
        <v>0.08</v>
      </c>
      <c r="J39" s="3"/>
      <c r="K39" s="17">
        <f>SUMIFS('Pasted Bridges'!$G:$G,'Pasted Bridges'!$B:$B,$C39,'Pasted Bridges'!$F:$F,K$5)</f>
        <v>0</v>
      </c>
      <c r="L39" s="17">
        <f>SUMIFS('Pasted Bridges'!$G:$G,'Pasted Bridges'!$B:$B,$C39,'Pasted Bridges'!$F:$F,L$5)</f>
        <v>0</v>
      </c>
      <c r="M39" s="17">
        <f>SUMIFS('Pasted Bridges'!$G:$G,'Pasted Bridges'!$B:$B,$C39,'Pasted Bridges'!$F:$F,M$5)</f>
        <v>0</v>
      </c>
      <c r="N39" s="17">
        <f>SUMIFS('Pasted Bridges'!$G:$G,'Pasted Bridges'!$B:$B,$C39,'Pasted Bridges'!$F:$F,N$5)</f>
        <v>0</v>
      </c>
      <c r="O39" s="17">
        <f>SUMIFS('Pasted Bridges'!$G:$G,'Pasted Bridges'!$B:$B,$C39,'Pasted Bridges'!$F:$F,O$5)</f>
        <v>0</v>
      </c>
      <c r="P39" s="17">
        <f>SUMIFS('Pasted Bridges'!$G:$G,'Pasted Bridges'!$B:$B,$C39,'Pasted Bridges'!$F:$F,P$5)</f>
        <v>0</v>
      </c>
      <c r="Q39" s="17">
        <f>SUMIFS('Pasted Bridges'!$G:$G,'Pasted Bridges'!$B:$B,$C39,'Pasted Bridges'!$F:$F,Q$5)</f>
        <v>0</v>
      </c>
      <c r="R39" s="17">
        <f>SUMIFS('Pasted Bridges'!$G:$G,'Pasted Bridges'!$B:$B,$C39,'Pasted Bridges'!$F:$F,R$5)</f>
        <v>0</v>
      </c>
      <c r="S39" s="17">
        <f>SUMIFS('Pasted Bridges'!$G:$G,'Pasted Bridges'!$B:$B,$C39,'Pasted Bridges'!$F:$F,S$5)</f>
        <v>0</v>
      </c>
      <c r="T39" s="17">
        <f>SUMIFS('Pasted Bridges'!$G:$G,'Pasted Bridges'!$B:$B,$C39,'Pasted Bridges'!$F:$F,T$5)</f>
        <v>0</v>
      </c>
      <c r="U39" s="17">
        <f>SUMIFS('Pasted Bridges'!$G:$G,'Pasted Bridges'!$B:$B,$C39,'Pasted Bridges'!$F:$F,U$5)</f>
        <v>0</v>
      </c>
      <c r="V39" s="17">
        <f>SUMIFS('Pasted Bridges'!$G:$G,'Pasted Bridges'!$B:$B,$C39,'Pasted Bridges'!$F:$F,V$5)</f>
        <v>0</v>
      </c>
      <c r="W39" s="17">
        <f>SUMIFS('Pasted Bridges'!$G:$G,'Pasted Bridges'!$B:$B,$C39,'Pasted Bridges'!$F:$F,W$5)</f>
        <v>0</v>
      </c>
      <c r="X39" s="17">
        <f>SUMIFS('Pasted Bridges'!$G:$G,'Pasted Bridges'!$B:$B,$C39,'Pasted Bridges'!$F:$F,X$5)</f>
        <v>0</v>
      </c>
      <c r="Y39" s="17">
        <f>SUMIFS('Pasted Bridges'!$G:$G,'Pasted Bridges'!$B:$B,$C39,'Pasted Bridges'!$F:$F,Y$5)</f>
        <v>0</v>
      </c>
      <c r="Z39" s="17">
        <f>SUMIFS('Pasted Bridges'!$G:$G,'Pasted Bridges'!$B:$B,$C39,'Pasted Bridges'!$F:$F,Z$5)</f>
        <v>0</v>
      </c>
      <c r="AA39" s="17">
        <f>SUMIFS('Pasted Bridges'!$G:$G,'Pasted Bridges'!$B:$B,$C39,'Pasted Bridges'!$F:$F,AA$5)</f>
        <v>0</v>
      </c>
      <c r="AB39" s="17">
        <f>SUMIFS('Pasted Bridges'!$G:$G,'Pasted Bridges'!$B:$B,$C39,'Pasted Bridges'!$F:$F,AB$5)</f>
        <v>0</v>
      </c>
      <c r="AC39" s="17">
        <f>SUMIFS('Pasted Bridges'!$G:$G,'Pasted Bridges'!$B:$B,$C39,'Pasted Bridges'!$F:$F,AC$5)</f>
        <v>0</v>
      </c>
      <c r="AD39" s="17">
        <f>SUMIFS('Pasted Bridges'!$G:$G,'Pasted Bridges'!$B:$B,$C39,'Pasted Bridges'!$F:$F,AD$5)</f>
        <v>0</v>
      </c>
      <c r="AE39" s="17">
        <f>SUMIFS('Pasted Bridges'!$G:$G,'Pasted Bridges'!$B:$B,$C39,'Pasted Bridges'!$F:$F,AE$5)</f>
        <v>0</v>
      </c>
      <c r="AF39" s="17">
        <f>SUMIFS('Pasted Bridges'!$G:$G,'Pasted Bridges'!$B:$B,$C39,'Pasted Bridges'!$F:$F,AF$5)</f>
        <v>0</v>
      </c>
      <c r="AG39" s="17">
        <f>SUMIFS('Pasted Bridges'!$G:$G,'Pasted Bridges'!$B:$B,$C39,'Pasted Bridges'!$F:$F,AG$5)</f>
        <v>0</v>
      </c>
      <c r="AH39" s="17">
        <f>SUMIFS('Pasted Bridges'!$G:$G,'Pasted Bridges'!$B:$B,$C39,'Pasted Bridges'!$F:$F,AH$5)</f>
        <v>0</v>
      </c>
      <c r="AI39" s="17">
        <f>SUMIFS('Pasted Bridges'!$G:$G,'Pasted Bridges'!$B:$B,$C39,'Pasted Bridges'!$F:$F,AI$5)</f>
        <v>0</v>
      </c>
      <c r="AJ39" s="17">
        <f>SUMIFS('Pasted Bridges'!$G:$G,'Pasted Bridges'!$B:$B,$C39,'Pasted Bridges'!$F:$F,AJ$5)</f>
        <v>0</v>
      </c>
      <c r="AK39" s="17">
        <f>SUMIFS('Pasted Bridges'!$G:$G,'Pasted Bridges'!$B:$B,$C39,'Pasted Bridges'!$F:$F,AK$5)</f>
        <v>0</v>
      </c>
      <c r="AL39" s="17">
        <f>SUMIFS('Pasted Bridges'!$G:$G,'Pasted Bridges'!$B:$B,$C39,'Pasted Bridges'!$F:$F,AL$5)</f>
        <v>0</v>
      </c>
      <c r="AM39" s="17">
        <f>SUMIFS('Pasted Bridges'!$G:$G,'Pasted Bridges'!$B:$B,$C39,'Pasted Bridges'!$F:$F,AM$5)</f>
        <v>0</v>
      </c>
      <c r="AN39" s="17">
        <f>SUMIFS('Pasted Bridges'!$G:$G,'Pasted Bridges'!$B:$B,$C39,'Pasted Bridges'!$F:$F,AN$5)</f>
        <v>0</v>
      </c>
      <c r="AO39" s="17">
        <f>SUMIFS('Pasted Bridges'!$G:$G,'Pasted Bridges'!$B:$B,$C39,'Pasted Bridges'!$F:$F,AO$5)</f>
        <v>0</v>
      </c>
      <c r="AP39" s="17">
        <f>SUMIFS('Pasted Bridges'!$G:$G,'Pasted Bridges'!$B:$B,$C39,'Pasted Bridges'!$F:$F,AP$5)</f>
        <v>0</v>
      </c>
      <c r="AQ39" s="17">
        <f>SUMIFS('Pasted Bridges'!$G:$G,'Pasted Bridges'!$B:$B,$C39,'Pasted Bridges'!$F:$F,AQ$5)</f>
        <v>0</v>
      </c>
      <c r="AR39" s="17">
        <f>SUMIFS('Pasted Bridges'!$G:$G,'Pasted Bridges'!$B:$B,$C39,'Pasted Bridges'!$F:$F,AR$5)</f>
        <v>0</v>
      </c>
      <c r="AS39" s="17">
        <f>SUMIFS('Pasted Bridges'!$G:$G,'Pasted Bridges'!$B:$B,$C39,'Pasted Bridges'!$F:$F,AS$5)</f>
        <v>0</v>
      </c>
      <c r="AT39" s="17">
        <f>SUMIFS('Pasted Bridges'!$G:$G,'Pasted Bridges'!$B:$B,$C39,'Pasted Bridges'!$F:$F,AT$5)</f>
        <v>0</v>
      </c>
      <c r="AU39" s="17">
        <f>SUMIFS('Pasted Bridges'!$G:$G,'Pasted Bridges'!$B:$B,$C39,'Pasted Bridges'!$F:$F,AU$5)</f>
        <v>0</v>
      </c>
      <c r="AV39" s="17">
        <f>SUMIFS('Pasted Bridges'!$G:$G,'Pasted Bridges'!$B:$B,$C39,'Pasted Bridges'!$F:$F,AV$5)</f>
        <v>0</v>
      </c>
      <c r="AW39" s="17">
        <f>SUMIFS('Pasted Bridges'!$G:$G,'Pasted Bridges'!$B:$B,$C39,'Pasted Bridges'!$F:$F,AW$5)</f>
        <v>0</v>
      </c>
      <c r="AX39" s="17">
        <f>SUMIFS('Pasted Bridges'!$G:$G,'Pasted Bridges'!$B:$B,$C39,'Pasted Bridges'!$F:$F,AX$5)</f>
        <v>0</v>
      </c>
      <c r="AY39" s="17">
        <f>SUMIFS('Pasted Bridges'!$G:$G,'Pasted Bridges'!$B:$B,$C39,'Pasted Bridges'!$F:$F,AY$5)</f>
        <v>0</v>
      </c>
      <c r="AZ39" s="17">
        <f>SUMIFS('Pasted Bridges'!$G:$G,'Pasted Bridges'!$B:$B,$C39,'Pasted Bridges'!$F:$F,AZ$5)</f>
        <v>0</v>
      </c>
      <c r="BA39" s="17">
        <f>SUMIFS('Pasted Bridges'!$G:$G,'Pasted Bridges'!$B:$B,$C39,'Pasted Bridges'!$F:$F,BA$5)</f>
        <v>0</v>
      </c>
      <c r="BB39" s="17">
        <f>SUMIFS('Pasted Bridges'!$G:$G,'Pasted Bridges'!$B:$B,$C39,'Pasted Bridges'!$F:$F,BB$5)</f>
        <v>0</v>
      </c>
      <c r="BC39" s="17">
        <f>SUMIFS('Pasted Bridges'!$G:$G,'Pasted Bridges'!$B:$B,$C39,'Pasted Bridges'!$F:$F,BC$5)</f>
        <v>0</v>
      </c>
      <c r="BD39" s="17">
        <f>SUMIFS('Pasted Bridges'!$G:$G,'Pasted Bridges'!$B:$B,$C39,'Pasted Bridges'!$F:$F,BD$5)</f>
        <v>0</v>
      </c>
      <c r="BE39" s="17">
        <f>SUMIFS('Pasted Bridges'!$G:$G,'Pasted Bridges'!$B:$B,$C39,'Pasted Bridges'!$F:$F,BE$5)</f>
        <v>0</v>
      </c>
      <c r="BF39" s="17">
        <f>SUMIFS('Pasted Bridges'!$G:$G,'Pasted Bridges'!$B:$B,$C39,'Pasted Bridges'!$F:$F,BF$5)</f>
        <v>0</v>
      </c>
      <c r="BG39" s="17">
        <f>SUMIFS('Pasted Bridges'!$G:$G,'Pasted Bridges'!$B:$B,$C39,'Pasted Bridges'!$F:$F,BG$5)</f>
        <v>0</v>
      </c>
      <c r="BH39" s="17">
        <f>SUMIFS('Pasted Bridges'!$G:$G,'Pasted Bridges'!$B:$B,$C39,'Pasted Bridges'!$F:$F,BH$5)</f>
        <v>0</v>
      </c>
      <c r="BI39" s="17">
        <f>SUMIFS('Pasted Bridges'!$G:$G,'Pasted Bridges'!$B:$B,$C39,'Pasted Bridges'!$F:$F,BI$5)</f>
        <v>0</v>
      </c>
      <c r="BJ39" s="17">
        <f>SUMIFS('Pasted Bridges'!$G:$G,'Pasted Bridges'!$B:$B,$C39,'Pasted Bridges'!$F:$F,BJ$5)</f>
        <v>0</v>
      </c>
      <c r="BK39" s="17">
        <f>SUMIFS('Pasted Bridges'!$G:$G,'Pasted Bridges'!$B:$B,$C39,'Pasted Bridges'!$F:$F,BK$5)</f>
        <v>0</v>
      </c>
      <c r="BL39" s="17">
        <f>SUMIFS('Pasted Bridges'!$G:$G,'Pasted Bridges'!$B:$B,$C39,'Pasted Bridges'!$F:$F,BL$5)</f>
        <v>0</v>
      </c>
      <c r="BM39" s="17">
        <f>SUMIFS('Pasted Bridges'!$G:$G,'Pasted Bridges'!$B:$B,$C39,'Pasted Bridges'!$F:$F,BM$5)</f>
        <v>0</v>
      </c>
      <c r="BN39" s="17">
        <f>SUMIFS('Pasted Bridges'!$G:$G,'Pasted Bridges'!$B:$B,$C39,'Pasted Bridges'!$F:$F,BN$5)</f>
        <v>0</v>
      </c>
      <c r="BO39" s="17">
        <f>SUMIFS('Pasted Bridges'!$G:$G,'Pasted Bridges'!$B:$B,$C39,'Pasted Bridges'!$F:$F,BO$5)</f>
        <v>0</v>
      </c>
      <c r="BP39" s="17">
        <f>SUMIFS('Pasted Bridges'!$G:$G,'Pasted Bridges'!$B:$B,$C39,'Pasted Bridges'!$F:$F,BP$5)</f>
        <v>0</v>
      </c>
      <c r="BQ39" s="17">
        <f>SUMIFS('Pasted Bridges'!$G:$G,'Pasted Bridges'!$B:$B,$C39,'Pasted Bridges'!$F:$F,BQ$5)</f>
        <v>0</v>
      </c>
      <c r="BR39" s="17">
        <f>SUMIFS('Pasted Bridges'!$G:$G,'Pasted Bridges'!$B:$B,$C39,'Pasted Bridges'!$F:$F,BR$5)</f>
        <v>0</v>
      </c>
      <c r="BS39" s="17">
        <f>SUMIFS('Pasted Bridges'!$G:$G,'Pasted Bridges'!$B:$B,$C39,'Pasted Bridges'!$F:$F,BS$5)</f>
        <v>0</v>
      </c>
      <c r="BT39" s="17">
        <f>SUMIFS('Pasted Bridges'!$G:$G,'Pasted Bridges'!$B:$B,$C39,'Pasted Bridges'!$F:$F,BT$5)</f>
        <v>0</v>
      </c>
      <c r="BU39" s="17">
        <f>SUMIFS('Pasted Bridges'!$G:$G,'Pasted Bridges'!$B:$B,$C39,'Pasted Bridges'!$F:$F,BU$5)</f>
        <v>0</v>
      </c>
      <c r="BV39" s="17">
        <f>SUMIFS('Pasted Bridges'!$G:$G,'Pasted Bridges'!$B:$B,$C39,'Pasted Bridges'!$F:$F,BV$5)</f>
        <v>0</v>
      </c>
      <c r="BW39" s="17">
        <f>SUMIFS('Pasted Bridges'!$G:$G,'Pasted Bridges'!$B:$B,$C39,'Pasted Bridges'!$F:$F,BW$5)</f>
        <v>0</v>
      </c>
      <c r="BX39" s="17">
        <f>SUMIFS('Pasted Bridges'!$G:$G,'Pasted Bridges'!$B:$B,$C39,'Pasted Bridges'!$F:$F,BX$5)</f>
        <v>0</v>
      </c>
      <c r="BY39" s="17">
        <f>SUMIFS('Pasted Bridges'!$G:$G,'Pasted Bridges'!$B:$B,$C39,'Pasted Bridges'!$F:$F,BY$5)</f>
        <v>0</v>
      </c>
      <c r="BZ39" s="17">
        <f>SUMIFS('Pasted Bridges'!$G:$G,'Pasted Bridges'!$B:$B,$C39,'Pasted Bridges'!$F:$F,BZ$5)</f>
        <v>0</v>
      </c>
      <c r="CA39" s="17">
        <f>SUMIFS('Pasted Bridges'!$G:$G,'Pasted Bridges'!$B:$B,$C39,'Pasted Bridges'!$F:$F,CA$5)</f>
        <v>0</v>
      </c>
      <c r="CB39" s="17">
        <f>SUMIFS('Pasted Bridges'!$G:$G,'Pasted Bridges'!$B:$B,$C39,'Pasted Bridges'!$F:$F,CB$5)</f>
        <v>0</v>
      </c>
      <c r="CC39" s="17">
        <f>SUMIFS('Pasted Bridges'!$G:$G,'Pasted Bridges'!$B:$B,$C39,'Pasted Bridges'!$F:$F,CC$5)</f>
        <v>0</v>
      </c>
      <c r="CD39" s="17">
        <f>SUMIFS('Pasted Bridges'!$G:$G,'Pasted Bridges'!$B:$B,$C39,'Pasted Bridges'!$F:$F,CD$5)</f>
        <v>0</v>
      </c>
      <c r="CE39" s="17">
        <f>SUMIFS('Pasted Bridges'!$G:$G,'Pasted Bridges'!$B:$B,$C39,'Pasted Bridges'!$F:$F,CE$5)</f>
        <v>0</v>
      </c>
      <c r="CF39" s="17">
        <f>SUMIFS('Pasted Bridges'!$G:$G,'Pasted Bridges'!$B:$B,$C39,'Pasted Bridges'!$F:$F,CF$5)</f>
        <v>0</v>
      </c>
      <c r="CG39" s="17">
        <f>SUMIFS('Pasted Bridges'!$G:$G,'Pasted Bridges'!$B:$B,$C39,'Pasted Bridges'!$F:$F,CG$5)</f>
        <v>0</v>
      </c>
      <c r="CH39" s="17">
        <f>SUMIFS('Pasted Bridges'!$G:$G,'Pasted Bridges'!$B:$B,$C39,'Pasted Bridges'!$F:$F,CH$5)</f>
        <v>0</v>
      </c>
      <c r="CI39" s="17">
        <f>SUMIFS('Pasted Bridges'!$G:$G,'Pasted Bridges'!$B:$B,$C39,'Pasted Bridges'!$F:$F,CI$5)</f>
        <v>0</v>
      </c>
      <c r="CJ39" s="17">
        <f>SUMIFS('Pasted Bridges'!$G:$G,'Pasted Bridges'!$B:$B,$C39,'Pasted Bridges'!$F:$F,CJ$5)</f>
        <v>0</v>
      </c>
      <c r="CK39" s="17">
        <f>SUMIFS('Pasted Bridges'!$G:$G,'Pasted Bridges'!$B:$B,$C39,'Pasted Bridges'!$F:$F,CK$5)</f>
        <v>0</v>
      </c>
      <c r="CL39" s="17">
        <f>SUMIFS('Pasted Bridges'!$G:$G,'Pasted Bridges'!$B:$B,$C39,'Pasted Bridges'!$F:$F,CL$5)</f>
        <v>0</v>
      </c>
      <c r="CM39" s="17">
        <f>SUMIFS('Pasted Bridges'!$G:$G,'Pasted Bridges'!$B:$B,$C39,'Pasted Bridges'!$F:$F,CM$5)</f>
        <v>0</v>
      </c>
      <c r="CN39" s="17">
        <f>SUMIFS('Pasted Bridges'!$G:$G,'Pasted Bridges'!$B:$B,$C39,'Pasted Bridges'!$F:$F,CN$5)</f>
        <v>0</v>
      </c>
      <c r="CO39" s="17">
        <f>SUMIFS('Pasted Bridges'!$G:$G,'Pasted Bridges'!$B:$B,$C39,'Pasted Bridges'!$F:$F,CO$5)</f>
        <v>0</v>
      </c>
      <c r="CP39" s="17">
        <f>SUMIFS('Pasted Bridges'!$G:$G,'Pasted Bridges'!$B:$B,$C39,'Pasted Bridges'!$F:$F,CP$5)</f>
        <v>0</v>
      </c>
      <c r="CQ39" s="17">
        <f>SUMIFS('Pasted Bridges'!$G:$G,'Pasted Bridges'!$B:$B,$C39,'Pasted Bridges'!$F:$F,CQ$5)</f>
        <v>0</v>
      </c>
      <c r="CR39" s="17">
        <f>SUMIFS('Pasted Bridges'!$G:$G,'Pasted Bridges'!$B:$B,$C39,'Pasted Bridges'!$F:$F,CR$5)</f>
        <v>0</v>
      </c>
      <c r="CS39" s="17">
        <f>SUMIFS('Pasted Bridges'!$G:$G,'Pasted Bridges'!$B:$B,$C39,'Pasted Bridges'!$F:$F,CS$5)</f>
        <v>0</v>
      </c>
      <c r="CT39" s="17">
        <f>SUMIFS('Pasted Bridges'!$G:$G,'Pasted Bridges'!$B:$B,$C39,'Pasted Bridges'!$F:$F,CT$5)</f>
        <v>0</v>
      </c>
      <c r="CU39" s="17">
        <f>SUMIFS('Pasted Bridges'!$G:$G,'Pasted Bridges'!$B:$B,$C39,'Pasted Bridges'!$F:$F,CU$5)</f>
        <v>0</v>
      </c>
      <c r="CV39" s="17">
        <f>SUMIFS('Pasted Bridges'!$G:$G,'Pasted Bridges'!$B:$B,$C39,'Pasted Bridges'!$F:$F,CV$5)</f>
        <v>0</v>
      </c>
      <c r="CW39" s="17">
        <f>SUMIFS('Pasted Bridges'!$G:$G,'Pasted Bridges'!$B:$B,$C39,'Pasted Bridges'!$F:$F,CW$5)</f>
        <v>0</v>
      </c>
      <c r="CX39" s="17">
        <f>SUMIFS('Pasted Bridges'!$G:$G,'Pasted Bridges'!$B:$B,$C39,'Pasted Bridges'!$F:$F,CX$5)</f>
        <v>0</v>
      </c>
      <c r="CY39" s="17">
        <f>SUMIFS('Pasted Bridges'!$G:$G,'Pasted Bridges'!$B:$B,$C39,'Pasted Bridges'!$F:$F,CY$5)</f>
        <v>0</v>
      </c>
      <c r="CZ39" s="17">
        <f>SUMIFS('Pasted Bridges'!$G:$G,'Pasted Bridges'!$B:$B,$C39,'Pasted Bridges'!$F:$F,CZ$5)</f>
        <v>0</v>
      </c>
      <c r="DA39" s="17">
        <f>SUMIFS('Pasted Bridges'!$G:$G,'Pasted Bridges'!$B:$B,$C39,'Pasted Bridges'!$F:$F,DA$5)</f>
        <v>0</v>
      </c>
    </row>
    <row r="40" spans="2:105" s="1" customFormat="1" x14ac:dyDescent="0.25">
      <c r="B40" s="70"/>
      <c r="C40" s="19" t="s">
        <v>28</v>
      </c>
      <c r="D40" s="19" t="s">
        <v>188</v>
      </c>
      <c r="E40" s="13" t="s">
        <v>199</v>
      </c>
      <c r="F40" s="2">
        <v>35</v>
      </c>
      <c r="G40" s="5">
        <v>0.24</v>
      </c>
      <c r="H40" s="2" t="s">
        <v>42</v>
      </c>
      <c r="I40" s="2">
        <v>0.06</v>
      </c>
      <c r="J40" s="3"/>
      <c r="K40" s="17">
        <f>SUMIFS('Pasted Bridges'!$G:$G,'Pasted Bridges'!$B:$B,$C40,'Pasted Bridges'!$F:$F,K$5)</f>
        <v>0</v>
      </c>
      <c r="L40" s="17">
        <f>SUMIFS('Pasted Bridges'!$G:$G,'Pasted Bridges'!$B:$B,$C40,'Pasted Bridges'!$F:$F,L$5)</f>
        <v>0</v>
      </c>
      <c r="M40" s="17">
        <f>SUMIFS('Pasted Bridges'!$G:$G,'Pasted Bridges'!$B:$B,$C40,'Pasted Bridges'!$F:$F,M$5)</f>
        <v>0</v>
      </c>
      <c r="N40" s="17">
        <f>SUMIFS('Pasted Bridges'!$G:$G,'Pasted Bridges'!$B:$B,$C40,'Pasted Bridges'!$F:$F,N$5)</f>
        <v>0</v>
      </c>
      <c r="O40" s="17">
        <f>SUMIFS('Pasted Bridges'!$G:$G,'Pasted Bridges'!$B:$B,$C40,'Pasted Bridges'!$F:$F,O$5)</f>
        <v>0</v>
      </c>
      <c r="P40" s="17">
        <f>SUMIFS('Pasted Bridges'!$G:$G,'Pasted Bridges'!$B:$B,$C40,'Pasted Bridges'!$F:$F,P$5)</f>
        <v>0</v>
      </c>
      <c r="Q40" s="17">
        <f>SUMIFS('Pasted Bridges'!$G:$G,'Pasted Bridges'!$B:$B,$C40,'Pasted Bridges'!$F:$F,Q$5)</f>
        <v>0</v>
      </c>
      <c r="R40" s="17">
        <f>SUMIFS('Pasted Bridges'!$G:$G,'Pasted Bridges'!$B:$B,$C40,'Pasted Bridges'!$F:$F,R$5)</f>
        <v>0</v>
      </c>
      <c r="S40" s="17">
        <f>SUMIFS('Pasted Bridges'!$G:$G,'Pasted Bridges'!$B:$B,$C40,'Pasted Bridges'!$F:$F,S$5)</f>
        <v>0</v>
      </c>
      <c r="T40" s="17">
        <f>SUMIFS('Pasted Bridges'!$G:$G,'Pasted Bridges'!$B:$B,$C40,'Pasted Bridges'!$F:$F,T$5)</f>
        <v>0</v>
      </c>
      <c r="U40" s="17">
        <f>SUMIFS('Pasted Bridges'!$G:$G,'Pasted Bridges'!$B:$B,$C40,'Pasted Bridges'!$F:$F,U$5)</f>
        <v>0</v>
      </c>
      <c r="V40" s="17">
        <f>SUMIFS('Pasted Bridges'!$G:$G,'Pasted Bridges'!$B:$B,$C40,'Pasted Bridges'!$F:$F,V$5)</f>
        <v>0</v>
      </c>
      <c r="W40" s="17">
        <f>SUMIFS('Pasted Bridges'!$G:$G,'Pasted Bridges'!$B:$B,$C40,'Pasted Bridges'!$F:$F,W$5)</f>
        <v>0</v>
      </c>
      <c r="X40" s="17">
        <f>SUMIFS('Pasted Bridges'!$G:$G,'Pasted Bridges'!$B:$B,$C40,'Pasted Bridges'!$F:$F,X$5)</f>
        <v>0</v>
      </c>
      <c r="Y40" s="17">
        <f>SUMIFS('Pasted Bridges'!$G:$G,'Pasted Bridges'!$B:$B,$C40,'Pasted Bridges'!$F:$F,Y$5)</f>
        <v>0</v>
      </c>
      <c r="Z40" s="17">
        <f>SUMIFS('Pasted Bridges'!$G:$G,'Pasted Bridges'!$B:$B,$C40,'Pasted Bridges'!$F:$F,Z$5)</f>
        <v>0</v>
      </c>
      <c r="AA40" s="17">
        <f>SUMIFS('Pasted Bridges'!$G:$G,'Pasted Bridges'!$B:$B,$C40,'Pasted Bridges'!$F:$F,AA$5)</f>
        <v>0</v>
      </c>
      <c r="AB40" s="17">
        <f>SUMIFS('Pasted Bridges'!$G:$G,'Pasted Bridges'!$B:$B,$C40,'Pasted Bridges'!$F:$F,AB$5)</f>
        <v>0</v>
      </c>
      <c r="AC40" s="17">
        <f>SUMIFS('Pasted Bridges'!$G:$G,'Pasted Bridges'!$B:$B,$C40,'Pasted Bridges'!$F:$F,AC$5)</f>
        <v>0</v>
      </c>
      <c r="AD40" s="17">
        <f>SUMIFS('Pasted Bridges'!$G:$G,'Pasted Bridges'!$B:$B,$C40,'Pasted Bridges'!$F:$F,AD$5)</f>
        <v>0</v>
      </c>
      <c r="AE40" s="17">
        <f>SUMIFS('Pasted Bridges'!$G:$G,'Pasted Bridges'!$B:$B,$C40,'Pasted Bridges'!$F:$F,AE$5)</f>
        <v>0</v>
      </c>
      <c r="AF40" s="17">
        <f>SUMIFS('Pasted Bridges'!$G:$G,'Pasted Bridges'!$B:$B,$C40,'Pasted Bridges'!$F:$F,AF$5)</f>
        <v>0</v>
      </c>
      <c r="AG40" s="17">
        <f>SUMIFS('Pasted Bridges'!$G:$G,'Pasted Bridges'!$B:$B,$C40,'Pasted Bridges'!$F:$F,AG$5)</f>
        <v>0</v>
      </c>
      <c r="AH40" s="17">
        <f>SUMIFS('Pasted Bridges'!$G:$G,'Pasted Bridges'!$B:$B,$C40,'Pasted Bridges'!$F:$F,AH$5)</f>
        <v>0</v>
      </c>
      <c r="AI40" s="17">
        <f>SUMIFS('Pasted Bridges'!$G:$G,'Pasted Bridges'!$B:$B,$C40,'Pasted Bridges'!$F:$F,AI$5)</f>
        <v>0</v>
      </c>
      <c r="AJ40" s="17">
        <f>SUMIFS('Pasted Bridges'!$G:$G,'Pasted Bridges'!$B:$B,$C40,'Pasted Bridges'!$F:$F,AJ$5)</f>
        <v>0</v>
      </c>
      <c r="AK40" s="17">
        <f>SUMIFS('Pasted Bridges'!$G:$G,'Pasted Bridges'!$B:$B,$C40,'Pasted Bridges'!$F:$F,AK$5)</f>
        <v>0</v>
      </c>
      <c r="AL40" s="17">
        <f>SUMIFS('Pasted Bridges'!$G:$G,'Pasted Bridges'!$B:$B,$C40,'Pasted Bridges'!$F:$F,AL$5)</f>
        <v>0</v>
      </c>
      <c r="AM40" s="17">
        <f>SUMIFS('Pasted Bridges'!$G:$G,'Pasted Bridges'!$B:$B,$C40,'Pasted Bridges'!$F:$F,AM$5)</f>
        <v>0</v>
      </c>
      <c r="AN40" s="17">
        <f>SUMIFS('Pasted Bridges'!$G:$G,'Pasted Bridges'!$B:$B,$C40,'Pasted Bridges'!$F:$F,AN$5)</f>
        <v>0</v>
      </c>
      <c r="AO40" s="17">
        <f>SUMIFS('Pasted Bridges'!$G:$G,'Pasted Bridges'!$B:$B,$C40,'Pasted Bridges'!$F:$F,AO$5)</f>
        <v>0</v>
      </c>
      <c r="AP40" s="17">
        <f>SUMIFS('Pasted Bridges'!$G:$G,'Pasted Bridges'!$B:$B,$C40,'Pasted Bridges'!$F:$F,AP$5)</f>
        <v>0</v>
      </c>
      <c r="AQ40" s="17">
        <f>SUMIFS('Pasted Bridges'!$G:$G,'Pasted Bridges'!$B:$B,$C40,'Pasted Bridges'!$F:$F,AQ$5)</f>
        <v>0</v>
      </c>
      <c r="AR40" s="17">
        <f>SUMIFS('Pasted Bridges'!$G:$G,'Pasted Bridges'!$B:$B,$C40,'Pasted Bridges'!$F:$F,AR$5)</f>
        <v>0</v>
      </c>
      <c r="AS40" s="17">
        <f>SUMIFS('Pasted Bridges'!$G:$G,'Pasted Bridges'!$B:$B,$C40,'Pasted Bridges'!$F:$F,AS$5)</f>
        <v>0</v>
      </c>
      <c r="AT40" s="17">
        <f>SUMIFS('Pasted Bridges'!$G:$G,'Pasted Bridges'!$B:$B,$C40,'Pasted Bridges'!$F:$F,AT$5)</f>
        <v>0</v>
      </c>
      <c r="AU40" s="17">
        <f>SUMIFS('Pasted Bridges'!$G:$G,'Pasted Bridges'!$B:$B,$C40,'Pasted Bridges'!$F:$F,AU$5)</f>
        <v>0</v>
      </c>
      <c r="AV40" s="17">
        <f>SUMIFS('Pasted Bridges'!$G:$G,'Pasted Bridges'!$B:$B,$C40,'Pasted Bridges'!$F:$F,AV$5)</f>
        <v>0</v>
      </c>
      <c r="AW40" s="17">
        <f>SUMIFS('Pasted Bridges'!$G:$G,'Pasted Bridges'!$B:$B,$C40,'Pasted Bridges'!$F:$F,AW$5)</f>
        <v>0</v>
      </c>
      <c r="AX40" s="17">
        <f>SUMIFS('Pasted Bridges'!$G:$G,'Pasted Bridges'!$B:$B,$C40,'Pasted Bridges'!$F:$F,AX$5)</f>
        <v>0</v>
      </c>
      <c r="AY40" s="17">
        <f>SUMIFS('Pasted Bridges'!$G:$G,'Pasted Bridges'!$B:$B,$C40,'Pasted Bridges'!$F:$F,AY$5)</f>
        <v>0</v>
      </c>
      <c r="AZ40" s="17">
        <f>SUMIFS('Pasted Bridges'!$G:$G,'Pasted Bridges'!$B:$B,$C40,'Pasted Bridges'!$F:$F,AZ$5)</f>
        <v>0</v>
      </c>
      <c r="BA40" s="17">
        <f>SUMIFS('Pasted Bridges'!$G:$G,'Pasted Bridges'!$B:$B,$C40,'Pasted Bridges'!$F:$F,BA$5)</f>
        <v>0</v>
      </c>
      <c r="BB40" s="17">
        <f>SUMIFS('Pasted Bridges'!$G:$G,'Pasted Bridges'!$B:$B,$C40,'Pasted Bridges'!$F:$F,BB$5)</f>
        <v>0</v>
      </c>
      <c r="BC40" s="17">
        <f>SUMIFS('Pasted Bridges'!$G:$G,'Pasted Bridges'!$B:$B,$C40,'Pasted Bridges'!$F:$F,BC$5)</f>
        <v>0</v>
      </c>
      <c r="BD40" s="17">
        <f>SUMIFS('Pasted Bridges'!$G:$G,'Pasted Bridges'!$B:$B,$C40,'Pasted Bridges'!$F:$F,BD$5)</f>
        <v>0</v>
      </c>
      <c r="BE40" s="17">
        <f>SUMIFS('Pasted Bridges'!$G:$G,'Pasted Bridges'!$B:$B,$C40,'Pasted Bridges'!$F:$F,BE$5)</f>
        <v>0</v>
      </c>
      <c r="BF40" s="17">
        <f>SUMIFS('Pasted Bridges'!$G:$G,'Pasted Bridges'!$B:$B,$C40,'Pasted Bridges'!$F:$F,BF$5)</f>
        <v>0</v>
      </c>
      <c r="BG40" s="17">
        <f>SUMIFS('Pasted Bridges'!$G:$G,'Pasted Bridges'!$B:$B,$C40,'Pasted Bridges'!$F:$F,BG$5)</f>
        <v>0</v>
      </c>
      <c r="BH40" s="17">
        <f>SUMIFS('Pasted Bridges'!$G:$G,'Pasted Bridges'!$B:$B,$C40,'Pasted Bridges'!$F:$F,BH$5)</f>
        <v>0</v>
      </c>
      <c r="BI40" s="17">
        <f>SUMIFS('Pasted Bridges'!$G:$G,'Pasted Bridges'!$B:$B,$C40,'Pasted Bridges'!$F:$F,BI$5)</f>
        <v>0</v>
      </c>
      <c r="BJ40" s="17">
        <f>SUMIFS('Pasted Bridges'!$G:$G,'Pasted Bridges'!$B:$B,$C40,'Pasted Bridges'!$F:$F,BJ$5)</f>
        <v>0</v>
      </c>
      <c r="BK40" s="17">
        <f>SUMIFS('Pasted Bridges'!$G:$G,'Pasted Bridges'!$B:$B,$C40,'Pasted Bridges'!$F:$F,BK$5)</f>
        <v>0</v>
      </c>
      <c r="BL40" s="17">
        <f>SUMIFS('Pasted Bridges'!$G:$G,'Pasted Bridges'!$B:$B,$C40,'Pasted Bridges'!$F:$F,BL$5)</f>
        <v>0</v>
      </c>
      <c r="BM40" s="17">
        <f>SUMIFS('Pasted Bridges'!$G:$G,'Pasted Bridges'!$B:$B,$C40,'Pasted Bridges'!$F:$F,BM$5)</f>
        <v>0</v>
      </c>
      <c r="BN40" s="17">
        <f>SUMIFS('Pasted Bridges'!$G:$G,'Pasted Bridges'!$B:$B,$C40,'Pasted Bridges'!$F:$F,BN$5)</f>
        <v>0</v>
      </c>
      <c r="BO40" s="17">
        <f>SUMIFS('Pasted Bridges'!$G:$G,'Pasted Bridges'!$B:$B,$C40,'Pasted Bridges'!$F:$F,BO$5)</f>
        <v>0</v>
      </c>
      <c r="BP40" s="17">
        <f>SUMIFS('Pasted Bridges'!$G:$G,'Pasted Bridges'!$B:$B,$C40,'Pasted Bridges'!$F:$F,BP$5)</f>
        <v>0</v>
      </c>
      <c r="BQ40" s="17">
        <f>SUMIFS('Pasted Bridges'!$G:$G,'Pasted Bridges'!$B:$B,$C40,'Pasted Bridges'!$F:$F,BQ$5)</f>
        <v>0</v>
      </c>
      <c r="BR40" s="17">
        <f>SUMIFS('Pasted Bridges'!$G:$G,'Pasted Bridges'!$B:$B,$C40,'Pasted Bridges'!$F:$F,BR$5)</f>
        <v>0</v>
      </c>
      <c r="BS40" s="17">
        <f>SUMIFS('Pasted Bridges'!$G:$G,'Pasted Bridges'!$B:$B,$C40,'Pasted Bridges'!$F:$F,BS$5)</f>
        <v>0</v>
      </c>
      <c r="BT40" s="17">
        <f>SUMIFS('Pasted Bridges'!$G:$G,'Pasted Bridges'!$B:$B,$C40,'Pasted Bridges'!$F:$F,BT$5)</f>
        <v>0</v>
      </c>
      <c r="BU40" s="17">
        <f>SUMIFS('Pasted Bridges'!$G:$G,'Pasted Bridges'!$B:$B,$C40,'Pasted Bridges'!$F:$F,BU$5)</f>
        <v>0</v>
      </c>
      <c r="BV40" s="17">
        <f>SUMIFS('Pasted Bridges'!$G:$G,'Pasted Bridges'!$B:$B,$C40,'Pasted Bridges'!$F:$F,BV$5)</f>
        <v>0</v>
      </c>
      <c r="BW40" s="17">
        <f>SUMIFS('Pasted Bridges'!$G:$G,'Pasted Bridges'!$B:$B,$C40,'Pasted Bridges'!$F:$F,BW$5)</f>
        <v>0</v>
      </c>
      <c r="BX40" s="17">
        <f>SUMIFS('Pasted Bridges'!$G:$G,'Pasted Bridges'!$B:$B,$C40,'Pasted Bridges'!$F:$F,BX$5)</f>
        <v>0</v>
      </c>
      <c r="BY40" s="17">
        <f>SUMIFS('Pasted Bridges'!$G:$G,'Pasted Bridges'!$B:$B,$C40,'Pasted Bridges'!$F:$F,BY$5)</f>
        <v>0</v>
      </c>
      <c r="BZ40" s="17">
        <f>SUMIFS('Pasted Bridges'!$G:$G,'Pasted Bridges'!$B:$B,$C40,'Pasted Bridges'!$F:$F,BZ$5)</f>
        <v>0</v>
      </c>
      <c r="CA40" s="17">
        <f>SUMIFS('Pasted Bridges'!$G:$G,'Pasted Bridges'!$B:$B,$C40,'Pasted Bridges'!$F:$F,CA$5)</f>
        <v>0</v>
      </c>
      <c r="CB40" s="17">
        <f>SUMIFS('Pasted Bridges'!$G:$G,'Pasted Bridges'!$B:$B,$C40,'Pasted Bridges'!$F:$F,CB$5)</f>
        <v>0</v>
      </c>
      <c r="CC40" s="17">
        <f>SUMIFS('Pasted Bridges'!$G:$G,'Pasted Bridges'!$B:$B,$C40,'Pasted Bridges'!$F:$F,CC$5)</f>
        <v>0</v>
      </c>
      <c r="CD40" s="17">
        <f>SUMIFS('Pasted Bridges'!$G:$G,'Pasted Bridges'!$B:$B,$C40,'Pasted Bridges'!$F:$F,CD$5)</f>
        <v>0</v>
      </c>
      <c r="CE40" s="17">
        <f>SUMIFS('Pasted Bridges'!$G:$G,'Pasted Bridges'!$B:$B,$C40,'Pasted Bridges'!$F:$F,CE$5)</f>
        <v>0</v>
      </c>
      <c r="CF40" s="17">
        <f>SUMIFS('Pasted Bridges'!$G:$G,'Pasted Bridges'!$B:$B,$C40,'Pasted Bridges'!$F:$F,CF$5)</f>
        <v>0</v>
      </c>
      <c r="CG40" s="17">
        <f>SUMIFS('Pasted Bridges'!$G:$G,'Pasted Bridges'!$B:$B,$C40,'Pasted Bridges'!$F:$F,CG$5)</f>
        <v>0</v>
      </c>
      <c r="CH40" s="17">
        <f>SUMIFS('Pasted Bridges'!$G:$G,'Pasted Bridges'!$B:$B,$C40,'Pasted Bridges'!$F:$F,CH$5)</f>
        <v>0</v>
      </c>
      <c r="CI40" s="17">
        <f>SUMIFS('Pasted Bridges'!$G:$G,'Pasted Bridges'!$B:$B,$C40,'Pasted Bridges'!$F:$F,CI$5)</f>
        <v>0</v>
      </c>
      <c r="CJ40" s="17">
        <f>SUMIFS('Pasted Bridges'!$G:$G,'Pasted Bridges'!$B:$B,$C40,'Pasted Bridges'!$F:$F,CJ$5)</f>
        <v>0</v>
      </c>
      <c r="CK40" s="17">
        <f>SUMIFS('Pasted Bridges'!$G:$G,'Pasted Bridges'!$B:$B,$C40,'Pasted Bridges'!$F:$F,CK$5)</f>
        <v>0</v>
      </c>
      <c r="CL40" s="17">
        <f>SUMIFS('Pasted Bridges'!$G:$G,'Pasted Bridges'!$B:$B,$C40,'Pasted Bridges'!$F:$F,CL$5)</f>
        <v>0</v>
      </c>
      <c r="CM40" s="17">
        <f>SUMIFS('Pasted Bridges'!$G:$G,'Pasted Bridges'!$B:$B,$C40,'Pasted Bridges'!$F:$F,CM$5)</f>
        <v>0</v>
      </c>
      <c r="CN40" s="17">
        <f>SUMIFS('Pasted Bridges'!$G:$G,'Pasted Bridges'!$B:$B,$C40,'Pasted Bridges'!$F:$F,CN$5)</f>
        <v>0</v>
      </c>
      <c r="CO40" s="17">
        <f>SUMIFS('Pasted Bridges'!$G:$G,'Pasted Bridges'!$B:$B,$C40,'Pasted Bridges'!$F:$F,CO$5)</f>
        <v>0</v>
      </c>
      <c r="CP40" s="17">
        <f>SUMIFS('Pasted Bridges'!$G:$G,'Pasted Bridges'!$B:$B,$C40,'Pasted Bridges'!$F:$F,CP$5)</f>
        <v>0</v>
      </c>
      <c r="CQ40" s="17">
        <f>SUMIFS('Pasted Bridges'!$G:$G,'Pasted Bridges'!$B:$B,$C40,'Pasted Bridges'!$F:$F,CQ$5)</f>
        <v>0</v>
      </c>
      <c r="CR40" s="17">
        <f>SUMIFS('Pasted Bridges'!$G:$G,'Pasted Bridges'!$B:$B,$C40,'Pasted Bridges'!$F:$F,CR$5)</f>
        <v>0</v>
      </c>
      <c r="CS40" s="17">
        <f>SUMIFS('Pasted Bridges'!$G:$G,'Pasted Bridges'!$B:$B,$C40,'Pasted Bridges'!$F:$F,CS$5)</f>
        <v>0</v>
      </c>
      <c r="CT40" s="17">
        <f>SUMIFS('Pasted Bridges'!$G:$G,'Pasted Bridges'!$B:$B,$C40,'Pasted Bridges'!$F:$F,CT$5)</f>
        <v>0</v>
      </c>
      <c r="CU40" s="17">
        <f>SUMIFS('Pasted Bridges'!$G:$G,'Pasted Bridges'!$B:$B,$C40,'Pasted Bridges'!$F:$F,CU$5)</f>
        <v>0</v>
      </c>
      <c r="CV40" s="17">
        <f>SUMIFS('Pasted Bridges'!$G:$G,'Pasted Bridges'!$B:$B,$C40,'Pasted Bridges'!$F:$F,CV$5)</f>
        <v>0</v>
      </c>
      <c r="CW40" s="17">
        <f>SUMIFS('Pasted Bridges'!$G:$G,'Pasted Bridges'!$B:$B,$C40,'Pasted Bridges'!$F:$F,CW$5)</f>
        <v>0</v>
      </c>
      <c r="CX40" s="17">
        <f>SUMIFS('Pasted Bridges'!$G:$G,'Pasted Bridges'!$B:$B,$C40,'Pasted Bridges'!$F:$F,CX$5)</f>
        <v>0</v>
      </c>
      <c r="CY40" s="17">
        <f>SUMIFS('Pasted Bridges'!$G:$G,'Pasted Bridges'!$B:$B,$C40,'Pasted Bridges'!$F:$F,CY$5)</f>
        <v>0</v>
      </c>
      <c r="CZ40" s="17">
        <f>SUMIFS('Pasted Bridges'!$G:$G,'Pasted Bridges'!$B:$B,$C40,'Pasted Bridges'!$F:$F,CZ$5)</f>
        <v>0</v>
      </c>
      <c r="DA40" s="17">
        <f>SUMIFS('Pasted Bridges'!$G:$G,'Pasted Bridges'!$B:$B,$C40,'Pasted Bridges'!$F:$F,DA$5)</f>
        <v>0</v>
      </c>
    </row>
    <row r="41" spans="2:105" s="1" customFormat="1" x14ac:dyDescent="0.25">
      <c r="B41" s="71"/>
      <c r="C41" s="19" t="s">
        <v>29</v>
      </c>
      <c r="D41" s="19" t="s">
        <v>189</v>
      </c>
      <c r="E41" s="13" t="s">
        <v>199</v>
      </c>
      <c r="F41" s="2">
        <v>36</v>
      </c>
      <c r="G41" s="5">
        <v>0.24</v>
      </c>
      <c r="H41" s="2" t="s">
        <v>42</v>
      </c>
      <c r="I41" s="2">
        <v>0.08</v>
      </c>
      <c r="J41" s="3"/>
      <c r="K41" s="17">
        <f>SUMIFS('Pasted Bridges'!$G:$G,'Pasted Bridges'!$B:$B,$C41,'Pasted Bridges'!$F:$F,K$5)</f>
        <v>0</v>
      </c>
      <c r="L41" s="17">
        <f>SUMIFS('Pasted Bridges'!$G:$G,'Pasted Bridges'!$B:$B,$C41,'Pasted Bridges'!$F:$F,L$5)</f>
        <v>0</v>
      </c>
      <c r="M41" s="17">
        <f>SUMIFS('Pasted Bridges'!$G:$G,'Pasted Bridges'!$B:$B,$C41,'Pasted Bridges'!$F:$F,M$5)</f>
        <v>0</v>
      </c>
      <c r="N41" s="17">
        <f>SUMIFS('Pasted Bridges'!$G:$G,'Pasted Bridges'!$B:$B,$C41,'Pasted Bridges'!$F:$F,N$5)</f>
        <v>0</v>
      </c>
      <c r="O41" s="17">
        <f>SUMIFS('Pasted Bridges'!$G:$G,'Pasted Bridges'!$B:$B,$C41,'Pasted Bridges'!$F:$F,O$5)</f>
        <v>0</v>
      </c>
      <c r="P41" s="17">
        <f>SUMIFS('Pasted Bridges'!$G:$G,'Pasted Bridges'!$B:$B,$C41,'Pasted Bridges'!$F:$F,P$5)</f>
        <v>0</v>
      </c>
      <c r="Q41" s="17">
        <f>SUMIFS('Pasted Bridges'!$G:$G,'Pasted Bridges'!$B:$B,$C41,'Pasted Bridges'!$F:$F,Q$5)</f>
        <v>0</v>
      </c>
      <c r="R41" s="17">
        <f>SUMIFS('Pasted Bridges'!$G:$G,'Pasted Bridges'!$B:$B,$C41,'Pasted Bridges'!$F:$F,R$5)</f>
        <v>0</v>
      </c>
      <c r="S41" s="17">
        <f>SUMIFS('Pasted Bridges'!$G:$G,'Pasted Bridges'!$B:$B,$C41,'Pasted Bridges'!$F:$F,S$5)</f>
        <v>0</v>
      </c>
      <c r="T41" s="17">
        <f>SUMIFS('Pasted Bridges'!$G:$G,'Pasted Bridges'!$B:$B,$C41,'Pasted Bridges'!$F:$F,T$5)</f>
        <v>0</v>
      </c>
      <c r="U41" s="17">
        <f>SUMIFS('Pasted Bridges'!$G:$G,'Pasted Bridges'!$B:$B,$C41,'Pasted Bridges'!$F:$F,U$5)</f>
        <v>0</v>
      </c>
      <c r="V41" s="17">
        <f>SUMIFS('Pasted Bridges'!$G:$G,'Pasted Bridges'!$B:$B,$C41,'Pasted Bridges'!$F:$F,V$5)</f>
        <v>0</v>
      </c>
      <c r="W41" s="17">
        <f>SUMIFS('Pasted Bridges'!$G:$G,'Pasted Bridges'!$B:$B,$C41,'Pasted Bridges'!$F:$F,W$5)</f>
        <v>0</v>
      </c>
      <c r="X41" s="17">
        <f>SUMIFS('Pasted Bridges'!$G:$G,'Pasted Bridges'!$B:$B,$C41,'Pasted Bridges'!$F:$F,X$5)</f>
        <v>0</v>
      </c>
      <c r="Y41" s="17">
        <f>SUMIFS('Pasted Bridges'!$G:$G,'Pasted Bridges'!$B:$B,$C41,'Pasted Bridges'!$F:$F,Y$5)</f>
        <v>0</v>
      </c>
      <c r="Z41" s="17">
        <f>SUMIFS('Pasted Bridges'!$G:$G,'Pasted Bridges'!$B:$B,$C41,'Pasted Bridges'!$F:$F,Z$5)</f>
        <v>0</v>
      </c>
      <c r="AA41" s="17">
        <f>SUMIFS('Pasted Bridges'!$G:$G,'Pasted Bridges'!$B:$B,$C41,'Pasted Bridges'!$F:$F,AA$5)</f>
        <v>0</v>
      </c>
      <c r="AB41" s="17">
        <f>SUMIFS('Pasted Bridges'!$G:$G,'Pasted Bridges'!$B:$B,$C41,'Pasted Bridges'!$F:$F,AB$5)</f>
        <v>0</v>
      </c>
      <c r="AC41" s="17">
        <f>SUMIFS('Pasted Bridges'!$G:$G,'Pasted Bridges'!$B:$B,$C41,'Pasted Bridges'!$F:$F,AC$5)</f>
        <v>0</v>
      </c>
      <c r="AD41" s="17">
        <f>SUMIFS('Pasted Bridges'!$G:$G,'Pasted Bridges'!$B:$B,$C41,'Pasted Bridges'!$F:$F,AD$5)</f>
        <v>0</v>
      </c>
      <c r="AE41" s="17">
        <f>SUMIFS('Pasted Bridges'!$G:$G,'Pasted Bridges'!$B:$B,$C41,'Pasted Bridges'!$F:$F,AE$5)</f>
        <v>0</v>
      </c>
      <c r="AF41" s="17">
        <f>SUMIFS('Pasted Bridges'!$G:$G,'Pasted Bridges'!$B:$B,$C41,'Pasted Bridges'!$F:$F,AF$5)</f>
        <v>0</v>
      </c>
      <c r="AG41" s="17">
        <f>SUMIFS('Pasted Bridges'!$G:$G,'Pasted Bridges'!$B:$B,$C41,'Pasted Bridges'!$F:$F,AG$5)</f>
        <v>0</v>
      </c>
      <c r="AH41" s="17">
        <f>SUMIFS('Pasted Bridges'!$G:$G,'Pasted Bridges'!$B:$B,$C41,'Pasted Bridges'!$F:$F,AH$5)</f>
        <v>0</v>
      </c>
      <c r="AI41" s="17">
        <f>SUMIFS('Pasted Bridges'!$G:$G,'Pasted Bridges'!$B:$B,$C41,'Pasted Bridges'!$F:$F,AI$5)</f>
        <v>0</v>
      </c>
      <c r="AJ41" s="17">
        <f>SUMIFS('Pasted Bridges'!$G:$G,'Pasted Bridges'!$B:$B,$C41,'Pasted Bridges'!$F:$F,AJ$5)</f>
        <v>0</v>
      </c>
      <c r="AK41" s="17">
        <f>SUMIFS('Pasted Bridges'!$G:$G,'Pasted Bridges'!$B:$B,$C41,'Pasted Bridges'!$F:$F,AK$5)</f>
        <v>0</v>
      </c>
      <c r="AL41" s="17">
        <f>SUMIFS('Pasted Bridges'!$G:$G,'Pasted Bridges'!$B:$B,$C41,'Pasted Bridges'!$F:$F,AL$5)</f>
        <v>0</v>
      </c>
      <c r="AM41" s="17">
        <f>SUMIFS('Pasted Bridges'!$G:$G,'Pasted Bridges'!$B:$B,$C41,'Pasted Bridges'!$F:$F,AM$5)</f>
        <v>0</v>
      </c>
      <c r="AN41" s="17">
        <f>SUMIFS('Pasted Bridges'!$G:$G,'Pasted Bridges'!$B:$B,$C41,'Pasted Bridges'!$F:$F,AN$5)</f>
        <v>0</v>
      </c>
      <c r="AO41" s="17">
        <f>SUMIFS('Pasted Bridges'!$G:$G,'Pasted Bridges'!$B:$B,$C41,'Pasted Bridges'!$F:$F,AO$5)</f>
        <v>0</v>
      </c>
      <c r="AP41" s="17">
        <f>SUMIFS('Pasted Bridges'!$G:$G,'Pasted Bridges'!$B:$B,$C41,'Pasted Bridges'!$F:$F,AP$5)</f>
        <v>0</v>
      </c>
      <c r="AQ41" s="17">
        <f>SUMIFS('Pasted Bridges'!$G:$G,'Pasted Bridges'!$B:$B,$C41,'Pasted Bridges'!$F:$F,AQ$5)</f>
        <v>0</v>
      </c>
      <c r="AR41" s="17">
        <f>SUMIFS('Pasted Bridges'!$G:$G,'Pasted Bridges'!$B:$B,$C41,'Pasted Bridges'!$F:$F,AR$5)</f>
        <v>0</v>
      </c>
      <c r="AS41" s="17">
        <f>SUMIFS('Pasted Bridges'!$G:$G,'Pasted Bridges'!$B:$B,$C41,'Pasted Bridges'!$F:$F,AS$5)</f>
        <v>0</v>
      </c>
      <c r="AT41" s="17">
        <f>SUMIFS('Pasted Bridges'!$G:$G,'Pasted Bridges'!$B:$B,$C41,'Pasted Bridges'!$F:$F,AT$5)</f>
        <v>0</v>
      </c>
      <c r="AU41" s="17">
        <f>SUMIFS('Pasted Bridges'!$G:$G,'Pasted Bridges'!$B:$B,$C41,'Pasted Bridges'!$F:$F,AU$5)</f>
        <v>0</v>
      </c>
      <c r="AV41" s="17">
        <f>SUMIFS('Pasted Bridges'!$G:$G,'Pasted Bridges'!$B:$B,$C41,'Pasted Bridges'!$F:$F,AV$5)</f>
        <v>0</v>
      </c>
      <c r="AW41" s="17">
        <f>SUMIFS('Pasted Bridges'!$G:$G,'Pasted Bridges'!$B:$B,$C41,'Pasted Bridges'!$F:$F,AW$5)</f>
        <v>0</v>
      </c>
      <c r="AX41" s="17">
        <f>SUMIFS('Pasted Bridges'!$G:$G,'Pasted Bridges'!$B:$B,$C41,'Pasted Bridges'!$F:$F,AX$5)</f>
        <v>0</v>
      </c>
      <c r="AY41" s="17">
        <f>SUMIFS('Pasted Bridges'!$G:$G,'Pasted Bridges'!$B:$B,$C41,'Pasted Bridges'!$F:$F,AY$5)</f>
        <v>0</v>
      </c>
      <c r="AZ41" s="17">
        <f>SUMIFS('Pasted Bridges'!$G:$G,'Pasted Bridges'!$B:$B,$C41,'Pasted Bridges'!$F:$F,AZ$5)</f>
        <v>0</v>
      </c>
      <c r="BA41" s="17">
        <f>SUMIFS('Pasted Bridges'!$G:$G,'Pasted Bridges'!$B:$B,$C41,'Pasted Bridges'!$F:$F,BA$5)</f>
        <v>0</v>
      </c>
      <c r="BB41" s="17">
        <f>SUMIFS('Pasted Bridges'!$G:$G,'Pasted Bridges'!$B:$B,$C41,'Pasted Bridges'!$F:$F,BB$5)</f>
        <v>0</v>
      </c>
      <c r="BC41" s="17">
        <f>SUMIFS('Pasted Bridges'!$G:$G,'Pasted Bridges'!$B:$B,$C41,'Pasted Bridges'!$F:$F,BC$5)</f>
        <v>0</v>
      </c>
      <c r="BD41" s="17">
        <f>SUMIFS('Pasted Bridges'!$G:$G,'Pasted Bridges'!$B:$B,$C41,'Pasted Bridges'!$F:$F,BD$5)</f>
        <v>0</v>
      </c>
      <c r="BE41" s="17">
        <f>SUMIFS('Pasted Bridges'!$G:$G,'Pasted Bridges'!$B:$B,$C41,'Pasted Bridges'!$F:$F,BE$5)</f>
        <v>0</v>
      </c>
      <c r="BF41" s="17">
        <f>SUMIFS('Pasted Bridges'!$G:$G,'Pasted Bridges'!$B:$B,$C41,'Pasted Bridges'!$F:$F,BF$5)</f>
        <v>0</v>
      </c>
      <c r="BG41" s="17">
        <f>SUMIFS('Pasted Bridges'!$G:$G,'Pasted Bridges'!$B:$B,$C41,'Pasted Bridges'!$F:$F,BG$5)</f>
        <v>0</v>
      </c>
      <c r="BH41" s="17">
        <f>SUMIFS('Pasted Bridges'!$G:$G,'Pasted Bridges'!$B:$B,$C41,'Pasted Bridges'!$F:$F,BH$5)</f>
        <v>0</v>
      </c>
      <c r="BI41" s="17">
        <f>SUMIFS('Pasted Bridges'!$G:$G,'Pasted Bridges'!$B:$B,$C41,'Pasted Bridges'!$F:$F,BI$5)</f>
        <v>0</v>
      </c>
      <c r="BJ41" s="17">
        <f>SUMIFS('Pasted Bridges'!$G:$G,'Pasted Bridges'!$B:$B,$C41,'Pasted Bridges'!$F:$F,BJ$5)</f>
        <v>0</v>
      </c>
      <c r="BK41" s="17">
        <f>SUMIFS('Pasted Bridges'!$G:$G,'Pasted Bridges'!$B:$B,$C41,'Pasted Bridges'!$F:$F,BK$5)</f>
        <v>0</v>
      </c>
      <c r="BL41" s="17">
        <f>SUMIFS('Pasted Bridges'!$G:$G,'Pasted Bridges'!$B:$B,$C41,'Pasted Bridges'!$F:$F,BL$5)</f>
        <v>0</v>
      </c>
      <c r="BM41" s="17">
        <f>SUMIFS('Pasted Bridges'!$G:$G,'Pasted Bridges'!$B:$B,$C41,'Pasted Bridges'!$F:$F,BM$5)</f>
        <v>0</v>
      </c>
      <c r="BN41" s="17">
        <f>SUMIFS('Pasted Bridges'!$G:$G,'Pasted Bridges'!$B:$B,$C41,'Pasted Bridges'!$F:$F,BN$5)</f>
        <v>0</v>
      </c>
      <c r="BO41" s="17">
        <f>SUMIFS('Pasted Bridges'!$G:$G,'Pasted Bridges'!$B:$B,$C41,'Pasted Bridges'!$F:$F,BO$5)</f>
        <v>0</v>
      </c>
      <c r="BP41" s="17">
        <f>SUMIFS('Pasted Bridges'!$G:$G,'Pasted Bridges'!$B:$B,$C41,'Pasted Bridges'!$F:$F,BP$5)</f>
        <v>0</v>
      </c>
      <c r="BQ41" s="17">
        <f>SUMIFS('Pasted Bridges'!$G:$G,'Pasted Bridges'!$B:$B,$C41,'Pasted Bridges'!$F:$F,BQ$5)</f>
        <v>0</v>
      </c>
      <c r="BR41" s="17">
        <f>SUMIFS('Pasted Bridges'!$G:$G,'Pasted Bridges'!$B:$B,$C41,'Pasted Bridges'!$F:$F,BR$5)</f>
        <v>0</v>
      </c>
      <c r="BS41" s="17">
        <f>SUMIFS('Pasted Bridges'!$G:$G,'Pasted Bridges'!$B:$B,$C41,'Pasted Bridges'!$F:$F,BS$5)</f>
        <v>0</v>
      </c>
      <c r="BT41" s="17">
        <f>SUMIFS('Pasted Bridges'!$G:$G,'Pasted Bridges'!$B:$B,$C41,'Pasted Bridges'!$F:$F,BT$5)</f>
        <v>0</v>
      </c>
      <c r="BU41" s="17">
        <f>SUMIFS('Pasted Bridges'!$G:$G,'Pasted Bridges'!$B:$B,$C41,'Pasted Bridges'!$F:$F,BU$5)</f>
        <v>0</v>
      </c>
      <c r="BV41" s="17">
        <f>SUMIFS('Pasted Bridges'!$G:$G,'Pasted Bridges'!$B:$B,$C41,'Pasted Bridges'!$F:$F,BV$5)</f>
        <v>0</v>
      </c>
      <c r="BW41" s="17">
        <f>SUMIFS('Pasted Bridges'!$G:$G,'Pasted Bridges'!$B:$B,$C41,'Pasted Bridges'!$F:$F,BW$5)</f>
        <v>0</v>
      </c>
      <c r="BX41" s="17">
        <f>SUMIFS('Pasted Bridges'!$G:$G,'Pasted Bridges'!$B:$B,$C41,'Pasted Bridges'!$F:$F,BX$5)</f>
        <v>0</v>
      </c>
      <c r="BY41" s="17">
        <f>SUMIFS('Pasted Bridges'!$G:$G,'Pasted Bridges'!$B:$B,$C41,'Pasted Bridges'!$F:$F,BY$5)</f>
        <v>0</v>
      </c>
      <c r="BZ41" s="17">
        <f>SUMIFS('Pasted Bridges'!$G:$G,'Pasted Bridges'!$B:$B,$C41,'Pasted Bridges'!$F:$F,BZ$5)</f>
        <v>0</v>
      </c>
      <c r="CA41" s="17">
        <f>SUMIFS('Pasted Bridges'!$G:$G,'Pasted Bridges'!$B:$B,$C41,'Pasted Bridges'!$F:$F,CA$5)</f>
        <v>0</v>
      </c>
      <c r="CB41" s="17">
        <f>SUMIFS('Pasted Bridges'!$G:$G,'Pasted Bridges'!$B:$B,$C41,'Pasted Bridges'!$F:$F,CB$5)</f>
        <v>0</v>
      </c>
      <c r="CC41" s="17">
        <f>SUMIFS('Pasted Bridges'!$G:$G,'Pasted Bridges'!$B:$B,$C41,'Pasted Bridges'!$F:$F,CC$5)</f>
        <v>0</v>
      </c>
      <c r="CD41" s="17">
        <f>SUMIFS('Pasted Bridges'!$G:$G,'Pasted Bridges'!$B:$B,$C41,'Pasted Bridges'!$F:$F,CD$5)</f>
        <v>0</v>
      </c>
      <c r="CE41" s="17">
        <f>SUMIFS('Pasted Bridges'!$G:$G,'Pasted Bridges'!$B:$B,$C41,'Pasted Bridges'!$F:$F,CE$5)</f>
        <v>0</v>
      </c>
      <c r="CF41" s="17">
        <f>SUMIFS('Pasted Bridges'!$G:$G,'Pasted Bridges'!$B:$B,$C41,'Pasted Bridges'!$F:$F,CF$5)</f>
        <v>0</v>
      </c>
      <c r="CG41" s="17">
        <f>SUMIFS('Pasted Bridges'!$G:$G,'Pasted Bridges'!$B:$B,$C41,'Pasted Bridges'!$F:$F,CG$5)</f>
        <v>0</v>
      </c>
      <c r="CH41" s="17">
        <f>SUMIFS('Pasted Bridges'!$G:$G,'Pasted Bridges'!$B:$B,$C41,'Pasted Bridges'!$F:$F,CH$5)</f>
        <v>0</v>
      </c>
      <c r="CI41" s="17">
        <f>SUMIFS('Pasted Bridges'!$G:$G,'Pasted Bridges'!$B:$B,$C41,'Pasted Bridges'!$F:$F,CI$5)</f>
        <v>0</v>
      </c>
      <c r="CJ41" s="17">
        <f>SUMIFS('Pasted Bridges'!$G:$G,'Pasted Bridges'!$B:$B,$C41,'Pasted Bridges'!$F:$F,CJ$5)</f>
        <v>0</v>
      </c>
      <c r="CK41" s="17">
        <f>SUMIFS('Pasted Bridges'!$G:$G,'Pasted Bridges'!$B:$B,$C41,'Pasted Bridges'!$F:$F,CK$5)</f>
        <v>0</v>
      </c>
      <c r="CL41" s="17">
        <f>SUMIFS('Pasted Bridges'!$G:$G,'Pasted Bridges'!$B:$B,$C41,'Pasted Bridges'!$F:$F,CL$5)</f>
        <v>0</v>
      </c>
      <c r="CM41" s="17">
        <f>SUMIFS('Pasted Bridges'!$G:$G,'Pasted Bridges'!$B:$B,$C41,'Pasted Bridges'!$F:$F,CM$5)</f>
        <v>0</v>
      </c>
      <c r="CN41" s="17">
        <f>SUMIFS('Pasted Bridges'!$G:$G,'Pasted Bridges'!$B:$B,$C41,'Pasted Bridges'!$F:$F,CN$5)</f>
        <v>0</v>
      </c>
      <c r="CO41" s="17">
        <f>SUMIFS('Pasted Bridges'!$G:$G,'Pasted Bridges'!$B:$B,$C41,'Pasted Bridges'!$F:$F,CO$5)</f>
        <v>0</v>
      </c>
      <c r="CP41" s="17">
        <f>SUMIFS('Pasted Bridges'!$G:$G,'Pasted Bridges'!$B:$B,$C41,'Pasted Bridges'!$F:$F,CP$5)</f>
        <v>0</v>
      </c>
      <c r="CQ41" s="17">
        <f>SUMIFS('Pasted Bridges'!$G:$G,'Pasted Bridges'!$B:$B,$C41,'Pasted Bridges'!$F:$F,CQ$5)</f>
        <v>0</v>
      </c>
      <c r="CR41" s="17">
        <f>SUMIFS('Pasted Bridges'!$G:$G,'Pasted Bridges'!$B:$B,$C41,'Pasted Bridges'!$F:$F,CR$5)</f>
        <v>0</v>
      </c>
      <c r="CS41" s="17">
        <f>SUMIFS('Pasted Bridges'!$G:$G,'Pasted Bridges'!$B:$B,$C41,'Pasted Bridges'!$F:$F,CS$5)</f>
        <v>0</v>
      </c>
      <c r="CT41" s="17">
        <f>SUMIFS('Pasted Bridges'!$G:$G,'Pasted Bridges'!$B:$B,$C41,'Pasted Bridges'!$F:$F,CT$5)</f>
        <v>0</v>
      </c>
      <c r="CU41" s="17">
        <f>SUMIFS('Pasted Bridges'!$G:$G,'Pasted Bridges'!$B:$B,$C41,'Pasted Bridges'!$F:$F,CU$5)</f>
        <v>0</v>
      </c>
      <c r="CV41" s="17">
        <f>SUMIFS('Pasted Bridges'!$G:$G,'Pasted Bridges'!$B:$B,$C41,'Pasted Bridges'!$F:$F,CV$5)</f>
        <v>0</v>
      </c>
      <c r="CW41" s="17">
        <f>SUMIFS('Pasted Bridges'!$G:$G,'Pasted Bridges'!$B:$B,$C41,'Pasted Bridges'!$F:$F,CW$5)</f>
        <v>0</v>
      </c>
      <c r="CX41" s="17">
        <f>SUMIFS('Pasted Bridges'!$G:$G,'Pasted Bridges'!$B:$B,$C41,'Pasted Bridges'!$F:$F,CX$5)</f>
        <v>0</v>
      </c>
      <c r="CY41" s="17">
        <f>SUMIFS('Pasted Bridges'!$G:$G,'Pasted Bridges'!$B:$B,$C41,'Pasted Bridges'!$F:$F,CY$5)</f>
        <v>0</v>
      </c>
      <c r="CZ41" s="17">
        <f>SUMIFS('Pasted Bridges'!$G:$G,'Pasted Bridges'!$B:$B,$C41,'Pasted Bridges'!$F:$F,CZ$5)</f>
        <v>0</v>
      </c>
      <c r="DA41" s="17">
        <f>SUMIFS('Pasted Bridges'!$G:$G,'Pasted Bridges'!$B:$B,$C41,'Pasted Bridges'!$F:$F,DA$5)</f>
        <v>0</v>
      </c>
    </row>
    <row r="42" spans="2:105" s="1" customFormat="1" x14ac:dyDescent="0.25">
      <c r="B42" s="72"/>
      <c r="C42" s="19" t="s">
        <v>30</v>
      </c>
      <c r="D42" s="19" t="s">
        <v>190</v>
      </c>
      <c r="E42" s="13" t="s">
        <v>199</v>
      </c>
      <c r="F42" s="2">
        <v>37</v>
      </c>
      <c r="G42" s="5">
        <v>0.12</v>
      </c>
      <c r="H42" s="2" t="s">
        <v>42</v>
      </c>
      <c r="I42" s="2">
        <v>0.08</v>
      </c>
      <c r="J42" s="3"/>
      <c r="K42" s="17">
        <f>SUMIFS('Pasted Bridges'!$G:$G,'Pasted Bridges'!$B:$B,$C42,'Pasted Bridges'!$F:$F,K$5)</f>
        <v>0</v>
      </c>
      <c r="L42" s="17">
        <f>SUMIFS('Pasted Bridges'!$G:$G,'Pasted Bridges'!$B:$B,$C42,'Pasted Bridges'!$F:$F,L$5)</f>
        <v>0</v>
      </c>
      <c r="M42" s="17">
        <f>SUMIFS('Pasted Bridges'!$G:$G,'Pasted Bridges'!$B:$B,$C42,'Pasted Bridges'!$F:$F,M$5)</f>
        <v>0</v>
      </c>
      <c r="N42" s="17">
        <f>SUMIFS('Pasted Bridges'!$G:$G,'Pasted Bridges'!$B:$B,$C42,'Pasted Bridges'!$F:$F,N$5)</f>
        <v>0</v>
      </c>
      <c r="O42" s="17">
        <f>SUMIFS('Pasted Bridges'!$G:$G,'Pasted Bridges'!$B:$B,$C42,'Pasted Bridges'!$F:$F,O$5)</f>
        <v>0</v>
      </c>
      <c r="P42" s="17">
        <f>SUMIFS('Pasted Bridges'!$G:$G,'Pasted Bridges'!$B:$B,$C42,'Pasted Bridges'!$F:$F,P$5)</f>
        <v>0</v>
      </c>
      <c r="Q42" s="17">
        <f>SUMIFS('Pasted Bridges'!$G:$G,'Pasted Bridges'!$B:$B,$C42,'Pasted Bridges'!$F:$F,Q$5)</f>
        <v>0</v>
      </c>
      <c r="R42" s="17">
        <f>SUMIFS('Pasted Bridges'!$G:$G,'Pasted Bridges'!$B:$B,$C42,'Pasted Bridges'!$F:$F,R$5)</f>
        <v>0</v>
      </c>
      <c r="S42" s="17">
        <f>SUMIFS('Pasted Bridges'!$G:$G,'Pasted Bridges'!$B:$B,$C42,'Pasted Bridges'!$F:$F,S$5)</f>
        <v>0</v>
      </c>
      <c r="T42" s="17">
        <f>SUMIFS('Pasted Bridges'!$G:$G,'Pasted Bridges'!$B:$B,$C42,'Pasted Bridges'!$F:$F,T$5)</f>
        <v>0</v>
      </c>
      <c r="U42" s="17">
        <f>SUMIFS('Pasted Bridges'!$G:$G,'Pasted Bridges'!$B:$B,$C42,'Pasted Bridges'!$F:$F,U$5)</f>
        <v>0</v>
      </c>
      <c r="V42" s="17">
        <f>SUMIFS('Pasted Bridges'!$G:$G,'Pasted Bridges'!$B:$B,$C42,'Pasted Bridges'!$F:$F,V$5)</f>
        <v>0</v>
      </c>
      <c r="W42" s="17">
        <f>SUMIFS('Pasted Bridges'!$G:$G,'Pasted Bridges'!$B:$B,$C42,'Pasted Bridges'!$F:$F,W$5)</f>
        <v>0</v>
      </c>
      <c r="X42" s="17">
        <f>SUMIFS('Pasted Bridges'!$G:$G,'Pasted Bridges'!$B:$B,$C42,'Pasted Bridges'!$F:$F,X$5)</f>
        <v>0</v>
      </c>
      <c r="Y42" s="17">
        <f>SUMIFS('Pasted Bridges'!$G:$G,'Pasted Bridges'!$B:$B,$C42,'Pasted Bridges'!$F:$F,Y$5)</f>
        <v>0</v>
      </c>
      <c r="Z42" s="17">
        <f>SUMIFS('Pasted Bridges'!$G:$G,'Pasted Bridges'!$B:$B,$C42,'Pasted Bridges'!$F:$F,Z$5)</f>
        <v>0</v>
      </c>
      <c r="AA42" s="17">
        <f>SUMIFS('Pasted Bridges'!$G:$G,'Pasted Bridges'!$B:$B,$C42,'Pasted Bridges'!$F:$F,AA$5)</f>
        <v>0</v>
      </c>
      <c r="AB42" s="17">
        <f>SUMIFS('Pasted Bridges'!$G:$G,'Pasted Bridges'!$B:$B,$C42,'Pasted Bridges'!$F:$F,AB$5)</f>
        <v>0</v>
      </c>
      <c r="AC42" s="17">
        <f>SUMIFS('Pasted Bridges'!$G:$G,'Pasted Bridges'!$B:$B,$C42,'Pasted Bridges'!$F:$F,AC$5)</f>
        <v>0</v>
      </c>
      <c r="AD42" s="17">
        <f>SUMIFS('Pasted Bridges'!$G:$G,'Pasted Bridges'!$B:$B,$C42,'Pasted Bridges'!$F:$F,AD$5)</f>
        <v>0</v>
      </c>
      <c r="AE42" s="17">
        <f>SUMIFS('Pasted Bridges'!$G:$G,'Pasted Bridges'!$B:$B,$C42,'Pasted Bridges'!$F:$F,AE$5)</f>
        <v>0</v>
      </c>
      <c r="AF42" s="17">
        <f>SUMIFS('Pasted Bridges'!$G:$G,'Pasted Bridges'!$B:$B,$C42,'Pasted Bridges'!$F:$F,AF$5)</f>
        <v>0</v>
      </c>
      <c r="AG42" s="17">
        <f>SUMIFS('Pasted Bridges'!$G:$G,'Pasted Bridges'!$B:$B,$C42,'Pasted Bridges'!$F:$F,AG$5)</f>
        <v>0</v>
      </c>
      <c r="AH42" s="17">
        <f>SUMIFS('Pasted Bridges'!$G:$G,'Pasted Bridges'!$B:$B,$C42,'Pasted Bridges'!$F:$F,AH$5)</f>
        <v>0</v>
      </c>
      <c r="AI42" s="17">
        <f>SUMIFS('Pasted Bridges'!$G:$G,'Pasted Bridges'!$B:$B,$C42,'Pasted Bridges'!$F:$F,AI$5)</f>
        <v>0</v>
      </c>
      <c r="AJ42" s="17">
        <f>SUMIFS('Pasted Bridges'!$G:$G,'Pasted Bridges'!$B:$B,$C42,'Pasted Bridges'!$F:$F,AJ$5)</f>
        <v>0</v>
      </c>
      <c r="AK42" s="17">
        <f>SUMIFS('Pasted Bridges'!$G:$G,'Pasted Bridges'!$B:$B,$C42,'Pasted Bridges'!$F:$F,AK$5)</f>
        <v>0</v>
      </c>
      <c r="AL42" s="17">
        <f>SUMIFS('Pasted Bridges'!$G:$G,'Pasted Bridges'!$B:$B,$C42,'Pasted Bridges'!$F:$F,AL$5)</f>
        <v>0</v>
      </c>
      <c r="AM42" s="17">
        <f>SUMIFS('Pasted Bridges'!$G:$G,'Pasted Bridges'!$B:$B,$C42,'Pasted Bridges'!$F:$F,AM$5)</f>
        <v>0</v>
      </c>
      <c r="AN42" s="17">
        <f>SUMIFS('Pasted Bridges'!$G:$G,'Pasted Bridges'!$B:$B,$C42,'Pasted Bridges'!$F:$F,AN$5)</f>
        <v>0</v>
      </c>
      <c r="AO42" s="17">
        <f>SUMIFS('Pasted Bridges'!$G:$G,'Pasted Bridges'!$B:$B,$C42,'Pasted Bridges'!$F:$F,AO$5)</f>
        <v>0</v>
      </c>
      <c r="AP42" s="17">
        <f>SUMIFS('Pasted Bridges'!$G:$G,'Pasted Bridges'!$B:$B,$C42,'Pasted Bridges'!$F:$F,AP$5)</f>
        <v>0</v>
      </c>
      <c r="AQ42" s="17">
        <f>SUMIFS('Pasted Bridges'!$G:$G,'Pasted Bridges'!$B:$B,$C42,'Pasted Bridges'!$F:$F,AQ$5)</f>
        <v>0</v>
      </c>
      <c r="AR42" s="17">
        <f>SUMIFS('Pasted Bridges'!$G:$G,'Pasted Bridges'!$B:$B,$C42,'Pasted Bridges'!$F:$F,AR$5)</f>
        <v>0</v>
      </c>
      <c r="AS42" s="17">
        <f>SUMIFS('Pasted Bridges'!$G:$G,'Pasted Bridges'!$B:$B,$C42,'Pasted Bridges'!$F:$F,AS$5)</f>
        <v>0</v>
      </c>
      <c r="AT42" s="17">
        <f>SUMIFS('Pasted Bridges'!$G:$G,'Pasted Bridges'!$B:$B,$C42,'Pasted Bridges'!$F:$F,AT$5)</f>
        <v>0</v>
      </c>
      <c r="AU42" s="17">
        <f>SUMIFS('Pasted Bridges'!$G:$G,'Pasted Bridges'!$B:$B,$C42,'Pasted Bridges'!$F:$F,AU$5)</f>
        <v>0</v>
      </c>
      <c r="AV42" s="17">
        <f>SUMIFS('Pasted Bridges'!$G:$G,'Pasted Bridges'!$B:$B,$C42,'Pasted Bridges'!$F:$F,AV$5)</f>
        <v>0</v>
      </c>
      <c r="AW42" s="17">
        <f>SUMIFS('Pasted Bridges'!$G:$G,'Pasted Bridges'!$B:$B,$C42,'Pasted Bridges'!$F:$F,AW$5)</f>
        <v>0</v>
      </c>
      <c r="AX42" s="17">
        <f>SUMIFS('Pasted Bridges'!$G:$G,'Pasted Bridges'!$B:$B,$C42,'Pasted Bridges'!$F:$F,AX$5)</f>
        <v>0</v>
      </c>
      <c r="AY42" s="17">
        <f>SUMIFS('Pasted Bridges'!$G:$G,'Pasted Bridges'!$B:$B,$C42,'Pasted Bridges'!$F:$F,AY$5)</f>
        <v>0</v>
      </c>
      <c r="AZ42" s="17">
        <f>SUMIFS('Pasted Bridges'!$G:$G,'Pasted Bridges'!$B:$B,$C42,'Pasted Bridges'!$F:$F,AZ$5)</f>
        <v>0</v>
      </c>
      <c r="BA42" s="17">
        <f>SUMIFS('Pasted Bridges'!$G:$G,'Pasted Bridges'!$B:$B,$C42,'Pasted Bridges'!$F:$F,BA$5)</f>
        <v>0</v>
      </c>
      <c r="BB42" s="17">
        <f>SUMIFS('Pasted Bridges'!$G:$G,'Pasted Bridges'!$B:$B,$C42,'Pasted Bridges'!$F:$F,BB$5)</f>
        <v>0</v>
      </c>
      <c r="BC42" s="17">
        <f>SUMIFS('Pasted Bridges'!$G:$G,'Pasted Bridges'!$B:$B,$C42,'Pasted Bridges'!$F:$F,BC$5)</f>
        <v>0</v>
      </c>
      <c r="BD42" s="17">
        <f>SUMIFS('Pasted Bridges'!$G:$G,'Pasted Bridges'!$B:$B,$C42,'Pasted Bridges'!$F:$F,BD$5)</f>
        <v>0</v>
      </c>
      <c r="BE42" s="17">
        <f>SUMIFS('Pasted Bridges'!$G:$G,'Pasted Bridges'!$B:$B,$C42,'Pasted Bridges'!$F:$F,BE$5)</f>
        <v>0</v>
      </c>
      <c r="BF42" s="17">
        <f>SUMIFS('Pasted Bridges'!$G:$G,'Pasted Bridges'!$B:$B,$C42,'Pasted Bridges'!$F:$F,BF$5)</f>
        <v>0</v>
      </c>
      <c r="BG42" s="17">
        <f>SUMIFS('Pasted Bridges'!$G:$G,'Pasted Bridges'!$B:$B,$C42,'Pasted Bridges'!$F:$F,BG$5)</f>
        <v>0</v>
      </c>
      <c r="BH42" s="17">
        <f>SUMIFS('Pasted Bridges'!$G:$G,'Pasted Bridges'!$B:$B,$C42,'Pasted Bridges'!$F:$F,BH$5)</f>
        <v>0</v>
      </c>
      <c r="BI42" s="17">
        <f>SUMIFS('Pasted Bridges'!$G:$G,'Pasted Bridges'!$B:$B,$C42,'Pasted Bridges'!$F:$F,BI$5)</f>
        <v>0</v>
      </c>
      <c r="BJ42" s="17">
        <f>SUMIFS('Pasted Bridges'!$G:$G,'Pasted Bridges'!$B:$B,$C42,'Pasted Bridges'!$F:$F,BJ$5)</f>
        <v>0</v>
      </c>
      <c r="BK42" s="17">
        <f>SUMIFS('Pasted Bridges'!$G:$G,'Pasted Bridges'!$B:$B,$C42,'Pasted Bridges'!$F:$F,BK$5)</f>
        <v>0</v>
      </c>
      <c r="BL42" s="17">
        <f>SUMIFS('Pasted Bridges'!$G:$G,'Pasted Bridges'!$B:$B,$C42,'Pasted Bridges'!$F:$F,BL$5)</f>
        <v>0</v>
      </c>
      <c r="BM42" s="17">
        <f>SUMIFS('Pasted Bridges'!$G:$G,'Pasted Bridges'!$B:$B,$C42,'Pasted Bridges'!$F:$F,BM$5)</f>
        <v>0</v>
      </c>
      <c r="BN42" s="17">
        <f>SUMIFS('Pasted Bridges'!$G:$G,'Pasted Bridges'!$B:$B,$C42,'Pasted Bridges'!$F:$F,BN$5)</f>
        <v>0</v>
      </c>
      <c r="BO42" s="17">
        <f>SUMIFS('Pasted Bridges'!$G:$G,'Pasted Bridges'!$B:$B,$C42,'Pasted Bridges'!$F:$F,BO$5)</f>
        <v>0</v>
      </c>
      <c r="BP42" s="17">
        <f>SUMIFS('Pasted Bridges'!$G:$G,'Pasted Bridges'!$B:$B,$C42,'Pasted Bridges'!$F:$F,BP$5)</f>
        <v>0</v>
      </c>
      <c r="BQ42" s="17">
        <f>SUMIFS('Pasted Bridges'!$G:$G,'Pasted Bridges'!$B:$B,$C42,'Pasted Bridges'!$F:$F,BQ$5)</f>
        <v>0</v>
      </c>
      <c r="BR42" s="17">
        <f>SUMIFS('Pasted Bridges'!$G:$G,'Pasted Bridges'!$B:$B,$C42,'Pasted Bridges'!$F:$F,BR$5)</f>
        <v>0</v>
      </c>
      <c r="BS42" s="17">
        <f>SUMIFS('Pasted Bridges'!$G:$G,'Pasted Bridges'!$B:$B,$C42,'Pasted Bridges'!$F:$F,BS$5)</f>
        <v>0</v>
      </c>
      <c r="BT42" s="17">
        <f>SUMIFS('Pasted Bridges'!$G:$G,'Pasted Bridges'!$B:$B,$C42,'Pasted Bridges'!$F:$F,BT$5)</f>
        <v>0</v>
      </c>
      <c r="BU42" s="17">
        <f>SUMIFS('Pasted Bridges'!$G:$G,'Pasted Bridges'!$B:$B,$C42,'Pasted Bridges'!$F:$F,BU$5)</f>
        <v>0</v>
      </c>
      <c r="BV42" s="17">
        <f>SUMIFS('Pasted Bridges'!$G:$G,'Pasted Bridges'!$B:$B,$C42,'Pasted Bridges'!$F:$F,BV$5)</f>
        <v>0</v>
      </c>
      <c r="BW42" s="17">
        <f>SUMIFS('Pasted Bridges'!$G:$G,'Pasted Bridges'!$B:$B,$C42,'Pasted Bridges'!$F:$F,BW$5)</f>
        <v>0</v>
      </c>
      <c r="BX42" s="17">
        <f>SUMIFS('Pasted Bridges'!$G:$G,'Pasted Bridges'!$B:$B,$C42,'Pasted Bridges'!$F:$F,BX$5)</f>
        <v>0</v>
      </c>
      <c r="BY42" s="17">
        <f>SUMIFS('Pasted Bridges'!$G:$G,'Pasted Bridges'!$B:$B,$C42,'Pasted Bridges'!$F:$F,BY$5)</f>
        <v>0</v>
      </c>
      <c r="BZ42" s="17">
        <f>SUMIFS('Pasted Bridges'!$G:$G,'Pasted Bridges'!$B:$B,$C42,'Pasted Bridges'!$F:$F,BZ$5)</f>
        <v>0</v>
      </c>
      <c r="CA42" s="17">
        <f>SUMIFS('Pasted Bridges'!$G:$G,'Pasted Bridges'!$B:$B,$C42,'Pasted Bridges'!$F:$F,CA$5)</f>
        <v>0</v>
      </c>
      <c r="CB42" s="17">
        <f>SUMIFS('Pasted Bridges'!$G:$G,'Pasted Bridges'!$B:$B,$C42,'Pasted Bridges'!$F:$F,CB$5)</f>
        <v>0</v>
      </c>
      <c r="CC42" s="17">
        <f>SUMIFS('Pasted Bridges'!$G:$G,'Pasted Bridges'!$B:$B,$C42,'Pasted Bridges'!$F:$F,CC$5)</f>
        <v>0</v>
      </c>
      <c r="CD42" s="17">
        <f>SUMIFS('Pasted Bridges'!$G:$G,'Pasted Bridges'!$B:$B,$C42,'Pasted Bridges'!$F:$F,CD$5)</f>
        <v>0</v>
      </c>
      <c r="CE42" s="17">
        <f>SUMIFS('Pasted Bridges'!$G:$G,'Pasted Bridges'!$B:$B,$C42,'Pasted Bridges'!$F:$F,CE$5)</f>
        <v>0</v>
      </c>
      <c r="CF42" s="17">
        <f>SUMIFS('Pasted Bridges'!$G:$G,'Pasted Bridges'!$B:$B,$C42,'Pasted Bridges'!$F:$F,CF$5)</f>
        <v>0</v>
      </c>
      <c r="CG42" s="17">
        <f>SUMIFS('Pasted Bridges'!$G:$G,'Pasted Bridges'!$B:$B,$C42,'Pasted Bridges'!$F:$F,CG$5)</f>
        <v>0</v>
      </c>
      <c r="CH42" s="17">
        <f>SUMIFS('Pasted Bridges'!$G:$G,'Pasted Bridges'!$B:$B,$C42,'Pasted Bridges'!$F:$F,CH$5)</f>
        <v>0</v>
      </c>
      <c r="CI42" s="17">
        <f>SUMIFS('Pasted Bridges'!$G:$G,'Pasted Bridges'!$B:$B,$C42,'Pasted Bridges'!$F:$F,CI$5)</f>
        <v>0</v>
      </c>
      <c r="CJ42" s="17">
        <f>SUMIFS('Pasted Bridges'!$G:$G,'Pasted Bridges'!$B:$B,$C42,'Pasted Bridges'!$F:$F,CJ$5)</f>
        <v>0</v>
      </c>
      <c r="CK42" s="17">
        <f>SUMIFS('Pasted Bridges'!$G:$G,'Pasted Bridges'!$B:$B,$C42,'Pasted Bridges'!$F:$F,CK$5)</f>
        <v>0</v>
      </c>
      <c r="CL42" s="17">
        <f>SUMIFS('Pasted Bridges'!$G:$G,'Pasted Bridges'!$B:$B,$C42,'Pasted Bridges'!$F:$F,CL$5)</f>
        <v>0</v>
      </c>
      <c r="CM42" s="17">
        <f>SUMIFS('Pasted Bridges'!$G:$G,'Pasted Bridges'!$B:$B,$C42,'Pasted Bridges'!$F:$F,CM$5)</f>
        <v>0</v>
      </c>
      <c r="CN42" s="17">
        <f>SUMIFS('Pasted Bridges'!$G:$G,'Pasted Bridges'!$B:$B,$C42,'Pasted Bridges'!$F:$F,CN$5)</f>
        <v>0</v>
      </c>
      <c r="CO42" s="17">
        <f>SUMIFS('Pasted Bridges'!$G:$G,'Pasted Bridges'!$B:$B,$C42,'Pasted Bridges'!$F:$F,CO$5)</f>
        <v>0</v>
      </c>
      <c r="CP42" s="17">
        <f>SUMIFS('Pasted Bridges'!$G:$G,'Pasted Bridges'!$B:$B,$C42,'Pasted Bridges'!$F:$F,CP$5)</f>
        <v>0</v>
      </c>
      <c r="CQ42" s="17">
        <f>SUMIFS('Pasted Bridges'!$G:$G,'Pasted Bridges'!$B:$B,$C42,'Pasted Bridges'!$F:$F,CQ$5)</f>
        <v>0</v>
      </c>
      <c r="CR42" s="17">
        <f>SUMIFS('Pasted Bridges'!$G:$G,'Pasted Bridges'!$B:$B,$C42,'Pasted Bridges'!$F:$F,CR$5)</f>
        <v>0</v>
      </c>
      <c r="CS42" s="17">
        <f>SUMIFS('Pasted Bridges'!$G:$G,'Pasted Bridges'!$B:$B,$C42,'Pasted Bridges'!$F:$F,CS$5)</f>
        <v>0</v>
      </c>
      <c r="CT42" s="17">
        <f>SUMIFS('Pasted Bridges'!$G:$G,'Pasted Bridges'!$B:$B,$C42,'Pasted Bridges'!$F:$F,CT$5)</f>
        <v>0</v>
      </c>
      <c r="CU42" s="17">
        <f>SUMIFS('Pasted Bridges'!$G:$G,'Pasted Bridges'!$B:$B,$C42,'Pasted Bridges'!$F:$F,CU$5)</f>
        <v>0</v>
      </c>
      <c r="CV42" s="17">
        <f>SUMIFS('Pasted Bridges'!$G:$G,'Pasted Bridges'!$B:$B,$C42,'Pasted Bridges'!$F:$F,CV$5)</f>
        <v>0</v>
      </c>
      <c r="CW42" s="17">
        <f>SUMIFS('Pasted Bridges'!$G:$G,'Pasted Bridges'!$B:$B,$C42,'Pasted Bridges'!$F:$F,CW$5)</f>
        <v>0</v>
      </c>
      <c r="CX42" s="17">
        <f>SUMIFS('Pasted Bridges'!$G:$G,'Pasted Bridges'!$B:$B,$C42,'Pasted Bridges'!$F:$F,CX$5)</f>
        <v>0</v>
      </c>
      <c r="CY42" s="17">
        <f>SUMIFS('Pasted Bridges'!$G:$G,'Pasted Bridges'!$B:$B,$C42,'Pasted Bridges'!$F:$F,CY$5)</f>
        <v>0</v>
      </c>
      <c r="CZ42" s="17">
        <f>SUMIFS('Pasted Bridges'!$G:$G,'Pasted Bridges'!$B:$B,$C42,'Pasted Bridges'!$F:$F,CZ$5)</f>
        <v>0</v>
      </c>
      <c r="DA42" s="17">
        <f>SUMIFS('Pasted Bridges'!$G:$G,'Pasted Bridges'!$B:$B,$C42,'Pasted Bridges'!$F:$F,DA$5)</f>
        <v>0</v>
      </c>
    </row>
    <row r="43" spans="2:105" s="1" customFormat="1" x14ac:dyDescent="0.25">
      <c r="B43" s="73"/>
      <c r="C43" s="19" t="s">
        <v>31</v>
      </c>
      <c r="D43" s="19" t="s">
        <v>191</v>
      </c>
      <c r="E43" s="13" t="s">
        <v>199</v>
      </c>
      <c r="F43" s="2">
        <v>38</v>
      </c>
      <c r="G43" s="5">
        <v>0.12</v>
      </c>
      <c r="H43" s="2" t="s">
        <v>42</v>
      </c>
      <c r="I43" s="2">
        <v>0.04</v>
      </c>
      <c r="J43" s="3"/>
      <c r="K43" s="17">
        <f>SUMIFS('Pasted Bridges'!$G:$G,'Pasted Bridges'!$B:$B,$C43,'Pasted Bridges'!$F:$F,K$5)</f>
        <v>0</v>
      </c>
      <c r="L43" s="17">
        <f>SUMIFS('Pasted Bridges'!$G:$G,'Pasted Bridges'!$B:$B,$C43,'Pasted Bridges'!$F:$F,L$5)</f>
        <v>0</v>
      </c>
      <c r="M43" s="17">
        <f>SUMIFS('Pasted Bridges'!$G:$G,'Pasted Bridges'!$B:$B,$C43,'Pasted Bridges'!$F:$F,M$5)</f>
        <v>0</v>
      </c>
      <c r="N43" s="17">
        <f>SUMIFS('Pasted Bridges'!$G:$G,'Pasted Bridges'!$B:$B,$C43,'Pasted Bridges'!$F:$F,N$5)</f>
        <v>0</v>
      </c>
      <c r="O43" s="17">
        <f>SUMIFS('Pasted Bridges'!$G:$G,'Pasted Bridges'!$B:$B,$C43,'Pasted Bridges'!$F:$F,O$5)</f>
        <v>0</v>
      </c>
      <c r="P43" s="17">
        <f>SUMIFS('Pasted Bridges'!$G:$G,'Pasted Bridges'!$B:$B,$C43,'Pasted Bridges'!$F:$F,P$5)</f>
        <v>0</v>
      </c>
      <c r="Q43" s="17">
        <f>SUMIFS('Pasted Bridges'!$G:$G,'Pasted Bridges'!$B:$B,$C43,'Pasted Bridges'!$F:$F,Q$5)</f>
        <v>0</v>
      </c>
      <c r="R43" s="17">
        <f>SUMIFS('Pasted Bridges'!$G:$G,'Pasted Bridges'!$B:$B,$C43,'Pasted Bridges'!$F:$F,R$5)</f>
        <v>0</v>
      </c>
      <c r="S43" s="17">
        <f>SUMIFS('Pasted Bridges'!$G:$G,'Pasted Bridges'!$B:$B,$C43,'Pasted Bridges'!$F:$F,S$5)</f>
        <v>0</v>
      </c>
      <c r="T43" s="17">
        <f>SUMIFS('Pasted Bridges'!$G:$G,'Pasted Bridges'!$B:$B,$C43,'Pasted Bridges'!$F:$F,T$5)</f>
        <v>0</v>
      </c>
      <c r="U43" s="17">
        <f>SUMIFS('Pasted Bridges'!$G:$G,'Pasted Bridges'!$B:$B,$C43,'Pasted Bridges'!$F:$F,U$5)</f>
        <v>0</v>
      </c>
      <c r="V43" s="17">
        <f>SUMIFS('Pasted Bridges'!$G:$G,'Pasted Bridges'!$B:$B,$C43,'Pasted Bridges'!$F:$F,V$5)</f>
        <v>0</v>
      </c>
      <c r="W43" s="17">
        <f>SUMIFS('Pasted Bridges'!$G:$G,'Pasted Bridges'!$B:$B,$C43,'Pasted Bridges'!$F:$F,W$5)</f>
        <v>0</v>
      </c>
      <c r="X43" s="17">
        <f>SUMIFS('Pasted Bridges'!$G:$G,'Pasted Bridges'!$B:$B,$C43,'Pasted Bridges'!$F:$F,X$5)</f>
        <v>0</v>
      </c>
      <c r="Y43" s="17">
        <f>SUMIFS('Pasted Bridges'!$G:$G,'Pasted Bridges'!$B:$B,$C43,'Pasted Bridges'!$F:$F,Y$5)</f>
        <v>0</v>
      </c>
      <c r="Z43" s="17">
        <f>SUMIFS('Pasted Bridges'!$G:$G,'Pasted Bridges'!$B:$B,$C43,'Pasted Bridges'!$F:$F,Z$5)</f>
        <v>0</v>
      </c>
      <c r="AA43" s="17">
        <f>SUMIFS('Pasted Bridges'!$G:$G,'Pasted Bridges'!$B:$B,$C43,'Pasted Bridges'!$F:$F,AA$5)</f>
        <v>0</v>
      </c>
      <c r="AB43" s="17">
        <f>SUMIFS('Pasted Bridges'!$G:$G,'Pasted Bridges'!$B:$B,$C43,'Pasted Bridges'!$F:$F,AB$5)</f>
        <v>0</v>
      </c>
      <c r="AC43" s="17">
        <f>SUMIFS('Pasted Bridges'!$G:$G,'Pasted Bridges'!$B:$B,$C43,'Pasted Bridges'!$F:$F,AC$5)</f>
        <v>0</v>
      </c>
      <c r="AD43" s="17">
        <f>SUMIFS('Pasted Bridges'!$G:$G,'Pasted Bridges'!$B:$B,$C43,'Pasted Bridges'!$F:$F,AD$5)</f>
        <v>0</v>
      </c>
      <c r="AE43" s="17">
        <f>SUMIFS('Pasted Bridges'!$G:$G,'Pasted Bridges'!$B:$B,$C43,'Pasted Bridges'!$F:$F,AE$5)</f>
        <v>0</v>
      </c>
      <c r="AF43" s="17">
        <f>SUMIFS('Pasted Bridges'!$G:$G,'Pasted Bridges'!$B:$B,$C43,'Pasted Bridges'!$F:$F,AF$5)</f>
        <v>0</v>
      </c>
      <c r="AG43" s="17">
        <f>SUMIFS('Pasted Bridges'!$G:$G,'Pasted Bridges'!$B:$B,$C43,'Pasted Bridges'!$F:$F,AG$5)</f>
        <v>0</v>
      </c>
      <c r="AH43" s="17">
        <f>SUMIFS('Pasted Bridges'!$G:$G,'Pasted Bridges'!$B:$B,$C43,'Pasted Bridges'!$F:$F,AH$5)</f>
        <v>0</v>
      </c>
      <c r="AI43" s="17">
        <f>SUMIFS('Pasted Bridges'!$G:$G,'Pasted Bridges'!$B:$B,$C43,'Pasted Bridges'!$F:$F,AI$5)</f>
        <v>0</v>
      </c>
      <c r="AJ43" s="17">
        <f>SUMIFS('Pasted Bridges'!$G:$G,'Pasted Bridges'!$B:$B,$C43,'Pasted Bridges'!$F:$F,AJ$5)</f>
        <v>0</v>
      </c>
      <c r="AK43" s="17">
        <f>SUMIFS('Pasted Bridges'!$G:$G,'Pasted Bridges'!$B:$B,$C43,'Pasted Bridges'!$F:$F,AK$5)</f>
        <v>0</v>
      </c>
      <c r="AL43" s="17">
        <f>SUMIFS('Pasted Bridges'!$G:$G,'Pasted Bridges'!$B:$B,$C43,'Pasted Bridges'!$F:$F,AL$5)</f>
        <v>0</v>
      </c>
      <c r="AM43" s="17">
        <f>SUMIFS('Pasted Bridges'!$G:$G,'Pasted Bridges'!$B:$B,$C43,'Pasted Bridges'!$F:$F,AM$5)</f>
        <v>0</v>
      </c>
      <c r="AN43" s="17">
        <f>SUMIFS('Pasted Bridges'!$G:$G,'Pasted Bridges'!$B:$B,$C43,'Pasted Bridges'!$F:$F,AN$5)</f>
        <v>0</v>
      </c>
      <c r="AO43" s="17">
        <f>SUMIFS('Pasted Bridges'!$G:$G,'Pasted Bridges'!$B:$B,$C43,'Pasted Bridges'!$F:$F,AO$5)</f>
        <v>0</v>
      </c>
      <c r="AP43" s="17">
        <f>SUMIFS('Pasted Bridges'!$G:$G,'Pasted Bridges'!$B:$B,$C43,'Pasted Bridges'!$F:$F,AP$5)</f>
        <v>0</v>
      </c>
      <c r="AQ43" s="17">
        <f>SUMIFS('Pasted Bridges'!$G:$G,'Pasted Bridges'!$B:$B,$C43,'Pasted Bridges'!$F:$F,AQ$5)</f>
        <v>0</v>
      </c>
      <c r="AR43" s="17">
        <f>SUMIFS('Pasted Bridges'!$G:$G,'Pasted Bridges'!$B:$B,$C43,'Pasted Bridges'!$F:$F,AR$5)</f>
        <v>0</v>
      </c>
      <c r="AS43" s="17">
        <f>SUMIFS('Pasted Bridges'!$G:$G,'Pasted Bridges'!$B:$B,$C43,'Pasted Bridges'!$F:$F,AS$5)</f>
        <v>0</v>
      </c>
      <c r="AT43" s="17">
        <f>SUMIFS('Pasted Bridges'!$G:$G,'Pasted Bridges'!$B:$B,$C43,'Pasted Bridges'!$F:$F,AT$5)</f>
        <v>0</v>
      </c>
      <c r="AU43" s="17">
        <f>SUMIFS('Pasted Bridges'!$G:$G,'Pasted Bridges'!$B:$B,$C43,'Pasted Bridges'!$F:$F,AU$5)</f>
        <v>0</v>
      </c>
      <c r="AV43" s="17">
        <f>SUMIFS('Pasted Bridges'!$G:$G,'Pasted Bridges'!$B:$B,$C43,'Pasted Bridges'!$F:$F,AV$5)</f>
        <v>0</v>
      </c>
      <c r="AW43" s="17">
        <f>SUMIFS('Pasted Bridges'!$G:$G,'Pasted Bridges'!$B:$B,$C43,'Pasted Bridges'!$F:$F,AW$5)</f>
        <v>0</v>
      </c>
      <c r="AX43" s="17">
        <f>SUMIFS('Pasted Bridges'!$G:$G,'Pasted Bridges'!$B:$B,$C43,'Pasted Bridges'!$F:$F,AX$5)</f>
        <v>0</v>
      </c>
      <c r="AY43" s="17">
        <f>SUMIFS('Pasted Bridges'!$G:$G,'Pasted Bridges'!$B:$B,$C43,'Pasted Bridges'!$F:$F,AY$5)</f>
        <v>0</v>
      </c>
      <c r="AZ43" s="17">
        <f>SUMIFS('Pasted Bridges'!$G:$G,'Pasted Bridges'!$B:$B,$C43,'Pasted Bridges'!$F:$F,AZ$5)</f>
        <v>0</v>
      </c>
      <c r="BA43" s="17">
        <f>SUMIFS('Pasted Bridges'!$G:$G,'Pasted Bridges'!$B:$B,$C43,'Pasted Bridges'!$F:$F,BA$5)</f>
        <v>0</v>
      </c>
      <c r="BB43" s="17">
        <f>SUMIFS('Pasted Bridges'!$G:$G,'Pasted Bridges'!$B:$B,$C43,'Pasted Bridges'!$F:$F,BB$5)</f>
        <v>0</v>
      </c>
      <c r="BC43" s="17">
        <f>SUMIFS('Pasted Bridges'!$G:$G,'Pasted Bridges'!$B:$B,$C43,'Pasted Bridges'!$F:$F,BC$5)</f>
        <v>0</v>
      </c>
      <c r="BD43" s="17">
        <f>SUMIFS('Pasted Bridges'!$G:$G,'Pasted Bridges'!$B:$B,$C43,'Pasted Bridges'!$F:$F,BD$5)</f>
        <v>0</v>
      </c>
      <c r="BE43" s="17">
        <f>SUMIFS('Pasted Bridges'!$G:$G,'Pasted Bridges'!$B:$B,$C43,'Pasted Bridges'!$F:$F,BE$5)</f>
        <v>0</v>
      </c>
      <c r="BF43" s="17">
        <f>SUMIFS('Pasted Bridges'!$G:$G,'Pasted Bridges'!$B:$B,$C43,'Pasted Bridges'!$F:$F,BF$5)</f>
        <v>0</v>
      </c>
      <c r="BG43" s="17">
        <f>SUMIFS('Pasted Bridges'!$G:$G,'Pasted Bridges'!$B:$B,$C43,'Pasted Bridges'!$F:$F,BG$5)</f>
        <v>0</v>
      </c>
      <c r="BH43" s="17">
        <f>SUMIFS('Pasted Bridges'!$G:$G,'Pasted Bridges'!$B:$B,$C43,'Pasted Bridges'!$F:$F,BH$5)</f>
        <v>0</v>
      </c>
      <c r="BI43" s="17">
        <f>SUMIFS('Pasted Bridges'!$G:$G,'Pasted Bridges'!$B:$B,$C43,'Pasted Bridges'!$F:$F,BI$5)</f>
        <v>0</v>
      </c>
      <c r="BJ43" s="17">
        <f>SUMIFS('Pasted Bridges'!$G:$G,'Pasted Bridges'!$B:$B,$C43,'Pasted Bridges'!$F:$F,BJ$5)</f>
        <v>0</v>
      </c>
      <c r="BK43" s="17">
        <f>SUMIFS('Pasted Bridges'!$G:$G,'Pasted Bridges'!$B:$B,$C43,'Pasted Bridges'!$F:$F,BK$5)</f>
        <v>0</v>
      </c>
      <c r="BL43" s="17">
        <f>SUMIFS('Pasted Bridges'!$G:$G,'Pasted Bridges'!$B:$B,$C43,'Pasted Bridges'!$F:$F,BL$5)</f>
        <v>0</v>
      </c>
      <c r="BM43" s="17">
        <f>SUMIFS('Pasted Bridges'!$G:$G,'Pasted Bridges'!$B:$B,$C43,'Pasted Bridges'!$F:$F,BM$5)</f>
        <v>0</v>
      </c>
      <c r="BN43" s="17">
        <f>SUMIFS('Pasted Bridges'!$G:$G,'Pasted Bridges'!$B:$B,$C43,'Pasted Bridges'!$F:$F,BN$5)</f>
        <v>0</v>
      </c>
      <c r="BO43" s="17">
        <f>SUMIFS('Pasted Bridges'!$G:$G,'Pasted Bridges'!$B:$B,$C43,'Pasted Bridges'!$F:$F,BO$5)</f>
        <v>0</v>
      </c>
      <c r="BP43" s="17">
        <f>SUMIFS('Pasted Bridges'!$G:$G,'Pasted Bridges'!$B:$B,$C43,'Pasted Bridges'!$F:$F,BP$5)</f>
        <v>0</v>
      </c>
      <c r="BQ43" s="17">
        <f>SUMIFS('Pasted Bridges'!$G:$G,'Pasted Bridges'!$B:$B,$C43,'Pasted Bridges'!$F:$F,BQ$5)</f>
        <v>0</v>
      </c>
      <c r="BR43" s="17">
        <f>SUMIFS('Pasted Bridges'!$G:$G,'Pasted Bridges'!$B:$B,$C43,'Pasted Bridges'!$F:$F,BR$5)</f>
        <v>0</v>
      </c>
      <c r="BS43" s="17">
        <f>SUMIFS('Pasted Bridges'!$G:$G,'Pasted Bridges'!$B:$B,$C43,'Pasted Bridges'!$F:$F,BS$5)</f>
        <v>0</v>
      </c>
      <c r="BT43" s="17">
        <f>SUMIFS('Pasted Bridges'!$G:$G,'Pasted Bridges'!$B:$B,$C43,'Pasted Bridges'!$F:$F,BT$5)</f>
        <v>0</v>
      </c>
      <c r="BU43" s="17">
        <f>SUMIFS('Pasted Bridges'!$G:$G,'Pasted Bridges'!$B:$B,$C43,'Pasted Bridges'!$F:$F,BU$5)</f>
        <v>0</v>
      </c>
      <c r="BV43" s="17">
        <f>SUMIFS('Pasted Bridges'!$G:$G,'Pasted Bridges'!$B:$B,$C43,'Pasted Bridges'!$F:$F,BV$5)</f>
        <v>0</v>
      </c>
      <c r="BW43" s="17">
        <f>SUMIFS('Pasted Bridges'!$G:$G,'Pasted Bridges'!$B:$B,$C43,'Pasted Bridges'!$F:$F,BW$5)</f>
        <v>0</v>
      </c>
      <c r="BX43" s="17">
        <f>SUMIFS('Pasted Bridges'!$G:$G,'Pasted Bridges'!$B:$B,$C43,'Pasted Bridges'!$F:$F,BX$5)</f>
        <v>0</v>
      </c>
      <c r="BY43" s="17">
        <f>SUMIFS('Pasted Bridges'!$G:$G,'Pasted Bridges'!$B:$B,$C43,'Pasted Bridges'!$F:$F,BY$5)</f>
        <v>0</v>
      </c>
      <c r="BZ43" s="17">
        <f>SUMIFS('Pasted Bridges'!$G:$G,'Pasted Bridges'!$B:$B,$C43,'Pasted Bridges'!$F:$F,BZ$5)</f>
        <v>0</v>
      </c>
      <c r="CA43" s="17">
        <f>SUMIFS('Pasted Bridges'!$G:$G,'Pasted Bridges'!$B:$B,$C43,'Pasted Bridges'!$F:$F,CA$5)</f>
        <v>0</v>
      </c>
      <c r="CB43" s="17">
        <f>SUMIFS('Pasted Bridges'!$G:$G,'Pasted Bridges'!$B:$B,$C43,'Pasted Bridges'!$F:$F,CB$5)</f>
        <v>0</v>
      </c>
      <c r="CC43" s="17">
        <f>SUMIFS('Pasted Bridges'!$G:$G,'Pasted Bridges'!$B:$B,$C43,'Pasted Bridges'!$F:$F,CC$5)</f>
        <v>0</v>
      </c>
      <c r="CD43" s="17">
        <f>SUMIFS('Pasted Bridges'!$G:$G,'Pasted Bridges'!$B:$B,$C43,'Pasted Bridges'!$F:$F,CD$5)</f>
        <v>0</v>
      </c>
      <c r="CE43" s="17">
        <f>SUMIFS('Pasted Bridges'!$G:$G,'Pasted Bridges'!$B:$B,$C43,'Pasted Bridges'!$F:$F,CE$5)</f>
        <v>0</v>
      </c>
      <c r="CF43" s="17">
        <f>SUMIFS('Pasted Bridges'!$G:$G,'Pasted Bridges'!$B:$B,$C43,'Pasted Bridges'!$F:$F,CF$5)</f>
        <v>0</v>
      </c>
      <c r="CG43" s="17">
        <f>SUMIFS('Pasted Bridges'!$G:$G,'Pasted Bridges'!$B:$B,$C43,'Pasted Bridges'!$F:$F,CG$5)</f>
        <v>0</v>
      </c>
      <c r="CH43" s="17">
        <f>SUMIFS('Pasted Bridges'!$G:$G,'Pasted Bridges'!$B:$B,$C43,'Pasted Bridges'!$F:$F,CH$5)</f>
        <v>0</v>
      </c>
      <c r="CI43" s="17">
        <f>SUMIFS('Pasted Bridges'!$G:$G,'Pasted Bridges'!$B:$B,$C43,'Pasted Bridges'!$F:$F,CI$5)</f>
        <v>0</v>
      </c>
      <c r="CJ43" s="17">
        <f>SUMIFS('Pasted Bridges'!$G:$G,'Pasted Bridges'!$B:$B,$C43,'Pasted Bridges'!$F:$F,CJ$5)</f>
        <v>0</v>
      </c>
      <c r="CK43" s="17">
        <f>SUMIFS('Pasted Bridges'!$G:$G,'Pasted Bridges'!$B:$B,$C43,'Pasted Bridges'!$F:$F,CK$5)</f>
        <v>0</v>
      </c>
      <c r="CL43" s="17">
        <f>SUMIFS('Pasted Bridges'!$G:$G,'Pasted Bridges'!$B:$B,$C43,'Pasted Bridges'!$F:$F,CL$5)</f>
        <v>0</v>
      </c>
      <c r="CM43" s="17">
        <f>SUMIFS('Pasted Bridges'!$G:$G,'Pasted Bridges'!$B:$B,$C43,'Pasted Bridges'!$F:$F,CM$5)</f>
        <v>0</v>
      </c>
      <c r="CN43" s="17">
        <f>SUMIFS('Pasted Bridges'!$G:$G,'Pasted Bridges'!$B:$B,$C43,'Pasted Bridges'!$F:$F,CN$5)</f>
        <v>0</v>
      </c>
      <c r="CO43" s="17">
        <f>SUMIFS('Pasted Bridges'!$G:$G,'Pasted Bridges'!$B:$B,$C43,'Pasted Bridges'!$F:$F,CO$5)</f>
        <v>0</v>
      </c>
      <c r="CP43" s="17">
        <f>SUMIFS('Pasted Bridges'!$G:$G,'Pasted Bridges'!$B:$B,$C43,'Pasted Bridges'!$F:$F,CP$5)</f>
        <v>0</v>
      </c>
      <c r="CQ43" s="17">
        <f>SUMIFS('Pasted Bridges'!$G:$G,'Pasted Bridges'!$B:$B,$C43,'Pasted Bridges'!$F:$F,CQ$5)</f>
        <v>0</v>
      </c>
      <c r="CR43" s="17">
        <f>SUMIFS('Pasted Bridges'!$G:$G,'Pasted Bridges'!$B:$B,$C43,'Pasted Bridges'!$F:$F,CR$5)</f>
        <v>0</v>
      </c>
      <c r="CS43" s="17">
        <f>SUMIFS('Pasted Bridges'!$G:$G,'Pasted Bridges'!$B:$B,$C43,'Pasted Bridges'!$F:$F,CS$5)</f>
        <v>0</v>
      </c>
      <c r="CT43" s="17">
        <f>SUMIFS('Pasted Bridges'!$G:$G,'Pasted Bridges'!$B:$B,$C43,'Pasted Bridges'!$F:$F,CT$5)</f>
        <v>0</v>
      </c>
      <c r="CU43" s="17">
        <f>SUMIFS('Pasted Bridges'!$G:$G,'Pasted Bridges'!$B:$B,$C43,'Pasted Bridges'!$F:$F,CU$5)</f>
        <v>0</v>
      </c>
      <c r="CV43" s="17">
        <f>SUMIFS('Pasted Bridges'!$G:$G,'Pasted Bridges'!$B:$B,$C43,'Pasted Bridges'!$F:$F,CV$5)</f>
        <v>0</v>
      </c>
      <c r="CW43" s="17">
        <f>SUMIFS('Pasted Bridges'!$G:$G,'Pasted Bridges'!$B:$B,$C43,'Pasted Bridges'!$F:$F,CW$5)</f>
        <v>0</v>
      </c>
      <c r="CX43" s="17">
        <f>SUMIFS('Pasted Bridges'!$G:$G,'Pasted Bridges'!$B:$B,$C43,'Pasted Bridges'!$F:$F,CX$5)</f>
        <v>0</v>
      </c>
      <c r="CY43" s="17">
        <f>SUMIFS('Pasted Bridges'!$G:$G,'Pasted Bridges'!$B:$B,$C43,'Pasted Bridges'!$F:$F,CY$5)</f>
        <v>0</v>
      </c>
      <c r="CZ43" s="17">
        <f>SUMIFS('Pasted Bridges'!$G:$G,'Pasted Bridges'!$B:$B,$C43,'Pasted Bridges'!$F:$F,CZ$5)</f>
        <v>0</v>
      </c>
      <c r="DA43" s="17">
        <f>SUMIFS('Pasted Bridges'!$G:$G,'Pasted Bridges'!$B:$B,$C43,'Pasted Bridges'!$F:$F,DA$5)</f>
        <v>0</v>
      </c>
    </row>
    <row r="44" spans="2:105" s="1" customFormat="1" x14ac:dyDescent="0.25">
      <c r="B44" s="74"/>
      <c r="C44" s="19" t="s">
        <v>32</v>
      </c>
      <c r="D44" s="19" t="s">
        <v>192</v>
      </c>
      <c r="E44" s="13" t="s">
        <v>199</v>
      </c>
      <c r="F44" s="2">
        <v>39</v>
      </c>
      <c r="G44" s="5">
        <v>0.12</v>
      </c>
      <c r="H44" s="2" t="s">
        <v>42</v>
      </c>
      <c r="I44" s="2">
        <v>0.06</v>
      </c>
      <c r="J44" s="3"/>
      <c r="K44" s="17">
        <f>SUMIFS('Pasted Bridges'!$G:$G,'Pasted Bridges'!$B:$B,$C44,'Pasted Bridges'!$F:$F,K$5)</f>
        <v>0</v>
      </c>
      <c r="L44" s="17">
        <f>SUMIFS('Pasted Bridges'!$G:$G,'Pasted Bridges'!$B:$B,$C44,'Pasted Bridges'!$F:$F,L$5)</f>
        <v>0</v>
      </c>
      <c r="M44" s="17">
        <f>SUMIFS('Pasted Bridges'!$G:$G,'Pasted Bridges'!$B:$B,$C44,'Pasted Bridges'!$F:$F,M$5)</f>
        <v>0</v>
      </c>
      <c r="N44" s="17">
        <f>SUMIFS('Pasted Bridges'!$G:$G,'Pasted Bridges'!$B:$B,$C44,'Pasted Bridges'!$F:$F,N$5)</f>
        <v>0</v>
      </c>
      <c r="O44" s="17">
        <f>SUMIFS('Pasted Bridges'!$G:$G,'Pasted Bridges'!$B:$B,$C44,'Pasted Bridges'!$F:$F,O$5)</f>
        <v>0</v>
      </c>
      <c r="P44" s="17">
        <f>SUMIFS('Pasted Bridges'!$G:$G,'Pasted Bridges'!$B:$B,$C44,'Pasted Bridges'!$F:$F,P$5)</f>
        <v>0</v>
      </c>
      <c r="Q44" s="17">
        <f>SUMIFS('Pasted Bridges'!$G:$G,'Pasted Bridges'!$B:$B,$C44,'Pasted Bridges'!$F:$F,Q$5)</f>
        <v>0</v>
      </c>
      <c r="R44" s="17">
        <f>SUMIFS('Pasted Bridges'!$G:$G,'Pasted Bridges'!$B:$B,$C44,'Pasted Bridges'!$F:$F,R$5)</f>
        <v>0</v>
      </c>
      <c r="S44" s="17">
        <f>SUMIFS('Pasted Bridges'!$G:$G,'Pasted Bridges'!$B:$B,$C44,'Pasted Bridges'!$F:$F,S$5)</f>
        <v>0</v>
      </c>
      <c r="T44" s="17">
        <f>SUMIFS('Pasted Bridges'!$G:$G,'Pasted Bridges'!$B:$B,$C44,'Pasted Bridges'!$F:$F,T$5)</f>
        <v>0</v>
      </c>
      <c r="U44" s="17">
        <f>SUMIFS('Pasted Bridges'!$G:$G,'Pasted Bridges'!$B:$B,$C44,'Pasted Bridges'!$F:$F,U$5)</f>
        <v>0</v>
      </c>
      <c r="V44" s="17">
        <f>SUMIFS('Pasted Bridges'!$G:$G,'Pasted Bridges'!$B:$B,$C44,'Pasted Bridges'!$F:$F,V$5)</f>
        <v>0</v>
      </c>
      <c r="W44" s="17">
        <f>SUMIFS('Pasted Bridges'!$G:$G,'Pasted Bridges'!$B:$B,$C44,'Pasted Bridges'!$F:$F,W$5)</f>
        <v>0</v>
      </c>
      <c r="X44" s="17">
        <f>SUMIFS('Pasted Bridges'!$G:$G,'Pasted Bridges'!$B:$B,$C44,'Pasted Bridges'!$F:$F,X$5)</f>
        <v>0</v>
      </c>
      <c r="Y44" s="17">
        <f>SUMIFS('Pasted Bridges'!$G:$G,'Pasted Bridges'!$B:$B,$C44,'Pasted Bridges'!$F:$F,Y$5)</f>
        <v>0</v>
      </c>
      <c r="Z44" s="17">
        <f>SUMIFS('Pasted Bridges'!$G:$G,'Pasted Bridges'!$B:$B,$C44,'Pasted Bridges'!$F:$F,Z$5)</f>
        <v>0</v>
      </c>
      <c r="AA44" s="17">
        <f>SUMIFS('Pasted Bridges'!$G:$G,'Pasted Bridges'!$B:$B,$C44,'Pasted Bridges'!$F:$F,AA$5)</f>
        <v>0</v>
      </c>
      <c r="AB44" s="17">
        <f>SUMIFS('Pasted Bridges'!$G:$G,'Pasted Bridges'!$B:$B,$C44,'Pasted Bridges'!$F:$F,AB$5)</f>
        <v>0</v>
      </c>
      <c r="AC44" s="17">
        <f>SUMIFS('Pasted Bridges'!$G:$G,'Pasted Bridges'!$B:$B,$C44,'Pasted Bridges'!$F:$F,AC$5)</f>
        <v>0</v>
      </c>
      <c r="AD44" s="17">
        <f>SUMIFS('Pasted Bridges'!$G:$G,'Pasted Bridges'!$B:$B,$C44,'Pasted Bridges'!$F:$F,AD$5)</f>
        <v>0</v>
      </c>
      <c r="AE44" s="17">
        <f>SUMIFS('Pasted Bridges'!$G:$G,'Pasted Bridges'!$B:$B,$C44,'Pasted Bridges'!$F:$F,AE$5)</f>
        <v>0</v>
      </c>
      <c r="AF44" s="17">
        <f>SUMIFS('Pasted Bridges'!$G:$G,'Pasted Bridges'!$B:$B,$C44,'Pasted Bridges'!$F:$F,AF$5)</f>
        <v>0</v>
      </c>
      <c r="AG44" s="17">
        <f>SUMIFS('Pasted Bridges'!$G:$G,'Pasted Bridges'!$B:$B,$C44,'Pasted Bridges'!$F:$F,AG$5)</f>
        <v>0</v>
      </c>
      <c r="AH44" s="17">
        <f>SUMIFS('Pasted Bridges'!$G:$G,'Pasted Bridges'!$B:$B,$C44,'Pasted Bridges'!$F:$F,AH$5)</f>
        <v>0</v>
      </c>
      <c r="AI44" s="17">
        <f>SUMIFS('Pasted Bridges'!$G:$G,'Pasted Bridges'!$B:$B,$C44,'Pasted Bridges'!$F:$F,AI$5)</f>
        <v>0</v>
      </c>
      <c r="AJ44" s="17">
        <f>SUMIFS('Pasted Bridges'!$G:$G,'Pasted Bridges'!$B:$B,$C44,'Pasted Bridges'!$F:$F,AJ$5)</f>
        <v>0</v>
      </c>
      <c r="AK44" s="17">
        <f>SUMIFS('Pasted Bridges'!$G:$G,'Pasted Bridges'!$B:$B,$C44,'Pasted Bridges'!$F:$F,AK$5)</f>
        <v>0</v>
      </c>
      <c r="AL44" s="17">
        <f>SUMIFS('Pasted Bridges'!$G:$G,'Pasted Bridges'!$B:$B,$C44,'Pasted Bridges'!$F:$F,AL$5)</f>
        <v>0</v>
      </c>
      <c r="AM44" s="17">
        <f>SUMIFS('Pasted Bridges'!$G:$G,'Pasted Bridges'!$B:$B,$C44,'Pasted Bridges'!$F:$F,AM$5)</f>
        <v>0</v>
      </c>
      <c r="AN44" s="17">
        <f>SUMIFS('Pasted Bridges'!$G:$G,'Pasted Bridges'!$B:$B,$C44,'Pasted Bridges'!$F:$F,AN$5)</f>
        <v>0</v>
      </c>
      <c r="AO44" s="17">
        <f>SUMIFS('Pasted Bridges'!$G:$G,'Pasted Bridges'!$B:$B,$C44,'Pasted Bridges'!$F:$F,AO$5)</f>
        <v>0</v>
      </c>
      <c r="AP44" s="17">
        <f>SUMIFS('Pasted Bridges'!$G:$G,'Pasted Bridges'!$B:$B,$C44,'Pasted Bridges'!$F:$F,AP$5)</f>
        <v>0</v>
      </c>
      <c r="AQ44" s="17">
        <f>SUMIFS('Pasted Bridges'!$G:$G,'Pasted Bridges'!$B:$B,$C44,'Pasted Bridges'!$F:$F,AQ$5)</f>
        <v>0</v>
      </c>
      <c r="AR44" s="17">
        <f>SUMIFS('Pasted Bridges'!$G:$G,'Pasted Bridges'!$B:$B,$C44,'Pasted Bridges'!$F:$F,AR$5)</f>
        <v>0</v>
      </c>
      <c r="AS44" s="17">
        <f>SUMIFS('Pasted Bridges'!$G:$G,'Pasted Bridges'!$B:$B,$C44,'Pasted Bridges'!$F:$F,AS$5)</f>
        <v>0</v>
      </c>
      <c r="AT44" s="17">
        <f>SUMIFS('Pasted Bridges'!$G:$G,'Pasted Bridges'!$B:$B,$C44,'Pasted Bridges'!$F:$F,AT$5)</f>
        <v>0</v>
      </c>
      <c r="AU44" s="17">
        <f>SUMIFS('Pasted Bridges'!$G:$G,'Pasted Bridges'!$B:$B,$C44,'Pasted Bridges'!$F:$F,AU$5)</f>
        <v>0</v>
      </c>
      <c r="AV44" s="17">
        <f>SUMIFS('Pasted Bridges'!$G:$G,'Pasted Bridges'!$B:$B,$C44,'Pasted Bridges'!$F:$F,AV$5)</f>
        <v>0</v>
      </c>
      <c r="AW44" s="17">
        <f>SUMIFS('Pasted Bridges'!$G:$G,'Pasted Bridges'!$B:$B,$C44,'Pasted Bridges'!$F:$F,AW$5)</f>
        <v>0</v>
      </c>
      <c r="AX44" s="17">
        <f>SUMIFS('Pasted Bridges'!$G:$G,'Pasted Bridges'!$B:$B,$C44,'Pasted Bridges'!$F:$F,AX$5)</f>
        <v>0</v>
      </c>
      <c r="AY44" s="17">
        <f>SUMIFS('Pasted Bridges'!$G:$G,'Pasted Bridges'!$B:$B,$C44,'Pasted Bridges'!$F:$F,AY$5)</f>
        <v>0</v>
      </c>
      <c r="AZ44" s="17">
        <f>SUMIFS('Pasted Bridges'!$G:$G,'Pasted Bridges'!$B:$B,$C44,'Pasted Bridges'!$F:$F,AZ$5)</f>
        <v>0</v>
      </c>
      <c r="BA44" s="17">
        <f>SUMIFS('Pasted Bridges'!$G:$G,'Pasted Bridges'!$B:$B,$C44,'Pasted Bridges'!$F:$F,BA$5)</f>
        <v>0</v>
      </c>
      <c r="BB44" s="17">
        <f>SUMIFS('Pasted Bridges'!$G:$G,'Pasted Bridges'!$B:$B,$C44,'Pasted Bridges'!$F:$F,BB$5)</f>
        <v>0</v>
      </c>
      <c r="BC44" s="17">
        <f>SUMIFS('Pasted Bridges'!$G:$G,'Pasted Bridges'!$B:$B,$C44,'Pasted Bridges'!$F:$F,BC$5)</f>
        <v>0</v>
      </c>
      <c r="BD44" s="17">
        <f>SUMIFS('Pasted Bridges'!$G:$G,'Pasted Bridges'!$B:$B,$C44,'Pasted Bridges'!$F:$F,BD$5)</f>
        <v>0</v>
      </c>
      <c r="BE44" s="17">
        <f>SUMIFS('Pasted Bridges'!$G:$G,'Pasted Bridges'!$B:$B,$C44,'Pasted Bridges'!$F:$F,BE$5)</f>
        <v>0</v>
      </c>
      <c r="BF44" s="17">
        <f>SUMIFS('Pasted Bridges'!$G:$G,'Pasted Bridges'!$B:$B,$C44,'Pasted Bridges'!$F:$F,BF$5)</f>
        <v>0</v>
      </c>
      <c r="BG44" s="17">
        <f>SUMIFS('Pasted Bridges'!$G:$G,'Pasted Bridges'!$B:$B,$C44,'Pasted Bridges'!$F:$F,BG$5)</f>
        <v>0</v>
      </c>
      <c r="BH44" s="17">
        <f>SUMIFS('Pasted Bridges'!$G:$G,'Pasted Bridges'!$B:$B,$C44,'Pasted Bridges'!$F:$F,BH$5)</f>
        <v>0</v>
      </c>
      <c r="BI44" s="17">
        <f>SUMIFS('Pasted Bridges'!$G:$G,'Pasted Bridges'!$B:$B,$C44,'Pasted Bridges'!$F:$F,BI$5)</f>
        <v>0</v>
      </c>
      <c r="BJ44" s="17">
        <f>SUMIFS('Pasted Bridges'!$G:$G,'Pasted Bridges'!$B:$B,$C44,'Pasted Bridges'!$F:$F,BJ$5)</f>
        <v>0</v>
      </c>
      <c r="BK44" s="17">
        <f>SUMIFS('Pasted Bridges'!$G:$G,'Pasted Bridges'!$B:$B,$C44,'Pasted Bridges'!$F:$F,BK$5)</f>
        <v>0</v>
      </c>
      <c r="BL44" s="17">
        <f>SUMIFS('Pasted Bridges'!$G:$G,'Pasted Bridges'!$B:$B,$C44,'Pasted Bridges'!$F:$F,BL$5)</f>
        <v>0</v>
      </c>
      <c r="BM44" s="17">
        <f>SUMIFS('Pasted Bridges'!$G:$G,'Pasted Bridges'!$B:$B,$C44,'Pasted Bridges'!$F:$F,BM$5)</f>
        <v>0</v>
      </c>
      <c r="BN44" s="17">
        <f>SUMIFS('Pasted Bridges'!$G:$G,'Pasted Bridges'!$B:$B,$C44,'Pasted Bridges'!$F:$F,BN$5)</f>
        <v>0</v>
      </c>
      <c r="BO44" s="17">
        <f>SUMIFS('Pasted Bridges'!$G:$G,'Pasted Bridges'!$B:$B,$C44,'Pasted Bridges'!$F:$F,BO$5)</f>
        <v>0</v>
      </c>
      <c r="BP44" s="17">
        <f>SUMIFS('Pasted Bridges'!$G:$G,'Pasted Bridges'!$B:$B,$C44,'Pasted Bridges'!$F:$F,BP$5)</f>
        <v>0</v>
      </c>
      <c r="BQ44" s="17">
        <f>SUMIFS('Pasted Bridges'!$G:$G,'Pasted Bridges'!$B:$B,$C44,'Pasted Bridges'!$F:$F,BQ$5)</f>
        <v>0</v>
      </c>
      <c r="BR44" s="17">
        <f>SUMIFS('Pasted Bridges'!$G:$G,'Pasted Bridges'!$B:$B,$C44,'Pasted Bridges'!$F:$F,BR$5)</f>
        <v>0</v>
      </c>
      <c r="BS44" s="17">
        <f>SUMIFS('Pasted Bridges'!$G:$G,'Pasted Bridges'!$B:$B,$C44,'Pasted Bridges'!$F:$F,BS$5)</f>
        <v>0</v>
      </c>
      <c r="BT44" s="17">
        <f>SUMIFS('Pasted Bridges'!$G:$G,'Pasted Bridges'!$B:$B,$C44,'Pasted Bridges'!$F:$F,BT$5)</f>
        <v>0</v>
      </c>
      <c r="BU44" s="17">
        <f>SUMIFS('Pasted Bridges'!$G:$G,'Pasted Bridges'!$B:$B,$C44,'Pasted Bridges'!$F:$F,BU$5)</f>
        <v>0</v>
      </c>
      <c r="BV44" s="17">
        <f>SUMIFS('Pasted Bridges'!$G:$G,'Pasted Bridges'!$B:$B,$C44,'Pasted Bridges'!$F:$F,BV$5)</f>
        <v>0</v>
      </c>
      <c r="BW44" s="17">
        <f>SUMIFS('Pasted Bridges'!$G:$G,'Pasted Bridges'!$B:$B,$C44,'Pasted Bridges'!$F:$F,BW$5)</f>
        <v>0</v>
      </c>
      <c r="BX44" s="17">
        <f>SUMIFS('Pasted Bridges'!$G:$G,'Pasted Bridges'!$B:$B,$C44,'Pasted Bridges'!$F:$F,BX$5)</f>
        <v>0</v>
      </c>
      <c r="BY44" s="17">
        <f>SUMIFS('Pasted Bridges'!$G:$G,'Pasted Bridges'!$B:$B,$C44,'Pasted Bridges'!$F:$F,BY$5)</f>
        <v>0</v>
      </c>
      <c r="BZ44" s="17">
        <f>SUMIFS('Pasted Bridges'!$G:$G,'Pasted Bridges'!$B:$B,$C44,'Pasted Bridges'!$F:$F,BZ$5)</f>
        <v>0</v>
      </c>
      <c r="CA44" s="17">
        <f>SUMIFS('Pasted Bridges'!$G:$G,'Pasted Bridges'!$B:$B,$C44,'Pasted Bridges'!$F:$F,CA$5)</f>
        <v>0</v>
      </c>
      <c r="CB44" s="17">
        <f>SUMIFS('Pasted Bridges'!$G:$G,'Pasted Bridges'!$B:$B,$C44,'Pasted Bridges'!$F:$F,CB$5)</f>
        <v>0</v>
      </c>
      <c r="CC44" s="17">
        <f>SUMIFS('Pasted Bridges'!$G:$G,'Pasted Bridges'!$B:$B,$C44,'Pasted Bridges'!$F:$F,CC$5)</f>
        <v>0</v>
      </c>
      <c r="CD44" s="17">
        <f>SUMIFS('Pasted Bridges'!$G:$G,'Pasted Bridges'!$B:$B,$C44,'Pasted Bridges'!$F:$F,CD$5)</f>
        <v>0</v>
      </c>
      <c r="CE44" s="17">
        <f>SUMIFS('Pasted Bridges'!$G:$G,'Pasted Bridges'!$B:$B,$C44,'Pasted Bridges'!$F:$F,CE$5)</f>
        <v>0</v>
      </c>
      <c r="CF44" s="17">
        <f>SUMIFS('Pasted Bridges'!$G:$G,'Pasted Bridges'!$B:$B,$C44,'Pasted Bridges'!$F:$F,CF$5)</f>
        <v>0</v>
      </c>
      <c r="CG44" s="17">
        <f>SUMIFS('Pasted Bridges'!$G:$G,'Pasted Bridges'!$B:$B,$C44,'Pasted Bridges'!$F:$F,CG$5)</f>
        <v>0</v>
      </c>
      <c r="CH44" s="17">
        <f>SUMIFS('Pasted Bridges'!$G:$G,'Pasted Bridges'!$B:$B,$C44,'Pasted Bridges'!$F:$F,CH$5)</f>
        <v>0</v>
      </c>
      <c r="CI44" s="17">
        <f>SUMIFS('Pasted Bridges'!$G:$G,'Pasted Bridges'!$B:$B,$C44,'Pasted Bridges'!$F:$F,CI$5)</f>
        <v>0</v>
      </c>
      <c r="CJ44" s="17">
        <f>SUMIFS('Pasted Bridges'!$G:$G,'Pasted Bridges'!$B:$B,$C44,'Pasted Bridges'!$F:$F,CJ$5)</f>
        <v>0</v>
      </c>
      <c r="CK44" s="17">
        <f>SUMIFS('Pasted Bridges'!$G:$G,'Pasted Bridges'!$B:$B,$C44,'Pasted Bridges'!$F:$F,CK$5)</f>
        <v>0</v>
      </c>
      <c r="CL44" s="17">
        <f>SUMIFS('Pasted Bridges'!$G:$G,'Pasted Bridges'!$B:$B,$C44,'Pasted Bridges'!$F:$F,CL$5)</f>
        <v>0</v>
      </c>
      <c r="CM44" s="17">
        <f>SUMIFS('Pasted Bridges'!$G:$G,'Pasted Bridges'!$B:$B,$C44,'Pasted Bridges'!$F:$F,CM$5)</f>
        <v>0</v>
      </c>
      <c r="CN44" s="17">
        <f>SUMIFS('Pasted Bridges'!$G:$G,'Pasted Bridges'!$B:$B,$C44,'Pasted Bridges'!$F:$F,CN$5)</f>
        <v>0</v>
      </c>
      <c r="CO44" s="17">
        <f>SUMIFS('Pasted Bridges'!$G:$G,'Pasted Bridges'!$B:$B,$C44,'Pasted Bridges'!$F:$F,CO$5)</f>
        <v>0</v>
      </c>
      <c r="CP44" s="17">
        <f>SUMIFS('Pasted Bridges'!$G:$G,'Pasted Bridges'!$B:$B,$C44,'Pasted Bridges'!$F:$F,CP$5)</f>
        <v>0</v>
      </c>
      <c r="CQ44" s="17">
        <f>SUMIFS('Pasted Bridges'!$G:$G,'Pasted Bridges'!$B:$B,$C44,'Pasted Bridges'!$F:$F,CQ$5)</f>
        <v>0</v>
      </c>
      <c r="CR44" s="17">
        <f>SUMIFS('Pasted Bridges'!$G:$G,'Pasted Bridges'!$B:$B,$C44,'Pasted Bridges'!$F:$F,CR$5)</f>
        <v>0</v>
      </c>
      <c r="CS44" s="17">
        <f>SUMIFS('Pasted Bridges'!$G:$G,'Pasted Bridges'!$B:$B,$C44,'Pasted Bridges'!$F:$F,CS$5)</f>
        <v>0</v>
      </c>
      <c r="CT44" s="17">
        <f>SUMIFS('Pasted Bridges'!$G:$G,'Pasted Bridges'!$B:$B,$C44,'Pasted Bridges'!$F:$F,CT$5)</f>
        <v>0</v>
      </c>
      <c r="CU44" s="17">
        <f>SUMIFS('Pasted Bridges'!$G:$G,'Pasted Bridges'!$B:$B,$C44,'Pasted Bridges'!$F:$F,CU$5)</f>
        <v>0</v>
      </c>
      <c r="CV44" s="17">
        <f>SUMIFS('Pasted Bridges'!$G:$G,'Pasted Bridges'!$B:$B,$C44,'Pasted Bridges'!$F:$F,CV$5)</f>
        <v>0</v>
      </c>
      <c r="CW44" s="17">
        <f>SUMIFS('Pasted Bridges'!$G:$G,'Pasted Bridges'!$B:$B,$C44,'Pasted Bridges'!$F:$F,CW$5)</f>
        <v>0</v>
      </c>
      <c r="CX44" s="17">
        <f>SUMIFS('Pasted Bridges'!$G:$G,'Pasted Bridges'!$B:$B,$C44,'Pasted Bridges'!$F:$F,CX$5)</f>
        <v>0</v>
      </c>
      <c r="CY44" s="17">
        <f>SUMIFS('Pasted Bridges'!$G:$G,'Pasted Bridges'!$B:$B,$C44,'Pasted Bridges'!$F:$F,CY$5)</f>
        <v>0</v>
      </c>
      <c r="CZ44" s="17">
        <f>SUMIFS('Pasted Bridges'!$G:$G,'Pasted Bridges'!$B:$B,$C44,'Pasted Bridges'!$F:$F,CZ$5)</f>
        <v>0</v>
      </c>
      <c r="DA44" s="17">
        <f>SUMIFS('Pasted Bridges'!$G:$G,'Pasted Bridges'!$B:$B,$C44,'Pasted Bridges'!$F:$F,DA$5)</f>
        <v>0</v>
      </c>
    </row>
    <row r="45" spans="2:105" s="1" customFormat="1" x14ac:dyDescent="0.25">
      <c r="B45" s="75"/>
      <c r="C45" s="19" t="s">
        <v>33</v>
      </c>
      <c r="D45" s="19" t="s">
        <v>193</v>
      </c>
      <c r="E45" s="13" t="s">
        <v>199</v>
      </c>
      <c r="F45" s="2">
        <v>40</v>
      </c>
      <c r="G45" s="5">
        <v>0.12</v>
      </c>
      <c r="H45" s="2" t="s">
        <v>42</v>
      </c>
      <c r="I45" s="2">
        <v>0.04</v>
      </c>
      <c r="J45" s="3"/>
      <c r="K45" s="17">
        <f>SUMIFS('Pasted Bridges'!$G:$G,'Pasted Bridges'!$B:$B,$C45,'Pasted Bridges'!$F:$F,K$5)</f>
        <v>0</v>
      </c>
      <c r="L45" s="17">
        <f>SUMIFS('Pasted Bridges'!$G:$G,'Pasted Bridges'!$B:$B,$C45,'Pasted Bridges'!$F:$F,L$5)</f>
        <v>0</v>
      </c>
      <c r="M45" s="17">
        <f>SUMIFS('Pasted Bridges'!$G:$G,'Pasted Bridges'!$B:$B,$C45,'Pasted Bridges'!$F:$F,M$5)</f>
        <v>0</v>
      </c>
      <c r="N45" s="17">
        <f>SUMIFS('Pasted Bridges'!$G:$G,'Pasted Bridges'!$B:$B,$C45,'Pasted Bridges'!$F:$F,N$5)</f>
        <v>0</v>
      </c>
      <c r="O45" s="17">
        <f>SUMIFS('Pasted Bridges'!$G:$G,'Pasted Bridges'!$B:$B,$C45,'Pasted Bridges'!$F:$F,O$5)</f>
        <v>0</v>
      </c>
      <c r="P45" s="17">
        <f>SUMIFS('Pasted Bridges'!$G:$G,'Pasted Bridges'!$B:$B,$C45,'Pasted Bridges'!$F:$F,P$5)</f>
        <v>0</v>
      </c>
      <c r="Q45" s="17">
        <f>SUMIFS('Pasted Bridges'!$G:$G,'Pasted Bridges'!$B:$B,$C45,'Pasted Bridges'!$F:$F,Q$5)</f>
        <v>0</v>
      </c>
      <c r="R45" s="17">
        <f>SUMIFS('Pasted Bridges'!$G:$G,'Pasted Bridges'!$B:$B,$C45,'Pasted Bridges'!$F:$F,R$5)</f>
        <v>0</v>
      </c>
      <c r="S45" s="17">
        <f>SUMIFS('Pasted Bridges'!$G:$G,'Pasted Bridges'!$B:$B,$C45,'Pasted Bridges'!$F:$F,S$5)</f>
        <v>0</v>
      </c>
      <c r="T45" s="17">
        <f>SUMIFS('Pasted Bridges'!$G:$G,'Pasted Bridges'!$B:$B,$C45,'Pasted Bridges'!$F:$F,T$5)</f>
        <v>0</v>
      </c>
      <c r="U45" s="17">
        <f>SUMIFS('Pasted Bridges'!$G:$G,'Pasted Bridges'!$B:$B,$C45,'Pasted Bridges'!$F:$F,U$5)</f>
        <v>0</v>
      </c>
      <c r="V45" s="17">
        <f>SUMIFS('Pasted Bridges'!$G:$G,'Pasted Bridges'!$B:$B,$C45,'Pasted Bridges'!$F:$F,V$5)</f>
        <v>0</v>
      </c>
      <c r="W45" s="17">
        <f>SUMIFS('Pasted Bridges'!$G:$G,'Pasted Bridges'!$B:$B,$C45,'Pasted Bridges'!$F:$F,W$5)</f>
        <v>0</v>
      </c>
      <c r="X45" s="17">
        <f>SUMIFS('Pasted Bridges'!$G:$G,'Pasted Bridges'!$B:$B,$C45,'Pasted Bridges'!$F:$F,X$5)</f>
        <v>0</v>
      </c>
      <c r="Y45" s="17">
        <f>SUMIFS('Pasted Bridges'!$G:$G,'Pasted Bridges'!$B:$B,$C45,'Pasted Bridges'!$F:$F,Y$5)</f>
        <v>0</v>
      </c>
      <c r="Z45" s="17">
        <f>SUMIFS('Pasted Bridges'!$G:$G,'Pasted Bridges'!$B:$B,$C45,'Pasted Bridges'!$F:$F,Z$5)</f>
        <v>0</v>
      </c>
      <c r="AA45" s="17">
        <f>SUMIFS('Pasted Bridges'!$G:$G,'Pasted Bridges'!$B:$B,$C45,'Pasted Bridges'!$F:$F,AA$5)</f>
        <v>0</v>
      </c>
      <c r="AB45" s="17">
        <f>SUMIFS('Pasted Bridges'!$G:$G,'Pasted Bridges'!$B:$B,$C45,'Pasted Bridges'!$F:$F,AB$5)</f>
        <v>0</v>
      </c>
      <c r="AC45" s="17">
        <f>SUMIFS('Pasted Bridges'!$G:$G,'Pasted Bridges'!$B:$B,$C45,'Pasted Bridges'!$F:$F,AC$5)</f>
        <v>0</v>
      </c>
      <c r="AD45" s="17">
        <f>SUMIFS('Pasted Bridges'!$G:$G,'Pasted Bridges'!$B:$B,$C45,'Pasted Bridges'!$F:$F,AD$5)</f>
        <v>0</v>
      </c>
      <c r="AE45" s="17">
        <f>SUMIFS('Pasted Bridges'!$G:$G,'Pasted Bridges'!$B:$B,$C45,'Pasted Bridges'!$F:$F,AE$5)</f>
        <v>0</v>
      </c>
      <c r="AF45" s="17">
        <f>SUMIFS('Pasted Bridges'!$G:$G,'Pasted Bridges'!$B:$B,$C45,'Pasted Bridges'!$F:$F,AF$5)</f>
        <v>0</v>
      </c>
      <c r="AG45" s="17">
        <f>SUMIFS('Pasted Bridges'!$G:$G,'Pasted Bridges'!$B:$B,$C45,'Pasted Bridges'!$F:$F,AG$5)</f>
        <v>0</v>
      </c>
      <c r="AH45" s="17">
        <f>SUMIFS('Pasted Bridges'!$G:$G,'Pasted Bridges'!$B:$B,$C45,'Pasted Bridges'!$F:$F,AH$5)</f>
        <v>0</v>
      </c>
      <c r="AI45" s="17">
        <f>SUMIFS('Pasted Bridges'!$G:$G,'Pasted Bridges'!$B:$B,$C45,'Pasted Bridges'!$F:$F,AI$5)</f>
        <v>0</v>
      </c>
      <c r="AJ45" s="17">
        <f>SUMIFS('Pasted Bridges'!$G:$G,'Pasted Bridges'!$B:$B,$C45,'Pasted Bridges'!$F:$F,AJ$5)</f>
        <v>0</v>
      </c>
      <c r="AK45" s="17">
        <f>SUMIFS('Pasted Bridges'!$G:$G,'Pasted Bridges'!$B:$B,$C45,'Pasted Bridges'!$F:$F,AK$5)</f>
        <v>0</v>
      </c>
      <c r="AL45" s="17">
        <f>SUMIFS('Pasted Bridges'!$G:$G,'Pasted Bridges'!$B:$B,$C45,'Pasted Bridges'!$F:$F,AL$5)</f>
        <v>0</v>
      </c>
      <c r="AM45" s="17">
        <f>SUMIFS('Pasted Bridges'!$G:$G,'Pasted Bridges'!$B:$B,$C45,'Pasted Bridges'!$F:$F,AM$5)</f>
        <v>0</v>
      </c>
      <c r="AN45" s="17">
        <f>SUMIFS('Pasted Bridges'!$G:$G,'Pasted Bridges'!$B:$B,$C45,'Pasted Bridges'!$F:$F,AN$5)</f>
        <v>0</v>
      </c>
      <c r="AO45" s="17">
        <f>SUMIFS('Pasted Bridges'!$G:$G,'Pasted Bridges'!$B:$B,$C45,'Pasted Bridges'!$F:$F,AO$5)</f>
        <v>0</v>
      </c>
      <c r="AP45" s="17">
        <f>SUMIFS('Pasted Bridges'!$G:$G,'Pasted Bridges'!$B:$B,$C45,'Pasted Bridges'!$F:$F,AP$5)</f>
        <v>0</v>
      </c>
      <c r="AQ45" s="17">
        <f>SUMIFS('Pasted Bridges'!$G:$G,'Pasted Bridges'!$B:$B,$C45,'Pasted Bridges'!$F:$F,AQ$5)</f>
        <v>0</v>
      </c>
      <c r="AR45" s="17">
        <f>SUMIFS('Pasted Bridges'!$G:$G,'Pasted Bridges'!$B:$B,$C45,'Pasted Bridges'!$F:$F,AR$5)</f>
        <v>0</v>
      </c>
      <c r="AS45" s="17">
        <f>SUMIFS('Pasted Bridges'!$G:$G,'Pasted Bridges'!$B:$B,$C45,'Pasted Bridges'!$F:$F,AS$5)</f>
        <v>0</v>
      </c>
      <c r="AT45" s="17">
        <f>SUMIFS('Pasted Bridges'!$G:$G,'Pasted Bridges'!$B:$B,$C45,'Pasted Bridges'!$F:$F,AT$5)</f>
        <v>0</v>
      </c>
      <c r="AU45" s="17">
        <f>SUMIFS('Pasted Bridges'!$G:$G,'Pasted Bridges'!$B:$B,$C45,'Pasted Bridges'!$F:$F,AU$5)</f>
        <v>0</v>
      </c>
      <c r="AV45" s="17">
        <f>SUMIFS('Pasted Bridges'!$G:$G,'Pasted Bridges'!$B:$B,$C45,'Pasted Bridges'!$F:$F,AV$5)</f>
        <v>0</v>
      </c>
      <c r="AW45" s="17">
        <f>SUMIFS('Pasted Bridges'!$G:$G,'Pasted Bridges'!$B:$B,$C45,'Pasted Bridges'!$F:$F,AW$5)</f>
        <v>0</v>
      </c>
      <c r="AX45" s="17">
        <f>SUMIFS('Pasted Bridges'!$G:$G,'Pasted Bridges'!$B:$B,$C45,'Pasted Bridges'!$F:$F,AX$5)</f>
        <v>0</v>
      </c>
      <c r="AY45" s="17">
        <f>SUMIFS('Pasted Bridges'!$G:$G,'Pasted Bridges'!$B:$B,$C45,'Pasted Bridges'!$F:$F,AY$5)</f>
        <v>0</v>
      </c>
      <c r="AZ45" s="17">
        <f>SUMIFS('Pasted Bridges'!$G:$G,'Pasted Bridges'!$B:$B,$C45,'Pasted Bridges'!$F:$F,AZ$5)</f>
        <v>0</v>
      </c>
      <c r="BA45" s="17">
        <f>SUMIFS('Pasted Bridges'!$G:$G,'Pasted Bridges'!$B:$B,$C45,'Pasted Bridges'!$F:$F,BA$5)</f>
        <v>0</v>
      </c>
      <c r="BB45" s="17">
        <f>SUMIFS('Pasted Bridges'!$G:$G,'Pasted Bridges'!$B:$B,$C45,'Pasted Bridges'!$F:$F,BB$5)</f>
        <v>0</v>
      </c>
      <c r="BC45" s="17">
        <f>SUMIFS('Pasted Bridges'!$G:$G,'Pasted Bridges'!$B:$B,$C45,'Pasted Bridges'!$F:$F,BC$5)</f>
        <v>0</v>
      </c>
      <c r="BD45" s="17">
        <f>SUMIFS('Pasted Bridges'!$G:$G,'Pasted Bridges'!$B:$B,$C45,'Pasted Bridges'!$F:$F,BD$5)</f>
        <v>0</v>
      </c>
      <c r="BE45" s="17">
        <f>SUMIFS('Pasted Bridges'!$G:$G,'Pasted Bridges'!$B:$B,$C45,'Pasted Bridges'!$F:$F,BE$5)</f>
        <v>0</v>
      </c>
      <c r="BF45" s="17">
        <f>SUMIFS('Pasted Bridges'!$G:$G,'Pasted Bridges'!$B:$B,$C45,'Pasted Bridges'!$F:$F,BF$5)</f>
        <v>0</v>
      </c>
      <c r="BG45" s="17">
        <f>SUMIFS('Pasted Bridges'!$G:$G,'Pasted Bridges'!$B:$B,$C45,'Pasted Bridges'!$F:$F,BG$5)</f>
        <v>0</v>
      </c>
      <c r="BH45" s="17">
        <f>SUMIFS('Pasted Bridges'!$G:$G,'Pasted Bridges'!$B:$B,$C45,'Pasted Bridges'!$F:$F,BH$5)</f>
        <v>0</v>
      </c>
      <c r="BI45" s="17">
        <f>SUMIFS('Pasted Bridges'!$G:$G,'Pasted Bridges'!$B:$B,$C45,'Pasted Bridges'!$F:$F,BI$5)</f>
        <v>0</v>
      </c>
      <c r="BJ45" s="17">
        <f>SUMIFS('Pasted Bridges'!$G:$G,'Pasted Bridges'!$B:$B,$C45,'Pasted Bridges'!$F:$F,BJ$5)</f>
        <v>0</v>
      </c>
      <c r="BK45" s="17">
        <f>SUMIFS('Pasted Bridges'!$G:$G,'Pasted Bridges'!$B:$B,$C45,'Pasted Bridges'!$F:$F,BK$5)</f>
        <v>0</v>
      </c>
      <c r="BL45" s="17">
        <f>SUMIFS('Pasted Bridges'!$G:$G,'Pasted Bridges'!$B:$B,$C45,'Pasted Bridges'!$F:$F,BL$5)</f>
        <v>0</v>
      </c>
      <c r="BM45" s="17">
        <f>SUMIFS('Pasted Bridges'!$G:$G,'Pasted Bridges'!$B:$B,$C45,'Pasted Bridges'!$F:$F,BM$5)</f>
        <v>0</v>
      </c>
      <c r="BN45" s="17">
        <f>SUMIFS('Pasted Bridges'!$G:$G,'Pasted Bridges'!$B:$B,$C45,'Pasted Bridges'!$F:$F,BN$5)</f>
        <v>0</v>
      </c>
      <c r="BO45" s="17">
        <f>SUMIFS('Pasted Bridges'!$G:$G,'Pasted Bridges'!$B:$B,$C45,'Pasted Bridges'!$F:$F,BO$5)</f>
        <v>0</v>
      </c>
      <c r="BP45" s="17">
        <f>SUMIFS('Pasted Bridges'!$G:$G,'Pasted Bridges'!$B:$B,$C45,'Pasted Bridges'!$F:$F,BP$5)</f>
        <v>0</v>
      </c>
      <c r="BQ45" s="17">
        <f>SUMIFS('Pasted Bridges'!$G:$G,'Pasted Bridges'!$B:$B,$C45,'Pasted Bridges'!$F:$F,BQ$5)</f>
        <v>0</v>
      </c>
      <c r="BR45" s="17">
        <f>SUMIFS('Pasted Bridges'!$G:$G,'Pasted Bridges'!$B:$B,$C45,'Pasted Bridges'!$F:$F,BR$5)</f>
        <v>0</v>
      </c>
      <c r="BS45" s="17">
        <f>SUMIFS('Pasted Bridges'!$G:$G,'Pasted Bridges'!$B:$B,$C45,'Pasted Bridges'!$F:$F,BS$5)</f>
        <v>0</v>
      </c>
      <c r="BT45" s="17">
        <f>SUMIFS('Pasted Bridges'!$G:$G,'Pasted Bridges'!$B:$B,$C45,'Pasted Bridges'!$F:$F,BT$5)</f>
        <v>0</v>
      </c>
      <c r="BU45" s="17">
        <f>SUMIFS('Pasted Bridges'!$G:$G,'Pasted Bridges'!$B:$B,$C45,'Pasted Bridges'!$F:$F,BU$5)</f>
        <v>0</v>
      </c>
      <c r="BV45" s="17">
        <f>SUMIFS('Pasted Bridges'!$G:$G,'Pasted Bridges'!$B:$B,$C45,'Pasted Bridges'!$F:$F,BV$5)</f>
        <v>0</v>
      </c>
      <c r="BW45" s="17">
        <f>SUMIFS('Pasted Bridges'!$G:$G,'Pasted Bridges'!$B:$B,$C45,'Pasted Bridges'!$F:$F,BW$5)</f>
        <v>0</v>
      </c>
      <c r="BX45" s="17">
        <f>SUMIFS('Pasted Bridges'!$G:$G,'Pasted Bridges'!$B:$B,$C45,'Pasted Bridges'!$F:$F,BX$5)</f>
        <v>0</v>
      </c>
      <c r="BY45" s="17">
        <f>SUMIFS('Pasted Bridges'!$G:$G,'Pasted Bridges'!$B:$B,$C45,'Pasted Bridges'!$F:$F,BY$5)</f>
        <v>0</v>
      </c>
      <c r="BZ45" s="17">
        <f>SUMIFS('Pasted Bridges'!$G:$G,'Pasted Bridges'!$B:$B,$C45,'Pasted Bridges'!$F:$F,BZ$5)</f>
        <v>0</v>
      </c>
      <c r="CA45" s="17">
        <f>SUMIFS('Pasted Bridges'!$G:$G,'Pasted Bridges'!$B:$B,$C45,'Pasted Bridges'!$F:$F,CA$5)</f>
        <v>0</v>
      </c>
      <c r="CB45" s="17">
        <f>SUMIFS('Pasted Bridges'!$G:$G,'Pasted Bridges'!$B:$B,$C45,'Pasted Bridges'!$F:$F,CB$5)</f>
        <v>0</v>
      </c>
      <c r="CC45" s="17">
        <f>SUMIFS('Pasted Bridges'!$G:$G,'Pasted Bridges'!$B:$B,$C45,'Pasted Bridges'!$F:$F,CC$5)</f>
        <v>0</v>
      </c>
      <c r="CD45" s="17">
        <f>SUMIFS('Pasted Bridges'!$G:$G,'Pasted Bridges'!$B:$B,$C45,'Pasted Bridges'!$F:$F,CD$5)</f>
        <v>0</v>
      </c>
      <c r="CE45" s="17">
        <f>SUMIFS('Pasted Bridges'!$G:$G,'Pasted Bridges'!$B:$B,$C45,'Pasted Bridges'!$F:$F,CE$5)</f>
        <v>0</v>
      </c>
      <c r="CF45" s="17">
        <f>SUMIFS('Pasted Bridges'!$G:$G,'Pasted Bridges'!$B:$B,$C45,'Pasted Bridges'!$F:$F,CF$5)</f>
        <v>0</v>
      </c>
      <c r="CG45" s="17">
        <f>SUMIFS('Pasted Bridges'!$G:$G,'Pasted Bridges'!$B:$B,$C45,'Pasted Bridges'!$F:$F,CG$5)</f>
        <v>0</v>
      </c>
      <c r="CH45" s="17">
        <f>SUMIFS('Pasted Bridges'!$G:$G,'Pasted Bridges'!$B:$B,$C45,'Pasted Bridges'!$F:$F,CH$5)</f>
        <v>0</v>
      </c>
      <c r="CI45" s="17">
        <f>SUMIFS('Pasted Bridges'!$G:$G,'Pasted Bridges'!$B:$B,$C45,'Pasted Bridges'!$F:$F,CI$5)</f>
        <v>0</v>
      </c>
      <c r="CJ45" s="17">
        <f>SUMIFS('Pasted Bridges'!$G:$G,'Pasted Bridges'!$B:$B,$C45,'Pasted Bridges'!$F:$F,CJ$5)</f>
        <v>0</v>
      </c>
      <c r="CK45" s="17">
        <f>SUMIFS('Pasted Bridges'!$G:$G,'Pasted Bridges'!$B:$B,$C45,'Pasted Bridges'!$F:$F,CK$5)</f>
        <v>0</v>
      </c>
      <c r="CL45" s="17">
        <f>SUMIFS('Pasted Bridges'!$G:$G,'Pasted Bridges'!$B:$B,$C45,'Pasted Bridges'!$F:$F,CL$5)</f>
        <v>0</v>
      </c>
      <c r="CM45" s="17">
        <f>SUMIFS('Pasted Bridges'!$G:$G,'Pasted Bridges'!$B:$B,$C45,'Pasted Bridges'!$F:$F,CM$5)</f>
        <v>0</v>
      </c>
      <c r="CN45" s="17">
        <f>SUMIFS('Pasted Bridges'!$G:$G,'Pasted Bridges'!$B:$B,$C45,'Pasted Bridges'!$F:$F,CN$5)</f>
        <v>0</v>
      </c>
      <c r="CO45" s="17">
        <f>SUMIFS('Pasted Bridges'!$G:$G,'Pasted Bridges'!$B:$B,$C45,'Pasted Bridges'!$F:$F,CO$5)</f>
        <v>0</v>
      </c>
      <c r="CP45" s="17">
        <f>SUMIFS('Pasted Bridges'!$G:$G,'Pasted Bridges'!$B:$B,$C45,'Pasted Bridges'!$F:$F,CP$5)</f>
        <v>0</v>
      </c>
      <c r="CQ45" s="17">
        <f>SUMIFS('Pasted Bridges'!$G:$G,'Pasted Bridges'!$B:$B,$C45,'Pasted Bridges'!$F:$F,CQ$5)</f>
        <v>0</v>
      </c>
      <c r="CR45" s="17">
        <f>SUMIFS('Pasted Bridges'!$G:$G,'Pasted Bridges'!$B:$B,$C45,'Pasted Bridges'!$F:$F,CR$5)</f>
        <v>0</v>
      </c>
      <c r="CS45" s="17">
        <f>SUMIFS('Pasted Bridges'!$G:$G,'Pasted Bridges'!$B:$B,$C45,'Pasted Bridges'!$F:$F,CS$5)</f>
        <v>0</v>
      </c>
      <c r="CT45" s="17">
        <f>SUMIFS('Pasted Bridges'!$G:$G,'Pasted Bridges'!$B:$B,$C45,'Pasted Bridges'!$F:$F,CT$5)</f>
        <v>0</v>
      </c>
      <c r="CU45" s="17">
        <f>SUMIFS('Pasted Bridges'!$G:$G,'Pasted Bridges'!$B:$B,$C45,'Pasted Bridges'!$F:$F,CU$5)</f>
        <v>0</v>
      </c>
      <c r="CV45" s="17">
        <f>SUMIFS('Pasted Bridges'!$G:$G,'Pasted Bridges'!$B:$B,$C45,'Pasted Bridges'!$F:$F,CV$5)</f>
        <v>0</v>
      </c>
      <c r="CW45" s="17">
        <f>SUMIFS('Pasted Bridges'!$G:$G,'Pasted Bridges'!$B:$B,$C45,'Pasted Bridges'!$F:$F,CW$5)</f>
        <v>0</v>
      </c>
      <c r="CX45" s="17">
        <f>SUMIFS('Pasted Bridges'!$G:$G,'Pasted Bridges'!$B:$B,$C45,'Pasted Bridges'!$F:$F,CX$5)</f>
        <v>0</v>
      </c>
      <c r="CY45" s="17">
        <f>SUMIFS('Pasted Bridges'!$G:$G,'Pasted Bridges'!$B:$B,$C45,'Pasted Bridges'!$F:$F,CY$5)</f>
        <v>0</v>
      </c>
      <c r="CZ45" s="17">
        <f>SUMIFS('Pasted Bridges'!$G:$G,'Pasted Bridges'!$B:$B,$C45,'Pasted Bridges'!$F:$F,CZ$5)</f>
        <v>0</v>
      </c>
      <c r="DA45" s="17">
        <f>SUMIFS('Pasted Bridges'!$G:$G,'Pasted Bridges'!$B:$B,$C45,'Pasted Bridges'!$F:$F,DA$5)</f>
        <v>0</v>
      </c>
    </row>
    <row r="46" spans="2:105" s="1" customFormat="1" x14ac:dyDescent="0.25">
      <c r="B46" s="76"/>
      <c r="C46" s="19" t="s">
        <v>34</v>
      </c>
      <c r="D46" s="19" t="s">
        <v>194</v>
      </c>
      <c r="E46" s="13" t="s">
        <v>199</v>
      </c>
      <c r="F46" s="2">
        <v>41</v>
      </c>
      <c r="G46" s="5">
        <v>0.12</v>
      </c>
      <c r="H46" s="2" t="s">
        <v>42</v>
      </c>
      <c r="I46" s="2">
        <v>0.06</v>
      </c>
      <c r="J46" s="3"/>
      <c r="K46" s="17">
        <f>SUMIFS('Pasted Bridges'!$G:$G,'Pasted Bridges'!$B:$B,$C46,'Pasted Bridges'!$F:$F,K$5)</f>
        <v>0</v>
      </c>
      <c r="L46" s="17">
        <f>SUMIFS('Pasted Bridges'!$G:$G,'Pasted Bridges'!$B:$B,$C46,'Pasted Bridges'!$F:$F,L$5)</f>
        <v>0</v>
      </c>
      <c r="M46" s="17">
        <f>SUMIFS('Pasted Bridges'!$G:$G,'Pasted Bridges'!$B:$B,$C46,'Pasted Bridges'!$F:$F,M$5)</f>
        <v>0</v>
      </c>
      <c r="N46" s="17">
        <f>SUMIFS('Pasted Bridges'!$G:$G,'Pasted Bridges'!$B:$B,$C46,'Pasted Bridges'!$F:$F,N$5)</f>
        <v>0</v>
      </c>
      <c r="O46" s="17">
        <f>SUMIFS('Pasted Bridges'!$G:$G,'Pasted Bridges'!$B:$B,$C46,'Pasted Bridges'!$F:$F,O$5)</f>
        <v>0</v>
      </c>
      <c r="P46" s="17">
        <f>SUMIFS('Pasted Bridges'!$G:$G,'Pasted Bridges'!$B:$B,$C46,'Pasted Bridges'!$F:$F,P$5)</f>
        <v>0</v>
      </c>
      <c r="Q46" s="17">
        <f>SUMIFS('Pasted Bridges'!$G:$G,'Pasted Bridges'!$B:$B,$C46,'Pasted Bridges'!$F:$F,Q$5)</f>
        <v>0</v>
      </c>
      <c r="R46" s="17">
        <f>SUMIFS('Pasted Bridges'!$G:$G,'Pasted Bridges'!$B:$B,$C46,'Pasted Bridges'!$F:$F,R$5)</f>
        <v>0</v>
      </c>
      <c r="S46" s="17">
        <f>SUMIFS('Pasted Bridges'!$G:$G,'Pasted Bridges'!$B:$B,$C46,'Pasted Bridges'!$F:$F,S$5)</f>
        <v>0</v>
      </c>
      <c r="T46" s="17">
        <f>SUMIFS('Pasted Bridges'!$G:$G,'Pasted Bridges'!$B:$B,$C46,'Pasted Bridges'!$F:$F,T$5)</f>
        <v>0</v>
      </c>
      <c r="U46" s="17">
        <f>SUMIFS('Pasted Bridges'!$G:$G,'Pasted Bridges'!$B:$B,$C46,'Pasted Bridges'!$F:$F,U$5)</f>
        <v>0</v>
      </c>
      <c r="V46" s="17">
        <f>SUMIFS('Pasted Bridges'!$G:$G,'Pasted Bridges'!$B:$B,$C46,'Pasted Bridges'!$F:$F,V$5)</f>
        <v>0</v>
      </c>
      <c r="W46" s="17">
        <f>SUMIFS('Pasted Bridges'!$G:$G,'Pasted Bridges'!$B:$B,$C46,'Pasted Bridges'!$F:$F,W$5)</f>
        <v>0</v>
      </c>
      <c r="X46" s="17">
        <f>SUMIFS('Pasted Bridges'!$G:$G,'Pasted Bridges'!$B:$B,$C46,'Pasted Bridges'!$F:$F,X$5)</f>
        <v>0</v>
      </c>
      <c r="Y46" s="17">
        <f>SUMIFS('Pasted Bridges'!$G:$G,'Pasted Bridges'!$B:$B,$C46,'Pasted Bridges'!$F:$F,Y$5)</f>
        <v>0</v>
      </c>
      <c r="Z46" s="17">
        <f>SUMIFS('Pasted Bridges'!$G:$G,'Pasted Bridges'!$B:$B,$C46,'Pasted Bridges'!$F:$F,Z$5)</f>
        <v>0</v>
      </c>
      <c r="AA46" s="17">
        <f>SUMIFS('Pasted Bridges'!$G:$G,'Pasted Bridges'!$B:$B,$C46,'Pasted Bridges'!$F:$F,AA$5)</f>
        <v>0</v>
      </c>
      <c r="AB46" s="17">
        <f>SUMIFS('Pasted Bridges'!$G:$G,'Pasted Bridges'!$B:$B,$C46,'Pasted Bridges'!$F:$F,AB$5)</f>
        <v>0</v>
      </c>
      <c r="AC46" s="17">
        <f>SUMIFS('Pasted Bridges'!$G:$G,'Pasted Bridges'!$B:$B,$C46,'Pasted Bridges'!$F:$F,AC$5)</f>
        <v>0</v>
      </c>
      <c r="AD46" s="17">
        <f>SUMIFS('Pasted Bridges'!$G:$G,'Pasted Bridges'!$B:$B,$C46,'Pasted Bridges'!$F:$F,AD$5)</f>
        <v>0</v>
      </c>
      <c r="AE46" s="17">
        <f>SUMIFS('Pasted Bridges'!$G:$G,'Pasted Bridges'!$B:$B,$C46,'Pasted Bridges'!$F:$F,AE$5)</f>
        <v>0</v>
      </c>
      <c r="AF46" s="17">
        <f>SUMIFS('Pasted Bridges'!$G:$G,'Pasted Bridges'!$B:$B,$C46,'Pasted Bridges'!$F:$F,AF$5)</f>
        <v>0</v>
      </c>
      <c r="AG46" s="17">
        <f>SUMIFS('Pasted Bridges'!$G:$G,'Pasted Bridges'!$B:$B,$C46,'Pasted Bridges'!$F:$F,AG$5)</f>
        <v>0</v>
      </c>
      <c r="AH46" s="17">
        <f>SUMIFS('Pasted Bridges'!$G:$G,'Pasted Bridges'!$B:$B,$C46,'Pasted Bridges'!$F:$F,AH$5)</f>
        <v>0</v>
      </c>
      <c r="AI46" s="17">
        <f>SUMIFS('Pasted Bridges'!$G:$G,'Pasted Bridges'!$B:$B,$C46,'Pasted Bridges'!$F:$F,AI$5)</f>
        <v>0</v>
      </c>
      <c r="AJ46" s="17">
        <f>SUMIFS('Pasted Bridges'!$G:$G,'Pasted Bridges'!$B:$B,$C46,'Pasted Bridges'!$F:$F,AJ$5)</f>
        <v>0</v>
      </c>
      <c r="AK46" s="17">
        <f>SUMIFS('Pasted Bridges'!$G:$G,'Pasted Bridges'!$B:$B,$C46,'Pasted Bridges'!$F:$F,AK$5)</f>
        <v>0</v>
      </c>
      <c r="AL46" s="17">
        <f>SUMIFS('Pasted Bridges'!$G:$G,'Pasted Bridges'!$B:$B,$C46,'Pasted Bridges'!$F:$F,AL$5)</f>
        <v>0</v>
      </c>
      <c r="AM46" s="17">
        <f>SUMIFS('Pasted Bridges'!$G:$G,'Pasted Bridges'!$B:$B,$C46,'Pasted Bridges'!$F:$F,AM$5)</f>
        <v>0</v>
      </c>
      <c r="AN46" s="17">
        <f>SUMIFS('Pasted Bridges'!$G:$G,'Pasted Bridges'!$B:$B,$C46,'Pasted Bridges'!$F:$F,AN$5)</f>
        <v>0</v>
      </c>
      <c r="AO46" s="17">
        <f>SUMIFS('Pasted Bridges'!$G:$G,'Pasted Bridges'!$B:$B,$C46,'Pasted Bridges'!$F:$F,AO$5)</f>
        <v>0</v>
      </c>
      <c r="AP46" s="17">
        <f>SUMIFS('Pasted Bridges'!$G:$G,'Pasted Bridges'!$B:$B,$C46,'Pasted Bridges'!$F:$F,AP$5)</f>
        <v>0</v>
      </c>
      <c r="AQ46" s="17">
        <f>SUMIFS('Pasted Bridges'!$G:$G,'Pasted Bridges'!$B:$B,$C46,'Pasted Bridges'!$F:$F,AQ$5)</f>
        <v>0</v>
      </c>
      <c r="AR46" s="17">
        <f>SUMIFS('Pasted Bridges'!$G:$G,'Pasted Bridges'!$B:$B,$C46,'Pasted Bridges'!$F:$F,AR$5)</f>
        <v>0</v>
      </c>
      <c r="AS46" s="17">
        <f>SUMIFS('Pasted Bridges'!$G:$G,'Pasted Bridges'!$B:$B,$C46,'Pasted Bridges'!$F:$F,AS$5)</f>
        <v>0</v>
      </c>
      <c r="AT46" s="17">
        <f>SUMIFS('Pasted Bridges'!$G:$G,'Pasted Bridges'!$B:$B,$C46,'Pasted Bridges'!$F:$F,AT$5)</f>
        <v>0</v>
      </c>
      <c r="AU46" s="17">
        <f>SUMIFS('Pasted Bridges'!$G:$G,'Pasted Bridges'!$B:$B,$C46,'Pasted Bridges'!$F:$F,AU$5)</f>
        <v>0</v>
      </c>
      <c r="AV46" s="17">
        <f>SUMIFS('Pasted Bridges'!$G:$G,'Pasted Bridges'!$B:$B,$C46,'Pasted Bridges'!$F:$F,AV$5)</f>
        <v>0</v>
      </c>
      <c r="AW46" s="17">
        <f>SUMIFS('Pasted Bridges'!$G:$G,'Pasted Bridges'!$B:$B,$C46,'Pasted Bridges'!$F:$F,AW$5)</f>
        <v>0</v>
      </c>
      <c r="AX46" s="17">
        <f>SUMIFS('Pasted Bridges'!$G:$G,'Pasted Bridges'!$B:$B,$C46,'Pasted Bridges'!$F:$F,AX$5)</f>
        <v>0</v>
      </c>
      <c r="AY46" s="17">
        <f>SUMIFS('Pasted Bridges'!$G:$G,'Pasted Bridges'!$B:$B,$C46,'Pasted Bridges'!$F:$F,AY$5)</f>
        <v>0</v>
      </c>
      <c r="AZ46" s="17">
        <f>SUMIFS('Pasted Bridges'!$G:$G,'Pasted Bridges'!$B:$B,$C46,'Pasted Bridges'!$F:$F,AZ$5)</f>
        <v>0</v>
      </c>
      <c r="BA46" s="17">
        <f>SUMIFS('Pasted Bridges'!$G:$G,'Pasted Bridges'!$B:$B,$C46,'Pasted Bridges'!$F:$F,BA$5)</f>
        <v>0</v>
      </c>
      <c r="BB46" s="17">
        <f>SUMIFS('Pasted Bridges'!$G:$G,'Pasted Bridges'!$B:$B,$C46,'Pasted Bridges'!$F:$F,BB$5)</f>
        <v>0</v>
      </c>
      <c r="BC46" s="17">
        <f>SUMIFS('Pasted Bridges'!$G:$G,'Pasted Bridges'!$B:$B,$C46,'Pasted Bridges'!$F:$F,BC$5)</f>
        <v>0</v>
      </c>
      <c r="BD46" s="17">
        <f>SUMIFS('Pasted Bridges'!$G:$G,'Pasted Bridges'!$B:$B,$C46,'Pasted Bridges'!$F:$F,BD$5)</f>
        <v>0</v>
      </c>
      <c r="BE46" s="17">
        <f>SUMIFS('Pasted Bridges'!$G:$G,'Pasted Bridges'!$B:$B,$C46,'Pasted Bridges'!$F:$F,BE$5)</f>
        <v>0</v>
      </c>
      <c r="BF46" s="17">
        <f>SUMIFS('Pasted Bridges'!$G:$G,'Pasted Bridges'!$B:$B,$C46,'Pasted Bridges'!$F:$F,BF$5)</f>
        <v>0</v>
      </c>
      <c r="BG46" s="17">
        <f>SUMIFS('Pasted Bridges'!$G:$G,'Pasted Bridges'!$B:$B,$C46,'Pasted Bridges'!$F:$F,BG$5)</f>
        <v>0</v>
      </c>
      <c r="BH46" s="17">
        <f>SUMIFS('Pasted Bridges'!$G:$G,'Pasted Bridges'!$B:$B,$C46,'Pasted Bridges'!$F:$F,BH$5)</f>
        <v>0</v>
      </c>
      <c r="BI46" s="17">
        <f>SUMIFS('Pasted Bridges'!$G:$G,'Pasted Bridges'!$B:$B,$C46,'Pasted Bridges'!$F:$F,BI$5)</f>
        <v>0</v>
      </c>
      <c r="BJ46" s="17">
        <f>SUMIFS('Pasted Bridges'!$G:$G,'Pasted Bridges'!$B:$B,$C46,'Pasted Bridges'!$F:$F,BJ$5)</f>
        <v>0</v>
      </c>
      <c r="BK46" s="17">
        <f>SUMIFS('Pasted Bridges'!$G:$G,'Pasted Bridges'!$B:$B,$C46,'Pasted Bridges'!$F:$F,BK$5)</f>
        <v>0</v>
      </c>
      <c r="BL46" s="17">
        <f>SUMIFS('Pasted Bridges'!$G:$G,'Pasted Bridges'!$B:$B,$C46,'Pasted Bridges'!$F:$F,BL$5)</f>
        <v>0</v>
      </c>
      <c r="BM46" s="17">
        <f>SUMIFS('Pasted Bridges'!$G:$G,'Pasted Bridges'!$B:$B,$C46,'Pasted Bridges'!$F:$F,BM$5)</f>
        <v>0</v>
      </c>
      <c r="BN46" s="17">
        <f>SUMIFS('Pasted Bridges'!$G:$G,'Pasted Bridges'!$B:$B,$C46,'Pasted Bridges'!$F:$F,BN$5)</f>
        <v>0</v>
      </c>
      <c r="BO46" s="17">
        <f>SUMIFS('Pasted Bridges'!$G:$G,'Pasted Bridges'!$B:$B,$C46,'Pasted Bridges'!$F:$F,BO$5)</f>
        <v>0</v>
      </c>
      <c r="BP46" s="17">
        <f>SUMIFS('Pasted Bridges'!$G:$G,'Pasted Bridges'!$B:$B,$C46,'Pasted Bridges'!$F:$F,BP$5)</f>
        <v>0</v>
      </c>
      <c r="BQ46" s="17">
        <f>SUMIFS('Pasted Bridges'!$G:$G,'Pasted Bridges'!$B:$B,$C46,'Pasted Bridges'!$F:$F,BQ$5)</f>
        <v>0</v>
      </c>
      <c r="BR46" s="17">
        <f>SUMIFS('Pasted Bridges'!$G:$G,'Pasted Bridges'!$B:$B,$C46,'Pasted Bridges'!$F:$F,BR$5)</f>
        <v>0</v>
      </c>
      <c r="BS46" s="17">
        <f>SUMIFS('Pasted Bridges'!$G:$G,'Pasted Bridges'!$B:$B,$C46,'Pasted Bridges'!$F:$F,BS$5)</f>
        <v>0</v>
      </c>
      <c r="BT46" s="17">
        <f>SUMIFS('Pasted Bridges'!$G:$G,'Pasted Bridges'!$B:$B,$C46,'Pasted Bridges'!$F:$F,BT$5)</f>
        <v>0</v>
      </c>
      <c r="BU46" s="17">
        <f>SUMIFS('Pasted Bridges'!$G:$G,'Pasted Bridges'!$B:$B,$C46,'Pasted Bridges'!$F:$F,BU$5)</f>
        <v>0</v>
      </c>
      <c r="BV46" s="17">
        <f>SUMIFS('Pasted Bridges'!$G:$G,'Pasted Bridges'!$B:$B,$C46,'Pasted Bridges'!$F:$F,BV$5)</f>
        <v>0</v>
      </c>
      <c r="BW46" s="17">
        <f>SUMIFS('Pasted Bridges'!$G:$G,'Pasted Bridges'!$B:$B,$C46,'Pasted Bridges'!$F:$F,BW$5)</f>
        <v>0</v>
      </c>
      <c r="BX46" s="17">
        <f>SUMIFS('Pasted Bridges'!$G:$G,'Pasted Bridges'!$B:$B,$C46,'Pasted Bridges'!$F:$F,BX$5)</f>
        <v>0</v>
      </c>
      <c r="BY46" s="17">
        <f>SUMIFS('Pasted Bridges'!$G:$G,'Pasted Bridges'!$B:$B,$C46,'Pasted Bridges'!$F:$F,BY$5)</f>
        <v>0</v>
      </c>
      <c r="BZ46" s="17">
        <f>SUMIFS('Pasted Bridges'!$G:$G,'Pasted Bridges'!$B:$B,$C46,'Pasted Bridges'!$F:$F,BZ$5)</f>
        <v>0</v>
      </c>
      <c r="CA46" s="17">
        <f>SUMIFS('Pasted Bridges'!$G:$G,'Pasted Bridges'!$B:$B,$C46,'Pasted Bridges'!$F:$F,CA$5)</f>
        <v>0</v>
      </c>
      <c r="CB46" s="17">
        <f>SUMIFS('Pasted Bridges'!$G:$G,'Pasted Bridges'!$B:$B,$C46,'Pasted Bridges'!$F:$F,CB$5)</f>
        <v>0</v>
      </c>
      <c r="CC46" s="17">
        <f>SUMIFS('Pasted Bridges'!$G:$G,'Pasted Bridges'!$B:$B,$C46,'Pasted Bridges'!$F:$F,CC$5)</f>
        <v>0</v>
      </c>
      <c r="CD46" s="17">
        <f>SUMIFS('Pasted Bridges'!$G:$G,'Pasted Bridges'!$B:$B,$C46,'Pasted Bridges'!$F:$F,CD$5)</f>
        <v>0</v>
      </c>
      <c r="CE46" s="17">
        <f>SUMIFS('Pasted Bridges'!$G:$G,'Pasted Bridges'!$B:$B,$C46,'Pasted Bridges'!$F:$F,CE$5)</f>
        <v>0</v>
      </c>
      <c r="CF46" s="17">
        <f>SUMIFS('Pasted Bridges'!$G:$G,'Pasted Bridges'!$B:$B,$C46,'Pasted Bridges'!$F:$F,CF$5)</f>
        <v>0</v>
      </c>
      <c r="CG46" s="17">
        <f>SUMIFS('Pasted Bridges'!$G:$G,'Pasted Bridges'!$B:$B,$C46,'Pasted Bridges'!$F:$F,CG$5)</f>
        <v>0</v>
      </c>
      <c r="CH46" s="17">
        <f>SUMIFS('Pasted Bridges'!$G:$G,'Pasted Bridges'!$B:$B,$C46,'Pasted Bridges'!$F:$F,CH$5)</f>
        <v>0</v>
      </c>
      <c r="CI46" s="17">
        <f>SUMIFS('Pasted Bridges'!$G:$G,'Pasted Bridges'!$B:$B,$C46,'Pasted Bridges'!$F:$F,CI$5)</f>
        <v>0</v>
      </c>
      <c r="CJ46" s="17">
        <f>SUMIFS('Pasted Bridges'!$G:$G,'Pasted Bridges'!$B:$B,$C46,'Pasted Bridges'!$F:$F,CJ$5)</f>
        <v>0</v>
      </c>
      <c r="CK46" s="17">
        <f>SUMIFS('Pasted Bridges'!$G:$G,'Pasted Bridges'!$B:$B,$C46,'Pasted Bridges'!$F:$F,CK$5)</f>
        <v>0</v>
      </c>
      <c r="CL46" s="17">
        <f>SUMIFS('Pasted Bridges'!$G:$G,'Pasted Bridges'!$B:$B,$C46,'Pasted Bridges'!$F:$F,CL$5)</f>
        <v>0</v>
      </c>
      <c r="CM46" s="17">
        <f>SUMIFS('Pasted Bridges'!$G:$G,'Pasted Bridges'!$B:$B,$C46,'Pasted Bridges'!$F:$F,CM$5)</f>
        <v>0</v>
      </c>
      <c r="CN46" s="17">
        <f>SUMIFS('Pasted Bridges'!$G:$G,'Pasted Bridges'!$B:$B,$C46,'Pasted Bridges'!$F:$F,CN$5)</f>
        <v>0</v>
      </c>
      <c r="CO46" s="17">
        <f>SUMIFS('Pasted Bridges'!$G:$G,'Pasted Bridges'!$B:$B,$C46,'Pasted Bridges'!$F:$F,CO$5)</f>
        <v>0</v>
      </c>
      <c r="CP46" s="17">
        <f>SUMIFS('Pasted Bridges'!$G:$G,'Pasted Bridges'!$B:$B,$C46,'Pasted Bridges'!$F:$F,CP$5)</f>
        <v>0</v>
      </c>
      <c r="CQ46" s="17">
        <f>SUMIFS('Pasted Bridges'!$G:$G,'Pasted Bridges'!$B:$B,$C46,'Pasted Bridges'!$F:$F,CQ$5)</f>
        <v>0</v>
      </c>
      <c r="CR46" s="17">
        <f>SUMIFS('Pasted Bridges'!$G:$G,'Pasted Bridges'!$B:$B,$C46,'Pasted Bridges'!$F:$F,CR$5)</f>
        <v>0</v>
      </c>
      <c r="CS46" s="17">
        <f>SUMIFS('Pasted Bridges'!$G:$G,'Pasted Bridges'!$B:$B,$C46,'Pasted Bridges'!$F:$F,CS$5)</f>
        <v>0</v>
      </c>
      <c r="CT46" s="17">
        <f>SUMIFS('Pasted Bridges'!$G:$G,'Pasted Bridges'!$B:$B,$C46,'Pasted Bridges'!$F:$F,CT$5)</f>
        <v>0</v>
      </c>
      <c r="CU46" s="17">
        <f>SUMIFS('Pasted Bridges'!$G:$G,'Pasted Bridges'!$B:$B,$C46,'Pasted Bridges'!$F:$F,CU$5)</f>
        <v>0</v>
      </c>
      <c r="CV46" s="17">
        <f>SUMIFS('Pasted Bridges'!$G:$G,'Pasted Bridges'!$B:$B,$C46,'Pasted Bridges'!$F:$F,CV$5)</f>
        <v>0</v>
      </c>
      <c r="CW46" s="17">
        <f>SUMIFS('Pasted Bridges'!$G:$G,'Pasted Bridges'!$B:$B,$C46,'Pasted Bridges'!$F:$F,CW$5)</f>
        <v>0</v>
      </c>
      <c r="CX46" s="17">
        <f>SUMIFS('Pasted Bridges'!$G:$G,'Pasted Bridges'!$B:$B,$C46,'Pasted Bridges'!$F:$F,CX$5)</f>
        <v>0</v>
      </c>
      <c r="CY46" s="17">
        <f>SUMIFS('Pasted Bridges'!$G:$G,'Pasted Bridges'!$B:$B,$C46,'Pasted Bridges'!$F:$F,CY$5)</f>
        <v>0</v>
      </c>
      <c r="CZ46" s="17">
        <f>SUMIFS('Pasted Bridges'!$G:$G,'Pasted Bridges'!$B:$B,$C46,'Pasted Bridges'!$F:$F,CZ$5)</f>
        <v>0</v>
      </c>
      <c r="DA46" s="17">
        <f>SUMIFS('Pasted Bridges'!$G:$G,'Pasted Bridges'!$B:$B,$C46,'Pasted Bridges'!$F:$F,DA$5)</f>
        <v>0</v>
      </c>
    </row>
    <row r="47" spans="2:105" s="1" customFormat="1" x14ac:dyDescent="0.25">
      <c r="B47" s="77"/>
      <c r="C47" s="19" t="s">
        <v>35</v>
      </c>
      <c r="D47" s="19" t="s">
        <v>195</v>
      </c>
      <c r="E47" s="13" t="s">
        <v>199</v>
      </c>
      <c r="F47" s="2">
        <v>42</v>
      </c>
      <c r="G47" s="5">
        <v>0.32</v>
      </c>
      <c r="H47" s="2" t="s">
        <v>42</v>
      </c>
      <c r="I47" s="2">
        <v>0.04</v>
      </c>
      <c r="J47" s="3"/>
      <c r="K47" s="17">
        <f>SUMIFS('Pasted Bridges'!$G:$G,'Pasted Bridges'!$B:$B,$C47,'Pasted Bridges'!$F:$F,K$5)</f>
        <v>0</v>
      </c>
      <c r="L47" s="17">
        <f>SUMIFS('Pasted Bridges'!$G:$G,'Pasted Bridges'!$B:$B,$C47,'Pasted Bridges'!$F:$F,L$5)</f>
        <v>0</v>
      </c>
      <c r="M47" s="17">
        <f>SUMIFS('Pasted Bridges'!$G:$G,'Pasted Bridges'!$B:$B,$C47,'Pasted Bridges'!$F:$F,M$5)</f>
        <v>0</v>
      </c>
      <c r="N47" s="17">
        <f>SUMIFS('Pasted Bridges'!$G:$G,'Pasted Bridges'!$B:$B,$C47,'Pasted Bridges'!$F:$F,N$5)</f>
        <v>0</v>
      </c>
      <c r="O47" s="17">
        <f>SUMIFS('Pasted Bridges'!$G:$G,'Pasted Bridges'!$B:$B,$C47,'Pasted Bridges'!$F:$F,O$5)</f>
        <v>0</v>
      </c>
      <c r="P47" s="17">
        <f>SUMIFS('Pasted Bridges'!$G:$G,'Pasted Bridges'!$B:$B,$C47,'Pasted Bridges'!$F:$F,P$5)</f>
        <v>0</v>
      </c>
      <c r="Q47" s="17">
        <f>SUMIFS('Pasted Bridges'!$G:$G,'Pasted Bridges'!$B:$B,$C47,'Pasted Bridges'!$F:$F,Q$5)</f>
        <v>0</v>
      </c>
      <c r="R47" s="17">
        <f>SUMIFS('Pasted Bridges'!$G:$G,'Pasted Bridges'!$B:$B,$C47,'Pasted Bridges'!$F:$F,R$5)</f>
        <v>0</v>
      </c>
      <c r="S47" s="17">
        <f>SUMIFS('Pasted Bridges'!$G:$G,'Pasted Bridges'!$B:$B,$C47,'Pasted Bridges'!$F:$F,S$5)</f>
        <v>0</v>
      </c>
      <c r="T47" s="17">
        <f>SUMIFS('Pasted Bridges'!$G:$G,'Pasted Bridges'!$B:$B,$C47,'Pasted Bridges'!$F:$F,T$5)</f>
        <v>0</v>
      </c>
      <c r="U47" s="17">
        <f>SUMIFS('Pasted Bridges'!$G:$G,'Pasted Bridges'!$B:$B,$C47,'Pasted Bridges'!$F:$F,U$5)</f>
        <v>0</v>
      </c>
      <c r="V47" s="17">
        <f>SUMIFS('Pasted Bridges'!$G:$G,'Pasted Bridges'!$B:$B,$C47,'Pasted Bridges'!$F:$F,V$5)</f>
        <v>0</v>
      </c>
      <c r="W47" s="17">
        <f>SUMIFS('Pasted Bridges'!$G:$G,'Pasted Bridges'!$B:$B,$C47,'Pasted Bridges'!$F:$F,W$5)</f>
        <v>0</v>
      </c>
      <c r="X47" s="17">
        <f>SUMIFS('Pasted Bridges'!$G:$G,'Pasted Bridges'!$B:$B,$C47,'Pasted Bridges'!$F:$F,X$5)</f>
        <v>0</v>
      </c>
      <c r="Y47" s="17">
        <f>SUMIFS('Pasted Bridges'!$G:$G,'Pasted Bridges'!$B:$B,$C47,'Pasted Bridges'!$F:$F,Y$5)</f>
        <v>0</v>
      </c>
      <c r="Z47" s="17">
        <f>SUMIFS('Pasted Bridges'!$G:$G,'Pasted Bridges'!$B:$B,$C47,'Pasted Bridges'!$F:$F,Z$5)</f>
        <v>0</v>
      </c>
      <c r="AA47" s="17">
        <f>SUMIFS('Pasted Bridges'!$G:$G,'Pasted Bridges'!$B:$B,$C47,'Pasted Bridges'!$F:$F,AA$5)</f>
        <v>0</v>
      </c>
      <c r="AB47" s="17">
        <f>SUMIFS('Pasted Bridges'!$G:$G,'Pasted Bridges'!$B:$B,$C47,'Pasted Bridges'!$F:$F,AB$5)</f>
        <v>0</v>
      </c>
      <c r="AC47" s="17">
        <f>SUMIFS('Pasted Bridges'!$G:$G,'Pasted Bridges'!$B:$B,$C47,'Pasted Bridges'!$F:$F,AC$5)</f>
        <v>0</v>
      </c>
      <c r="AD47" s="17">
        <f>SUMIFS('Pasted Bridges'!$G:$G,'Pasted Bridges'!$B:$B,$C47,'Pasted Bridges'!$F:$F,AD$5)</f>
        <v>0</v>
      </c>
      <c r="AE47" s="17">
        <f>SUMIFS('Pasted Bridges'!$G:$G,'Pasted Bridges'!$B:$B,$C47,'Pasted Bridges'!$F:$F,AE$5)</f>
        <v>0</v>
      </c>
      <c r="AF47" s="17">
        <f>SUMIFS('Pasted Bridges'!$G:$G,'Pasted Bridges'!$B:$B,$C47,'Pasted Bridges'!$F:$F,AF$5)</f>
        <v>0</v>
      </c>
      <c r="AG47" s="17">
        <f>SUMIFS('Pasted Bridges'!$G:$G,'Pasted Bridges'!$B:$B,$C47,'Pasted Bridges'!$F:$F,AG$5)</f>
        <v>0</v>
      </c>
      <c r="AH47" s="17">
        <f>SUMIFS('Pasted Bridges'!$G:$G,'Pasted Bridges'!$B:$B,$C47,'Pasted Bridges'!$F:$F,AH$5)</f>
        <v>0</v>
      </c>
      <c r="AI47" s="17">
        <f>SUMIFS('Pasted Bridges'!$G:$G,'Pasted Bridges'!$B:$B,$C47,'Pasted Bridges'!$F:$F,AI$5)</f>
        <v>0</v>
      </c>
      <c r="AJ47" s="17">
        <f>SUMIFS('Pasted Bridges'!$G:$G,'Pasted Bridges'!$B:$B,$C47,'Pasted Bridges'!$F:$F,AJ$5)</f>
        <v>0</v>
      </c>
      <c r="AK47" s="17">
        <f>SUMIFS('Pasted Bridges'!$G:$G,'Pasted Bridges'!$B:$B,$C47,'Pasted Bridges'!$F:$F,AK$5)</f>
        <v>0</v>
      </c>
      <c r="AL47" s="17">
        <f>SUMIFS('Pasted Bridges'!$G:$G,'Pasted Bridges'!$B:$B,$C47,'Pasted Bridges'!$F:$F,AL$5)</f>
        <v>0</v>
      </c>
      <c r="AM47" s="17">
        <f>SUMIFS('Pasted Bridges'!$G:$G,'Pasted Bridges'!$B:$B,$C47,'Pasted Bridges'!$F:$F,AM$5)</f>
        <v>0</v>
      </c>
      <c r="AN47" s="17">
        <f>SUMIFS('Pasted Bridges'!$G:$G,'Pasted Bridges'!$B:$B,$C47,'Pasted Bridges'!$F:$F,AN$5)</f>
        <v>0</v>
      </c>
      <c r="AO47" s="17">
        <f>SUMIFS('Pasted Bridges'!$G:$G,'Pasted Bridges'!$B:$B,$C47,'Pasted Bridges'!$F:$F,AO$5)</f>
        <v>0</v>
      </c>
      <c r="AP47" s="17">
        <f>SUMIFS('Pasted Bridges'!$G:$G,'Pasted Bridges'!$B:$B,$C47,'Pasted Bridges'!$F:$F,AP$5)</f>
        <v>0</v>
      </c>
      <c r="AQ47" s="17">
        <f>SUMIFS('Pasted Bridges'!$G:$G,'Pasted Bridges'!$B:$B,$C47,'Pasted Bridges'!$F:$F,AQ$5)</f>
        <v>0</v>
      </c>
      <c r="AR47" s="17">
        <f>SUMIFS('Pasted Bridges'!$G:$G,'Pasted Bridges'!$B:$B,$C47,'Pasted Bridges'!$F:$F,AR$5)</f>
        <v>0</v>
      </c>
      <c r="AS47" s="17">
        <f>SUMIFS('Pasted Bridges'!$G:$G,'Pasted Bridges'!$B:$B,$C47,'Pasted Bridges'!$F:$F,AS$5)</f>
        <v>0</v>
      </c>
      <c r="AT47" s="17">
        <f>SUMIFS('Pasted Bridges'!$G:$G,'Pasted Bridges'!$B:$B,$C47,'Pasted Bridges'!$F:$F,AT$5)</f>
        <v>0</v>
      </c>
      <c r="AU47" s="17">
        <f>SUMIFS('Pasted Bridges'!$G:$G,'Pasted Bridges'!$B:$B,$C47,'Pasted Bridges'!$F:$F,AU$5)</f>
        <v>0</v>
      </c>
      <c r="AV47" s="17">
        <f>SUMIFS('Pasted Bridges'!$G:$G,'Pasted Bridges'!$B:$B,$C47,'Pasted Bridges'!$F:$F,AV$5)</f>
        <v>0</v>
      </c>
      <c r="AW47" s="17">
        <f>SUMIFS('Pasted Bridges'!$G:$G,'Pasted Bridges'!$B:$B,$C47,'Pasted Bridges'!$F:$F,AW$5)</f>
        <v>0</v>
      </c>
      <c r="AX47" s="17">
        <f>SUMIFS('Pasted Bridges'!$G:$G,'Pasted Bridges'!$B:$B,$C47,'Pasted Bridges'!$F:$F,AX$5)</f>
        <v>0</v>
      </c>
      <c r="AY47" s="17">
        <f>SUMIFS('Pasted Bridges'!$G:$G,'Pasted Bridges'!$B:$B,$C47,'Pasted Bridges'!$F:$F,AY$5)</f>
        <v>0</v>
      </c>
      <c r="AZ47" s="17">
        <f>SUMIFS('Pasted Bridges'!$G:$G,'Pasted Bridges'!$B:$B,$C47,'Pasted Bridges'!$F:$F,AZ$5)</f>
        <v>0</v>
      </c>
      <c r="BA47" s="17">
        <f>SUMIFS('Pasted Bridges'!$G:$G,'Pasted Bridges'!$B:$B,$C47,'Pasted Bridges'!$F:$F,BA$5)</f>
        <v>0</v>
      </c>
      <c r="BB47" s="17">
        <f>SUMIFS('Pasted Bridges'!$G:$G,'Pasted Bridges'!$B:$B,$C47,'Pasted Bridges'!$F:$F,BB$5)</f>
        <v>0</v>
      </c>
      <c r="BC47" s="17">
        <f>SUMIFS('Pasted Bridges'!$G:$G,'Pasted Bridges'!$B:$B,$C47,'Pasted Bridges'!$F:$F,BC$5)</f>
        <v>0</v>
      </c>
      <c r="BD47" s="17">
        <f>SUMIFS('Pasted Bridges'!$G:$G,'Pasted Bridges'!$B:$B,$C47,'Pasted Bridges'!$F:$F,BD$5)</f>
        <v>0</v>
      </c>
      <c r="BE47" s="17">
        <f>SUMIFS('Pasted Bridges'!$G:$G,'Pasted Bridges'!$B:$B,$C47,'Pasted Bridges'!$F:$F,BE$5)</f>
        <v>0</v>
      </c>
      <c r="BF47" s="17">
        <f>SUMIFS('Pasted Bridges'!$G:$G,'Pasted Bridges'!$B:$B,$C47,'Pasted Bridges'!$F:$F,BF$5)</f>
        <v>0</v>
      </c>
      <c r="BG47" s="17">
        <f>SUMIFS('Pasted Bridges'!$G:$G,'Pasted Bridges'!$B:$B,$C47,'Pasted Bridges'!$F:$F,BG$5)</f>
        <v>0</v>
      </c>
      <c r="BH47" s="17">
        <f>SUMIFS('Pasted Bridges'!$G:$G,'Pasted Bridges'!$B:$B,$C47,'Pasted Bridges'!$F:$F,BH$5)</f>
        <v>0</v>
      </c>
      <c r="BI47" s="17">
        <f>SUMIFS('Pasted Bridges'!$G:$G,'Pasted Bridges'!$B:$B,$C47,'Pasted Bridges'!$F:$F,BI$5)</f>
        <v>0</v>
      </c>
      <c r="BJ47" s="17">
        <f>SUMIFS('Pasted Bridges'!$G:$G,'Pasted Bridges'!$B:$B,$C47,'Pasted Bridges'!$F:$F,BJ$5)</f>
        <v>0</v>
      </c>
      <c r="BK47" s="17">
        <f>SUMIFS('Pasted Bridges'!$G:$G,'Pasted Bridges'!$B:$B,$C47,'Pasted Bridges'!$F:$F,BK$5)</f>
        <v>0</v>
      </c>
      <c r="BL47" s="17">
        <f>SUMIFS('Pasted Bridges'!$G:$G,'Pasted Bridges'!$B:$B,$C47,'Pasted Bridges'!$F:$F,BL$5)</f>
        <v>0</v>
      </c>
      <c r="BM47" s="17">
        <f>SUMIFS('Pasted Bridges'!$G:$G,'Pasted Bridges'!$B:$B,$C47,'Pasted Bridges'!$F:$F,BM$5)</f>
        <v>0</v>
      </c>
      <c r="BN47" s="17">
        <f>SUMIFS('Pasted Bridges'!$G:$G,'Pasted Bridges'!$B:$B,$C47,'Pasted Bridges'!$F:$F,BN$5)</f>
        <v>0</v>
      </c>
      <c r="BO47" s="17">
        <f>SUMIFS('Pasted Bridges'!$G:$G,'Pasted Bridges'!$B:$B,$C47,'Pasted Bridges'!$F:$F,BO$5)</f>
        <v>0</v>
      </c>
      <c r="BP47" s="17">
        <f>SUMIFS('Pasted Bridges'!$G:$G,'Pasted Bridges'!$B:$B,$C47,'Pasted Bridges'!$F:$F,BP$5)</f>
        <v>0</v>
      </c>
      <c r="BQ47" s="17">
        <f>SUMIFS('Pasted Bridges'!$G:$G,'Pasted Bridges'!$B:$B,$C47,'Pasted Bridges'!$F:$F,BQ$5)</f>
        <v>0</v>
      </c>
      <c r="BR47" s="17">
        <f>SUMIFS('Pasted Bridges'!$G:$G,'Pasted Bridges'!$B:$B,$C47,'Pasted Bridges'!$F:$F,BR$5)</f>
        <v>0</v>
      </c>
      <c r="BS47" s="17">
        <f>SUMIFS('Pasted Bridges'!$G:$G,'Pasted Bridges'!$B:$B,$C47,'Pasted Bridges'!$F:$F,BS$5)</f>
        <v>0</v>
      </c>
      <c r="BT47" s="17">
        <f>SUMIFS('Pasted Bridges'!$G:$G,'Pasted Bridges'!$B:$B,$C47,'Pasted Bridges'!$F:$F,BT$5)</f>
        <v>0</v>
      </c>
      <c r="BU47" s="17">
        <f>SUMIFS('Pasted Bridges'!$G:$G,'Pasted Bridges'!$B:$B,$C47,'Pasted Bridges'!$F:$F,BU$5)</f>
        <v>0</v>
      </c>
      <c r="BV47" s="17">
        <f>SUMIFS('Pasted Bridges'!$G:$G,'Pasted Bridges'!$B:$B,$C47,'Pasted Bridges'!$F:$F,BV$5)</f>
        <v>0</v>
      </c>
      <c r="BW47" s="17">
        <f>SUMIFS('Pasted Bridges'!$G:$G,'Pasted Bridges'!$B:$B,$C47,'Pasted Bridges'!$F:$F,BW$5)</f>
        <v>0</v>
      </c>
      <c r="BX47" s="17">
        <f>SUMIFS('Pasted Bridges'!$G:$G,'Pasted Bridges'!$B:$B,$C47,'Pasted Bridges'!$F:$F,BX$5)</f>
        <v>0</v>
      </c>
      <c r="BY47" s="17">
        <f>SUMIFS('Pasted Bridges'!$G:$G,'Pasted Bridges'!$B:$B,$C47,'Pasted Bridges'!$F:$F,BY$5)</f>
        <v>0</v>
      </c>
      <c r="BZ47" s="17">
        <f>SUMIFS('Pasted Bridges'!$G:$G,'Pasted Bridges'!$B:$B,$C47,'Pasted Bridges'!$F:$F,BZ$5)</f>
        <v>0</v>
      </c>
      <c r="CA47" s="17">
        <f>SUMIFS('Pasted Bridges'!$G:$G,'Pasted Bridges'!$B:$B,$C47,'Pasted Bridges'!$F:$F,CA$5)</f>
        <v>0</v>
      </c>
      <c r="CB47" s="17">
        <f>SUMIFS('Pasted Bridges'!$G:$G,'Pasted Bridges'!$B:$B,$C47,'Pasted Bridges'!$F:$F,CB$5)</f>
        <v>0</v>
      </c>
      <c r="CC47" s="17">
        <f>SUMIFS('Pasted Bridges'!$G:$G,'Pasted Bridges'!$B:$B,$C47,'Pasted Bridges'!$F:$F,CC$5)</f>
        <v>0</v>
      </c>
      <c r="CD47" s="17">
        <f>SUMIFS('Pasted Bridges'!$G:$G,'Pasted Bridges'!$B:$B,$C47,'Pasted Bridges'!$F:$F,CD$5)</f>
        <v>0</v>
      </c>
      <c r="CE47" s="17">
        <f>SUMIFS('Pasted Bridges'!$G:$G,'Pasted Bridges'!$B:$B,$C47,'Pasted Bridges'!$F:$F,CE$5)</f>
        <v>0</v>
      </c>
      <c r="CF47" s="17">
        <f>SUMIFS('Pasted Bridges'!$G:$G,'Pasted Bridges'!$B:$B,$C47,'Pasted Bridges'!$F:$F,CF$5)</f>
        <v>0</v>
      </c>
      <c r="CG47" s="17">
        <f>SUMIFS('Pasted Bridges'!$G:$G,'Pasted Bridges'!$B:$B,$C47,'Pasted Bridges'!$F:$F,CG$5)</f>
        <v>0</v>
      </c>
      <c r="CH47" s="17">
        <f>SUMIFS('Pasted Bridges'!$G:$G,'Pasted Bridges'!$B:$B,$C47,'Pasted Bridges'!$F:$F,CH$5)</f>
        <v>0</v>
      </c>
      <c r="CI47" s="17">
        <f>SUMIFS('Pasted Bridges'!$G:$G,'Pasted Bridges'!$B:$B,$C47,'Pasted Bridges'!$F:$F,CI$5)</f>
        <v>0</v>
      </c>
      <c r="CJ47" s="17">
        <f>SUMIFS('Pasted Bridges'!$G:$G,'Pasted Bridges'!$B:$B,$C47,'Pasted Bridges'!$F:$F,CJ$5)</f>
        <v>0</v>
      </c>
      <c r="CK47" s="17">
        <f>SUMIFS('Pasted Bridges'!$G:$G,'Pasted Bridges'!$B:$B,$C47,'Pasted Bridges'!$F:$F,CK$5)</f>
        <v>0</v>
      </c>
      <c r="CL47" s="17">
        <f>SUMIFS('Pasted Bridges'!$G:$G,'Pasted Bridges'!$B:$B,$C47,'Pasted Bridges'!$F:$F,CL$5)</f>
        <v>0</v>
      </c>
      <c r="CM47" s="17">
        <f>SUMIFS('Pasted Bridges'!$G:$G,'Pasted Bridges'!$B:$B,$C47,'Pasted Bridges'!$F:$F,CM$5)</f>
        <v>0</v>
      </c>
      <c r="CN47" s="17">
        <f>SUMIFS('Pasted Bridges'!$G:$G,'Pasted Bridges'!$B:$B,$C47,'Pasted Bridges'!$F:$F,CN$5)</f>
        <v>0</v>
      </c>
      <c r="CO47" s="17">
        <f>SUMIFS('Pasted Bridges'!$G:$G,'Pasted Bridges'!$B:$B,$C47,'Pasted Bridges'!$F:$F,CO$5)</f>
        <v>0</v>
      </c>
      <c r="CP47" s="17">
        <f>SUMIFS('Pasted Bridges'!$G:$G,'Pasted Bridges'!$B:$B,$C47,'Pasted Bridges'!$F:$F,CP$5)</f>
        <v>0</v>
      </c>
      <c r="CQ47" s="17">
        <f>SUMIFS('Pasted Bridges'!$G:$G,'Pasted Bridges'!$B:$B,$C47,'Pasted Bridges'!$F:$F,CQ$5)</f>
        <v>0</v>
      </c>
      <c r="CR47" s="17">
        <f>SUMIFS('Pasted Bridges'!$G:$G,'Pasted Bridges'!$B:$B,$C47,'Pasted Bridges'!$F:$F,CR$5)</f>
        <v>0</v>
      </c>
      <c r="CS47" s="17">
        <f>SUMIFS('Pasted Bridges'!$G:$G,'Pasted Bridges'!$B:$B,$C47,'Pasted Bridges'!$F:$F,CS$5)</f>
        <v>0</v>
      </c>
      <c r="CT47" s="17">
        <f>SUMIFS('Pasted Bridges'!$G:$G,'Pasted Bridges'!$B:$B,$C47,'Pasted Bridges'!$F:$F,CT$5)</f>
        <v>0</v>
      </c>
      <c r="CU47" s="17">
        <f>SUMIFS('Pasted Bridges'!$G:$G,'Pasted Bridges'!$B:$B,$C47,'Pasted Bridges'!$F:$F,CU$5)</f>
        <v>0</v>
      </c>
      <c r="CV47" s="17">
        <f>SUMIFS('Pasted Bridges'!$G:$G,'Pasted Bridges'!$B:$B,$C47,'Pasted Bridges'!$F:$F,CV$5)</f>
        <v>0</v>
      </c>
      <c r="CW47" s="17">
        <f>SUMIFS('Pasted Bridges'!$G:$G,'Pasted Bridges'!$B:$B,$C47,'Pasted Bridges'!$F:$F,CW$5)</f>
        <v>0</v>
      </c>
      <c r="CX47" s="17">
        <f>SUMIFS('Pasted Bridges'!$G:$G,'Pasted Bridges'!$B:$B,$C47,'Pasted Bridges'!$F:$F,CX$5)</f>
        <v>0</v>
      </c>
      <c r="CY47" s="17">
        <f>SUMIFS('Pasted Bridges'!$G:$G,'Pasted Bridges'!$B:$B,$C47,'Pasted Bridges'!$F:$F,CY$5)</f>
        <v>0</v>
      </c>
      <c r="CZ47" s="17">
        <f>SUMIFS('Pasted Bridges'!$G:$G,'Pasted Bridges'!$B:$B,$C47,'Pasted Bridges'!$F:$F,CZ$5)</f>
        <v>0</v>
      </c>
      <c r="DA47" s="17">
        <f>SUMIFS('Pasted Bridges'!$G:$G,'Pasted Bridges'!$B:$B,$C47,'Pasted Bridges'!$F:$F,DA$5)</f>
        <v>0</v>
      </c>
    </row>
    <row r="48" spans="2:105" s="1" customFormat="1" x14ac:dyDescent="0.25">
      <c r="B48" s="78"/>
      <c r="C48" s="19" t="s">
        <v>36</v>
      </c>
      <c r="D48" s="19" t="s">
        <v>196</v>
      </c>
      <c r="E48" s="13" t="s">
        <v>199</v>
      </c>
      <c r="F48" s="2">
        <v>43</v>
      </c>
      <c r="G48" s="5">
        <v>0.32</v>
      </c>
      <c r="H48" s="2" t="s">
        <v>42</v>
      </c>
      <c r="I48" s="2">
        <v>0.08</v>
      </c>
      <c r="J48" s="3"/>
      <c r="K48" s="17">
        <f>SUMIFS('Pasted Bridges'!$G:$G,'Pasted Bridges'!$B:$B,$C48,'Pasted Bridges'!$F:$F,K$5)</f>
        <v>0</v>
      </c>
      <c r="L48" s="17">
        <f>SUMIFS('Pasted Bridges'!$G:$G,'Pasted Bridges'!$B:$B,$C48,'Pasted Bridges'!$F:$F,L$5)</f>
        <v>0</v>
      </c>
      <c r="M48" s="17">
        <f>SUMIFS('Pasted Bridges'!$G:$G,'Pasted Bridges'!$B:$B,$C48,'Pasted Bridges'!$F:$F,M$5)</f>
        <v>0</v>
      </c>
      <c r="N48" s="17">
        <f>SUMIFS('Pasted Bridges'!$G:$G,'Pasted Bridges'!$B:$B,$C48,'Pasted Bridges'!$F:$F,N$5)</f>
        <v>0</v>
      </c>
      <c r="O48" s="17">
        <f>SUMIFS('Pasted Bridges'!$G:$G,'Pasted Bridges'!$B:$B,$C48,'Pasted Bridges'!$F:$F,O$5)</f>
        <v>0</v>
      </c>
      <c r="P48" s="17">
        <f>SUMIFS('Pasted Bridges'!$G:$G,'Pasted Bridges'!$B:$B,$C48,'Pasted Bridges'!$F:$F,P$5)</f>
        <v>0</v>
      </c>
      <c r="Q48" s="17">
        <f>SUMIFS('Pasted Bridges'!$G:$G,'Pasted Bridges'!$B:$B,$C48,'Pasted Bridges'!$F:$F,Q$5)</f>
        <v>0</v>
      </c>
      <c r="R48" s="17">
        <f>SUMIFS('Pasted Bridges'!$G:$G,'Pasted Bridges'!$B:$B,$C48,'Pasted Bridges'!$F:$F,R$5)</f>
        <v>0</v>
      </c>
      <c r="S48" s="17">
        <f>SUMIFS('Pasted Bridges'!$G:$G,'Pasted Bridges'!$B:$B,$C48,'Pasted Bridges'!$F:$F,S$5)</f>
        <v>0</v>
      </c>
      <c r="T48" s="17">
        <f>SUMIFS('Pasted Bridges'!$G:$G,'Pasted Bridges'!$B:$B,$C48,'Pasted Bridges'!$F:$F,T$5)</f>
        <v>0</v>
      </c>
      <c r="U48" s="17">
        <f>SUMIFS('Pasted Bridges'!$G:$G,'Pasted Bridges'!$B:$B,$C48,'Pasted Bridges'!$F:$F,U$5)</f>
        <v>0</v>
      </c>
      <c r="V48" s="17">
        <f>SUMIFS('Pasted Bridges'!$G:$G,'Pasted Bridges'!$B:$B,$C48,'Pasted Bridges'!$F:$F,V$5)</f>
        <v>0</v>
      </c>
      <c r="W48" s="17">
        <f>SUMIFS('Pasted Bridges'!$G:$G,'Pasted Bridges'!$B:$B,$C48,'Pasted Bridges'!$F:$F,W$5)</f>
        <v>0</v>
      </c>
      <c r="X48" s="17">
        <f>SUMIFS('Pasted Bridges'!$G:$G,'Pasted Bridges'!$B:$B,$C48,'Pasted Bridges'!$F:$F,X$5)</f>
        <v>0</v>
      </c>
      <c r="Y48" s="17">
        <f>SUMIFS('Pasted Bridges'!$G:$G,'Pasted Bridges'!$B:$B,$C48,'Pasted Bridges'!$F:$F,Y$5)</f>
        <v>0</v>
      </c>
      <c r="Z48" s="17">
        <f>SUMIFS('Pasted Bridges'!$G:$G,'Pasted Bridges'!$B:$B,$C48,'Pasted Bridges'!$F:$F,Z$5)</f>
        <v>0</v>
      </c>
      <c r="AA48" s="17">
        <f>SUMIFS('Pasted Bridges'!$G:$G,'Pasted Bridges'!$B:$B,$C48,'Pasted Bridges'!$F:$F,AA$5)</f>
        <v>0</v>
      </c>
      <c r="AB48" s="17">
        <f>SUMIFS('Pasted Bridges'!$G:$G,'Pasted Bridges'!$B:$B,$C48,'Pasted Bridges'!$F:$F,AB$5)</f>
        <v>0</v>
      </c>
      <c r="AC48" s="17">
        <f>SUMIFS('Pasted Bridges'!$G:$G,'Pasted Bridges'!$B:$B,$C48,'Pasted Bridges'!$F:$F,AC$5)</f>
        <v>0</v>
      </c>
      <c r="AD48" s="17">
        <f>SUMIFS('Pasted Bridges'!$G:$G,'Pasted Bridges'!$B:$B,$C48,'Pasted Bridges'!$F:$F,AD$5)</f>
        <v>0</v>
      </c>
      <c r="AE48" s="17">
        <f>SUMIFS('Pasted Bridges'!$G:$G,'Pasted Bridges'!$B:$B,$C48,'Pasted Bridges'!$F:$F,AE$5)</f>
        <v>0</v>
      </c>
      <c r="AF48" s="17">
        <f>SUMIFS('Pasted Bridges'!$G:$G,'Pasted Bridges'!$B:$B,$C48,'Pasted Bridges'!$F:$F,AF$5)</f>
        <v>0</v>
      </c>
      <c r="AG48" s="17">
        <f>SUMIFS('Pasted Bridges'!$G:$G,'Pasted Bridges'!$B:$B,$C48,'Pasted Bridges'!$F:$F,AG$5)</f>
        <v>0</v>
      </c>
      <c r="AH48" s="17">
        <f>SUMIFS('Pasted Bridges'!$G:$G,'Pasted Bridges'!$B:$B,$C48,'Pasted Bridges'!$F:$F,AH$5)</f>
        <v>0</v>
      </c>
      <c r="AI48" s="17">
        <f>SUMIFS('Pasted Bridges'!$G:$G,'Pasted Bridges'!$B:$B,$C48,'Pasted Bridges'!$F:$F,AI$5)</f>
        <v>0</v>
      </c>
      <c r="AJ48" s="17">
        <f>SUMIFS('Pasted Bridges'!$G:$G,'Pasted Bridges'!$B:$B,$C48,'Pasted Bridges'!$F:$F,AJ$5)</f>
        <v>0</v>
      </c>
      <c r="AK48" s="17">
        <f>SUMIFS('Pasted Bridges'!$G:$G,'Pasted Bridges'!$B:$B,$C48,'Pasted Bridges'!$F:$F,AK$5)</f>
        <v>0</v>
      </c>
      <c r="AL48" s="17">
        <f>SUMIFS('Pasted Bridges'!$G:$G,'Pasted Bridges'!$B:$B,$C48,'Pasted Bridges'!$F:$F,AL$5)</f>
        <v>0</v>
      </c>
      <c r="AM48" s="17">
        <f>SUMIFS('Pasted Bridges'!$G:$G,'Pasted Bridges'!$B:$B,$C48,'Pasted Bridges'!$F:$F,AM$5)</f>
        <v>0</v>
      </c>
      <c r="AN48" s="17">
        <f>SUMIFS('Pasted Bridges'!$G:$G,'Pasted Bridges'!$B:$B,$C48,'Pasted Bridges'!$F:$F,AN$5)</f>
        <v>0</v>
      </c>
      <c r="AO48" s="17">
        <f>SUMIFS('Pasted Bridges'!$G:$G,'Pasted Bridges'!$B:$B,$C48,'Pasted Bridges'!$F:$F,AO$5)</f>
        <v>0</v>
      </c>
      <c r="AP48" s="17">
        <f>SUMIFS('Pasted Bridges'!$G:$G,'Pasted Bridges'!$B:$B,$C48,'Pasted Bridges'!$F:$F,AP$5)</f>
        <v>0</v>
      </c>
      <c r="AQ48" s="17">
        <f>SUMIFS('Pasted Bridges'!$G:$G,'Pasted Bridges'!$B:$B,$C48,'Pasted Bridges'!$F:$F,AQ$5)</f>
        <v>0</v>
      </c>
      <c r="AR48" s="17">
        <f>SUMIFS('Pasted Bridges'!$G:$G,'Pasted Bridges'!$B:$B,$C48,'Pasted Bridges'!$F:$F,AR$5)</f>
        <v>0</v>
      </c>
      <c r="AS48" s="17">
        <f>SUMIFS('Pasted Bridges'!$G:$G,'Pasted Bridges'!$B:$B,$C48,'Pasted Bridges'!$F:$F,AS$5)</f>
        <v>0</v>
      </c>
      <c r="AT48" s="17">
        <f>SUMIFS('Pasted Bridges'!$G:$G,'Pasted Bridges'!$B:$B,$C48,'Pasted Bridges'!$F:$F,AT$5)</f>
        <v>0</v>
      </c>
      <c r="AU48" s="17">
        <f>SUMIFS('Pasted Bridges'!$G:$G,'Pasted Bridges'!$B:$B,$C48,'Pasted Bridges'!$F:$F,AU$5)</f>
        <v>0</v>
      </c>
      <c r="AV48" s="17">
        <f>SUMIFS('Pasted Bridges'!$G:$G,'Pasted Bridges'!$B:$B,$C48,'Pasted Bridges'!$F:$F,AV$5)</f>
        <v>0</v>
      </c>
      <c r="AW48" s="17">
        <f>SUMIFS('Pasted Bridges'!$G:$G,'Pasted Bridges'!$B:$B,$C48,'Pasted Bridges'!$F:$F,AW$5)</f>
        <v>0</v>
      </c>
      <c r="AX48" s="17">
        <f>SUMIFS('Pasted Bridges'!$G:$G,'Pasted Bridges'!$B:$B,$C48,'Pasted Bridges'!$F:$F,AX$5)</f>
        <v>0</v>
      </c>
      <c r="AY48" s="17">
        <f>SUMIFS('Pasted Bridges'!$G:$G,'Pasted Bridges'!$B:$B,$C48,'Pasted Bridges'!$F:$F,AY$5)</f>
        <v>0</v>
      </c>
      <c r="AZ48" s="17">
        <f>SUMIFS('Pasted Bridges'!$G:$G,'Pasted Bridges'!$B:$B,$C48,'Pasted Bridges'!$F:$F,AZ$5)</f>
        <v>0</v>
      </c>
      <c r="BA48" s="17">
        <f>SUMIFS('Pasted Bridges'!$G:$G,'Pasted Bridges'!$B:$B,$C48,'Pasted Bridges'!$F:$F,BA$5)</f>
        <v>0</v>
      </c>
      <c r="BB48" s="17">
        <f>SUMIFS('Pasted Bridges'!$G:$G,'Pasted Bridges'!$B:$B,$C48,'Pasted Bridges'!$F:$F,BB$5)</f>
        <v>0</v>
      </c>
      <c r="BC48" s="17">
        <f>SUMIFS('Pasted Bridges'!$G:$G,'Pasted Bridges'!$B:$B,$C48,'Pasted Bridges'!$F:$F,BC$5)</f>
        <v>0</v>
      </c>
      <c r="BD48" s="17">
        <f>SUMIFS('Pasted Bridges'!$G:$G,'Pasted Bridges'!$B:$B,$C48,'Pasted Bridges'!$F:$F,BD$5)</f>
        <v>0</v>
      </c>
      <c r="BE48" s="17">
        <f>SUMIFS('Pasted Bridges'!$G:$G,'Pasted Bridges'!$B:$B,$C48,'Pasted Bridges'!$F:$F,BE$5)</f>
        <v>0</v>
      </c>
      <c r="BF48" s="17">
        <f>SUMIFS('Pasted Bridges'!$G:$G,'Pasted Bridges'!$B:$B,$C48,'Pasted Bridges'!$F:$F,BF$5)</f>
        <v>0</v>
      </c>
      <c r="BG48" s="17">
        <f>SUMIFS('Pasted Bridges'!$G:$G,'Pasted Bridges'!$B:$B,$C48,'Pasted Bridges'!$F:$F,BG$5)</f>
        <v>0</v>
      </c>
      <c r="BH48" s="17">
        <f>SUMIFS('Pasted Bridges'!$G:$G,'Pasted Bridges'!$B:$B,$C48,'Pasted Bridges'!$F:$F,BH$5)</f>
        <v>0</v>
      </c>
      <c r="BI48" s="17">
        <f>SUMIFS('Pasted Bridges'!$G:$G,'Pasted Bridges'!$B:$B,$C48,'Pasted Bridges'!$F:$F,BI$5)</f>
        <v>0</v>
      </c>
      <c r="BJ48" s="17">
        <f>SUMIFS('Pasted Bridges'!$G:$G,'Pasted Bridges'!$B:$B,$C48,'Pasted Bridges'!$F:$F,BJ$5)</f>
        <v>0</v>
      </c>
      <c r="BK48" s="17">
        <f>SUMIFS('Pasted Bridges'!$G:$G,'Pasted Bridges'!$B:$B,$C48,'Pasted Bridges'!$F:$F,BK$5)</f>
        <v>0</v>
      </c>
      <c r="BL48" s="17">
        <f>SUMIFS('Pasted Bridges'!$G:$G,'Pasted Bridges'!$B:$B,$C48,'Pasted Bridges'!$F:$F,BL$5)</f>
        <v>0</v>
      </c>
      <c r="BM48" s="17">
        <f>SUMIFS('Pasted Bridges'!$G:$G,'Pasted Bridges'!$B:$B,$C48,'Pasted Bridges'!$F:$F,BM$5)</f>
        <v>0</v>
      </c>
      <c r="BN48" s="17">
        <f>SUMIFS('Pasted Bridges'!$G:$G,'Pasted Bridges'!$B:$B,$C48,'Pasted Bridges'!$F:$F,BN$5)</f>
        <v>0</v>
      </c>
      <c r="BO48" s="17">
        <f>SUMIFS('Pasted Bridges'!$G:$G,'Pasted Bridges'!$B:$B,$C48,'Pasted Bridges'!$F:$F,BO$5)</f>
        <v>0</v>
      </c>
      <c r="BP48" s="17">
        <f>SUMIFS('Pasted Bridges'!$G:$G,'Pasted Bridges'!$B:$B,$C48,'Pasted Bridges'!$F:$F,BP$5)</f>
        <v>0</v>
      </c>
      <c r="BQ48" s="17">
        <f>SUMIFS('Pasted Bridges'!$G:$G,'Pasted Bridges'!$B:$B,$C48,'Pasted Bridges'!$F:$F,BQ$5)</f>
        <v>0</v>
      </c>
      <c r="BR48" s="17">
        <f>SUMIFS('Pasted Bridges'!$G:$G,'Pasted Bridges'!$B:$B,$C48,'Pasted Bridges'!$F:$F,BR$5)</f>
        <v>0</v>
      </c>
      <c r="BS48" s="17">
        <f>SUMIFS('Pasted Bridges'!$G:$G,'Pasted Bridges'!$B:$B,$C48,'Pasted Bridges'!$F:$F,BS$5)</f>
        <v>0</v>
      </c>
      <c r="BT48" s="17">
        <f>SUMIFS('Pasted Bridges'!$G:$G,'Pasted Bridges'!$B:$B,$C48,'Pasted Bridges'!$F:$F,BT$5)</f>
        <v>0</v>
      </c>
      <c r="BU48" s="17">
        <f>SUMIFS('Pasted Bridges'!$G:$G,'Pasted Bridges'!$B:$B,$C48,'Pasted Bridges'!$F:$F,BU$5)</f>
        <v>0</v>
      </c>
      <c r="BV48" s="17">
        <f>SUMIFS('Pasted Bridges'!$G:$G,'Pasted Bridges'!$B:$B,$C48,'Pasted Bridges'!$F:$F,BV$5)</f>
        <v>0</v>
      </c>
      <c r="BW48" s="17">
        <f>SUMIFS('Pasted Bridges'!$G:$G,'Pasted Bridges'!$B:$B,$C48,'Pasted Bridges'!$F:$F,BW$5)</f>
        <v>0</v>
      </c>
      <c r="BX48" s="17">
        <f>SUMIFS('Pasted Bridges'!$G:$G,'Pasted Bridges'!$B:$B,$C48,'Pasted Bridges'!$F:$F,BX$5)</f>
        <v>0</v>
      </c>
      <c r="BY48" s="17">
        <f>SUMIFS('Pasted Bridges'!$G:$G,'Pasted Bridges'!$B:$B,$C48,'Pasted Bridges'!$F:$F,BY$5)</f>
        <v>0</v>
      </c>
      <c r="BZ48" s="17">
        <f>SUMIFS('Pasted Bridges'!$G:$G,'Pasted Bridges'!$B:$B,$C48,'Pasted Bridges'!$F:$F,BZ$5)</f>
        <v>0</v>
      </c>
      <c r="CA48" s="17">
        <f>SUMIFS('Pasted Bridges'!$G:$G,'Pasted Bridges'!$B:$B,$C48,'Pasted Bridges'!$F:$F,CA$5)</f>
        <v>0</v>
      </c>
      <c r="CB48" s="17">
        <f>SUMIFS('Pasted Bridges'!$G:$G,'Pasted Bridges'!$B:$B,$C48,'Pasted Bridges'!$F:$F,CB$5)</f>
        <v>0</v>
      </c>
      <c r="CC48" s="17">
        <f>SUMIFS('Pasted Bridges'!$G:$G,'Pasted Bridges'!$B:$B,$C48,'Pasted Bridges'!$F:$F,CC$5)</f>
        <v>0</v>
      </c>
      <c r="CD48" s="17">
        <f>SUMIFS('Pasted Bridges'!$G:$G,'Pasted Bridges'!$B:$B,$C48,'Pasted Bridges'!$F:$F,CD$5)</f>
        <v>0</v>
      </c>
      <c r="CE48" s="17">
        <f>SUMIFS('Pasted Bridges'!$G:$G,'Pasted Bridges'!$B:$B,$C48,'Pasted Bridges'!$F:$F,CE$5)</f>
        <v>0</v>
      </c>
      <c r="CF48" s="17">
        <f>SUMIFS('Pasted Bridges'!$G:$G,'Pasted Bridges'!$B:$B,$C48,'Pasted Bridges'!$F:$F,CF$5)</f>
        <v>0</v>
      </c>
      <c r="CG48" s="17">
        <f>SUMIFS('Pasted Bridges'!$G:$G,'Pasted Bridges'!$B:$B,$C48,'Pasted Bridges'!$F:$F,CG$5)</f>
        <v>0</v>
      </c>
      <c r="CH48" s="17">
        <f>SUMIFS('Pasted Bridges'!$G:$G,'Pasted Bridges'!$B:$B,$C48,'Pasted Bridges'!$F:$F,CH$5)</f>
        <v>0</v>
      </c>
      <c r="CI48" s="17">
        <f>SUMIFS('Pasted Bridges'!$G:$G,'Pasted Bridges'!$B:$B,$C48,'Pasted Bridges'!$F:$F,CI$5)</f>
        <v>0</v>
      </c>
      <c r="CJ48" s="17">
        <f>SUMIFS('Pasted Bridges'!$G:$G,'Pasted Bridges'!$B:$B,$C48,'Pasted Bridges'!$F:$F,CJ$5)</f>
        <v>0</v>
      </c>
      <c r="CK48" s="17">
        <f>SUMIFS('Pasted Bridges'!$G:$G,'Pasted Bridges'!$B:$B,$C48,'Pasted Bridges'!$F:$F,CK$5)</f>
        <v>0</v>
      </c>
      <c r="CL48" s="17">
        <f>SUMIFS('Pasted Bridges'!$G:$G,'Pasted Bridges'!$B:$B,$C48,'Pasted Bridges'!$F:$F,CL$5)</f>
        <v>0</v>
      </c>
      <c r="CM48" s="17">
        <f>SUMIFS('Pasted Bridges'!$G:$G,'Pasted Bridges'!$B:$B,$C48,'Pasted Bridges'!$F:$F,CM$5)</f>
        <v>0</v>
      </c>
      <c r="CN48" s="17">
        <f>SUMIFS('Pasted Bridges'!$G:$G,'Pasted Bridges'!$B:$B,$C48,'Pasted Bridges'!$F:$F,CN$5)</f>
        <v>0</v>
      </c>
      <c r="CO48" s="17">
        <f>SUMIFS('Pasted Bridges'!$G:$G,'Pasted Bridges'!$B:$B,$C48,'Pasted Bridges'!$F:$F,CO$5)</f>
        <v>0</v>
      </c>
      <c r="CP48" s="17">
        <f>SUMIFS('Pasted Bridges'!$G:$G,'Pasted Bridges'!$B:$B,$C48,'Pasted Bridges'!$F:$F,CP$5)</f>
        <v>0</v>
      </c>
      <c r="CQ48" s="17">
        <f>SUMIFS('Pasted Bridges'!$G:$G,'Pasted Bridges'!$B:$B,$C48,'Pasted Bridges'!$F:$F,CQ$5)</f>
        <v>0</v>
      </c>
      <c r="CR48" s="17">
        <f>SUMIFS('Pasted Bridges'!$G:$G,'Pasted Bridges'!$B:$B,$C48,'Pasted Bridges'!$F:$F,CR$5)</f>
        <v>0</v>
      </c>
      <c r="CS48" s="17">
        <f>SUMIFS('Pasted Bridges'!$G:$G,'Pasted Bridges'!$B:$B,$C48,'Pasted Bridges'!$F:$F,CS$5)</f>
        <v>0</v>
      </c>
      <c r="CT48" s="17">
        <f>SUMIFS('Pasted Bridges'!$G:$G,'Pasted Bridges'!$B:$B,$C48,'Pasted Bridges'!$F:$F,CT$5)</f>
        <v>0</v>
      </c>
      <c r="CU48" s="17">
        <f>SUMIFS('Pasted Bridges'!$G:$G,'Pasted Bridges'!$B:$B,$C48,'Pasted Bridges'!$F:$F,CU$5)</f>
        <v>0</v>
      </c>
      <c r="CV48" s="17">
        <f>SUMIFS('Pasted Bridges'!$G:$G,'Pasted Bridges'!$B:$B,$C48,'Pasted Bridges'!$F:$F,CV$5)</f>
        <v>0</v>
      </c>
      <c r="CW48" s="17">
        <f>SUMIFS('Pasted Bridges'!$G:$G,'Pasted Bridges'!$B:$B,$C48,'Pasted Bridges'!$F:$F,CW$5)</f>
        <v>0</v>
      </c>
      <c r="CX48" s="17">
        <f>SUMIFS('Pasted Bridges'!$G:$G,'Pasted Bridges'!$B:$B,$C48,'Pasted Bridges'!$F:$F,CX$5)</f>
        <v>0</v>
      </c>
      <c r="CY48" s="17">
        <f>SUMIFS('Pasted Bridges'!$G:$G,'Pasted Bridges'!$B:$B,$C48,'Pasted Bridges'!$F:$F,CY$5)</f>
        <v>0</v>
      </c>
      <c r="CZ48" s="17">
        <f>SUMIFS('Pasted Bridges'!$G:$G,'Pasted Bridges'!$B:$B,$C48,'Pasted Bridges'!$F:$F,CZ$5)</f>
        <v>0</v>
      </c>
      <c r="DA48" s="17">
        <f>SUMIFS('Pasted Bridges'!$G:$G,'Pasted Bridges'!$B:$B,$C48,'Pasted Bridges'!$F:$F,DA$5)</f>
        <v>0</v>
      </c>
    </row>
    <row r="49" spans="2:106" s="1" customFormat="1" x14ac:dyDescent="0.25">
      <c r="B49" s="79"/>
      <c r="C49" s="19" t="s">
        <v>37</v>
      </c>
      <c r="D49" s="19" t="s">
        <v>197</v>
      </c>
      <c r="E49" s="13" t="s">
        <v>199</v>
      </c>
      <c r="F49" s="2">
        <v>44</v>
      </c>
      <c r="G49" s="5">
        <v>0.24</v>
      </c>
      <c r="H49" s="2" t="s">
        <v>42</v>
      </c>
      <c r="I49" s="2">
        <v>0.08</v>
      </c>
      <c r="J49" s="3"/>
      <c r="K49" s="17">
        <f>SUMIFS('Pasted Bridges'!$G:$G,'Pasted Bridges'!$B:$B,$C49,'Pasted Bridges'!$F:$F,K$5)</f>
        <v>0</v>
      </c>
      <c r="L49" s="17">
        <f>SUMIFS('Pasted Bridges'!$G:$G,'Pasted Bridges'!$B:$B,$C49,'Pasted Bridges'!$F:$F,L$5)</f>
        <v>0</v>
      </c>
      <c r="M49" s="17">
        <f>SUMIFS('Pasted Bridges'!$G:$G,'Pasted Bridges'!$B:$B,$C49,'Pasted Bridges'!$F:$F,M$5)</f>
        <v>0</v>
      </c>
      <c r="N49" s="17">
        <f>SUMIFS('Pasted Bridges'!$G:$G,'Pasted Bridges'!$B:$B,$C49,'Pasted Bridges'!$F:$F,N$5)</f>
        <v>0</v>
      </c>
      <c r="O49" s="17">
        <f>SUMIFS('Pasted Bridges'!$G:$G,'Pasted Bridges'!$B:$B,$C49,'Pasted Bridges'!$F:$F,O$5)</f>
        <v>0</v>
      </c>
      <c r="P49" s="17">
        <f>SUMIFS('Pasted Bridges'!$G:$G,'Pasted Bridges'!$B:$B,$C49,'Pasted Bridges'!$F:$F,P$5)</f>
        <v>0</v>
      </c>
      <c r="Q49" s="17">
        <f>SUMIFS('Pasted Bridges'!$G:$G,'Pasted Bridges'!$B:$B,$C49,'Pasted Bridges'!$F:$F,Q$5)</f>
        <v>0</v>
      </c>
      <c r="R49" s="17">
        <f>SUMIFS('Pasted Bridges'!$G:$G,'Pasted Bridges'!$B:$B,$C49,'Pasted Bridges'!$F:$F,R$5)</f>
        <v>0</v>
      </c>
      <c r="S49" s="17">
        <f>SUMIFS('Pasted Bridges'!$G:$G,'Pasted Bridges'!$B:$B,$C49,'Pasted Bridges'!$F:$F,S$5)</f>
        <v>0</v>
      </c>
      <c r="T49" s="17">
        <f>SUMIFS('Pasted Bridges'!$G:$G,'Pasted Bridges'!$B:$B,$C49,'Pasted Bridges'!$F:$F,T$5)</f>
        <v>0</v>
      </c>
      <c r="U49" s="17">
        <f>SUMIFS('Pasted Bridges'!$G:$G,'Pasted Bridges'!$B:$B,$C49,'Pasted Bridges'!$F:$F,U$5)</f>
        <v>0</v>
      </c>
      <c r="V49" s="17">
        <f>SUMIFS('Pasted Bridges'!$G:$G,'Pasted Bridges'!$B:$B,$C49,'Pasted Bridges'!$F:$F,V$5)</f>
        <v>0</v>
      </c>
      <c r="W49" s="17">
        <f>SUMIFS('Pasted Bridges'!$G:$G,'Pasted Bridges'!$B:$B,$C49,'Pasted Bridges'!$F:$F,W$5)</f>
        <v>0</v>
      </c>
      <c r="X49" s="17">
        <f>SUMIFS('Pasted Bridges'!$G:$G,'Pasted Bridges'!$B:$B,$C49,'Pasted Bridges'!$F:$F,X$5)</f>
        <v>0</v>
      </c>
      <c r="Y49" s="17">
        <f>SUMIFS('Pasted Bridges'!$G:$G,'Pasted Bridges'!$B:$B,$C49,'Pasted Bridges'!$F:$F,Y$5)</f>
        <v>0</v>
      </c>
      <c r="Z49" s="17">
        <f>SUMIFS('Pasted Bridges'!$G:$G,'Pasted Bridges'!$B:$B,$C49,'Pasted Bridges'!$F:$F,Z$5)</f>
        <v>0</v>
      </c>
      <c r="AA49" s="17">
        <f>SUMIFS('Pasted Bridges'!$G:$G,'Pasted Bridges'!$B:$B,$C49,'Pasted Bridges'!$F:$F,AA$5)</f>
        <v>0</v>
      </c>
      <c r="AB49" s="17">
        <f>SUMIFS('Pasted Bridges'!$G:$G,'Pasted Bridges'!$B:$B,$C49,'Pasted Bridges'!$F:$F,AB$5)</f>
        <v>0</v>
      </c>
      <c r="AC49" s="17">
        <f>SUMIFS('Pasted Bridges'!$G:$G,'Pasted Bridges'!$B:$B,$C49,'Pasted Bridges'!$F:$F,AC$5)</f>
        <v>0</v>
      </c>
      <c r="AD49" s="17">
        <f>SUMIFS('Pasted Bridges'!$G:$G,'Pasted Bridges'!$B:$B,$C49,'Pasted Bridges'!$F:$F,AD$5)</f>
        <v>0</v>
      </c>
      <c r="AE49" s="17">
        <f>SUMIFS('Pasted Bridges'!$G:$G,'Pasted Bridges'!$B:$B,$C49,'Pasted Bridges'!$F:$F,AE$5)</f>
        <v>0</v>
      </c>
      <c r="AF49" s="17">
        <f>SUMIFS('Pasted Bridges'!$G:$G,'Pasted Bridges'!$B:$B,$C49,'Pasted Bridges'!$F:$F,AF$5)</f>
        <v>0</v>
      </c>
      <c r="AG49" s="17">
        <f>SUMIFS('Pasted Bridges'!$G:$G,'Pasted Bridges'!$B:$B,$C49,'Pasted Bridges'!$F:$F,AG$5)</f>
        <v>0</v>
      </c>
      <c r="AH49" s="17">
        <f>SUMIFS('Pasted Bridges'!$G:$G,'Pasted Bridges'!$B:$B,$C49,'Pasted Bridges'!$F:$F,AH$5)</f>
        <v>0</v>
      </c>
      <c r="AI49" s="17">
        <f>SUMIFS('Pasted Bridges'!$G:$G,'Pasted Bridges'!$B:$B,$C49,'Pasted Bridges'!$F:$F,AI$5)</f>
        <v>0</v>
      </c>
      <c r="AJ49" s="17">
        <f>SUMIFS('Pasted Bridges'!$G:$G,'Pasted Bridges'!$B:$B,$C49,'Pasted Bridges'!$F:$F,AJ$5)</f>
        <v>0</v>
      </c>
      <c r="AK49" s="17">
        <f>SUMIFS('Pasted Bridges'!$G:$G,'Pasted Bridges'!$B:$B,$C49,'Pasted Bridges'!$F:$F,AK$5)</f>
        <v>0</v>
      </c>
      <c r="AL49" s="17">
        <f>SUMIFS('Pasted Bridges'!$G:$G,'Pasted Bridges'!$B:$B,$C49,'Pasted Bridges'!$F:$F,AL$5)</f>
        <v>0</v>
      </c>
      <c r="AM49" s="17">
        <f>SUMIFS('Pasted Bridges'!$G:$G,'Pasted Bridges'!$B:$B,$C49,'Pasted Bridges'!$F:$F,AM$5)</f>
        <v>0</v>
      </c>
      <c r="AN49" s="17">
        <f>SUMIFS('Pasted Bridges'!$G:$G,'Pasted Bridges'!$B:$B,$C49,'Pasted Bridges'!$F:$F,AN$5)</f>
        <v>0</v>
      </c>
      <c r="AO49" s="17">
        <f>SUMIFS('Pasted Bridges'!$G:$G,'Pasted Bridges'!$B:$B,$C49,'Pasted Bridges'!$F:$F,AO$5)</f>
        <v>0</v>
      </c>
      <c r="AP49" s="17">
        <f>SUMIFS('Pasted Bridges'!$G:$G,'Pasted Bridges'!$B:$B,$C49,'Pasted Bridges'!$F:$F,AP$5)</f>
        <v>0</v>
      </c>
      <c r="AQ49" s="17">
        <f>SUMIFS('Pasted Bridges'!$G:$G,'Pasted Bridges'!$B:$B,$C49,'Pasted Bridges'!$F:$F,AQ$5)</f>
        <v>0</v>
      </c>
      <c r="AR49" s="17">
        <f>SUMIFS('Pasted Bridges'!$G:$G,'Pasted Bridges'!$B:$B,$C49,'Pasted Bridges'!$F:$F,AR$5)</f>
        <v>0</v>
      </c>
      <c r="AS49" s="17">
        <f>SUMIFS('Pasted Bridges'!$G:$G,'Pasted Bridges'!$B:$B,$C49,'Pasted Bridges'!$F:$F,AS$5)</f>
        <v>0</v>
      </c>
      <c r="AT49" s="17">
        <f>SUMIFS('Pasted Bridges'!$G:$G,'Pasted Bridges'!$B:$B,$C49,'Pasted Bridges'!$F:$F,AT$5)</f>
        <v>0</v>
      </c>
      <c r="AU49" s="17">
        <f>SUMIFS('Pasted Bridges'!$G:$G,'Pasted Bridges'!$B:$B,$C49,'Pasted Bridges'!$F:$F,AU$5)</f>
        <v>0</v>
      </c>
      <c r="AV49" s="17">
        <f>SUMIFS('Pasted Bridges'!$G:$G,'Pasted Bridges'!$B:$B,$C49,'Pasted Bridges'!$F:$F,AV$5)</f>
        <v>0</v>
      </c>
      <c r="AW49" s="17">
        <f>SUMIFS('Pasted Bridges'!$G:$G,'Pasted Bridges'!$B:$B,$C49,'Pasted Bridges'!$F:$F,AW$5)</f>
        <v>0</v>
      </c>
      <c r="AX49" s="17">
        <f>SUMIFS('Pasted Bridges'!$G:$G,'Pasted Bridges'!$B:$B,$C49,'Pasted Bridges'!$F:$F,AX$5)</f>
        <v>0</v>
      </c>
      <c r="AY49" s="17">
        <f>SUMIFS('Pasted Bridges'!$G:$G,'Pasted Bridges'!$B:$B,$C49,'Pasted Bridges'!$F:$F,AY$5)</f>
        <v>0</v>
      </c>
      <c r="AZ49" s="17">
        <f>SUMIFS('Pasted Bridges'!$G:$G,'Pasted Bridges'!$B:$B,$C49,'Pasted Bridges'!$F:$F,AZ$5)</f>
        <v>0</v>
      </c>
      <c r="BA49" s="17">
        <f>SUMIFS('Pasted Bridges'!$G:$G,'Pasted Bridges'!$B:$B,$C49,'Pasted Bridges'!$F:$F,BA$5)</f>
        <v>0</v>
      </c>
      <c r="BB49" s="17">
        <f>SUMIFS('Pasted Bridges'!$G:$G,'Pasted Bridges'!$B:$B,$C49,'Pasted Bridges'!$F:$F,BB$5)</f>
        <v>0</v>
      </c>
      <c r="BC49" s="17">
        <f>SUMIFS('Pasted Bridges'!$G:$G,'Pasted Bridges'!$B:$B,$C49,'Pasted Bridges'!$F:$F,BC$5)</f>
        <v>0</v>
      </c>
      <c r="BD49" s="17">
        <f>SUMIFS('Pasted Bridges'!$G:$G,'Pasted Bridges'!$B:$B,$C49,'Pasted Bridges'!$F:$F,BD$5)</f>
        <v>0</v>
      </c>
      <c r="BE49" s="17">
        <f>SUMIFS('Pasted Bridges'!$G:$G,'Pasted Bridges'!$B:$B,$C49,'Pasted Bridges'!$F:$F,BE$5)</f>
        <v>0</v>
      </c>
      <c r="BF49" s="17">
        <f>SUMIFS('Pasted Bridges'!$G:$G,'Pasted Bridges'!$B:$B,$C49,'Pasted Bridges'!$F:$F,BF$5)</f>
        <v>0</v>
      </c>
      <c r="BG49" s="17">
        <f>SUMIFS('Pasted Bridges'!$G:$G,'Pasted Bridges'!$B:$B,$C49,'Pasted Bridges'!$F:$F,BG$5)</f>
        <v>0</v>
      </c>
      <c r="BH49" s="17">
        <f>SUMIFS('Pasted Bridges'!$G:$G,'Pasted Bridges'!$B:$B,$C49,'Pasted Bridges'!$F:$F,BH$5)</f>
        <v>0</v>
      </c>
      <c r="BI49" s="17">
        <f>SUMIFS('Pasted Bridges'!$G:$G,'Pasted Bridges'!$B:$B,$C49,'Pasted Bridges'!$F:$F,BI$5)</f>
        <v>0</v>
      </c>
      <c r="BJ49" s="17">
        <f>SUMIFS('Pasted Bridges'!$G:$G,'Pasted Bridges'!$B:$B,$C49,'Pasted Bridges'!$F:$F,BJ$5)</f>
        <v>0</v>
      </c>
      <c r="BK49" s="17">
        <f>SUMIFS('Pasted Bridges'!$G:$G,'Pasted Bridges'!$B:$B,$C49,'Pasted Bridges'!$F:$F,BK$5)</f>
        <v>0</v>
      </c>
      <c r="BL49" s="17">
        <f>SUMIFS('Pasted Bridges'!$G:$G,'Pasted Bridges'!$B:$B,$C49,'Pasted Bridges'!$F:$F,BL$5)</f>
        <v>0</v>
      </c>
      <c r="BM49" s="17">
        <f>SUMIFS('Pasted Bridges'!$G:$G,'Pasted Bridges'!$B:$B,$C49,'Pasted Bridges'!$F:$F,BM$5)</f>
        <v>0</v>
      </c>
      <c r="BN49" s="17">
        <f>SUMIFS('Pasted Bridges'!$G:$G,'Pasted Bridges'!$B:$B,$C49,'Pasted Bridges'!$F:$F,BN$5)</f>
        <v>0</v>
      </c>
      <c r="BO49" s="17">
        <f>SUMIFS('Pasted Bridges'!$G:$G,'Pasted Bridges'!$B:$B,$C49,'Pasted Bridges'!$F:$F,BO$5)</f>
        <v>0</v>
      </c>
      <c r="BP49" s="17">
        <f>SUMIFS('Pasted Bridges'!$G:$G,'Pasted Bridges'!$B:$B,$C49,'Pasted Bridges'!$F:$F,BP$5)</f>
        <v>0</v>
      </c>
      <c r="BQ49" s="17">
        <f>SUMIFS('Pasted Bridges'!$G:$G,'Pasted Bridges'!$B:$B,$C49,'Pasted Bridges'!$F:$F,BQ$5)</f>
        <v>0</v>
      </c>
      <c r="BR49" s="17">
        <f>SUMIFS('Pasted Bridges'!$G:$G,'Pasted Bridges'!$B:$B,$C49,'Pasted Bridges'!$F:$F,BR$5)</f>
        <v>0</v>
      </c>
      <c r="BS49" s="17">
        <f>SUMIFS('Pasted Bridges'!$G:$G,'Pasted Bridges'!$B:$B,$C49,'Pasted Bridges'!$F:$F,BS$5)</f>
        <v>0</v>
      </c>
      <c r="BT49" s="17">
        <f>SUMIFS('Pasted Bridges'!$G:$G,'Pasted Bridges'!$B:$B,$C49,'Pasted Bridges'!$F:$F,BT$5)</f>
        <v>0</v>
      </c>
      <c r="BU49" s="17">
        <f>SUMIFS('Pasted Bridges'!$G:$G,'Pasted Bridges'!$B:$B,$C49,'Pasted Bridges'!$F:$F,BU$5)</f>
        <v>0</v>
      </c>
      <c r="BV49" s="17">
        <f>SUMIFS('Pasted Bridges'!$G:$G,'Pasted Bridges'!$B:$B,$C49,'Pasted Bridges'!$F:$F,BV$5)</f>
        <v>0</v>
      </c>
      <c r="BW49" s="17">
        <f>SUMIFS('Pasted Bridges'!$G:$G,'Pasted Bridges'!$B:$B,$C49,'Pasted Bridges'!$F:$F,BW$5)</f>
        <v>0</v>
      </c>
      <c r="BX49" s="17">
        <f>SUMIFS('Pasted Bridges'!$G:$G,'Pasted Bridges'!$B:$B,$C49,'Pasted Bridges'!$F:$F,BX$5)</f>
        <v>0</v>
      </c>
      <c r="BY49" s="17">
        <f>SUMIFS('Pasted Bridges'!$G:$G,'Pasted Bridges'!$B:$B,$C49,'Pasted Bridges'!$F:$F,BY$5)</f>
        <v>0</v>
      </c>
      <c r="BZ49" s="17">
        <f>SUMIFS('Pasted Bridges'!$G:$G,'Pasted Bridges'!$B:$B,$C49,'Pasted Bridges'!$F:$F,BZ$5)</f>
        <v>0</v>
      </c>
      <c r="CA49" s="17">
        <f>SUMIFS('Pasted Bridges'!$G:$G,'Pasted Bridges'!$B:$B,$C49,'Pasted Bridges'!$F:$F,CA$5)</f>
        <v>0</v>
      </c>
      <c r="CB49" s="17">
        <f>SUMIFS('Pasted Bridges'!$G:$G,'Pasted Bridges'!$B:$B,$C49,'Pasted Bridges'!$F:$F,CB$5)</f>
        <v>0</v>
      </c>
      <c r="CC49" s="17">
        <f>SUMIFS('Pasted Bridges'!$G:$G,'Pasted Bridges'!$B:$B,$C49,'Pasted Bridges'!$F:$F,CC$5)</f>
        <v>0</v>
      </c>
      <c r="CD49" s="17">
        <f>SUMIFS('Pasted Bridges'!$G:$G,'Pasted Bridges'!$B:$B,$C49,'Pasted Bridges'!$F:$F,CD$5)</f>
        <v>0</v>
      </c>
      <c r="CE49" s="17">
        <f>SUMIFS('Pasted Bridges'!$G:$G,'Pasted Bridges'!$B:$B,$C49,'Pasted Bridges'!$F:$F,CE$5)</f>
        <v>0</v>
      </c>
      <c r="CF49" s="17">
        <f>SUMIFS('Pasted Bridges'!$G:$G,'Pasted Bridges'!$B:$B,$C49,'Pasted Bridges'!$F:$F,CF$5)</f>
        <v>0</v>
      </c>
      <c r="CG49" s="17">
        <f>SUMIFS('Pasted Bridges'!$G:$G,'Pasted Bridges'!$B:$B,$C49,'Pasted Bridges'!$F:$F,CG$5)</f>
        <v>0</v>
      </c>
      <c r="CH49" s="17">
        <f>SUMIFS('Pasted Bridges'!$G:$G,'Pasted Bridges'!$B:$B,$C49,'Pasted Bridges'!$F:$F,CH$5)</f>
        <v>0</v>
      </c>
      <c r="CI49" s="17">
        <f>SUMIFS('Pasted Bridges'!$G:$G,'Pasted Bridges'!$B:$B,$C49,'Pasted Bridges'!$F:$F,CI$5)</f>
        <v>0</v>
      </c>
      <c r="CJ49" s="17">
        <f>SUMIFS('Pasted Bridges'!$G:$G,'Pasted Bridges'!$B:$B,$C49,'Pasted Bridges'!$F:$F,CJ$5)</f>
        <v>0</v>
      </c>
      <c r="CK49" s="17">
        <f>SUMIFS('Pasted Bridges'!$G:$G,'Pasted Bridges'!$B:$B,$C49,'Pasted Bridges'!$F:$F,CK$5)</f>
        <v>0</v>
      </c>
      <c r="CL49" s="17">
        <f>SUMIFS('Pasted Bridges'!$G:$G,'Pasted Bridges'!$B:$B,$C49,'Pasted Bridges'!$F:$F,CL$5)</f>
        <v>0</v>
      </c>
      <c r="CM49" s="17">
        <f>SUMIFS('Pasted Bridges'!$G:$G,'Pasted Bridges'!$B:$B,$C49,'Pasted Bridges'!$F:$F,CM$5)</f>
        <v>0</v>
      </c>
      <c r="CN49" s="17">
        <f>SUMIFS('Pasted Bridges'!$G:$G,'Pasted Bridges'!$B:$B,$C49,'Pasted Bridges'!$F:$F,CN$5)</f>
        <v>0</v>
      </c>
      <c r="CO49" s="17">
        <f>SUMIFS('Pasted Bridges'!$G:$G,'Pasted Bridges'!$B:$B,$C49,'Pasted Bridges'!$F:$F,CO$5)</f>
        <v>0</v>
      </c>
      <c r="CP49" s="17">
        <f>SUMIFS('Pasted Bridges'!$G:$G,'Pasted Bridges'!$B:$B,$C49,'Pasted Bridges'!$F:$F,CP$5)</f>
        <v>0</v>
      </c>
      <c r="CQ49" s="17">
        <f>SUMIFS('Pasted Bridges'!$G:$G,'Pasted Bridges'!$B:$B,$C49,'Pasted Bridges'!$F:$F,CQ$5)</f>
        <v>0</v>
      </c>
      <c r="CR49" s="17">
        <f>SUMIFS('Pasted Bridges'!$G:$G,'Pasted Bridges'!$B:$B,$C49,'Pasted Bridges'!$F:$F,CR$5)</f>
        <v>0</v>
      </c>
      <c r="CS49" s="17">
        <f>SUMIFS('Pasted Bridges'!$G:$G,'Pasted Bridges'!$B:$B,$C49,'Pasted Bridges'!$F:$F,CS$5)</f>
        <v>0</v>
      </c>
      <c r="CT49" s="17">
        <f>SUMIFS('Pasted Bridges'!$G:$G,'Pasted Bridges'!$B:$B,$C49,'Pasted Bridges'!$F:$F,CT$5)</f>
        <v>0</v>
      </c>
      <c r="CU49" s="17">
        <f>SUMIFS('Pasted Bridges'!$G:$G,'Pasted Bridges'!$B:$B,$C49,'Pasted Bridges'!$F:$F,CU$5)</f>
        <v>0</v>
      </c>
      <c r="CV49" s="17">
        <f>SUMIFS('Pasted Bridges'!$G:$G,'Pasted Bridges'!$B:$B,$C49,'Pasted Bridges'!$F:$F,CV$5)</f>
        <v>0</v>
      </c>
      <c r="CW49" s="17">
        <f>SUMIFS('Pasted Bridges'!$G:$G,'Pasted Bridges'!$B:$B,$C49,'Pasted Bridges'!$F:$F,CW$5)</f>
        <v>0</v>
      </c>
      <c r="CX49" s="17">
        <f>SUMIFS('Pasted Bridges'!$G:$G,'Pasted Bridges'!$B:$B,$C49,'Pasted Bridges'!$F:$F,CX$5)</f>
        <v>0</v>
      </c>
      <c r="CY49" s="17">
        <f>SUMIFS('Pasted Bridges'!$G:$G,'Pasted Bridges'!$B:$B,$C49,'Pasted Bridges'!$F:$F,CY$5)</f>
        <v>0</v>
      </c>
      <c r="CZ49" s="17">
        <f>SUMIFS('Pasted Bridges'!$G:$G,'Pasted Bridges'!$B:$B,$C49,'Pasted Bridges'!$F:$F,CZ$5)</f>
        <v>0</v>
      </c>
      <c r="DA49" s="17">
        <f>SUMIFS('Pasted Bridges'!$G:$G,'Pasted Bridges'!$B:$B,$C49,'Pasted Bridges'!$F:$F,DA$5)</f>
        <v>0</v>
      </c>
    </row>
    <row r="50" spans="2:106" s="1" customFormat="1" ht="11.4" x14ac:dyDescent="0.2">
      <c r="K50" s="6">
        <f t="shared" ref="K50:W50" si="0">SUM(K6:K49)</f>
        <v>117.34</v>
      </c>
      <c r="L50" s="6">
        <f t="shared" si="0"/>
        <v>113.13</v>
      </c>
      <c r="M50" s="6">
        <f t="shared" si="0"/>
        <v>111.18</v>
      </c>
      <c r="N50" s="6">
        <f t="shared" si="0"/>
        <v>119.09</v>
      </c>
      <c r="O50" s="6">
        <f t="shared" si="0"/>
        <v>119.10000000000001</v>
      </c>
      <c r="P50" s="6">
        <f t="shared" si="0"/>
        <v>111.18</v>
      </c>
      <c r="Q50" s="6">
        <f t="shared" si="0"/>
        <v>121.16</v>
      </c>
      <c r="R50" s="6">
        <f t="shared" si="0"/>
        <v>75.72</v>
      </c>
      <c r="S50" s="6">
        <f t="shared" si="0"/>
        <v>75.72</v>
      </c>
      <c r="T50" s="6">
        <f t="shared" si="0"/>
        <v>121.1</v>
      </c>
      <c r="U50" s="6">
        <f t="shared" si="0"/>
        <v>119.10000000000002</v>
      </c>
      <c r="V50" s="6">
        <f t="shared" si="0"/>
        <v>119.09</v>
      </c>
      <c r="W50" s="6">
        <f t="shared" si="0"/>
        <v>111.19</v>
      </c>
      <c r="X50" s="6">
        <f t="shared" ref="X50:AN50" si="1">SUM(X6:X49)</f>
        <v>111.19</v>
      </c>
      <c r="Y50" s="6">
        <f t="shared" si="1"/>
        <v>102.38</v>
      </c>
      <c r="Z50" s="6">
        <f t="shared" si="1"/>
        <v>87.82</v>
      </c>
      <c r="AA50" s="6">
        <f t="shared" si="1"/>
        <v>102.38</v>
      </c>
      <c r="AB50" s="6">
        <f t="shared" si="1"/>
        <v>116.17000000000002</v>
      </c>
      <c r="AC50" s="6">
        <f t="shared" si="1"/>
        <v>111.84</v>
      </c>
      <c r="AD50" s="6">
        <f t="shared" si="1"/>
        <v>133.79</v>
      </c>
      <c r="AE50" s="6">
        <f t="shared" si="1"/>
        <v>126.16</v>
      </c>
      <c r="AF50" s="6">
        <f t="shared" si="1"/>
        <v>107.7</v>
      </c>
      <c r="AG50" s="6">
        <f t="shared" si="1"/>
        <v>154.52000000000001</v>
      </c>
      <c r="AH50" s="6">
        <f t="shared" si="1"/>
        <v>108.14</v>
      </c>
      <c r="AI50" s="6">
        <f t="shared" si="1"/>
        <v>126.38000000000002</v>
      </c>
      <c r="AJ50" s="6">
        <f t="shared" si="1"/>
        <v>133.79000000000002</v>
      </c>
      <c r="AK50" s="6">
        <f t="shared" si="1"/>
        <v>154.52000000000001</v>
      </c>
      <c r="AL50" s="6">
        <f t="shared" si="1"/>
        <v>133.79000000000002</v>
      </c>
      <c r="AM50" s="6">
        <f t="shared" si="1"/>
        <v>118.48</v>
      </c>
      <c r="AN50" s="6">
        <f t="shared" si="1"/>
        <v>118.5</v>
      </c>
      <c r="AO50" s="6">
        <f t="shared" ref="AO50:CZ50" si="2">SUM(AO6:AO49)</f>
        <v>133.78</v>
      </c>
      <c r="AP50" s="6">
        <f t="shared" si="2"/>
        <v>75.47999999999999</v>
      </c>
      <c r="AQ50" s="6">
        <f t="shared" si="2"/>
        <v>108.02000000000001</v>
      </c>
      <c r="AR50" s="6">
        <f t="shared" si="2"/>
        <v>78.180000000000007</v>
      </c>
      <c r="AS50" s="6">
        <f t="shared" si="2"/>
        <v>108.02000000000001</v>
      </c>
      <c r="AT50" s="6">
        <f t="shared" si="2"/>
        <v>90.050000000000011</v>
      </c>
      <c r="AU50" s="6">
        <f t="shared" si="2"/>
        <v>75.460000000000008</v>
      </c>
      <c r="AV50" s="6">
        <f t="shared" si="2"/>
        <v>75.48</v>
      </c>
      <c r="AW50" s="6">
        <f t="shared" si="2"/>
        <v>108.02000000000001</v>
      </c>
      <c r="AX50" s="6">
        <f t="shared" si="2"/>
        <v>90.06</v>
      </c>
      <c r="AY50" s="6">
        <f t="shared" si="2"/>
        <v>92.610000000000014</v>
      </c>
      <c r="AZ50" s="6">
        <f t="shared" si="2"/>
        <v>75.459999999999994</v>
      </c>
      <c r="BA50" s="6">
        <f t="shared" si="2"/>
        <v>116.36</v>
      </c>
      <c r="BB50" s="6">
        <f t="shared" si="2"/>
        <v>108.96999999999998</v>
      </c>
      <c r="BC50" s="6">
        <f t="shared" si="2"/>
        <v>82.53</v>
      </c>
      <c r="BD50" s="6">
        <f t="shared" si="2"/>
        <v>75.94</v>
      </c>
      <c r="BE50" s="6">
        <f t="shared" si="2"/>
        <v>102.87</v>
      </c>
      <c r="BF50" s="6">
        <f t="shared" si="2"/>
        <v>99.179999999999993</v>
      </c>
      <c r="BG50" s="6">
        <f t="shared" si="2"/>
        <v>116.35</v>
      </c>
      <c r="BH50" s="6">
        <f t="shared" si="2"/>
        <v>108.97000000000001</v>
      </c>
      <c r="BI50" s="6">
        <f t="shared" si="2"/>
        <v>75.930000000000007</v>
      </c>
      <c r="BJ50" s="6">
        <f t="shared" si="2"/>
        <v>75.94</v>
      </c>
      <c r="BK50" s="6">
        <f t="shared" si="2"/>
        <v>107.59</v>
      </c>
      <c r="BL50" s="6">
        <f t="shared" si="2"/>
        <v>105.92000000000002</v>
      </c>
      <c r="BM50" s="6">
        <f t="shared" si="2"/>
        <v>117.88000000000001</v>
      </c>
      <c r="BN50" s="6">
        <f t="shared" si="2"/>
        <v>117.88000000000001</v>
      </c>
      <c r="BO50" s="6">
        <f t="shared" si="2"/>
        <v>117.88000000000002</v>
      </c>
      <c r="BP50" s="6">
        <f t="shared" si="2"/>
        <v>117.88000000000002</v>
      </c>
      <c r="BQ50" s="6">
        <f t="shared" si="2"/>
        <v>122.81000000000002</v>
      </c>
      <c r="BR50" s="6">
        <f t="shared" si="2"/>
        <v>108.97</v>
      </c>
      <c r="BS50" s="6">
        <f t="shared" si="2"/>
        <v>75.930000000000007</v>
      </c>
      <c r="BT50" s="6">
        <f t="shared" si="2"/>
        <v>75.94</v>
      </c>
      <c r="BU50" s="6">
        <f t="shared" si="2"/>
        <v>107.60999999999999</v>
      </c>
      <c r="BV50" s="6">
        <f t="shared" si="2"/>
        <v>105.92000000000002</v>
      </c>
      <c r="BW50" s="6">
        <f t="shared" si="2"/>
        <v>78.16</v>
      </c>
      <c r="BX50" s="6">
        <f t="shared" si="2"/>
        <v>122.01000000000002</v>
      </c>
      <c r="BY50" s="6">
        <f t="shared" si="2"/>
        <v>110.38000000000001</v>
      </c>
      <c r="BZ50" s="6">
        <f t="shared" si="2"/>
        <v>104.05</v>
      </c>
      <c r="CA50" s="6">
        <f t="shared" si="2"/>
        <v>92.58</v>
      </c>
      <c r="CB50" s="6">
        <f t="shared" si="2"/>
        <v>78.16</v>
      </c>
      <c r="CC50" s="6">
        <f t="shared" si="2"/>
        <v>122.00000000000003</v>
      </c>
      <c r="CD50" s="6">
        <f t="shared" si="2"/>
        <v>110.38000000000002</v>
      </c>
      <c r="CE50" s="6">
        <f t="shared" si="2"/>
        <v>104.06</v>
      </c>
      <c r="CF50" s="6">
        <f t="shared" si="2"/>
        <v>92.58</v>
      </c>
      <c r="CG50" s="6">
        <f t="shared" si="2"/>
        <v>122.00000000000003</v>
      </c>
      <c r="CH50" s="6">
        <f t="shared" si="2"/>
        <v>110.38000000000002</v>
      </c>
      <c r="CI50" s="6">
        <f t="shared" si="2"/>
        <v>134.92000000000002</v>
      </c>
      <c r="CJ50" s="6">
        <f t="shared" si="2"/>
        <v>69.02</v>
      </c>
      <c r="CK50" s="6">
        <f t="shared" si="2"/>
        <v>107.71000000000002</v>
      </c>
      <c r="CL50" s="6">
        <f t="shared" si="2"/>
        <v>122.12</v>
      </c>
      <c r="CM50" s="6">
        <f t="shared" si="2"/>
        <v>109.58</v>
      </c>
      <c r="CN50" s="6">
        <f t="shared" si="2"/>
        <v>125.52</v>
      </c>
      <c r="CO50" s="6">
        <f t="shared" si="2"/>
        <v>101.71000000000001</v>
      </c>
      <c r="CP50" s="6">
        <f t="shared" si="2"/>
        <v>120.77</v>
      </c>
      <c r="CQ50" s="6">
        <f t="shared" si="2"/>
        <v>110.21000000000001</v>
      </c>
      <c r="CR50" s="6">
        <f t="shared" si="2"/>
        <v>108.41000000000001</v>
      </c>
      <c r="CS50" s="6">
        <f t="shared" si="2"/>
        <v>101.67000000000002</v>
      </c>
      <c r="CT50" s="6">
        <f t="shared" si="2"/>
        <v>127.42999999999999</v>
      </c>
      <c r="CU50" s="6">
        <f t="shared" si="2"/>
        <v>117.92999999999999</v>
      </c>
      <c r="CV50" s="6">
        <f t="shared" si="2"/>
        <v>103.22</v>
      </c>
      <c r="CW50" s="6">
        <f t="shared" si="2"/>
        <v>126.81</v>
      </c>
      <c r="CX50" s="6">
        <f t="shared" si="2"/>
        <v>117.41</v>
      </c>
      <c r="CY50" s="6">
        <f t="shared" si="2"/>
        <v>101.35000000000002</v>
      </c>
      <c r="CZ50" s="6">
        <f t="shared" si="2"/>
        <v>126.78999999999999</v>
      </c>
      <c r="DA50" s="6">
        <f t="shared" ref="DA50" si="3">SUM(DA6:DA49)</f>
        <v>117.44999999999999</v>
      </c>
    </row>
    <row r="51" spans="2:106" s="1" customFormat="1" ht="11.4" x14ac:dyDescent="0.2"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</row>
    <row r="52" spans="2:106" s="1" customFormat="1" ht="11.4" x14ac:dyDescent="0.2"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</row>
    <row r="53" spans="2:106" s="1" customFormat="1" ht="11.4" x14ac:dyDescent="0.2">
      <c r="I53" s="11" t="s">
        <v>200</v>
      </c>
      <c r="J53" s="11"/>
      <c r="K53" s="6">
        <f t="shared" ref="K53:W53" si="4">SUMPRODUCT($G$6:$G$49,K6:K49)</f>
        <v>25.236100000000004</v>
      </c>
      <c r="L53" s="6">
        <f t="shared" si="4"/>
        <v>23.685300000000005</v>
      </c>
      <c r="M53" s="6">
        <f t="shared" si="4"/>
        <v>18.279999999999998</v>
      </c>
      <c r="N53" s="6">
        <f t="shared" si="4"/>
        <v>21.730700000000002</v>
      </c>
      <c r="O53" s="6">
        <f t="shared" si="4"/>
        <v>21.844000000000001</v>
      </c>
      <c r="P53" s="6">
        <f t="shared" si="4"/>
        <v>18.28</v>
      </c>
      <c r="Q53" s="6">
        <f t="shared" si="4"/>
        <v>17.644400000000005</v>
      </c>
      <c r="R53" s="6">
        <f t="shared" si="4"/>
        <v>8.9328000000000003</v>
      </c>
      <c r="S53" s="6">
        <f t="shared" si="4"/>
        <v>8.9353999999999996</v>
      </c>
      <c r="T53" s="6">
        <f t="shared" si="4"/>
        <v>17.275000000000002</v>
      </c>
      <c r="U53" s="6">
        <f t="shared" ref="U53" si="5">SUMPRODUCT($G$6:$G$49,U6:U49)</f>
        <v>31.727399999999999</v>
      </c>
      <c r="V53" s="6">
        <f t="shared" si="4"/>
        <v>31.725899999999999</v>
      </c>
      <c r="W53" s="6">
        <f t="shared" si="4"/>
        <v>29.709400000000002</v>
      </c>
      <c r="X53" s="6">
        <f t="shared" ref="X53" si="6">SUMPRODUCT($G$6:$G$49,X6:X49)</f>
        <v>29.709400000000002</v>
      </c>
      <c r="Y53" s="6">
        <f t="shared" ref="Y53:AL53" si="7">SUMPRODUCT($G$6:$G$49,Y6:Y49)</f>
        <v>27.376899999999999</v>
      </c>
      <c r="Z53" s="6">
        <f t="shared" si="7"/>
        <v>22.667000000000002</v>
      </c>
      <c r="AA53" s="6">
        <f t="shared" si="7"/>
        <v>27.375599999999999</v>
      </c>
      <c r="AB53" s="6">
        <f t="shared" si="7"/>
        <v>24.5154</v>
      </c>
      <c r="AC53" s="6">
        <f t="shared" si="7"/>
        <v>22.4712</v>
      </c>
      <c r="AD53" s="6">
        <f t="shared" si="7"/>
        <v>22.9329</v>
      </c>
      <c r="AE53" s="6">
        <f t="shared" si="7"/>
        <v>17.268800000000002</v>
      </c>
      <c r="AF53" s="6">
        <f t="shared" si="7"/>
        <v>11.5518</v>
      </c>
      <c r="AG53" s="6">
        <f t="shared" si="7"/>
        <v>32.182299999999998</v>
      </c>
      <c r="AH53" s="6">
        <f t="shared" si="7"/>
        <v>11.793800000000001</v>
      </c>
      <c r="AI53" s="6">
        <f t="shared" si="7"/>
        <v>17.469100000000001</v>
      </c>
      <c r="AJ53" s="6">
        <f t="shared" si="7"/>
        <v>22.9329</v>
      </c>
      <c r="AK53" s="6">
        <f t="shared" si="7"/>
        <v>42.092700000000001</v>
      </c>
      <c r="AL53" s="6">
        <f t="shared" si="7"/>
        <v>35.779600000000002</v>
      </c>
      <c r="AM53" s="6">
        <f t="shared" ref="AM53:BF53" si="8">SUMPRODUCT($G$6:$G$49,AM6:AM49)</f>
        <v>31.824300000000001</v>
      </c>
      <c r="AN53" s="6">
        <f t="shared" si="8"/>
        <v>31.829100000000004</v>
      </c>
      <c r="AO53" s="6">
        <f t="shared" si="8"/>
        <v>35.776600000000002</v>
      </c>
      <c r="AP53" s="6">
        <f t="shared" si="8"/>
        <v>19.354399999999998</v>
      </c>
      <c r="AQ53" s="6">
        <f t="shared" si="8"/>
        <v>28.674599999999998</v>
      </c>
      <c r="AR53" s="6">
        <f t="shared" si="8"/>
        <v>13.415300000000002</v>
      </c>
      <c r="AS53" s="6">
        <f t="shared" si="8"/>
        <v>19.485000000000003</v>
      </c>
      <c r="AT53" s="6">
        <f t="shared" si="8"/>
        <v>16.719100000000001</v>
      </c>
      <c r="AU53" s="6">
        <f t="shared" si="8"/>
        <v>9.299199999999999</v>
      </c>
      <c r="AV53" s="6">
        <f t="shared" si="8"/>
        <v>9.3047999999999984</v>
      </c>
      <c r="AW53" s="6">
        <f t="shared" si="8"/>
        <v>29.0016</v>
      </c>
      <c r="AX53" s="6">
        <f t="shared" si="8"/>
        <v>24.241599999999998</v>
      </c>
      <c r="AY53" s="6">
        <f t="shared" si="8"/>
        <v>24.169600000000003</v>
      </c>
      <c r="AZ53" s="6">
        <f t="shared" si="8"/>
        <v>19.827099999999998</v>
      </c>
      <c r="BA53" s="6">
        <f t="shared" si="8"/>
        <v>31.968000000000004</v>
      </c>
      <c r="BB53" s="6">
        <f t="shared" si="8"/>
        <v>28.750699999999995</v>
      </c>
      <c r="BC53" s="6">
        <f t="shared" si="8"/>
        <v>19.458099999999998</v>
      </c>
      <c r="BD53" s="6">
        <f t="shared" si="8"/>
        <v>18.955599999999997</v>
      </c>
      <c r="BE53" s="6">
        <f t="shared" si="8"/>
        <v>23.199200000000001</v>
      </c>
      <c r="BF53" s="6">
        <f t="shared" si="8"/>
        <v>20.7117</v>
      </c>
      <c r="BG53" s="6">
        <f t="shared" ref="BG53:DA53" si="9">SUMPRODUCT($G$6:$G$49,BG6:BG49)</f>
        <v>21.769399999999997</v>
      </c>
      <c r="BH53" s="6">
        <f t="shared" si="9"/>
        <v>20.829699999999995</v>
      </c>
      <c r="BI53" s="6">
        <f t="shared" si="9"/>
        <v>9.4674999999999994</v>
      </c>
      <c r="BJ53" s="6">
        <f t="shared" si="9"/>
        <v>9.5664999999999996</v>
      </c>
      <c r="BK53" s="6">
        <f t="shared" si="9"/>
        <v>20.3856</v>
      </c>
      <c r="BL53" s="6">
        <f t="shared" si="9"/>
        <v>19.7622</v>
      </c>
      <c r="BM53" s="6">
        <f t="shared" si="9"/>
        <v>21.459199999999999</v>
      </c>
      <c r="BN53" s="6">
        <f t="shared" si="9"/>
        <v>21.459199999999999</v>
      </c>
      <c r="BO53" s="6">
        <f t="shared" si="9"/>
        <v>31.811900000000001</v>
      </c>
      <c r="BP53" s="6">
        <f t="shared" si="9"/>
        <v>31.811900000000001</v>
      </c>
      <c r="BQ53" s="6">
        <f t="shared" si="9"/>
        <v>33.698499999999996</v>
      </c>
      <c r="BR53" s="6">
        <f t="shared" si="9"/>
        <v>29.778299999999994</v>
      </c>
      <c r="BS53" s="6">
        <f t="shared" si="9"/>
        <v>19.999599999999997</v>
      </c>
      <c r="BT53" s="6">
        <f t="shared" si="9"/>
        <v>20.098599999999998</v>
      </c>
      <c r="BU53" s="6">
        <f t="shared" si="9"/>
        <v>29.324399999999997</v>
      </c>
      <c r="BV53" s="6">
        <f t="shared" si="9"/>
        <v>28.675899999999999</v>
      </c>
      <c r="BW53" s="6">
        <f t="shared" si="9"/>
        <v>18.516299999999998</v>
      </c>
      <c r="BX53" s="6">
        <f t="shared" si="9"/>
        <v>31.941900000000004</v>
      </c>
      <c r="BY53" s="6">
        <f t="shared" si="9"/>
        <v>28.447400000000002</v>
      </c>
      <c r="BZ53" s="6">
        <f t="shared" si="9"/>
        <v>25.940700000000003</v>
      </c>
      <c r="CA53" s="6">
        <f t="shared" si="9"/>
        <v>24.7349</v>
      </c>
      <c r="CB53" s="6">
        <f t="shared" si="9"/>
        <v>9.7851999999999997</v>
      </c>
      <c r="CC53" s="6">
        <f t="shared" si="9"/>
        <v>22.240699999999997</v>
      </c>
      <c r="CD53" s="6">
        <f t="shared" si="9"/>
        <v>19.034600000000005</v>
      </c>
      <c r="CE53" s="6">
        <f t="shared" si="9"/>
        <v>13.825000000000001</v>
      </c>
      <c r="CF53" s="6">
        <f t="shared" si="9"/>
        <v>12.617799999999999</v>
      </c>
      <c r="CG53" s="6">
        <f t="shared" si="9"/>
        <v>32.364800000000002</v>
      </c>
      <c r="CH53" s="6">
        <f t="shared" si="9"/>
        <v>29.390700000000002</v>
      </c>
      <c r="CI53" s="6">
        <f t="shared" si="9"/>
        <v>36.296100000000003</v>
      </c>
      <c r="CJ53" s="6">
        <f t="shared" si="9"/>
        <v>18.104900000000001</v>
      </c>
      <c r="CK53" s="6">
        <f t="shared" si="9"/>
        <v>28.009200000000003</v>
      </c>
      <c r="CL53" s="6">
        <f t="shared" si="9"/>
        <v>30.352599999999999</v>
      </c>
      <c r="CM53" s="6">
        <f t="shared" si="9"/>
        <v>26.3292</v>
      </c>
      <c r="CN53" s="6">
        <f t="shared" si="9"/>
        <v>31.856200000000001</v>
      </c>
      <c r="CO53" s="6">
        <f t="shared" si="9"/>
        <v>18.041400000000003</v>
      </c>
      <c r="CP53" s="6">
        <f t="shared" si="9"/>
        <v>19.825000000000003</v>
      </c>
      <c r="CQ53" s="6">
        <f t="shared" si="9"/>
        <v>19.459999999999997</v>
      </c>
      <c r="CR53" s="6">
        <f t="shared" si="9"/>
        <v>15.7418</v>
      </c>
      <c r="CS53" s="6">
        <f t="shared" si="9"/>
        <v>18.038400000000006</v>
      </c>
      <c r="CT53" s="6">
        <f t="shared" si="9"/>
        <v>25.024200000000008</v>
      </c>
      <c r="CU53" s="6">
        <f t="shared" si="9"/>
        <v>20.369199999999999</v>
      </c>
      <c r="CV53" s="6">
        <f t="shared" si="9"/>
        <v>25.857700000000005</v>
      </c>
      <c r="CW53" s="6">
        <f t="shared" si="9"/>
        <v>33.537100000000002</v>
      </c>
      <c r="CX53" s="6">
        <f t="shared" si="9"/>
        <v>30.450899999999997</v>
      </c>
      <c r="CY53" s="6">
        <f t="shared" si="9"/>
        <v>25.665400000000005</v>
      </c>
      <c r="CZ53" s="6">
        <f t="shared" si="9"/>
        <v>33.532300000000006</v>
      </c>
      <c r="DA53" s="6">
        <f t="shared" si="9"/>
        <v>30.460199999999997</v>
      </c>
    </row>
    <row r="54" spans="2:106" s="1" customFormat="1" ht="11.4" x14ac:dyDescent="0.2">
      <c r="I54" s="11" t="s">
        <v>201</v>
      </c>
      <c r="K54" s="6">
        <f>SUMPRODUCT($I$6:$I$49,K6:K49)</f>
        <v>11.202599999999999</v>
      </c>
      <c r="L54" s="6">
        <f t="shared" ref="L54:W54" si="10">SUMPRODUCT($I$6:$I$49,L6:L49)</f>
        <v>10.184899999999999</v>
      </c>
      <c r="M54" s="6">
        <f t="shared" si="10"/>
        <v>3.7490000000000001</v>
      </c>
      <c r="N54" s="6">
        <f t="shared" si="10"/>
        <v>4.4380000000000006</v>
      </c>
      <c r="O54" s="6">
        <f t="shared" si="10"/>
        <v>4.4812000000000003</v>
      </c>
      <c r="P54" s="6">
        <f t="shared" si="10"/>
        <v>3.7490000000000006</v>
      </c>
      <c r="Q54" s="6">
        <f t="shared" si="10"/>
        <v>3.6741000000000006</v>
      </c>
      <c r="R54" s="6">
        <f t="shared" si="10"/>
        <v>1.6719999999999999</v>
      </c>
      <c r="S54" s="6">
        <f t="shared" si="10"/>
        <v>1.6729999999999998</v>
      </c>
      <c r="T54" s="6">
        <f t="shared" si="10"/>
        <v>3.5814000000000004</v>
      </c>
      <c r="U54" s="6">
        <f t="shared" ref="U54" si="11">SUMPRODUCT($I$6:$I$49,U6:U49)</f>
        <v>16.085000000000001</v>
      </c>
      <c r="V54" s="6">
        <f t="shared" si="10"/>
        <v>16.084800000000001</v>
      </c>
      <c r="W54" s="6">
        <f t="shared" si="10"/>
        <v>14.910700000000002</v>
      </c>
      <c r="X54" s="6">
        <f t="shared" ref="X54" si="12">SUMPRODUCT($I$6:$I$49,X6:X49)</f>
        <v>14.910700000000002</v>
      </c>
      <c r="Y54" s="6">
        <f t="shared" ref="Y54:AL54" si="13">SUMPRODUCT($I$6:$I$49,Y6:Y49)</f>
        <v>14.5815</v>
      </c>
      <c r="Z54" s="6">
        <f t="shared" si="13"/>
        <v>10.577400000000001</v>
      </c>
      <c r="AA54" s="6">
        <f t="shared" si="13"/>
        <v>14.581000000000003</v>
      </c>
      <c r="AB54" s="6">
        <f t="shared" si="13"/>
        <v>11.351599999999999</v>
      </c>
      <c r="AC54" s="6">
        <f t="shared" si="13"/>
        <v>8.8763999999999985</v>
      </c>
      <c r="AD54" s="6">
        <f t="shared" si="13"/>
        <v>4.6486000000000001</v>
      </c>
      <c r="AE54" s="6">
        <f t="shared" si="13"/>
        <v>3.3048000000000006</v>
      </c>
      <c r="AF54" s="6">
        <f t="shared" si="13"/>
        <v>2.1503999999999999</v>
      </c>
      <c r="AG54" s="6">
        <f t="shared" si="13"/>
        <v>6.7272999999999996</v>
      </c>
      <c r="AH54" s="6">
        <f t="shared" si="13"/>
        <v>2.1724000000000001</v>
      </c>
      <c r="AI54" s="6">
        <f t="shared" si="13"/>
        <v>3.3463000000000007</v>
      </c>
      <c r="AJ54" s="6">
        <f t="shared" si="13"/>
        <v>4.6486000000000001</v>
      </c>
      <c r="AK54" s="6">
        <f t="shared" si="13"/>
        <v>22.689499999999999</v>
      </c>
      <c r="AL54" s="6">
        <f t="shared" si="13"/>
        <v>17.467500000000001</v>
      </c>
      <c r="AM54" s="6">
        <f t="shared" ref="AM54:BF54" si="14">SUMPRODUCT($I$6:$I$49,AM6:AM49)</f>
        <v>17.129500000000004</v>
      </c>
      <c r="AN54" s="6">
        <f t="shared" si="14"/>
        <v>17.130700000000001</v>
      </c>
      <c r="AO54" s="6">
        <f t="shared" si="14"/>
        <v>17.4619</v>
      </c>
      <c r="AP54" s="6">
        <f t="shared" si="14"/>
        <v>7.6459999999999999</v>
      </c>
      <c r="AQ54" s="6">
        <f t="shared" si="14"/>
        <v>11.4376</v>
      </c>
      <c r="AR54" s="6">
        <f t="shared" si="14"/>
        <v>2.8736999999999995</v>
      </c>
      <c r="AS54" s="6">
        <f t="shared" si="14"/>
        <v>4.0138000000000007</v>
      </c>
      <c r="AT54" s="6">
        <f t="shared" si="14"/>
        <v>3.4922000000000004</v>
      </c>
      <c r="AU54" s="6">
        <f t="shared" si="14"/>
        <v>1.7328000000000003</v>
      </c>
      <c r="AV54" s="6">
        <f t="shared" si="14"/>
        <v>1.7342000000000002</v>
      </c>
      <c r="AW54" s="6">
        <f t="shared" si="14"/>
        <v>14.277999999999999</v>
      </c>
      <c r="AX54" s="6">
        <f t="shared" si="14"/>
        <v>12.320500000000001</v>
      </c>
      <c r="AY54" s="6">
        <f t="shared" si="14"/>
        <v>13.801400000000003</v>
      </c>
      <c r="AZ54" s="6">
        <f t="shared" si="14"/>
        <v>8.0910000000000011</v>
      </c>
      <c r="BA54" s="6">
        <f t="shared" si="14"/>
        <v>12.995900000000002</v>
      </c>
      <c r="BB54" s="6">
        <f t="shared" si="14"/>
        <v>8.8349000000000011</v>
      </c>
      <c r="BC54" s="6">
        <f t="shared" si="14"/>
        <v>7.3166000000000002</v>
      </c>
      <c r="BD54" s="6">
        <f t="shared" si="14"/>
        <v>6.5367999999999995</v>
      </c>
      <c r="BE54" s="6">
        <f t="shared" si="14"/>
        <v>9.4998000000000005</v>
      </c>
      <c r="BF54" s="6">
        <f t="shared" si="14"/>
        <v>8.7070000000000007</v>
      </c>
      <c r="BG54" s="6">
        <f t="shared" ref="BG54:DA54" si="15">SUMPRODUCT($I$6:$I$49,BG6:BG49)</f>
        <v>4.4118999999999993</v>
      </c>
      <c r="BH54" s="6">
        <f t="shared" si="15"/>
        <v>4.1300000000000008</v>
      </c>
      <c r="BI54" s="6">
        <f t="shared" si="15"/>
        <v>1.7348000000000001</v>
      </c>
      <c r="BJ54" s="6">
        <f t="shared" si="15"/>
        <v>1.7725000000000004</v>
      </c>
      <c r="BK54" s="6">
        <f t="shared" si="15"/>
        <v>4.1047000000000002</v>
      </c>
      <c r="BL54" s="6">
        <f t="shared" si="15"/>
        <v>3.9554000000000005</v>
      </c>
      <c r="BM54" s="6">
        <f t="shared" si="15"/>
        <v>4.3524000000000003</v>
      </c>
      <c r="BN54" s="6">
        <f t="shared" si="15"/>
        <v>4.3524000000000003</v>
      </c>
      <c r="BO54" s="6">
        <f t="shared" si="15"/>
        <v>16.462500000000002</v>
      </c>
      <c r="BP54" s="6">
        <f t="shared" si="15"/>
        <v>16.462500000000002</v>
      </c>
      <c r="BQ54" s="6">
        <f t="shared" si="15"/>
        <v>16.422500000000003</v>
      </c>
      <c r="BR54" s="6">
        <f t="shared" si="15"/>
        <v>14.589</v>
      </c>
      <c r="BS54" s="6">
        <f t="shared" si="15"/>
        <v>8.1155000000000008</v>
      </c>
      <c r="BT54" s="6">
        <f t="shared" si="15"/>
        <v>8.1532</v>
      </c>
      <c r="BU54" s="6">
        <f t="shared" si="15"/>
        <v>14.555</v>
      </c>
      <c r="BV54" s="6">
        <f t="shared" si="15"/>
        <v>14.288200000000002</v>
      </c>
      <c r="BW54" s="6">
        <f t="shared" si="15"/>
        <v>5.2240000000000002</v>
      </c>
      <c r="BX54" s="6">
        <f t="shared" si="15"/>
        <v>11.2242</v>
      </c>
      <c r="BY54" s="6">
        <f t="shared" si="15"/>
        <v>9.3767999999999994</v>
      </c>
      <c r="BZ54" s="6">
        <f t="shared" si="15"/>
        <v>8.7114000000000011</v>
      </c>
      <c r="CA54" s="6">
        <f t="shared" si="15"/>
        <v>9.7216000000000005</v>
      </c>
      <c r="CB54" s="6">
        <f t="shared" si="15"/>
        <v>1.9758000000000002</v>
      </c>
      <c r="CC54" s="6">
        <f t="shared" si="15"/>
        <v>4.8240999999999996</v>
      </c>
      <c r="CD54" s="6">
        <f t="shared" si="15"/>
        <v>4.0789999999999997</v>
      </c>
      <c r="CE54" s="6">
        <f t="shared" si="15"/>
        <v>2.5706000000000002</v>
      </c>
      <c r="CF54" s="6">
        <f t="shared" si="15"/>
        <v>2.4077999999999999</v>
      </c>
      <c r="CG54" s="6">
        <f t="shared" si="15"/>
        <v>16.643500000000007</v>
      </c>
      <c r="CH54" s="6">
        <f t="shared" si="15"/>
        <v>15.010600000000004</v>
      </c>
      <c r="CI54" s="6">
        <f t="shared" si="15"/>
        <v>21.504200000000004</v>
      </c>
      <c r="CJ54" s="6">
        <f t="shared" si="15"/>
        <v>6.8774999999999995</v>
      </c>
      <c r="CK54" s="6">
        <f t="shared" si="15"/>
        <v>10.606199999999999</v>
      </c>
      <c r="CL54" s="6">
        <f t="shared" si="15"/>
        <v>12.9436</v>
      </c>
      <c r="CM54" s="6">
        <f t="shared" si="15"/>
        <v>10.5824</v>
      </c>
      <c r="CN54" s="6">
        <f t="shared" si="15"/>
        <v>11.851900000000001</v>
      </c>
      <c r="CO54" s="6">
        <f t="shared" si="15"/>
        <v>3.6188999999999996</v>
      </c>
      <c r="CP54" s="6">
        <f t="shared" si="15"/>
        <v>3.8980999999999999</v>
      </c>
      <c r="CQ54" s="6">
        <f t="shared" si="15"/>
        <v>3.8134999999999999</v>
      </c>
      <c r="CR54" s="6">
        <f t="shared" si="15"/>
        <v>2.9261000000000004</v>
      </c>
      <c r="CS54" s="6">
        <f t="shared" si="15"/>
        <v>3.6185</v>
      </c>
      <c r="CT54" s="6">
        <f t="shared" si="15"/>
        <v>5.0499000000000018</v>
      </c>
      <c r="CU54" s="6">
        <f t="shared" si="15"/>
        <v>4.0471000000000004</v>
      </c>
      <c r="CV54" s="6">
        <f t="shared" si="15"/>
        <v>14.381300000000003</v>
      </c>
      <c r="CW54" s="6">
        <f t="shared" si="15"/>
        <v>18.504799999999996</v>
      </c>
      <c r="CX54" s="6">
        <f t="shared" si="15"/>
        <v>15.3796</v>
      </c>
      <c r="CY54" s="6">
        <f t="shared" si="15"/>
        <v>14.282800000000003</v>
      </c>
      <c r="CZ54" s="6">
        <f t="shared" si="15"/>
        <v>18.503599999999999</v>
      </c>
      <c r="DA54" s="6">
        <f t="shared" si="15"/>
        <v>15.386600000000001</v>
      </c>
    </row>
    <row r="55" spans="2:106" s="1" customFormat="1" ht="11.4" x14ac:dyDescent="0.2"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</row>
    <row r="56" spans="2:106" s="1" customFormat="1" ht="11.4" x14ac:dyDescent="0.2"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</row>
    <row r="57" spans="2:106" s="1" customFormat="1" x14ac:dyDescent="0.25">
      <c r="I57" s="16" t="s">
        <v>198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</row>
    <row r="58" spans="2:106" ht="13.8" customHeight="1" x14ac:dyDescent="0.25">
      <c r="I58" s="11" t="s">
        <v>204</v>
      </c>
      <c r="K58" s="25" t="str" cm="1">
        <f t="array" ref="K58">_xlfn.TEXTJOIN(CHAR(10)&amp;CHAR(10),TRUE,
IF(K$6:K$49&gt;0,
"&lt;ThermalBridge&gt;"&amp;CHAR(10)&amp;
"&lt;TypeSource xsi:nil=""true""/&gt;"&amp;CHAR(10)&amp;
"&lt;Length&gt;"&amp;TEXT(K$6:K$49,"0.00")&amp;"&lt;/Length&gt;"&amp;CHAR(10)&amp;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&lt;Length&gt;21.04&lt;/Length&gt;
&lt;PsiValue&gt;0&lt;/PsiValue&gt;
&lt;K1Index&gt;PartyFloor&lt;/K1Index&gt;
&lt;Imported&gt;False&lt;/Imported&gt;
&lt;Adjusted&gt;0&lt;/Adjusted&gt;
&lt;/ThermalBridge&gt;
&lt;ThermalBridge&gt;
&lt;TypeSource xsi:nil="true"/&gt;
&lt;Length&gt;14.79&lt;/Length&gt;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&lt;Length&gt;7.47&lt;/Length&gt;
&lt;PsiValue&gt;0&lt;/PsiValue&gt;
&lt;K1Index&gt;ExposedFloorInverted&lt;/K1Index&gt;
&lt;Imported&gt;False&lt;/Imported&gt;
&lt;Adjusted&gt;0&lt;/Adjusted&gt;
&lt;/ThermalBridge&gt;
&lt;ThermalBridge&gt;
&lt;TypeSource xsi:nil="true"/&gt;
&lt;Length&gt;23.87&lt;/Length&gt;
&lt;PsiValue&gt;0&lt;/PsiValue&gt;
&lt;K1Index&gt;PartyFloorWithPartyWall&lt;/K1Index&gt;
&lt;Imported&gt;False&lt;/Imported&gt;
&lt;Adjusted&gt;0&lt;/Adjusted&gt;
&lt;/ThermalBridge&gt;
&lt;ThermalBridge&gt;
&lt;TypeSource xsi:nil="true"/&gt;
&lt;Length&gt;2.71&lt;/Length&gt;
&lt;PsiValue&gt;0&lt;/PsiValue&gt;
&lt;K1Index&gt;ExposedFloorInvertedWithPartyWall&lt;/K1Index&gt;
&lt;Imported&gt;False&lt;/Imported&gt;
&lt;Adjusted&gt;0&lt;/Adjusted&gt;
&lt;/ThermalBridge&gt;</v>
      </c>
      <c r="L58" s="25" t="str" cm="1">
        <f t="array" ref="L58">_xlfn.TEXTJOIN(CHAR(10)&amp;CHAR(10),TRUE,
IF(L$6:L$49&gt;0,
"&lt;ThermalBridge&gt;"&amp;CHAR(10)&amp;
"&lt;TypeSource xsi:nil=""true""/&gt;"&amp;CHAR(10)&amp;
"&lt;Length&gt;"&amp;TEXT(L$6:L$49,"0.00")&amp;"&lt;/Length&gt;"&amp;CHAR(10)&amp;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&lt;Length&gt;21.05&lt;/Length&gt;
&lt;PsiValue&gt;0&lt;/PsiValue&gt;
&lt;K1Index&gt;PartyFloor&lt;/K1Index&gt;
&lt;Imported&gt;False&lt;/Imported&gt;
&lt;Adjusted&gt;0&lt;/Adjusted&gt;
&lt;/ThermalBridge&gt;
&lt;ThermalBridge&gt;
&lt;TypeSource xsi:nil="true"/&gt;
&lt;Length&gt;14.79&lt;/Length&gt;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&lt;Length&gt;5.96&lt;/Length&gt;
&lt;PsiValue&gt;0&lt;/PsiValue&gt;
&lt;K1Index&gt;ExposedFloorInverted&lt;/K1Index&gt;
&lt;Imported&gt;False&lt;/Imported&gt;
&lt;Adjusted&gt;0&lt;/Adjusted&gt;
&lt;/ThermalBridge&gt;
&lt;ThermalBridge&gt;
&lt;TypeSource xsi:nil="true"/&gt;
&lt;Length&gt;23.39&lt;/Length&gt;
&lt;PsiValue&gt;0&lt;/PsiValue&gt;
&lt;K1Index&gt;PartyFloorWithPartyWall&lt;/K1Index&gt;
&lt;Imported&gt;False&lt;/Imported&gt;
&lt;Adjusted&gt;0&lt;/Adjusted&gt;
&lt;/ThermalBridge&gt;
&lt;ThermalBridge&gt;
&lt;TypeSource xsi:nil="true"/&gt;
&lt;Length&gt;0.48&lt;/Length&gt;
&lt;PsiValue&gt;0&lt;/PsiValue&gt;
&lt;K1Index&gt;ExposedFloorInvertedWithPartyWall&lt;/K1Index&gt;
&lt;Imported&gt;False&lt;/Imported&gt;
&lt;Adjusted&gt;0&lt;/Adjusted&gt;
&lt;/ThermalBridge&gt;</v>
      </c>
      <c r="M58" s="25" t="str" cm="1">
        <f t="array" ref="M58">_xlfn.TEXTJOIN(CHAR(10)&amp;CHAR(10),TRUE,
IF(M$6:M$49&gt;0,
"&lt;ThermalBridge&gt;"&amp;CHAR(10)&amp;
"&lt;TypeSource xsi:nil=""true""/&gt;"&amp;CHAR(10)&amp;
"&lt;Length&gt;"&amp;TEXT(M$6:M$49,"0.00")&amp;"&lt;/Length&gt;"&amp;CHAR(10)&amp;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&lt;Length&gt;24.90&lt;/Length&gt;
&lt;PsiValue&gt;0&lt;/PsiValue&gt;
&lt;K1Index&gt;PartyFloor&lt;/K1Index&gt;
&lt;Imported&gt;False&lt;/Imported&gt;
&lt;Adjusted&gt;0&lt;/Adjusted&gt;
&lt;/ThermalBridge&gt;
&lt;ThermalBridge&gt;
&lt;TypeSource xsi:nil="true"/&gt;
&lt;Length&gt;9.00&lt;/Length&gt;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&lt;Length&gt;43.76&lt;/Length&gt;
&lt;PsiValue&gt;0&lt;/PsiValue&gt;
&lt;K1Index&gt;PartyFloorWithPartyWall&lt;/K1Index&gt;
&lt;Imported&gt;False&lt;/Imported&gt;
&lt;Adjusted&gt;0&lt;/Adjusted&gt;
&lt;/ThermalBridge&gt;</v>
      </c>
      <c r="N58" s="25" t="str" cm="1">
        <f t="array" ref="N58">_xlfn.TEXTJOIN(CHAR(10)&amp;CHAR(10),TRUE,
IF(N$6:N$49&gt;0,
"&lt;ThermalBridge&gt;"&amp;CHAR(10)&amp;
"&lt;TypeSource xsi:nil=""true""/&gt;"&amp;CHAR(10)&amp;
"&lt;Length&gt;"&amp;TEXT(N$6:N$49,"0.00")&amp;"&lt;/Length&gt;"&amp;CHAR(10)&amp;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&lt;Length&gt;26.44&lt;/Length&gt;
&lt;PsiValue&gt;0&lt;/PsiValue&gt;
&lt;K1Index&gt;PartyFloor&lt;/K1Index&gt;
&lt;Imported&gt;False&lt;/Imported&gt;
&lt;Adjusted&gt;0&lt;/Adjusted&gt;
&lt;/ThermalBridge&gt;
&lt;ThermalBridge&gt;
&lt;TypeSource xsi:nil="true"/&gt;
&lt;Length&gt;10.91&lt;/Length&gt;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&lt;Length&gt;37.36&lt;/Length&gt;
&lt;PsiValue&gt;0&lt;/PsiValue&gt;
&lt;K1Index&gt;PartyFloorWithPartyWall&lt;/K1Index&gt;
&lt;Imported&gt;False&lt;/Imported&gt;
&lt;Adjusted&gt;0&lt;/Adjusted&gt;
&lt;/ThermalBridge&gt;</v>
      </c>
      <c r="O58" s="25" t="str" cm="1">
        <f t="array" ref="O58">_xlfn.TEXTJOIN(CHAR(10)&amp;CHAR(10),TRUE,
IF(O$6:O$49&gt;0,
"&lt;ThermalBridge&gt;"&amp;CHAR(10)&amp;
"&lt;TypeSource xsi:nil=""true""/&gt;"&amp;CHAR(10)&amp;
"&lt;Length&gt;"&amp;TEXT(O$6:O$49,"0.00")&amp;"&lt;/Length&gt;"&amp;CHAR(10)&amp;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&lt;Length&gt;27.30&lt;/Length&gt;
&lt;PsiValue&gt;0&lt;/PsiValue&gt;
&lt;K1Index&gt;PartyFloor&lt;/K1Index&gt;
&lt;Imported&gt;False&lt;/Imported&gt;
&lt;Adjusted&gt;0&lt;/Adjusted&gt;
&lt;/ThermalBridge&gt;
&lt;ThermalBridge&gt;
&lt;TypeSource xsi:nil="true"/&gt;
&lt;Length&gt;10.06&lt;/Length&gt;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&lt;Length&gt;37.36&lt;/Length&gt;
&lt;PsiValue&gt;0&lt;/PsiValue&gt;
&lt;K1Index&gt;PartyFloorWithPartyWall&lt;/K1Index&gt;
&lt;Imported&gt;False&lt;/Imported&gt;
&lt;Adjusted&gt;0&lt;/Adjusted&gt;
&lt;/ThermalBridge&gt;</v>
      </c>
      <c r="P58" s="25" t="str" cm="1">
        <f t="array" ref="P58">_xlfn.TEXTJOIN(CHAR(10)&amp;CHAR(10),TRUE,
IF(P$6:P$49&gt;0,
"&lt;ThermalBridge&gt;"&amp;CHAR(10)&amp;
"&lt;TypeSource xsi:nil=""true""/&gt;"&amp;CHAR(10)&amp;
"&lt;Length&gt;"&amp;TEXT(P$6:P$49,"0.00")&amp;"&lt;/Length&gt;"&amp;CHAR(10)&amp;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&lt;Length&gt;24.90&lt;/Length&gt;
&lt;PsiValue&gt;0&lt;/PsiValue&gt;
&lt;K1Index&gt;PartyFloor&lt;/K1Index&gt;
&lt;Imported&gt;False&lt;/Imported&gt;
&lt;Adjusted&gt;0&lt;/Adjusted&gt;
&lt;/ThermalBridge&gt;
&lt;ThermalBridge&gt;
&lt;TypeSource xsi:nil="true"/&gt;
&lt;Length&gt;9.00&lt;/Length&gt;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&lt;Length&gt;43.76&lt;/Length&gt;
&lt;PsiValue&gt;0&lt;/PsiValue&gt;
&lt;K1Index&gt;PartyFloorWithPartyWall&lt;/K1Index&gt;
&lt;Imported&gt;False&lt;/Imported&gt;
&lt;Adjusted&gt;0&lt;/Adjusted&gt;
&lt;/ThermalBridge&gt;</v>
      </c>
      <c r="Q58" s="25" t="str" cm="1">
        <f t="array" ref="Q58">_xlfn.TEXTJOIN(CHAR(10)&amp;CHAR(10),TRUE,
IF(Q$6:Q$49&gt;0,
"&lt;ThermalBridge&gt;"&amp;CHAR(10)&amp;
"&lt;TypeSource xsi:nil=""true""/&gt;"&amp;CHAR(10)&amp;
"&lt;Length&gt;"&amp;TEXT(Q$6:Q$49,"0.00")&amp;"&lt;/Length&gt;"&amp;CHAR(10)&amp;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&lt;Length&gt;24.73&lt;/Length&gt;
&lt;PsiValue&gt;0&lt;/PsiValue&gt;
&lt;K1Index&gt;PartyFloor&lt;/K1Index&gt;
&lt;Imported&gt;False&lt;/Imported&gt;
&lt;Adjusted&gt;0&lt;/Adjusted&gt;
&lt;/ThermalBridge&gt;
&lt;ThermalBridge&gt;
&lt;TypeSource xsi:nil="true"/&gt;
&lt;Length&gt;7.50&lt;/Length&gt;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&lt;Length&gt;56.07&lt;/Length&gt;
&lt;PsiValue&gt;0&lt;/PsiValue&gt;
&lt;K1Index&gt;PartyFloorWithPartyWall&lt;/K1Index&gt;
&lt;Imported&gt;False&lt;/Imported&gt;
&lt;Adjusted&gt;0&lt;/Adjusted&gt;
&lt;/ThermalBridge&gt;</v>
      </c>
      <c r="R58" s="25" t="str" cm="1">
        <f t="array" ref="R58">_xlfn.TEXTJOIN(CHAR(10)&amp;CHAR(10),TRUE,
IF(R$6:R$49&gt;0,
"&lt;ThermalBridge&gt;"&amp;CHAR(10)&amp;
"&lt;TypeSource xsi:nil=""true""/&gt;"&amp;CHAR(10)&amp;
"&lt;Length&gt;"&amp;TEXT(R$6:R$49,"0.00")&amp;"&lt;/Length&gt;"&amp;CHAR(10)&amp;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&lt;Length&gt;3.51&lt;/Length&gt;
&lt;PsiValue&gt;0&lt;/PsiValue&gt;
&lt;K1Index&gt;OtherLintels&lt;/K1Index&gt;
&lt;Imported&gt;False&lt;/Imported&gt;
&lt;Adjusted&gt;0&lt;/Adjusted&gt;
&lt;/ThermalBridge&gt;
&lt;ThermalBridge&gt;
&lt;TypeSource xsi:nil="true"/&gt;
&lt;Length&gt;1.25&lt;/Length&gt;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&lt;Length&gt;8.56&lt;/Length&gt;
&lt;PsiValue&gt;0&lt;/PsiValue&gt;
&lt;K1Index&gt;PartyFloor&lt;/K1Index&gt;
&lt;Imported&gt;False&lt;/Imported&gt;
&lt;Adjusted&gt;0&lt;/Adjusted&gt;
&lt;/ThermalBridge&gt;
&lt;ThermalBridge&gt;
&lt;TypeSource xsi:nil="true"/&gt;
&lt;Length&gt;5.74&lt;/Length&gt;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&lt;Length&gt;43.26&lt;/Length&gt;
&lt;PsiValue&gt;0&lt;/PsiValue&gt;
&lt;K1Index&gt;PartyFloorWithPartyWall&lt;/K1Index&gt;
&lt;Imported&gt;False&lt;/Imported&gt;
&lt;Adjusted&gt;0&lt;/Adjusted&gt;
&lt;/ThermalBridge&gt;</v>
      </c>
      <c r="S58" s="25" t="str" cm="1">
        <f t="array" ref="S58">_xlfn.TEXTJOIN(CHAR(10)&amp;CHAR(10),TRUE,
IF(S$6:S$49&gt;0,
"&lt;ThermalBridge&gt;"&amp;CHAR(10)&amp;
"&lt;TypeSource xsi:nil=""true""/&gt;"&amp;CHAR(10)&amp;
"&lt;Length&gt;"&amp;TEXT(S$6:S$49,"0.00")&amp;"&lt;/Length&gt;"&amp;CHAR(10)&amp;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&lt;Length&gt;3.51&lt;/Length&gt;
&lt;PsiValue&gt;0&lt;/PsiValue&gt;
&lt;K1Index&gt;OtherLintels&lt;/K1Index&gt;
&lt;Imported&gt;False&lt;/Imported&gt;
&lt;Adjusted&gt;0&lt;/Adjusted&gt;
&lt;/ThermalBridge&gt;
&lt;ThermalBridge&gt;
&lt;TypeSource xsi:nil="true"/&gt;
&lt;Length&gt;1.25&lt;/Length&gt;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&lt;Length&gt;8.58&lt;/Length&gt;
&lt;PsiValue&gt;0&lt;/PsiValue&gt;
&lt;K1Index&gt;PartyFloor&lt;/K1Index&gt;
&lt;Imported&gt;False&lt;/Imported&gt;
&lt;Adjusted&gt;0&lt;/Adjusted&gt;
&lt;/ThermalBridge&gt;
&lt;ThermalBridge&gt;
&lt;TypeSource xsi:nil="true"/&gt;
&lt;Length&gt;5.72&lt;/Length&gt;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&lt;Length&gt;43.26&lt;/Length&gt;
&lt;PsiValue&gt;0&lt;/PsiValue&gt;
&lt;K1Index&gt;PartyFloorWithPartyWall&lt;/K1Index&gt;
&lt;Imported&gt;False&lt;/Imported&gt;
&lt;Adjusted&gt;0&lt;/Adjusted&gt;
&lt;/ThermalBridge&gt;</v>
      </c>
      <c r="T58" s="25" t="str" cm="1">
        <f t="array" ref="T58">_xlfn.TEXTJOIN(CHAR(10)&amp;CHAR(10),TRUE,
IF(T$6:T$49&gt;0,
"&lt;ThermalBridge&gt;"&amp;CHAR(10)&amp;
"&lt;TypeSource xsi:nil=""true""/&gt;"&amp;CHAR(10)&amp;
"&lt;Length&gt;"&amp;TEXT(T$6:T$49,"0.00")&amp;"&lt;/Length&gt;"&amp;CHAR(10)&amp;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&lt;Length&gt;23.40&lt;/Length&gt;
&lt;PsiValue&gt;0&lt;/PsiValue&gt;
&lt;K1Index&gt;PartyFloor&lt;/K1Index&gt;
&lt;Imported&gt;False&lt;/Imported&gt;
&lt;Adjusted&gt;0&lt;/Adjusted&gt;
&lt;/ThermalBridge&gt;
&lt;ThermalBridge&gt;
&lt;TypeSource xsi:nil="true"/&gt;
&lt;Length&gt;7.52&lt;/Length&gt;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&lt;Length&gt;57.32&lt;/Length&gt;
&lt;PsiValue&gt;0&lt;/PsiValue&gt;
&lt;K1Index&gt;PartyFloorWithPartyWall&lt;/K1Index&gt;
&lt;Imported&gt;False&lt;/Imported&gt;
&lt;Adjusted&gt;0&lt;/Adjusted&gt;
&lt;/ThermalBridge&gt;</v>
      </c>
      <c r="U58" s="25" t="str" cm="1">
        <f t="array" ref="U58">_xlfn.TEXTJOIN(CHAR(10)&amp;CHAR(10),TRUE,
IF(U$6:U$49&gt;0,
"&lt;ThermalBridge&gt;"&amp;CHAR(10)&amp;
"&lt;TypeSource xsi:nil=""true""/&gt;"&amp;CHAR(10)&amp;
"&lt;Length&gt;"&amp;TEXT(U$6:U$49,"0.00")&amp;"&lt;/Length&gt;"&amp;CHAR(10)&amp;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&lt;Length&gt;12.80&lt;/Length&gt;
&lt;PsiValue&gt;0&lt;/PsiValue&gt;
&lt;K1Index&gt;PartyFloor&lt;/K1Index&gt;
&lt;Imported&gt;False&lt;/Imported&gt;
&lt;Adjusted&gt;0&lt;/Adjusted&gt;
&lt;/ThermalBridge&gt;
&lt;ThermalBridge&gt;
&lt;TypeSource xsi:nil="true"/&gt;
&lt;Length&gt;5.88&lt;/Length&gt;
&lt;PsiValue&gt;0&lt;/PsiValue&gt;
&lt;K1Index&gt;BalconyBetweenDwellings&lt;/K1Index&gt;
&lt;Imported&gt;False&lt;/Imported&gt;
&lt;Adjusted&gt;0&lt;/Adjusted&gt;
&lt;/ThermalBridge&gt;
&lt;ThermalBridge&gt;
&lt;TypeSource xsi:nil="true"/&gt;
&lt;Length&gt;18.68&lt;/Length&gt;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&lt;Length&gt;18.68&lt;/Length&gt;
&lt;PsiValue&gt;0&lt;/PsiValue&gt;
&lt;K1Index&gt;PartyFloorWithPartyWall&lt;/K1Index&gt;
&lt;Imported&gt;False&lt;/Imported&gt;
&lt;Adjusted&gt;0&lt;/Adjusted&gt;
&lt;/ThermalBridge&gt;
&lt;ThermalBridge&gt;
&lt;TypeSource xsi:nil="true"/&gt;
&lt;Length&gt;18.68&lt;/Length&gt;
&lt;PsiValue&gt;0&lt;/PsiValue&gt;
&lt;K1Index&gt;RoofAtCeilingWithPartyWall&lt;/K1Index&gt;
&lt;Imported&gt;False&lt;/Imported&gt;
&lt;Adjusted&gt;0&lt;/Adjusted&gt;
&lt;/ThermalBridge&gt;</v>
      </c>
      <c r="V58" s="25" t="str" cm="1">
        <f t="array" ref="V58">_xlfn.TEXTJOIN(CHAR(10)&amp;CHAR(10),TRUE,
IF(V$6:V$49&gt;0,
"&lt;ThermalBridge&gt;"&amp;CHAR(10)&amp;
"&lt;TypeSource xsi:nil=""true""/&gt;"&amp;CHAR(10)&amp;
"&lt;Length&gt;"&amp;TEXT(V$6:V$49,"0.00")&amp;"&lt;/Length&gt;"&amp;CHAR(10)&amp;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&lt;Length&gt;8.17&lt;/Length&gt;
&lt;PsiValue&gt;0&lt;/PsiValue&gt;
&lt;K1Index&gt;OtherLintels&lt;/K1Index&gt;
&lt;Imported&gt;False&lt;/Imported&gt;
&lt;Adjusted&gt;0&lt;/Adjusted&gt;
&lt;/ThermalBridge&gt;
&lt;ThermalBridge&gt;
&lt;TypeSource xsi:nil="true"/&gt;
&lt;Length&gt;5.91&lt;/Length&gt;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&lt;Length&gt;12.80&lt;/Length&gt;
&lt;PsiValue&gt;0&lt;/PsiValue&gt;
&lt;K1Index&gt;PartyFloor&lt;/K1Index&gt;
&lt;Imported&gt;False&lt;/Imported&gt;
&lt;Adjusted&gt;0&lt;/Adjusted&gt;
&lt;/ThermalBridge&gt;
&lt;ThermalBridge&gt;
&lt;TypeSource xsi:nil="true"/&gt;
&lt;Length&gt;5.87&lt;/Length&gt;
&lt;PsiValue&gt;0&lt;/PsiValue&gt;
&lt;K1Index&gt;BalconyBetweenDwellings&lt;/K1Index&gt;
&lt;Imported&gt;False&lt;/Imported&gt;
&lt;Adjusted&gt;0&lt;/Adjusted&gt;
&lt;/ThermalBridge&gt;
&lt;ThermalBridge&gt;
&lt;TypeSource xsi:nil="true"/&gt;
&lt;Length&gt;18.68&lt;/Length&gt;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&lt;Length&gt;18.68&lt;/Length&gt;
&lt;PsiValue&gt;0&lt;/PsiValue&gt;
&lt;K1Index&gt;PartyFloorWithPartyWall&lt;/K1Index&gt;
&lt;Imported&gt;False&lt;/Imported&gt;
&lt;Adjusted&gt;0&lt;/Adjusted&gt;
&lt;/ThermalBridge&gt;
&lt;ThermalBridge&gt;
&lt;TypeSource xsi:nil="true"/&gt;
&lt;Length&gt;18.68&lt;/Length&gt;
&lt;PsiValue&gt;0&lt;/PsiValue&gt;
&lt;K1Index&gt;RoofAtCeilingWithPartyWall&lt;/K1Index&gt;
&lt;Imported&gt;False&lt;/Imported&gt;
&lt;Adjusted&gt;0&lt;/Adjusted&gt;
&lt;/ThermalBridge&gt;</v>
      </c>
      <c r="W58" s="25" t="str" cm="1">
        <f t="array" ref="W58">_xlfn.TEXTJOIN(CHAR(10)&amp;CHAR(10),TRUE,
IF(W$6:W$49&gt;0,
"&lt;ThermalBridge&gt;"&amp;CHAR(10)&amp;
"&lt;TypeSource xsi:nil=""true""/&gt;"&amp;CHAR(10)&amp;
"&lt;Length&gt;"&amp;TEXT(W$6:W$49,"0.00")&amp;"&lt;/Length&gt;"&amp;CHAR(10)&amp;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&lt;Length&gt;4.50&lt;/Length&gt;
&lt;PsiValue&gt;0&lt;/PsiValue&gt;
&lt;K1Index&gt;BalconyBetweenDwellings&lt;/K1Index&gt;
&lt;Imported&gt;False&lt;/Imported&gt;
&lt;Adjusted&gt;0&lt;/Adjusted&gt;
&lt;/ThermalBridge&gt;
&lt;ThermalBridge&gt;
&lt;TypeSource xsi:nil="true"/&gt;
&lt;Length&gt;16.96&lt;/Length&gt;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&lt;Length&gt;21.88&lt;/Length&gt;
&lt;PsiValue&gt;0&lt;/PsiValue&gt;
&lt;K1Index&gt;PartyFloorWithPartyWall&lt;/K1Index&gt;
&lt;Imported&gt;False&lt;/Imported&gt;
&lt;Adjusted&gt;0&lt;/Adjusted&gt;
&lt;/ThermalBridge&gt;
&lt;ThermalBridge&gt;
&lt;TypeSource xsi:nil="true"/&gt;
&lt;Length&gt;21.88&lt;/Length&gt;
&lt;PsiValue&gt;0&lt;/PsiValue&gt;
&lt;K1Index&gt;RoofAtCeilingWithPartyWall&lt;/K1Index&gt;
&lt;Imported&gt;False&lt;/Imported&gt;
&lt;Adjusted&gt;0&lt;/Adjusted&gt;
&lt;/ThermalBridge&gt;</v>
      </c>
      <c r="X58" s="25" t="str" cm="1">
        <f t="array" ref="X58">_xlfn.TEXTJOIN(CHAR(10)&amp;CHAR(10),TRUE,
IF(X$6:X$49&gt;0,
"&lt;ThermalBridge&gt;"&amp;CHAR(10)&amp;
"&lt;TypeSource xsi:nil=""true""/&gt;"&amp;CHAR(10)&amp;
"&lt;Length&gt;"&amp;TEXT(X$6:X$49,"0.00")&amp;"&lt;/Length&gt;"&amp;CHAR(10)&amp;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&lt;Length&gt;4.50&lt;/Length&gt;
&lt;PsiValue&gt;0&lt;/PsiValue&gt;
&lt;K1Index&gt;BalconyBetweenDwellings&lt;/K1Index&gt;
&lt;Imported&gt;False&lt;/Imported&gt;
&lt;Adjusted&gt;0&lt;/Adjusted&gt;
&lt;/ThermalBridge&gt;
&lt;ThermalBridge&gt;
&lt;TypeSource xsi:nil="true"/&gt;
&lt;Length&gt;16.96&lt;/Length&gt;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&lt;Length&gt;21.88&lt;/Length&gt;
&lt;PsiValue&gt;0&lt;/PsiValue&gt;
&lt;K1Index&gt;PartyFloorWithPartyWall&lt;/K1Index&gt;
&lt;Imported&gt;False&lt;/Imported&gt;
&lt;Adjusted&gt;0&lt;/Adjusted&gt;
&lt;/ThermalBridge&gt;
&lt;ThermalBridge&gt;
&lt;TypeSource xsi:nil="true"/&gt;
&lt;Length&gt;21.88&lt;/Length&gt;
&lt;PsiValue&gt;0&lt;/PsiValue&gt;
&lt;K1Index&gt;RoofAtCeilingWithPartyWall&lt;/K1Index&gt;
&lt;Imported&gt;False&lt;/Imported&gt;
&lt;Adjusted&gt;0&lt;/Adjusted&gt;
&lt;/ThermalBridge&gt;</v>
      </c>
      <c r="Y58" s="25" t="str" cm="1">
        <f t="array" ref="Y58">_xlfn.TEXTJOIN(CHAR(10)&amp;CHAR(10),TRUE,
IF(Y$6:Y$49&gt;0,
"&lt;ThermalBridge&gt;"&amp;CHAR(10)&amp;
"&lt;TypeSource xsi:nil=""true""/&gt;"&amp;CHAR(10)&amp;
"&lt;Length&gt;"&amp;TEXT(Y$6:Y$49,"0.00")&amp;"&lt;/Length&gt;"&amp;CHAR(10)&amp;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&lt;Length&gt;12.45&lt;/Length&gt;
&lt;PsiValue&gt;0&lt;/PsiValue&gt;
&lt;K1Index&gt;PartyFloor&lt;/K1Index&gt;
&lt;Imported&gt;False&lt;/Imported&gt;
&lt;Adjusted&gt;0&lt;/Adjusted&gt;
&lt;/ThermalBridge&gt;
&lt;ThermalBridge&gt;
&lt;TypeSource xsi:nil="true"/&gt;
&lt;Length&gt;4.93&lt;/Length&gt;
&lt;PsiValue&gt;0&lt;/PsiValue&gt;
&lt;K1Index&gt;BalconyBetweenDwellings&lt;/K1Index&gt;
&lt;Imported&gt;False&lt;/Imported&gt;
&lt;Adjusted&gt;0&lt;/Adjusted&gt;
&lt;/ThermalBridge&gt;
&lt;ThermalBridge&gt;
&lt;TypeSource xsi:nil="true"/&gt;
&lt;Length&gt;17.38&lt;/Length&gt;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&lt;Length&gt;17.38&lt;/Length&gt;
&lt;PsiValue&gt;0&lt;/PsiValue&gt;
&lt;K1Index&gt;PartyFloorWithPartyWall&lt;/K1Index&gt;
&lt;Imported&gt;False&lt;/Imported&gt;
&lt;Adjusted&gt;0&lt;/Adjusted&gt;
&lt;/ThermalBridge&gt;
&lt;ThermalBridge&gt;
&lt;TypeSource xsi:nil="true"/&gt;
&lt;Length&gt;17.38&lt;/Length&gt;
&lt;PsiValue&gt;0&lt;/PsiValue&gt;
&lt;K1Index&gt;RoofAtCeilingWithPartyWall&lt;/K1Index&gt;
&lt;Imported&gt;False&lt;/Imported&gt;
&lt;Adjusted&gt;0&lt;/Adjusted&gt;
&lt;/ThermalBridge&gt;</v>
      </c>
      <c r="Z58" s="25" t="str" cm="1">
        <f t="array" ref="Z58">_xlfn.TEXTJOIN(CHAR(10)&amp;CHAR(10),TRUE,
IF(Z$6:Z$49&gt;0,
"&lt;ThermalBridge&gt;"&amp;CHAR(10)&amp;
"&lt;TypeSource xsi:nil=""true""/&gt;"&amp;CHAR(10)&amp;
"&lt;Length&gt;"&amp;TEXT(Z$6:Z$49,"0.00")&amp;"&lt;/Length&gt;"&amp;CHAR(10)&amp;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&lt;Length&gt;2.50&lt;/Length&gt;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&lt;Length&gt;7.89&lt;/Length&gt;
&lt;PsiValue&gt;0&lt;/PsiValue&gt;
&lt;K1Index&gt;PartyFloor&lt;/K1Index&gt;
&lt;Imported&gt;False&lt;/Imported&gt;
&lt;Adjusted&gt;0&lt;/Adjusted&gt;
&lt;/ThermalBridge&gt;
&lt;ThermalBridge&gt;
&lt;TypeSource xsi:nil="true"/&gt;
&lt;Length&gt;3.18&lt;/Length&gt;
&lt;PsiValue&gt;0&lt;/PsiValue&gt;
&lt;K1Index&gt;BalconyBetweenDwellings&lt;/K1Index&gt;
&lt;Imported&gt;False&lt;/Imported&gt;
&lt;Adjusted&gt;0&lt;/Adjusted&gt;
&lt;/ThermalBridge&gt;
&lt;ThermalBridge&gt;
&lt;TypeSource xsi:nil="true"/&gt;
&lt;Length&gt;11.08&lt;/Length&gt;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&lt;Length&gt;21.16&lt;/Length&gt;
&lt;PsiValue&gt;0&lt;/PsiValue&gt;
&lt;K1Index&gt;PartyFloorWithPartyWall&lt;/K1Index&gt;
&lt;Imported&gt;False&lt;/Imported&gt;
&lt;Adjusted&gt;0&lt;/Adjusted&gt;
&lt;/ThermalBridge&gt;
&lt;ThermalBridge&gt;
&lt;TypeSource xsi:nil="true"/&gt;
&lt;Length&gt;21.16&lt;/Length&gt;
&lt;PsiValue&gt;0&lt;/PsiValue&gt;
&lt;K1Index&gt;RoofAtCeilingWithPartyWall&lt;/K1Index&gt;
&lt;Imported&gt;False&lt;/Imported&gt;
&lt;Adjusted&gt;0&lt;/Adjusted&gt;
&lt;/ThermalBridge&gt;</v>
      </c>
      <c r="AA58" s="25" t="str" cm="1">
        <f t="array" ref="AA58">_xlfn.TEXTJOIN(CHAR(10)&amp;CHAR(10),TRUE,
IF(AA$6:AA$49&gt;0,
"&lt;ThermalBridge&gt;"&amp;CHAR(10)&amp;
"&lt;TypeSource xsi:nil=""true""/&gt;"&amp;CHAR(10)&amp;
"&lt;Length&gt;"&amp;TEXT(AA$6:AA$49,"0.00")&amp;"&lt;/Length&gt;"&amp;CHAR(10)&amp;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&lt;Length&gt;6.01&lt;/Length&gt;
&lt;PsiValue&gt;0&lt;/PsiValue&gt;
&lt;K1Index&gt;OtherLintels&lt;/K1Index&gt;
&lt;Imported&gt;False&lt;/Imported&gt;
&lt;Adjusted&gt;0&lt;/Adjusted&gt;
&lt;/ThermalBridge&gt;
&lt;ThermalBridge&gt;
&lt;TypeSource xsi:nil="true"/&gt;
&lt;Length&gt;3.75&lt;/Length&gt;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&lt;Length&gt;12.44&lt;/Length&gt;
&lt;PsiValue&gt;0&lt;/PsiValue&gt;
&lt;K1Index&gt;PartyFloor&lt;/K1Index&gt;
&lt;Imported&gt;False&lt;/Imported&gt;
&lt;Adjusted&gt;0&lt;/Adjusted&gt;
&lt;/ThermalBridge&gt;
&lt;ThermalBridge&gt;
&lt;TypeSource xsi:nil="true"/&gt;
&lt;Length&gt;4.94&lt;/Length&gt;
&lt;PsiValue&gt;0&lt;/PsiValue&gt;
&lt;K1Index&gt;BalconyBetweenDwellings&lt;/K1Index&gt;
&lt;Imported&gt;False&lt;/Imported&gt;
&lt;Adjusted&gt;0&lt;/Adjusted&gt;
&lt;/ThermalBridge&gt;
&lt;ThermalBridge&gt;
&lt;TypeSource xsi:nil="true"/&gt;
&lt;Length&gt;17.38&lt;/Length&gt;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&lt;Length&gt;17.38&lt;/Length&gt;
&lt;PsiValue&gt;0&lt;/PsiValue&gt;
&lt;K1Index&gt;PartyFloorWithPartyWall&lt;/K1Index&gt;
&lt;Imported&gt;False&lt;/Imported&gt;
&lt;Adjusted&gt;0&lt;/Adjusted&gt;
&lt;/ThermalBridge&gt;
&lt;ThermalBridge&gt;
&lt;TypeSource xsi:nil="true"/&gt;
&lt;Length&gt;17.38&lt;/Length&gt;
&lt;PsiValue&gt;0&lt;/PsiValue&gt;
&lt;K1Index&gt;RoofAtCeilingWithPartyWall&lt;/K1Index&gt;
&lt;Imported&gt;False&lt;/Imported&gt;
&lt;Adjusted&gt;0&lt;/Adjusted&gt;
&lt;/ThermalBridge&gt;</v>
      </c>
      <c r="AB58" s="25" t="str" cm="1">
        <f t="array" ref="AB58">_xlfn.TEXTJOIN(CHAR(10)&amp;CHAR(10),TRUE,
IF(AB$6:AB$49&gt;0,
"&lt;ThermalBridge&gt;"&amp;CHAR(10)&amp;
"&lt;TypeSource xsi:nil=""true""/&gt;"&amp;CHAR(10)&amp;
"&lt;Length&gt;"&amp;TEXT(AB$6:AB$49,"0.00")&amp;"&lt;/Length&gt;"&amp;CHAR(10)&amp;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&lt;Length&gt;4.87&lt;/Length&gt;
&lt;PsiValue&gt;0&lt;/PsiValue&gt;
&lt;K1Index&gt;OtherLintels&lt;/K1Index&gt;
&lt;Imported&gt;False&lt;/Imported&gt;
&lt;Adjusted&gt;0&lt;/Adjusted&gt;
&lt;/ThermalBridge&gt;
&lt;ThermalBridge&gt;
&lt;TypeSource xsi:nil="true"/&gt;
&lt;Length&gt;2.61&lt;/Length&gt;
&lt;PsiValue&gt;0&lt;/PsiValue&gt;
&lt;K1Index&gt;Sill&lt;/K1Index&gt;
&lt;Imported&gt;False&lt;/Imported&gt;
&lt;Adjusted&gt;0&lt;/Adjusted&gt;
&lt;/ThermalBridge&gt;
&lt;ThermalBridge&gt;
&lt;TypeSource xsi:nil="true"/&gt;
&lt;Length&gt;10.94&lt;/Length&gt;
&lt;PsiValue&gt;0&lt;/PsiValue&gt;
&lt;K1Index&gt;Jamb&lt;/K1Index&gt;
&lt;Imported&gt;False&lt;/Imported&gt;
&lt;Adjusted&gt;0&lt;/Adjusted&gt;
&lt;/ThermalBridge&gt;
&lt;ThermalBridge&gt;
&lt;TypeSource xsi:nil="true"/&gt;
&lt;Length&gt;20.32&lt;/Length&gt;
&lt;PsiValue&gt;0&lt;/PsiValue&gt;
&lt;K1Index&gt;PartyFloor&lt;/K1Index&gt;
&lt;Imported&gt;False&lt;/Imported&gt;
&lt;Adjusted&gt;0&lt;/Adjusted&gt;
&lt;/ThermalBridge&gt;
&lt;ThermalBridge&gt;
&lt;TypeSource xsi:nil="true"/&gt;
&lt;Length&gt;15.52&lt;/Length&gt;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&lt;Length&gt;15.26&lt;/Length&gt;
&lt;PsiValue&gt;0&lt;/PsiValue&gt;
&lt;K1Index&gt;ExposedFloorNormal&lt;/K1Index&gt;
&lt;Imported&gt;False&lt;/Imported&gt;
&lt;Adjusted&gt;0&lt;/Adjusted&gt;
&lt;/ThermalBridge&gt;
&lt;ThermalBridge&gt;
&lt;TypeSource xsi:nil="true"/&gt;
&lt;Length&gt;10.28&lt;/Length&gt;
&lt;PsiValue&gt;0&lt;/PsiValue&gt;
&lt;K1Index&gt;ExposedFloorInverted&lt;/K1Index&gt;
&lt;Imported&gt;False&lt;/Imported&gt;
&lt;Adjusted&gt;0&lt;/Adjusted&gt;
&lt;/ThermalBridge&gt;
&lt;ThermalBridge&gt;
&lt;TypeSource xsi:nil="true"/&gt;
&lt;Length&gt;23.87&lt;/Length&gt;
&lt;PsiValue&gt;0&lt;/PsiValue&gt;
&lt;K1Index&gt;PartyFloorWithPartyWall&lt;/K1Index&gt;
&lt;Imported&gt;False&lt;/Imported&gt;
&lt;Adjusted&gt;0&lt;/Adjusted&gt;
&lt;/ThermalBridge&gt;</v>
      </c>
      <c r="AC58" s="25" t="str" cm="1">
        <f t="array" ref="AC58">_xlfn.TEXTJOIN(CHAR(10)&amp;CHAR(10),TRUE,
IF(AC$6:AC$49&gt;0,
"&lt;ThermalBridge&gt;"&amp;CHAR(10)&amp;
"&lt;TypeSource xsi:nil=""true""/&gt;"&amp;CHAR(10)&amp;
"&lt;Length&gt;"&amp;TEXT(AC$6:AC$49,"0.00")&amp;"&lt;/Length&gt;"&amp;CHAR(10)&amp;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&lt;Length&gt;4.87&lt;/Length&gt;
&lt;PsiValue&gt;0&lt;/PsiValue&gt;
&lt;K1Index&gt;OtherLintels&lt;/K1Index&gt;
&lt;Imported&gt;False&lt;/Imported&gt;
&lt;Adjusted&gt;0&lt;/Adjusted&gt;
&lt;/ThermalBridge&gt;
&lt;ThermalBridge&gt;
&lt;TypeSource xsi:nil="true"/&gt;
&lt;Length&gt;2.61&lt;/Length&gt;
&lt;PsiValue&gt;0&lt;/PsiValue&gt;
&lt;K1Index&gt;Sill&lt;/K1Index&gt;
&lt;Imported&gt;False&lt;/Imported&gt;
&lt;Adjusted&gt;0&lt;/Adjusted&gt;
&lt;/ThermalBridge&gt;
&lt;ThermalBridge&gt;
&lt;TypeSource xsi:nil="true"/&gt;
&lt;Length&gt;10.94&lt;/Length&gt;
&lt;PsiValue&gt;0&lt;/PsiValue&gt;
&lt;K1Index&gt;Jamb&lt;/K1Index&gt;
&lt;Imported&gt;False&lt;/Imported&gt;
&lt;Adjusted&gt;0&lt;/Adjusted&gt;
&lt;/ThermalBridge&gt;
&lt;ThermalBridge&gt;
&lt;TypeSource xsi:nil="true"/&gt;
&lt;Length&gt;17.12&lt;/Length&gt;
&lt;PsiValue&gt;0&lt;/PsiValue&gt;
&lt;K1Index&gt;PartyFloor&lt;/K1Index&gt;
&lt;Imported&gt;False&lt;/Imported&gt;
&lt;Adjusted&gt;0&lt;/Adjusted&gt;
&lt;/ThermalBridge&gt;
&lt;ThermalBridge&gt;
&lt;TypeSource xsi:nil="true"/&gt;
&lt;Length&gt;15.54&lt;/Length&gt;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&lt;Length&gt;10.00&lt;/Length&gt;
&lt;PsiValue&gt;0&lt;/PsiValue&gt;
&lt;K1Index&gt;PartyWall&lt;/K1Index&gt;
&lt;Imported&gt;False&lt;/Imported&gt;
&lt;Adjusted&gt;0&lt;/Adjusted&gt;
&lt;/ThermalBridge&gt;
&lt;ThermalBridge&gt;
&lt;TypeSource xsi:nil="true"/&gt;
&lt;Length&gt;13.69&lt;/Length&gt;
&lt;PsiValue&gt;0&lt;/PsiValue&gt;
&lt;K1Index&gt;ExposedFloorNormal&lt;/K1Index&gt;
&lt;Imported&gt;False&lt;/Imported&gt;
&lt;Adjusted&gt;0&lt;/Adjusted&gt;
&lt;/ThermalBridge&gt;
&lt;ThermalBridge&gt;
&lt;TypeSource xsi:nil="true"/&gt;
&lt;Length&gt;3.25&lt;/Length&gt;
&lt;PsiValue&gt;0&lt;/PsiValue&gt;
&lt;K1Index&gt;ExposedFloorInverted&lt;/K1Index&gt;
&lt;Imported&gt;False&lt;/Imported&gt;
&lt;Adjusted&gt;0&lt;/Adjusted&gt;
&lt;/ThermalBridge&gt;
&lt;ThermalBridge&gt;
&lt;TypeSource xsi:nil="true"/&gt;
&lt;Length&gt;28.61&lt;/Length&gt;
&lt;PsiValue&gt;0&lt;/PsiValue&gt;
&lt;K1Index&gt;PartyFloorWithPartyWall&lt;/K1Index&gt;
&lt;Imported&gt;False&lt;/Imported&gt;
&lt;Adjusted&gt;0&lt;/Adjusted&gt;
&lt;/ThermalBridge&gt;
&lt;ThermalBridge&gt;
&lt;TypeSource xsi:nil="true"/&gt;
&lt;Length&gt;2.71&lt;/Length&gt;
&lt;PsiValue&gt;0&lt;/PsiValue&gt;
&lt;K1Index&gt;ExposedFloorInvertedWithPartyWall&lt;/K1Index&gt;
&lt;Imported&gt;False&lt;/Imported&gt;
&lt;Adjusted&gt;0&lt;/Adjusted&gt;
&lt;/ThermalBridge&gt;</v>
      </c>
      <c r="AD58" s="25" t="str" cm="1">
        <f t="array" ref="AD58">_xlfn.TEXTJOIN(CHAR(10)&amp;CHAR(10),TRUE,
IF(AD$6:AD$49&gt;0,
"&lt;ThermalBridge&gt;"&amp;CHAR(10)&amp;
"&lt;TypeSource xsi:nil=""true""/&gt;"&amp;CHAR(10)&amp;
"&lt;Length&gt;"&amp;TEXT(AD$6:AD$49,"0.00")&amp;"&lt;/Length&gt;"&amp;CHAR(10)&amp;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&lt;Length&gt;28.78&lt;/Length&gt;
&lt;PsiValue&gt;0&lt;/PsiValue&gt;
&lt;K1Index&gt;PartyFloor&lt;/K1Index&gt;
&lt;Imported&gt;False&lt;/Imported&gt;
&lt;Adjusted&gt;0&lt;/Adjusted&gt;
&lt;/ThermalBridge&gt;
&lt;ThermalBridge&gt;
&lt;TypeSource xsi:nil="true"/&gt;
&lt;Length&gt;10.45&lt;/Length&gt;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&lt;Length&gt;49.06&lt;/Length&gt;
&lt;PsiValue&gt;0&lt;/PsiValue&gt;
&lt;K1Index&gt;PartyFloorWithPartyWall&lt;/K1Index&gt;
&lt;Imported&gt;False&lt;/Imported&gt;
&lt;Adjusted&gt;0&lt;/Adjusted&gt;
&lt;/ThermalBridge&gt;</v>
      </c>
      <c r="AE58" s="25" t="str" cm="1">
        <f t="array" ref="AE58">_xlfn.TEXTJOIN(CHAR(10)&amp;CHAR(10),TRUE,
IF(AE$6:AE$49&gt;0,
"&lt;ThermalBridge&gt;"&amp;CHAR(10)&amp;
"&lt;TypeSource xsi:nil=""true""/&gt;"&amp;CHAR(10)&amp;
"&lt;Length&gt;"&amp;TEXT(AE$6:AE$49,"0.00")&amp;"&lt;/Length&gt;"&amp;CHAR(10)&amp;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&lt;Length&gt;6.23&lt;/Length&gt;
&lt;PsiValue&gt;0&lt;/PsiValue&gt;
&lt;K1Index&gt;OtherLintels&lt;/K1Index&gt;
&lt;Imported&gt;False&lt;/Imported&gt;
&lt;Adjusted&gt;0&lt;/Adjusted&gt;
&lt;/ThermalBridge&gt;
&lt;ThermalBridge&gt;
&lt;TypeSource xsi:nil="true"/&gt;
&lt;Length&gt;3.97&lt;/Length&gt;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&lt;Length&gt;22.16&lt;/Length&gt;
&lt;PsiValue&gt;0&lt;/PsiValue&gt;
&lt;K1Index&gt;PartyFloor&lt;/K1Index&gt;
&lt;Imported&gt;False&lt;/Imported&gt;
&lt;Adjusted&gt;0&lt;/Adjusted&gt;
&lt;/ThermalBridge&gt;
&lt;ThermalBridge&gt;
&lt;TypeSource xsi:nil="true"/&gt;
&lt;Length&gt;8.18&lt;/Length&gt;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&lt;Length&gt;60.02&lt;/Length&gt;
&lt;PsiValue&gt;0&lt;/PsiValue&gt;
&lt;K1Index&gt;PartyFloorWithPartyWall&lt;/K1Index&gt;
&lt;Imported&gt;False&lt;/Imported&gt;
&lt;Adjusted&gt;0&lt;/Adjusted&gt;
&lt;/ThermalBridge&gt;</v>
      </c>
      <c r="AF58" s="25" t="str" cm="1">
        <f t="array" ref="AF58">_xlfn.TEXTJOIN(CHAR(10)&amp;CHAR(10),TRUE,
IF(AF$6:AF$49&gt;0,
"&lt;ThermalBridge&gt;"&amp;CHAR(10)&amp;
"&lt;TypeSource xsi:nil=""true""/&gt;"&amp;CHAR(10)&amp;
"&lt;Length&gt;"&amp;TEXT(AF$6:AF$49,"0.00")&amp;"&lt;/Length&gt;"&amp;CHAR(10)&amp;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&lt;Length&gt;4.76&lt;/Length&gt;
&lt;PsiValue&gt;0&lt;/PsiValue&gt;
&lt;K1Index&gt;OtherLintels&lt;/K1Index&gt;
&lt;Imported&gt;False&lt;/Imported&gt;
&lt;Adjusted&gt;0&lt;/Adjusted&gt;
&lt;/ThermalBridge&gt;
&lt;ThermalBridge&gt;
&lt;TypeSource xsi:nil="true"/&gt;
&lt;Length&gt;2.50&lt;/Length&gt;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&lt;Length&gt;10.26&lt;/Length&gt;
&lt;PsiValue&gt;0&lt;/PsiValue&gt;
&lt;K1Index&gt;PartyFloor&lt;/K1Index&gt;
&lt;Imported&gt;False&lt;/Imported&gt;
&lt;Adjusted&gt;0&lt;/Adjusted&gt;
&lt;/ThermalBridge&gt;
&lt;ThermalBridge&gt;
&lt;TypeSource xsi:nil="true"/&gt;
&lt;Length&gt;8.46&lt;/Length&gt;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&lt;Length&gt;64.72&lt;/Length&gt;
&lt;PsiValue&gt;0&lt;/PsiValue&gt;
&lt;K1Index&gt;PartyFloorWithPartyWall&lt;/K1Index&gt;
&lt;Imported&gt;False&lt;/Imported&gt;
&lt;Adjusted&gt;0&lt;/Adjusted&gt;
&lt;/ThermalBridge&gt;</v>
      </c>
      <c r="AG58" s="25" t="str" cm="1">
        <f t="array" ref="AG58">_xlfn.TEXTJOIN(CHAR(10)&amp;CHAR(10),TRUE,
IF(AG$6:AG$49&gt;0,
"&lt;ThermalBridge&gt;"&amp;CHAR(10)&amp;
"&lt;TypeSource xsi:nil=""true""/&gt;"&amp;CHAR(10)&amp;
"&lt;Length&gt;"&amp;TEXT(AG$6:AG$49,"0.00")&amp;"&lt;/Length&gt;"&amp;CHAR(10)&amp;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&lt;Length&gt;11.91&lt;/Length&gt;
&lt;PsiValue&gt;0&lt;/PsiValue&gt;
&lt;K1Index&gt;OtherLintels&lt;/K1Index&gt;
&lt;Imported&gt;False&lt;/Imported&gt;
&lt;Adjusted&gt;0&lt;/Adjusted&gt;
&lt;/ThermalBridge&gt;
&lt;ThermalBridge&gt;
&lt;TypeSource xsi:nil="true"/&gt;
&lt;Length&gt;9.65&lt;/Length&gt;
&lt;PsiValue&gt;0&lt;/PsiValue&gt;
&lt;K1Index&gt;Sill&lt;/K1Index&gt;
&lt;Imported&gt;False&lt;/Imported&gt;
&lt;Adjusted&gt;0&lt;/Adjusted&gt;
&lt;/ThermalBridge&gt;
&lt;ThermalBridge&gt;
&lt;TypeSource xsi:nil="true"/&gt;
&lt;Length&gt;31.48&lt;/Length&gt;
&lt;PsiValue&gt;0&lt;/PsiValue&gt;
&lt;K1Index&gt;Jamb&lt;/K1Index&gt;
&lt;Imported&gt;False&lt;/Imported&gt;
&lt;Adjusted&gt;0&lt;/Adjusted&gt;
&lt;/ThermalBridge&gt;
&lt;ThermalBridge&gt;
&lt;TypeSource xsi:nil="true"/&gt;
&lt;Length&gt;44.41&lt;/Length&gt;
&lt;PsiValue&gt;0&lt;/PsiValue&gt;
&lt;K1Index&gt;PartyFloor&lt;/K1Index&gt;
&lt;Imported&gt;False&lt;/Imported&gt;
&lt;Adjusted&gt;0&lt;/Adjusted&gt;
&lt;/ThermalBridge&gt;
&lt;ThermalBridge&gt;
&lt;TypeSource xsi:nil="true"/&gt;
&lt;Length&gt;10.83&lt;/Length&gt;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&lt;Length&gt;36.24&lt;/Length&gt;
&lt;PsiValue&gt;0&lt;/PsiValue&gt;
&lt;K1Index&gt;PartyFloorWithPartyWall&lt;/K1Index&gt;
&lt;Imported&gt;False&lt;/Imported&gt;
&lt;Adjusted&gt;0&lt;/Adjusted&gt;
&lt;/ThermalBridge&gt;</v>
      </c>
      <c r="AH58" s="25" t="str" cm="1">
        <f t="array" ref="AH58">_xlfn.TEXTJOIN(CHAR(10)&amp;CHAR(10),TRUE,
IF(AH$6:AH$49&gt;0,
"&lt;ThermalBridge&gt;"&amp;CHAR(10)&amp;
"&lt;TypeSource xsi:nil=""true""/&gt;"&amp;CHAR(10)&amp;
"&lt;Length&gt;"&amp;TEXT(AH$6:AH$49,"0.00")&amp;"&lt;/Length&gt;"&amp;CHAR(10)&amp;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&lt;Length&gt;10.26&lt;/Length&gt;
&lt;PsiValue&gt;0&lt;/PsiValue&gt;
&lt;K1Index&gt;PartyFloor&lt;/K1Index&gt;
&lt;Imported&gt;False&lt;/Imported&gt;
&lt;Adjusted&gt;0&lt;/Adjusted&gt;
&lt;/ThermalBridge&gt;
&lt;ThermalBridge&gt;
&lt;TypeSource xsi:nil="true"/&gt;
&lt;Length&gt;8.46&lt;/Length&gt;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&lt;Length&gt;64.72&lt;/Length&gt;
&lt;PsiValue&gt;0&lt;/PsiValue&gt;
&lt;K1Index&gt;PartyFloorWithPartyWall&lt;/K1Index&gt;
&lt;Imported&gt;False&lt;/Imported&gt;
&lt;Adjusted&gt;0&lt;/Adjusted&gt;
&lt;/ThermalBridge&gt;</v>
      </c>
      <c r="AI58" s="25" t="str" cm="1">
        <f t="array" ref="AI58">_xlfn.TEXTJOIN(CHAR(10)&amp;CHAR(10),TRUE,
IF(AI$6:AI$49&gt;0,
"&lt;ThermalBridge&gt;"&amp;CHAR(10)&amp;
"&lt;TypeSource xsi:nil=""true""/&gt;"&amp;CHAR(10)&amp;
"&lt;Length&gt;"&amp;TEXT(AI$6:AI$49,"0.00")&amp;"&lt;/Length&gt;"&amp;CHAR(10)&amp;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&lt;Length&gt;22.77&lt;/Length&gt;
&lt;PsiValue&gt;0&lt;/PsiValue&gt;
&lt;K1Index&gt;PartyFloor&lt;/K1Index&gt;
&lt;Imported&gt;False&lt;/Imported&gt;
&lt;Adjusted&gt;0&lt;/Adjusted&gt;
&lt;/ThermalBridge&gt;
&lt;ThermalBridge&gt;
&lt;TypeSource xsi:nil="true"/&gt;
&lt;Length&gt;7.57&lt;/Length&gt;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&lt;Length&gt;60.02&lt;/Length&gt;
&lt;PsiValue&gt;0&lt;/PsiValue&gt;
&lt;K1Index&gt;PartyFloorWithPartyWall&lt;/K1Index&gt;
&lt;Imported&gt;False&lt;/Imported&gt;
&lt;Adjusted&gt;0&lt;/Adjusted&gt;
&lt;/ThermalBridge&gt;</v>
      </c>
      <c r="AJ58" s="25" t="str" cm="1">
        <f t="array" ref="AJ58">_xlfn.TEXTJOIN(CHAR(10)&amp;CHAR(10),TRUE,
IF(AJ$6:AJ$49&gt;0,
"&lt;ThermalBridge&gt;"&amp;CHAR(10)&amp;
"&lt;TypeSource xsi:nil=""true""/&gt;"&amp;CHAR(10)&amp;
"&lt;Length&gt;"&amp;TEXT(AJ$6:AJ$49,"0.00")&amp;"&lt;/Length&gt;"&amp;CHAR(10)&amp;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&lt;Length&gt;28.78&lt;/Length&gt;
&lt;PsiValue&gt;0&lt;/PsiValue&gt;
&lt;K1Index&gt;PartyFloor&lt;/K1Index&gt;
&lt;Imported&gt;False&lt;/Imported&gt;
&lt;Adjusted&gt;0&lt;/Adjusted&gt;
&lt;/ThermalBridge&gt;
&lt;ThermalBridge&gt;
&lt;TypeSource xsi:nil="true"/&gt;
&lt;Length&gt;10.45&lt;/Length&gt;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&lt;Length&gt;49.06&lt;/Length&gt;
&lt;PsiValue&gt;0&lt;/PsiValue&gt;
&lt;K1Index&gt;PartyFloorWithPartyWall&lt;/K1Index&gt;
&lt;Imported&gt;False&lt;/Imported&gt;
&lt;Adjusted&gt;0&lt;/Adjusted&gt;
&lt;/ThermalBridge&gt;</v>
      </c>
      <c r="AK58" s="25" t="str" cm="1">
        <f t="array" ref="AK58">_xlfn.TEXTJOIN(CHAR(10)&amp;CHAR(10),TRUE,
IF(AK$6:AK$49&gt;0,
"&lt;ThermalBridge&gt;"&amp;CHAR(10)&amp;
"&lt;TypeSource xsi:nil=""true""/&gt;"&amp;CHAR(10)&amp;
"&lt;Length&gt;"&amp;TEXT(AK$6:AK$49,"0.00")&amp;"&lt;/Length&gt;"&amp;CHAR(10)&amp;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&lt;Length&gt;11.91&lt;/Length&gt;
&lt;PsiValue&gt;0&lt;/PsiValue&gt;
&lt;K1Index&gt;OtherLintels&lt;/K1Index&gt;
&lt;Imported&gt;False&lt;/Imported&gt;
&lt;Adjusted&gt;0&lt;/Adjusted&gt;
&lt;/ThermalBridge&gt;
&lt;ThermalBridge&gt;
&lt;TypeSource xsi:nil="true"/&gt;
&lt;Length&gt;9.65&lt;/Length&gt;
&lt;PsiValue&gt;0&lt;/PsiValue&gt;
&lt;K1Index&gt;Sill&lt;/K1Index&gt;
&lt;Imported&gt;False&lt;/Imported&gt;
&lt;Adjusted&gt;0&lt;/Adjusted&gt;
&lt;/ThermalBridge&gt;
&lt;ThermalBridge&gt;
&lt;TypeSource xsi:nil="true"/&gt;
&lt;Length&gt;31.48&lt;/Length&gt;
&lt;PsiValue&gt;0&lt;/PsiValue&gt;
&lt;K1Index&gt;Jamb&lt;/K1Index&gt;
&lt;Imported&gt;False&lt;/Imported&gt;
&lt;Adjusted&gt;0&lt;/Adjusted&gt;
&lt;/ThermalBridge&gt;
&lt;ThermalBridge&gt;
&lt;TypeSource xsi:nil="true"/&gt;
&lt;Length&gt;21.87&lt;/Length&gt;
&lt;PsiValue&gt;0&lt;/PsiValue&gt;
&lt;K1Index&gt;PartyFloor&lt;/K1Index&gt;
&lt;Imported&gt;False&lt;/Imported&gt;
&lt;Adjusted&gt;0&lt;/Adjusted&gt;
&lt;/ThermalBridge&gt;
&lt;ThermalBridge&gt;
&lt;TypeSource xsi:nil="true"/&gt;
&lt;Length&gt;5.75&lt;/Length&gt;
&lt;PsiValue&gt;0&lt;/PsiValue&gt;
&lt;K1Index&gt;BalconyBetweenDwellings&lt;/K1Index&gt;
&lt;Imported&gt;False&lt;/Imported&gt;
&lt;Adjusted&gt;0&lt;/Adjusted&gt;
&lt;/ThermalBridge&gt;
&lt;ThermalBridge&gt;
&lt;TypeSource xsi:nil="true"/&gt;
&lt;Length&gt;27.62&lt;/Length&gt;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&lt;K1Index&gt;RoofAtCeilingWithPartyWall&lt;/K1Index&gt;
&lt;Imported&gt;False&lt;/Imported&gt;
&lt;Adjusted&gt;0&lt;/Adjusted&gt;
&lt;/ThermalBridge&gt;</v>
      </c>
      <c r="AL58" s="25" t="str" cm="1">
        <f t="array" ref="AL58">_xlfn.TEXTJOIN(CHAR(10)&amp;CHAR(10),TRUE,
IF(AL$6:AL$49&gt;0,
"&lt;ThermalBridge&gt;"&amp;CHAR(10)&amp;
"&lt;TypeSource xsi:nil=""true""/&gt;"&amp;CHAR(10)&amp;
"&lt;Length&gt;"&amp;TEXT(AL$6:AL$49,"0.00")&amp;"&lt;/Length&gt;"&amp;CHAR(10)&amp;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&lt;Length&gt;14.39&lt;/Length&gt;
&lt;PsiValue&gt;0&lt;/PsiValue&gt;
&lt;K1Index&gt;PartyFloor&lt;/K1Index&gt;
&lt;Imported&gt;False&lt;/Imported&gt;
&lt;Adjusted&gt;0&lt;/Adjusted&gt;
&lt;/ThermalBridge&gt;
&lt;ThermalBridge&gt;
&lt;TypeSource xsi:nil="true"/&gt;
&lt;Length&gt;5.22&lt;/Length&gt;
&lt;PsiValue&gt;0&lt;/PsiValue&gt;
&lt;K1Index&gt;BalconyBetweenDwellings&lt;/K1Index&gt;
&lt;Imported&gt;False&lt;/Imported&gt;
&lt;Adjusted&gt;0&lt;/Adjusted&gt;
&lt;/ThermalBridge&gt;
&lt;ThermalBridge&gt;
&lt;TypeSource xsi:nil="true"/&gt;
&lt;Length&gt;19.62&lt;/Length&gt;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&lt;Length&gt;24.53&lt;/Length&gt;
&lt;PsiValue&gt;0&lt;/PsiValue&gt;
&lt;K1Index&gt;PartyFloorWithPartyWall&lt;/K1Index&gt;
&lt;Imported&gt;False&lt;/Imported&gt;
&lt;Adjusted&gt;0&lt;/Adjusted&gt;
&lt;/ThermalBridge&gt;
&lt;ThermalBridge&gt;
&lt;TypeSource xsi:nil="true"/&gt;
&lt;Length&gt;24.53&lt;/Length&gt;
&lt;PsiValue&gt;0&lt;/PsiValue&gt;
&lt;K1Index&gt;RoofAtCeilingWithPartyWall&lt;/K1Index&gt;
&lt;Imported&gt;False&lt;/Imported&gt;
&lt;Adjusted&gt;0&lt;/Adjusted&gt;
&lt;/ThermalBridge&gt;</v>
      </c>
      <c r="AM58" s="25" t="str" cm="1">
        <f t="array" ref="AM58">_xlfn.TEXTJOIN(CHAR(10)&amp;CHAR(10),TRUE,
IF(AM$6:AM$49&gt;0,
"&lt;ThermalBridge&gt;"&amp;CHAR(10)&amp;
"&lt;TypeSource xsi:nil=""true""/&gt;"&amp;CHAR(10)&amp;
"&lt;Length&gt;"&amp;TEXT(AM$6:AM$49,"0.00")&amp;"&lt;/Length&gt;"&amp;CHAR(10)&amp;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&lt;Length&gt;16.07&lt;/Length&gt;
&lt;PsiValue&gt;0&lt;/PsiValue&gt;
&lt;K1Index&gt;PartyFloor&lt;/K1Index&gt;
&lt;Imported&gt;False&lt;/Imported&gt;
&lt;Adjusted&gt;0&lt;/Adjusted&gt;
&lt;/ThermalBridge&gt;
&lt;ThermalBridge&gt;
&lt;TypeSource xsi:nil="true"/&gt;
&lt;Length&gt;4.37&lt;/Length&gt;
&lt;PsiValue&gt;0&lt;/PsiValue&gt;
&lt;K1Index&gt;BalconyBetweenDwellings&lt;/K1Index&gt;
&lt;Imported&gt;False&lt;/Imported&gt;
&lt;Adjusted&gt;0&lt;/Adjusted&gt;
&lt;/ThermalBridge&gt;
&lt;ThermalBridge&gt;
&lt;TypeSource xsi:nil="true"/&gt;
&lt;Length&gt;20.44&lt;/Length&gt;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&lt;Length&gt;22.04&lt;/Length&gt;
&lt;PsiValue&gt;0&lt;/PsiValue&gt;
&lt;K1Index&gt;PartyFloorWithPartyWall&lt;/K1Index&gt;
&lt;Imported&gt;False&lt;/Imported&gt;
&lt;Adjusted&gt;0&lt;/Adjusted&gt;
&lt;/ThermalBridge&gt;
&lt;ThermalBridge&gt;
&lt;TypeSource xsi:nil="true"/&gt;
&lt;Length&gt;22.04&lt;/Length&gt;
&lt;PsiValue&gt;0&lt;/PsiValue&gt;
&lt;K1Index&gt;RoofAtCeilingWithPartyWall&lt;/K1Index&gt;
&lt;Imported&gt;False&lt;/Imported&gt;
&lt;Adjusted&gt;0&lt;/Adjusted&gt;
&lt;/ThermalBridge&gt;</v>
      </c>
      <c r="AN58" s="25" t="str" cm="1">
        <f t="array" ref="AN58">_xlfn.TEXTJOIN(CHAR(10)&amp;CHAR(10),TRUE,
IF(AN$6:AN$49&gt;0,
"&lt;ThermalBridge&gt;"&amp;CHAR(10)&amp;
"&lt;TypeSource xsi:nil=""true""/&gt;"&amp;CHAR(10)&amp;
"&lt;Length&gt;"&amp;TEXT(AN$6:AN$49,"0.00")&amp;"&lt;/Length&gt;"&amp;CHAR(10)&amp;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&lt;Length&gt;16.07&lt;/Length&gt;
&lt;PsiValue&gt;0&lt;/PsiValue&gt;
&lt;K1Index&gt;PartyFloor&lt;/K1Index&gt;
&lt;Imported&gt;False&lt;/Imported&gt;
&lt;Adjusted&gt;0&lt;/Adjusted&gt;
&lt;/ThermalBridge&gt;
&lt;ThermalBridge&gt;
&lt;TypeSource xsi:nil="true"/&gt;
&lt;Length&gt;4.37&lt;/Length&gt;
&lt;PsiValue&gt;0&lt;/PsiValue&gt;
&lt;K1Index&gt;BalconyBetweenDwellings&lt;/K1Index&gt;
&lt;Imported&gt;False&lt;/Imported&gt;
&lt;Adjusted&gt;0&lt;/Adjusted&gt;
&lt;/ThermalBridge&gt;
&lt;ThermalBridge&gt;
&lt;TypeSource xsi:nil="true"/&gt;
&lt;Length&gt;20.44&lt;/Length&gt;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&lt;Length&gt;22.05&lt;/Length&gt;
&lt;PsiValue&gt;0&lt;/PsiValue&gt;
&lt;K1Index&gt;PartyFloorWithPartyWall&lt;/K1Index&gt;
&lt;Imported&gt;False&lt;/Imported&gt;
&lt;Adjusted&gt;0&lt;/Adjusted&gt;
&lt;/ThermalBridge&gt;
&lt;ThermalBridge&gt;
&lt;TypeSource xsi:nil="true"/&gt;
&lt;Length&gt;22.05&lt;/Length&gt;
&lt;PsiValue&gt;0&lt;/PsiValue&gt;
&lt;K1Index&gt;RoofAtCeilingWithPartyWall&lt;/K1Index&gt;
&lt;Imported&gt;False&lt;/Imported&gt;
&lt;Adjusted&gt;0&lt;/Adjusted&gt;
&lt;/ThermalBridge&gt;</v>
      </c>
      <c r="AO58" s="25" t="str" cm="1">
        <f t="array" ref="AO58">_xlfn.TEXTJOIN(CHAR(10)&amp;CHAR(10),TRUE,
IF(AO$6:AO$49&gt;0,
"&lt;ThermalBridge&gt;"&amp;CHAR(10)&amp;
"&lt;TypeSource xsi:nil=""true""/&gt;"&amp;CHAR(10)&amp;
"&lt;Length&gt;"&amp;TEXT(AO$6:AO$49,"0.00")&amp;"&lt;/Length&gt;"&amp;CHAR(10)&amp;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&lt;Length&gt;8.73&lt;/Length&gt;
&lt;PsiValue&gt;0&lt;/PsiValue&gt;
&lt;K1Index&gt;OtherLintels&lt;/K1Index&gt;
&lt;Imported&gt;False&lt;/Imported&gt;
&lt;Adjusted&gt;0&lt;/Adjusted&gt;
&lt;/ThermalBridge&gt;
&lt;ThermalBridge&gt;
&lt;TypeSource xsi:nil="true"/&gt;
&lt;Length&gt;6.47&lt;/Length&gt;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&lt;Length&gt;14.39&lt;/Length&gt;
&lt;PsiValue&gt;0&lt;/PsiValue&gt;
&lt;K1Index&gt;PartyFloor&lt;/K1Index&gt;
&lt;Imported&gt;False&lt;/Imported&gt;
&lt;Adjusted&gt;0&lt;/Adjusted&gt;
&lt;/ThermalBridge&gt;
&lt;ThermalBridge&gt;
&lt;TypeSource xsi:nil="true"/&gt;
&lt;Length&gt;5.22&lt;/Length&gt;
&lt;PsiValue&gt;0&lt;/PsiValue&gt;
&lt;K1Index&gt;BalconyBetweenDwellings&lt;/K1Index&gt;
&lt;Imported&gt;False&lt;/Imported&gt;
&lt;Adjusted&gt;0&lt;/Adjusted&gt;
&lt;/ThermalBridge&gt;
&lt;ThermalBridge&gt;
&lt;TypeSource xsi:nil="true"/&gt;
&lt;Length&gt;19.61&lt;/Length&gt;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&lt;Length&gt;24.53&lt;/Length&gt;
&lt;PsiValue&gt;0&lt;/PsiValue&gt;
&lt;K1Index&gt;PartyFloorWithPartyWall&lt;/K1Index&gt;
&lt;Imported&gt;False&lt;/Imported&gt;
&lt;Adjusted&gt;0&lt;/Adjusted&gt;
&lt;/ThermalBridge&gt;
&lt;ThermalBridge&gt;
&lt;TypeSource xsi:nil="true"/&gt;
&lt;Length&gt;24.53&lt;/Length&gt;
&lt;PsiValue&gt;0&lt;/PsiValue&gt;
&lt;K1Index&gt;RoofAtCeilingWithPartyWall&lt;/K1Index&gt;
&lt;Imported&gt;False&lt;/Imported&gt;
&lt;Adjusted&gt;0&lt;/Adjusted&gt;
&lt;/ThermalBridge&gt;</v>
      </c>
      <c r="AP58" s="25" t="str" cm="1">
        <f t="array" ref="AP58">_xlfn.TEXTJOIN(CHAR(10)&amp;CHAR(10),TRUE,
IF(AP$6:AP$49&gt;0,
"&lt;ThermalBridge&gt;"&amp;CHAR(10)&amp;
"&lt;TypeSource xsi:nil=""true""/&gt;"&amp;CHAR(10)&amp;
"&lt;Length&gt;"&amp;TEXT(AP$6:AP$49,"0.00")&amp;"&lt;/Length&gt;"&amp;CHAR(10)&amp;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&lt;Length&gt;4.38&lt;/Length&gt;
&lt;PsiValue&gt;0&lt;/PsiValue&gt;
&lt;K1Index&gt;PartyFloor&lt;/K1Index&gt;
&lt;Imported&gt;False&lt;/Imported&gt;
&lt;Adjusted&gt;0&lt;/Adjusted&gt;
&lt;/ThermalBridge&gt;
&lt;ThermalBridge&gt;
&lt;TypeSource xsi:nil="true"/&gt;
&lt;Length&gt;6.96&lt;/Length&gt;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&lt;Length&gt;3.82&lt;/Length&gt;
&lt;PsiValue&gt;0&lt;/PsiValue&gt;
&lt;K1Index&gt;ExposedFloorNormal&lt;/K1Index&gt;
&lt;Imported&gt;False&lt;/Imported&gt;
&lt;Adjusted&gt;0&lt;/Adjusted&gt;
&lt;/ThermalBridge&gt;
&lt;ThermalBridge&gt;
&lt;TypeSource xsi:nil="true"/&gt;
&lt;Length&gt;20.77&lt;/Length&gt;
&lt;PsiValue&gt;0&lt;/PsiValue&gt;
&lt;K1Index&gt;PartyFloorWithPartyWall&lt;/K1Index&gt;
&lt;Imported&gt;False&lt;/Imported&gt;
&lt;Adjusted&gt;0&lt;/Adjusted&gt;
&lt;/ThermalBridge&gt;
&lt;ThermalBridge&gt;
&lt;TypeSource xsi:nil="true"/&gt;
&lt;Length&gt;20.77&lt;/Length&gt;
&lt;PsiValue&gt;0&lt;/PsiValue&gt;
&lt;K1Index&gt;ExposedFloorInvertedWithPartyWall&lt;/K1Index&gt;
&lt;Imported&gt;False&lt;/Imported&gt;
&lt;Adjusted&gt;0&lt;/Adjusted&gt;
&lt;/ThermalBridge&gt;</v>
      </c>
      <c r="AQ58" s="25" t="str" cm="1">
        <f t="array" ref="AQ58">_xlfn.TEXTJOIN(CHAR(10)&amp;CHAR(10),TRUE,
IF(AQ$6:AQ$49&gt;0,
"&lt;ThermalBridge&gt;"&amp;CHAR(10)&amp;
"&lt;TypeSource xsi:nil=""true""/&gt;"&amp;CHAR(10)&amp;
"&lt;Length&gt;"&amp;TEXT(AQ$6:AQ$49,"0.00")&amp;"&lt;/Length&gt;"&amp;CHAR(10)&amp;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&lt;Length&gt;12.30&lt;/Length&gt;
&lt;PsiValue&gt;0&lt;/PsiValue&gt;
&lt;K1Index&gt;PartyFloor&lt;/K1Index&gt;
&lt;Imported&gt;False&lt;/Imported&gt;
&lt;Adjusted&gt;0&lt;/Adjusted&gt;
&lt;/ThermalBridge&gt;
&lt;ThermalBridge&gt;
&lt;TypeSource xsi:nil="true"/&gt;
&lt;Length&gt;7.64&lt;/Length&gt;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&lt;Length&gt;12.30&lt;/Length&gt;
&lt;PsiValue&gt;0&lt;/PsiValue&gt;
&lt;K1Index&gt;ExposedFloorNormal&lt;/K1Index&gt;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&lt;K1Index&gt;ExposedFloorInvertedWithPartyWall&lt;/K1Index&gt;
&lt;Imported&gt;False&lt;/Imported&gt;
&lt;Adjusted&gt;0&lt;/Adjusted&gt;
&lt;/ThermalBridge&gt;</v>
      </c>
      <c r="AR58" s="25" t="str" cm="1">
        <f t="array" ref="AR58">_xlfn.TEXTJOIN(CHAR(10)&amp;CHAR(10),TRUE,
IF(AR$6:AR$49&gt;0,
"&lt;ThermalBridge&gt;"&amp;CHAR(10)&amp;
"&lt;TypeSource xsi:nil=""true""/&gt;"&amp;CHAR(10)&amp;
"&lt;Length&gt;"&amp;TEXT(AR$6:AR$49,"0.00")&amp;"&lt;/Length&gt;"&amp;CHAR(10)&amp;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&lt;Length&gt;21.41&lt;/Length&gt;
&lt;PsiValue&gt;0&lt;/PsiValue&gt;
&lt;K1Index&gt;PartyFloor&lt;/K1Index&gt;
&lt;Imported&gt;False&lt;/Imported&gt;
&lt;Adjusted&gt;0&lt;/Adjusted&gt;
&lt;/ThermalBridge&gt;
&lt;ThermalBridge&gt;
&lt;TypeSource xsi:nil="true"/&gt;
&lt;Length&gt;6.95&lt;/Length&gt;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&lt;Length&gt;28.34&lt;/Length&gt;
&lt;PsiValue&gt;0&lt;/PsiValue&gt;
&lt;K1Index&gt;PartyFloorWithPartyWall&lt;/K1Index&gt;
&lt;Imported&gt;False&lt;/Imported&gt;
&lt;Adjusted&gt;0&lt;/Adjusted&gt;
&lt;/ThermalBridge&gt;</v>
      </c>
      <c r="AS58" s="25" t="str" cm="1">
        <f t="array" ref="AS58">_xlfn.TEXTJOIN(CHAR(10)&amp;CHAR(10),TRUE,
IF(AS$6:AS$49&gt;0,
"&lt;ThermalBridge&gt;"&amp;CHAR(10)&amp;
"&lt;TypeSource xsi:nil=""true""/&gt;"&amp;CHAR(10)&amp;
"&lt;Length&gt;"&amp;TEXT(AS$6:AS$49,"0.00")&amp;"&lt;/Length&gt;"&amp;CHAR(10)&amp;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&lt;Length&gt;24.60&lt;/Length&gt;
&lt;PsiValue&gt;0&lt;/PsiValue&gt;
&lt;K1Index&gt;PartyFloor&lt;/K1Index&gt;
&lt;Imported&gt;False&lt;/Imported&gt;
&lt;Adjusted&gt;0&lt;/Adjusted&gt;
&lt;/ThermalBridge&gt;
&lt;ThermalBridge&gt;
&lt;TypeSource xsi:nil="true"/&gt;
&lt;Length&gt;7.64&lt;/Length&gt;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&lt;Length&gt;36.24&lt;/Length&gt;
&lt;PsiValue&gt;0&lt;/PsiValue&gt;
&lt;K1Index&gt;PartyFloorWithPartyWall&lt;/K1Index&gt;
&lt;Imported&gt;False&lt;/Imported&gt;
&lt;Adjusted&gt;0&lt;/Adjusted&gt;
&lt;/ThermalBridge&gt;</v>
      </c>
      <c r="AT58" s="25" t="str" cm="1">
        <f t="array" ref="AT58">_xlfn.TEXTJOIN(CHAR(10)&amp;CHAR(10),TRUE,
IF(AT$6:AT$49&gt;0,
"&lt;ThermalBridge&gt;"&amp;CHAR(10)&amp;
"&lt;TypeSource xsi:nil=""true""/&gt;"&amp;CHAR(10)&amp;
"&lt;Length&gt;"&amp;TEXT(AT$6:AT$49,"0.00")&amp;"&lt;/Length&gt;"&amp;CHAR(10)&amp;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&lt;Length&gt;22.02&lt;/Length&gt;
&lt;PsiValue&gt;0&lt;/PsiValue&gt;
&lt;K1Index&gt;PartyFloor&lt;/K1Index&gt;
&lt;Imported&gt;False&lt;/Imported&gt;
&lt;Adjusted&gt;0&lt;/Adjusted&gt;
&lt;/ThermalBridge&gt;
&lt;ThermalBridge&gt;
&lt;TypeSource xsi:nil="true"/&gt;
&lt;Length&gt;6.39&lt;/Length&gt;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&lt;Length&gt;28.42&lt;/Length&gt;
&lt;PsiValue&gt;0&lt;/PsiValue&gt;
&lt;K1Index&gt;PartyFloorWithPartyWall&lt;/K1Index&gt;
&lt;Imported&gt;False&lt;/Imported&gt;
&lt;Adjusted&gt;0&lt;/Adjusted&gt;
&lt;/ThermalBridge&gt;</v>
      </c>
      <c r="AU58" s="25" t="str" cm="1">
        <f t="array" ref="AU58">_xlfn.TEXTJOIN(CHAR(10)&amp;CHAR(10),TRUE,
IF(AU$6:AU$49&gt;0,
"&lt;ThermalBridge&gt;"&amp;CHAR(10)&amp;
"&lt;TypeSource xsi:nil=""true""/&gt;"&amp;CHAR(10)&amp;
"&lt;Length&gt;"&amp;TEXT(AU$6:AU$49,"0.00")&amp;"&lt;/Length&gt;"&amp;CHAR(10)&amp;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&lt;Length&gt;8.74&lt;/Length&gt;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AV58" s="25" t="str" cm="1">
        <f t="array" ref="AV58">_xlfn.TEXTJOIN(CHAR(10)&amp;CHAR(10),TRUE,
IF(AV$6:AV$49&gt;0,
"&lt;ThermalBridge&gt;"&amp;CHAR(10)&amp;
"&lt;TypeSource xsi:nil=""true""/&gt;"&amp;CHAR(10)&amp;
"&lt;Length&gt;"&amp;TEXT(AV$6:AV$49,"0.00")&amp;"&lt;/Length&gt;"&amp;CHAR(10)&amp;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&lt;Length&gt;8.76&lt;/Length&gt;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AW58" s="25" t="str" cm="1">
        <f t="array" ref="AW58">_xlfn.TEXTJOIN(CHAR(10)&amp;CHAR(10),TRUE,
IF(AW$6:AW$49&gt;0,
"&lt;ThermalBridge&gt;"&amp;CHAR(10)&amp;
"&lt;TypeSource xsi:nil=""true""/&gt;"&amp;CHAR(10)&amp;
"&lt;Length&gt;"&amp;TEXT(AW$6:AW$49,"0.00")&amp;"&lt;/Length&gt;"&amp;CHAR(10)&amp;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&lt;Length&gt;7.25&lt;/Length&gt;
&lt;PsiValue&gt;0&lt;/PsiValue&gt;
&lt;K1Index&gt;OtherLintels&lt;/K1Index&gt;
&lt;Imported&gt;False&lt;/Imported&gt;
&lt;Adjusted&gt;0&lt;/Adjusted&gt;
&lt;/ThermalBridge&gt;
&lt;ThermalBridge&gt;
&lt;TypeSource xsi:nil="true"/&gt;
&lt;Length&gt;4.99&lt;/Length&gt;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&lt;Length&gt;12.30&lt;/Length&gt;
&lt;PsiValue&gt;0&lt;/PsiValue&gt;
&lt;K1Index&gt;PartyFloor&lt;/K1Index&gt;
&lt;Imported&gt;False&lt;/Imported&gt;
&lt;Adjusted&gt;0&lt;/Adjusted&gt;
&lt;/ThermalBridge&gt;
&lt;ThermalBridge&gt;
&lt;TypeSource xsi:nil="true"/&gt;
&lt;Length&gt;3.82&lt;/Length&gt;
&lt;PsiValue&gt;0&lt;/PsiValue&gt;
&lt;K1Index&gt;BalconyBetweenDwellings&lt;/K1Index&gt;
&lt;Imported&gt;False&lt;/Imported&gt;
&lt;Adjusted&gt;0&lt;/Adjusted&gt;
&lt;/ThermalBridge&gt;
&lt;ThermalBridge&gt;
&lt;TypeSource xsi:nil="true"/&gt;
&lt;Length&gt;16.12&lt;/Length&gt;
&lt;PsiValue&gt;0&lt;/PsiValue&gt;
&lt;K1Index&gt;FlatRoofWithParapet&lt;/K1Index&gt;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&lt;Length&gt;18.12&lt;/Length&gt;
&lt;PsiValue&gt;0&lt;/PsiValue&gt;
&lt;K1Index&gt;PartyFloorWithPartyWall&lt;/K1Index&gt;
&lt;Imported&gt;False&lt;/Imported&gt;
&lt;Adjusted&gt;0&lt;/Adjusted&gt;
&lt;/ThermalBridge&gt;
&lt;ThermalBridge&gt;
&lt;TypeSource xsi:nil="true"/&gt;
&lt;Length&gt;18.12&lt;/Length&gt;
&lt;PsiValue&gt;0&lt;/PsiValue&gt;
&lt;K1Index&gt;RoofAtCeilingWithPartyWall&lt;/K1Index&gt;
&lt;Imported&gt;False&lt;/Imported&gt;
&lt;Adjusted&gt;0&lt;/Adjusted&gt;
&lt;/ThermalBridge&gt;</v>
      </c>
      <c r="AX58" s="25" t="str" cm="1">
        <f t="array" ref="AX58">_xlfn.TEXTJOIN(CHAR(10)&amp;CHAR(10),TRUE,
IF(AX$6:AX$49&gt;0,
"&lt;ThermalBridge&gt;"&amp;CHAR(10)&amp;
"&lt;TypeSource xsi:nil=""true""/&gt;"&amp;CHAR(10)&amp;
"&lt;Length&gt;"&amp;TEXT(AX$6:AX$49,"0.00")&amp;"&lt;/Length&gt;"&amp;CHAR(10)&amp;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&lt;Length&gt;11.01&lt;/Length&gt;
&lt;PsiValue&gt;0&lt;/PsiValue&gt;
&lt;K1Index&gt;PartyFloor&lt;/K1Index&gt;
&lt;Imported&gt;False&lt;/Imported&gt;
&lt;Adjusted&gt;0&lt;/Adjusted&gt;
&lt;/ThermalBridge&gt;
&lt;ThermalBridge&gt;
&lt;TypeSource xsi:nil="true"/&gt;
&lt;Length&gt;3.20&lt;/Length&gt;
&lt;PsiValue&gt;0&lt;/PsiValue&gt;
&lt;K1Index&gt;BalconyBetweenDwellings&lt;/K1Index&gt;
&lt;Imported&gt;False&lt;/Imported&gt;
&lt;Adjusted&gt;0&lt;/Adjusted&gt;
&lt;/ThermalBridge&gt;
&lt;ThermalBridge&gt;
&lt;TypeSource xsi:nil="true"/&gt;
&lt;Length&gt;14.21&lt;/Length&gt;
&lt;PsiValue&gt;0&lt;/PsiValue&gt;
&lt;K1Index&gt;FlatRoofWithParapet&lt;/K1Index&gt;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&lt;Length&gt;14.21&lt;/Length&gt;
&lt;PsiValue&gt;0&lt;/PsiValue&gt;
&lt;K1Index&gt;PartyFloorWithPartyWall&lt;/K1Index&gt;
&lt;Imported&gt;False&lt;/Imported&gt;
&lt;Adjusted&gt;0&lt;/Adjusted&gt;
&lt;/ThermalBridge&gt;
&lt;ThermalBridge&gt;
&lt;TypeSource xsi:nil="true"/&gt;
&lt;Length&gt;14.21&lt;/Length&gt;
&lt;PsiValue&gt;0&lt;/PsiValue&gt;
&lt;K1Index&gt;RoofAtCeilingWithPartyWall&lt;/K1Index&gt;
&lt;Imported&gt;False&lt;/Imported&gt;
&lt;Adjusted&gt;0&lt;/Adjusted&gt;
&lt;/ThermalBridge&gt;</v>
      </c>
      <c r="AY58" s="25" t="str" cm="1">
        <f t="array" ref="AY58">_xlfn.TEXTJOIN(CHAR(10)&amp;CHAR(10),TRUE,
IF(AY$6:AY$49&gt;0,
"&lt;ThermalBridge&gt;"&amp;CHAR(10)&amp;
"&lt;TypeSource xsi:nil=""true""/&gt;"&amp;CHAR(10)&amp;
"&lt;Length&gt;"&amp;TEXT(AY$6:AY$49,"0.00")&amp;"&lt;/Length&gt;"&amp;CHAR(10)&amp;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&lt;Length&gt;5.89&lt;/Length&gt;
&lt;PsiValue&gt;0&lt;/PsiValue&gt;
&lt;K1Index&gt;OtherLintels&lt;/K1Index&gt;
&lt;Imported&gt;False&lt;/Imported&gt;
&lt;Adjusted&gt;0&lt;/Adjusted&gt;
&lt;/ThermalBridge&gt;
&lt;ThermalBridge&gt;
&lt;TypeSource xsi:nil="true"/&gt;
&lt;Length&gt;3.63&lt;/Length&gt;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&lt;Length&gt;10.98&lt;/Length&gt;
&lt;PsiValue&gt;0&lt;/PsiValue&gt;
&lt;K1Index&gt;PartyFloor&lt;/K1Index&gt;
&lt;Imported&gt;False&lt;/Imported&gt;
&lt;Adjusted&gt;0&lt;/Adjusted&gt;
&lt;/ThermalBridge&gt;
&lt;ThermalBridge&gt;
&lt;TypeSource xsi:nil="true"/&gt;
&lt;Length&gt;3.20&lt;/Length&gt;
&lt;PsiValue&gt;0&lt;/PsiValue&gt;
&lt;K1Index&gt;BalconyBetweenDwellings&lt;/K1Index&gt;
&lt;Imported&gt;False&lt;/Imported&gt;
&lt;Adjusted&gt;0&lt;/Adjusted&gt;
&lt;/ThermalBridge&gt;
&lt;ThermalBridge&gt;
&lt;TypeSource xsi:nil="true"/&gt;
&lt;Length&gt;17.05&lt;/Length&gt;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&lt;Length&gt;14.17&lt;/Length&gt;
&lt;PsiValue&gt;0&lt;/PsiValue&gt;
&lt;K1Index&gt;PartyFloorWithPartyWall&lt;/K1Index&gt;
&lt;Imported&gt;False&lt;/Imported&gt;
&lt;Adjusted&gt;0&lt;/Adjusted&gt;
&lt;/ThermalBridge&gt;
&lt;ThermalBridge&gt;
&lt;TypeSource xsi:nil="true"/&gt;
&lt;Length&gt;11.29&lt;/Length&gt;
&lt;PsiValue&gt;0&lt;/PsiValue&gt;
&lt;K1Index&gt;RoofAtCeilingWithPartyWall&lt;/K1Index&gt;
&lt;Imported&gt;False&lt;/Imported&gt;
&lt;Adjusted&gt;0&lt;/Adjusted&gt;
&lt;/ThermalBridge&gt;</v>
      </c>
      <c r="AZ58" s="25" t="str" cm="1">
        <f t="array" ref="AZ58">_xlfn.TEXTJOIN(CHAR(10)&amp;CHAR(10),TRUE,
IF(AZ$6:AZ$49&gt;0,
"&lt;ThermalBridge&gt;"&amp;CHAR(10)&amp;
"&lt;TypeSource xsi:nil=""true""/&gt;"&amp;CHAR(10)&amp;
"&lt;Length&gt;"&amp;TEXT(AZ$6:AZ$49,"0.00")&amp;"&lt;/Length&gt;"&amp;CHAR(10)&amp;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&lt;Length&gt;4.30&lt;/Length&gt;
&lt;PsiValue&gt;0&lt;/PsiValue&gt;
&lt;K1Index&gt;PartyFloor&lt;/K1Index&gt;
&lt;Imported&gt;False&lt;/Imported&gt;
&lt;Adjusted&gt;0&lt;/Adjusted&gt;
&lt;/ThermalBridge&gt;
&lt;ThermalBridge&gt;
&lt;TypeSource xsi:nil="true"/&gt;
&lt;Length&gt;3.27&lt;/Length&gt;
&lt;PsiValue&gt;0&lt;/PsiValue&gt;
&lt;K1Index&gt;BalconyBetweenDwellings&lt;/K1Index&gt;
&lt;Imported&gt;False&lt;/Imported&gt;
&lt;Adjusted&gt;0&lt;/Adjusted&gt;
&lt;/ThermalBridge&gt;
&lt;ThermalBridge&gt;
&lt;TypeSource xsi:nil="true"/&gt;
&lt;Length&gt;7.57&lt;/Length&gt;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&lt;Length&gt;20.77&lt;/Length&gt;
&lt;PsiValue&gt;0&lt;/PsiValue&gt;
&lt;K1Index&gt;PartyFloorWithPartyWall&lt;/K1Index&gt;
&lt;Imported&gt;False&lt;/Imported&gt;
&lt;Adjusted&gt;0&lt;/Adjusted&gt;
&lt;/ThermalBridge&gt;
&lt;ThermalBridge&gt;
&lt;TypeSource xsi:nil="true"/&gt;
&lt;Length&gt;20.77&lt;/Length&gt;
&lt;PsiValue&gt;0&lt;/PsiValue&gt;
&lt;K1Index&gt;RoofAtCeilingWithPartyWall&lt;/K1Index&gt;
&lt;Imported&gt;False&lt;/Imported&gt;
&lt;Adjusted&gt;0&lt;/Adjusted&gt;
&lt;/ThermalBridge&gt;</v>
      </c>
      <c r="BA58" s="25" t="str" cm="1">
        <f t="array" ref="BA58">_xlfn.TEXTJOIN(CHAR(10)&amp;CHAR(10),TRUE,
IF(BA$6:BA$49&gt;0,
"&lt;ThermalBridge&gt;"&amp;CHAR(10)&amp;
"&lt;TypeSource xsi:nil=""true""/&gt;"&amp;CHAR(10)&amp;
"&lt;Length&gt;"&amp;TEXT(BA$6:BA$49,"0.00")&amp;"&lt;/Length&gt;"&amp;CHAR(10)&amp;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&lt;Length&gt;8.15&lt;/Length&gt;
&lt;PsiValue&gt;0&lt;/PsiValue&gt;
&lt;K1Index&gt;OtherLintels&lt;/K1Index&gt;
&lt;Imported&gt;False&lt;/Imported&gt;
&lt;Adjusted&gt;0&lt;/Adjusted&gt;
&lt;/ThermalBridge&gt;
&lt;ThermalBridge&gt;
&lt;TypeSource xsi:nil="true"/&gt;
&lt;Length&gt;6.00&lt;/Length&gt;
&lt;PsiValue&gt;0&lt;/PsiValue&gt;
&lt;K1Index&gt;Sill&lt;/K1Index&gt;
&lt;Imported&gt;False&lt;/Imported&gt;
&lt;Adjusted&gt;0&lt;/Adjusted&gt;
&lt;/ThermalBridge&gt;
&lt;ThermalBridge&gt;
&lt;TypeSource xsi:nil="true"/&gt;
&lt;Length&gt;19.46&lt;/Length&gt;
&lt;PsiValue&gt;0&lt;/PsiValue&gt;
&lt;K1Index&gt;Jamb&lt;/K1Index&gt;
&lt;Imported&gt;False&lt;/Imported&gt;
&lt;Adjusted&gt;0&lt;/Adjusted&gt;
&lt;/ThermalBridge&gt;
&lt;ThermalBridge&gt;
&lt;TypeSource xsi:nil="true"/&gt;
&lt;Length&gt;13.36&lt;/Length&gt;
&lt;PsiValue&gt;0&lt;/PsiValue&gt;
&lt;K1Index&gt;PartyFloor&lt;/K1Index&gt;
&lt;Imported&gt;False&lt;/Imported&gt;
&lt;Adjusted&gt;0&lt;/Adjusted&gt;
&lt;/ThermalBridge&gt;
&lt;ThermalBridge&gt;
&lt;TypeSource xsi:nil="true"/&gt;
&lt;Length&gt;4.20&lt;/Length&gt;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&lt;Length&gt;17.57&lt;/Length&gt;
&lt;PsiValue&gt;0&lt;/PsiValue&gt;
&lt;K1Index&gt;ExposedFloorNormal&lt;/K1Index&gt;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&lt;Length&gt;20.06&lt;/Length&gt;
&lt;PsiValue&gt;0&lt;/PsiValue&gt;
&lt;K1Index&gt;PartyFloorWithPartyWall&lt;/K1Index&gt;
&lt;Imported&gt;False&lt;/Imported&gt;
&lt;Adjusted&gt;0&lt;/Adjusted&gt;
&lt;/ThermalBridge&gt;
&lt;ThermalBridge&gt;
&lt;TypeSource xsi:nil="true"/&gt;
&lt;Length&gt;8.32&lt;/Length&gt;
&lt;PsiValue&gt;0&lt;/PsiValue&gt;
&lt;K1Index&gt;ExposedFloorWithPartyWall&lt;/K1Index&gt;
&lt;Imported&gt;False&lt;/Imported&gt;
&lt;Adjusted&gt;0&lt;/Adjusted&gt;
&lt;/ThermalBridge&gt;
&lt;ThermalBridge&gt;
&lt;TypeSource xsi:nil="true"/&gt;
&lt;Length&gt;11.74&lt;/Length&gt;
&lt;PsiValue&gt;0&lt;/PsiValue&gt;
&lt;K1Index&gt;ExposedFloorInvertedWithPartyWall&lt;/K1Index&gt;
&lt;Imported&gt;False&lt;/Imported&gt;
&lt;Adjusted&gt;0&lt;/Adjusted&gt;
&lt;/ThermalBridge&gt;</v>
      </c>
      <c r="BB58" s="25" t="str" cm="1">
        <f t="array" ref="BB58">_xlfn.TEXTJOIN(CHAR(10)&amp;CHAR(10),TRUE,
IF(BB$6:BB$49&gt;0,
"&lt;ThermalBridge&gt;"&amp;CHAR(10)&amp;
"&lt;TypeSource xsi:nil=""true""/&gt;"&amp;CHAR(10)&amp;
"&lt;Length&gt;"&amp;TEXT(BB$6:BB$49,"0.00")&amp;"&lt;/Length&gt;"&amp;CHAR(10)&amp;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&lt;Length&gt;12.58&lt;/Length&gt;
&lt;PsiValue&gt;0&lt;/PsiValue&gt;
&lt;K1Index&gt;PartyFloor&lt;/K1Index&gt;
&lt;Imported&gt;False&lt;/Imported&gt;
&lt;Adjusted&gt;0&lt;/Adjusted&gt;
&lt;/ThermalBridge&gt;
&lt;ThermalBridge&gt;
&lt;TypeSource xsi:nil="true"/&gt;
&lt;Length&gt;12.83&lt;/Length&gt;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&lt;Length&gt;8.19&lt;/Length&gt;
&lt;PsiValue&gt;0&lt;/PsiValue&gt;
&lt;K1Index&gt;ExposedFloorNormal&lt;/K1Index&gt;
&lt;Imported&gt;False&lt;/Imported&gt;
&lt;Adjusted&gt;0&lt;/Adjusted&gt;
&lt;/ThermalBridge&gt;
&lt;ThermalBridge&gt;
&lt;TypeSource xsi:nil="true"/&gt;
&lt;Length&gt;16.80&lt;/Length&gt;
&lt;PsiValue&gt;0&lt;/PsiValue&gt;
&lt;K1Index&gt;PartyFloorWithPartyWall&lt;/K1Index&gt;
&lt;Imported&gt;False&lt;/Imported&gt;
&lt;Adjusted&gt;0&lt;/Adjusted&gt;
&lt;/ThermalBridge&gt;
&lt;ThermalBridge&gt;
&lt;TypeSource xsi:nil="true"/&gt;
&lt;Length&gt;14.92&lt;/Length&gt;
&lt;PsiValue&gt;0&lt;/PsiValue&gt;
&lt;K1Index&gt;ExposedFloorWithPartyWall&lt;/K1Index&gt;
&lt;Imported&gt;False&lt;/Imported&gt;
&lt;Adjusted&gt;0&lt;/Adjusted&gt;
&lt;/ThermalBridge&gt;
&lt;ThermalBridge&gt;
&lt;TypeSource xsi:nil="true"/&gt;
&lt;Length&gt;1.88&lt;/Length&gt;
&lt;PsiValue&gt;0&lt;/PsiValue&gt;
&lt;K1Index&gt;ExposedFloorInvertedWithPartyWall&lt;/K1Index&gt;
&lt;Imported&gt;False&lt;/Imported&gt;
&lt;Adjusted&gt;0&lt;/Adjusted&gt;
&lt;/ThermalBridge&gt;</v>
      </c>
      <c r="BC58" s="25" t="str" cm="1">
        <f t="array" ref="BC58">_xlfn.TEXTJOIN(CHAR(10)&amp;CHAR(10),TRUE,
IF(BC$6:BC$49&gt;0,
"&lt;ThermalBridge&gt;"&amp;CHAR(10)&amp;
"&lt;TypeSource xsi:nil=""true""/&gt;"&amp;CHAR(10)&amp;
"&lt;Length&gt;"&amp;TEXT(BC$6:BC$49,"0.00")&amp;"&lt;/Length&gt;"&amp;CHAR(10)&amp;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&lt;Length&gt;10.59&lt;/Length&gt;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&lt;Length&gt;6.60&lt;/Length&gt;
&lt;PsiValue&gt;0&lt;/PsiValue&gt;
&lt;K1Index&gt;ExposedFloorInverted&lt;/K1Index&gt;
&lt;Imported&gt;False&lt;/Imported&gt;
&lt;Adjusted&gt;0&lt;/Adjusted&gt;
&lt;/ThermalBridge&gt;
&lt;ThermalBridge&gt;
&lt;TypeSource xsi:nil="true"/&gt;
&lt;Length&gt;24.17&lt;/Length&gt;
&lt;PsiValue&gt;0&lt;/PsiValue&gt;
&lt;K1Index&gt;PartyFloorWithPartyWall&lt;/K1Index&gt;
&lt;Imported&gt;False&lt;/Imported&gt;
&lt;Adjusted&gt;0&lt;/Adjusted&gt;
&lt;/ThermalBridge&gt;
&lt;ThermalBridge&gt;
&lt;TypeSource xsi:nil="true"/&gt;
&lt;Length&gt;6.60&lt;/Length&gt;
&lt;PsiValue&gt;0&lt;/PsiValue&gt;
&lt;K1Index&gt;ExposedFloorWithPartyWall&lt;/K1Index&gt;
&lt;Imported&gt;False&lt;/Imported&gt;
&lt;Adjusted&gt;0&lt;/Adjusted&gt;
&lt;/ThermalBridge&gt;
&lt;ThermalBridge&gt;
&lt;TypeSource xsi:nil="true"/&gt;
&lt;Length&gt;10.87&lt;/Length&gt;
&lt;PsiValue&gt;0&lt;/PsiValue&gt;
&lt;K1Index&gt;ExposedFloorInvertedWithPartyWall&lt;/K1Index&gt;
&lt;Imported&gt;False&lt;/Imported&gt;
&lt;Adjusted&gt;0&lt;/Adjusted&gt;
&lt;/ThermalBridge&gt;</v>
      </c>
      <c r="BD58" s="25" t="str" cm="1">
        <f t="array" ref="BD58">_xlfn.TEXTJOIN(CHAR(10)&amp;CHAR(10),TRUE,
IF(BD$6:BD$49&gt;0,
"&lt;ThermalBridge&gt;"&amp;CHAR(10)&amp;
"&lt;TypeSource xsi:nil=""true""/&gt;"&amp;CHAR(10)&amp;
"&lt;Length&gt;"&amp;TEXT(BD$6:BD$49,"0.00")&amp;"&lt;/Length&gt;"&amp;CHAR(10)&amp;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&lt;Length&gt;10.60&lt;/Length&gt;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&lt;K1Index&gt;ExposedFloorInvertedWithPartyWall&lt;/K1Index&gt;
&lt;Imported&gt;False&lt;/Imported&gt;
&lt;Adjusted&gt;0&lt;/Adjusted&gt;
&lt;/ThermalBridge&gt;</v>
      </c>
      <c r="BE58" s="25" t="str" cm="1">
        <f t="array" ref="BE58">_xlfn.TEXTJOIN(CHAR(10)&amp;CHAR(10),TRUE,
IF(BE$6:BE$49&gt;0,
"&lt;ThermalBridge&gt;"&amp;CHAR(10)&amp;
"&lt;TypeSource xsi:nil=""true""/&gt;"&amp;CHAR(10)&amp;
"&lt;Length&gt;"&amp;TEXT(BE$6:BE$49,"0.00")&amp;"&lt;/Length&gt;"&amp;CHAR(10)&amp;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&lt;Length&gt;2.83&lt;/Length&gt;
&lt;PsiValue&gt;0&lt;/PsiValue&gt;
&lt;K1Index&gt;Sill&lt;/K1Index&gt;
&lt;Imported&gt;False&lt;/Imported&gt;
&lt;Adjusted&gt;0&lt;/Adjusted&gt;
&lt;/ThermalBridge&gt;
&lt;ThermalBridge&gt;
&lt;TypeSource xsi:nil="true"/&gt;
&lt;Length&gt;12.22&lt;/Length&gt;
&lt;PsiValue&gt;0&lt;/PsiValue&gt;
&lt;K1Index&gt;Jamb&lt;/K1Index&gt;
&lt;Imported&gt;False&lt;/Imported&gt;
&lt;Adjusted&gt;0&lt;/Adjusted&gt;
&lt;/ThermalBridge&gt;
&lt;ThermalBridge&gt;
&lt;TypeSource xsi:nil="true"/&gt;
&lt;Length&gt;4.39&lt;/Length&gt;
&lt;PsiValue&gt;0&lt;/PsiValue&gt;
&lt;K1Index&gt;PartyFloor&lt;/K1Index&gt;
&lt;Imported&gt;False&lt;/Imported&gt;
&lt;Adjusted&gt;0&lt;/Adjusted&gt;
&lt;/ThermalBridge&gt;
&lt;ThermalBridge&gt;
&lt;TypeSource xsi:nil="true"/&gt;
&lt;Length&gt;12.82&lt;/Length&gt;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&lt;Length&gt;3.83&lt;/Length&gt;
&lt;PsiValue&gt;0&lt;/PsiValue&gt;
&lt;K1Index&gt;ExposedFloorNormal&lt;/K1Index&gt;
&lt;Imported&gt;False&lt;/Imported&gt;
&lt;Adjusted&gt;0&lt;/Adjusted&gt;
&lt;/ThermalBridge&gt;
&lt;ThermalBridge&gt;
&lt;TypeSource xsi:nil="true"/&gt;
&lt;Length&gt;8.18&lt;/Length&gt;
&lt;PsiValue&gt;0&lt;/PsiValue&gt;
&lt;K1Index&gt;ExposedFloorInverted&lt;/K1Index&gt;
&lt;Imported&gt;False&lt;/Imported&gt;
&lt;Adjusted&gt;0&lt;/Adjusted&gt;
&lt;/ThermalBridge&gt;
&lt;ThermalBridge&gt;
&lt;TypeSource xsi:nil="true"/&gt;
&lt;Length&gt;29.31&lt;/Length&gt;
&lt;PsiValue&gt;0&lt;/PsiValue&gt;
&lt;K1Index&gt;PartyFloorWithPartyWall&lt;/K1Index&gt;
&lt;Imported&gt;False&lt;/Imported&gt;
&lt;Adjusted&gt;0&lt;/Adjusted&gt;
&lt;/ThermalBridge&gt;
&lt;ThermalBridge&gt;
&lt;TypeSource xsi:nil="true"/&gt;
&lt;Length&gt;5.85&lt;/Length&gt;
&lt;PsiValue&gt;0&lt;/PsiValue&gt;
&lt;K1Index&gt;ExposedFloorWithPartyWall&lt;/K1Index&gt;
&lt;Imported&gt;False&lt;/Imported&gt;
&lt;Adjusted&gt;0&lt;/Adjusted&gt;
&lt;/ThermalBridge&gt;
&lt;ThermalBridge&gt;
&lt;TypeSource xsi:nil="true"/&gt;
&lt;Length&gt;10.96&lt;/Length&gt;
&lt;PsiValue&gt;0&lt;/PsiValue&gt;
&lt;K1Index&gt;ExposedFloorInvertedWithPartyWall&lt;/K1Index&gt;
&lt;Imported&gt;False&lt;/Imported&gt;
&lt;Adjusted&gt;0&lt;/Adjusted&gt;
&lt;/ThermalBridge&gt;</v>
      </c>
      <c r="BF58" s="25" t="str" cm="1">
        <f t="array" ref="BF58">_xlfn.TEXTJOIN(CHAR(10)&amp;CHAR(10),TRUE,
IF(BF$6:BF$49&gt;0,
"&lt;ThermalBridge&gt;"&amp;CHAR(10)&amp;
"&lt;TypeSource xsi:nil=""true""/&gt;"&amp;CHAR(10)&amp;
"&lt;Length&gt;"&amp;TEXT(BF$6:BF$49,"0.00")&amp;"&lt;/Length&gt;"&amp;CHAR(10)&amp;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&lt;Length&gt;4.75&lt;/Length&gt;
&lt;PsiValue&gt;0&lt;/PsiValue&gt;
&lt;K1Index&gt;OtherLintels&lt;/K1Index&gt;
&lt;Imported&gt;False&lt;/Imported&gt;
&lt;Adjusted&gt;0&lt;/Adjusted&gt;
&lt;/ThermalBridge&gt;
&lt;ThermalBridge&gt;
&lt;TypeSource xsi:nil="true"/&gt;
&lt;Length&gt;2.60&lt;/Length&gt;
&lt;PsiValue&gt;0&lt;/PsiValue&gt;
&lt;K1Index&gt;Sill&lt;/K1Index&gt;
&lt;Imported&gt;False&lt;/Imported&gt;
&lt;Adjusted&gt;0&lt;/Adjusted&gt;
&lt;/ThermalBridge&gt;
&lt;ThermalBridge&gt;
&lt;TypeSource xsi:nil="true"/&gt;
&lt;Length&gt;12.02&lt;/Length&gt;
&lt;PsiValue&gt;0&lt;/PsiValue&gt;
&lt;K1Index&gt;Jamb&lt;/K1Index&gt;
&lt;Imported&gt;False&lt;/Imported&gt;
&lt;Adjusted&gt;0&lt;/Adjusted&gt;
&lt;/ThermalBridge&gt;
&lt;ThermalBridge&gt;
&lt;TypeSource xsi:nil="true"/&gt;
&lt;Length&gt;5.57&lt;/Length&gt;
&lt;PsiValue&gt;0&lt;/PsiValue&gt;
&lt;K1Index&gt;PartyFloor&lt;/K1Index&gt;
&lt;Imported&gt;False&lt;/Imported&gt;
&lt;Adjusted&gt;0&lt;/Adjusted&gt;
&lt;/ThermalBridge&gt;
&lt;ThermalBridge&gt;
&lt;TypeSource xsi:nil="true"/&gt;
&lt;Length&gt;9.19&lt;/Length&gt;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&lt;Length&gt;4.78&lt;/Length&gt;
&lt;PsiValue&gt;0&lt;/PsiValue&gt;
&lt;K1Index&gt;ExposedFloorNormal&lt;/K1Index&gt;
&lt;Imported&gt;False&lt;/Imported&gt;
&lt;Adjusted&gt;0&lt;/Adjusted&gt;
&lt;/ThermalBridge&gt;
&lt;ThermalBridge&gt;
&lt;TypeSource xsi:nil="true"/&gt;
&lt;Length&gt;8.67&lt;/Length&gt;
&lt;PsiValue&gt;0&lt;/PsiValue&gt;
&lt;K1Index&gt;ExposedFloorInverted&lt;/K1Index&gt;
&lt;Imported&gt;False&lt;/Imported&gt;
&lt;Adjusted&gt;0&lt;/Adjusted&gt;
&lt;/ThermalBridge&gt;
&lt;ThermalBridge&gt;
&lt;TypeSource xsi:nil="true"/&gt;
&lt;Length&gt;33.98&lt;/Length&gt;
&lt;PsiValue&gt;0&lt;/PsiValue&gt;
&lt;K1Index&gt;PartyFloorWithPartyWall&lt;/K1Index&gt;
&lt;Imported&gt;False&lt;/Imported&gt;
&lt;Adjusted&gt;0&lt;/Adjusted&gt;
&lt;/ThermalBridge&gt;
&lt;ThermalBridge&gt;
&lt;TypeSource xsi:nil="true"/&gt;
&lt;Length&gt;5.85&lt;/Length&gt;
&lt;PsiValue&gt;0&lt;/PsiValue&gt;
&lt;K1Index&gt;ExposedFloorWithPartyWall&lt;/K1Index&gt;
&lt;Imported&gt;False&lt;/Imported&gt;
&lt;Adjusted&gt;0&lt;/Adjusted&gt;
&lt;/ThermalBridge&gt;
&lt;ThermalBridge&gt;
&lt;TypeSource xsi:nil="true"/&gt;
&lt;Length&gt;6.77&lt;/Length&gt;
&lt;PsiValue&gt;0&lt;/PsiValue&gt;
&lt;K1Index&gt;ExposedFloorInvertedWithPartyWall&lt;/K1Index&gt;
&lt;Imported&gt;False&lt;/Imported&gt;
&lt;Adjusted&gt;0&lt;/Adjusted&gt;
&lt;/ThermalBridge&gt;</v>
      </c>
      <c r="BG58" s="25" t="str" cm="1">
        <f t="array" ref="BG58">_xlfn.TEXTJOIN(CHAR(10)&amp;CHAR(10),TRUE,
IF(BG$6:BG$49&gt;0,
"&lt;ThermalBridge&gt;"&amp;CHAR(10)&amp;
"&lt;TypeSource xsi:nil=""true""/&gt;"&amp;CHAR(10)&amp;
"&lt;Length&gt;"&amp;TEXT(BG$6:BG$49,"0.00")&amp;"&lt;/Length&gt;"&amp;CHAR(10)&amp;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&lt;Length&gt;8.15&lt;/Length&gt;
&lt;PsiValue&gt;0&lt;/PsiValue&gt;
&lt;K1Index&gt;OtherLintels&lt;/K1Index&gt;
&lt;Imported&gt;False&lt;/Imported&gt;
&lt;Adjusted&gt;0&lt;/Adjusted&gt;
&lt;/ThermalBridge&gt;
&lt;ThermalBridge&gt;
&lt;TypeSource xsi:nil="true"/&gt;
&lt;Length&gt;6.00&lt;/Length&gt;
&lt;PsiValue&gt;0&lt;/PsiValue&gt;
&lt;K1Index&gt;Sill&lt;/K1Index&gt;
&lt;Imported&gt;False&lt;/Imported&gt;
&lt;Adjusted&gt;0&lt;/Adjusted&gt;
&lt;/ThermalBridge&gt;
&lt;ThermalBridge&gt;
&lt;TypeSource xsi:nil="true"/&gt;
&lt;Length&gt;19.46&lt;/Length&gt;
&lt;PsiValue&gt;0&lt;/PsiValue&gt;
&lt;K1Index&gt;Jamb&lt;/K1Index&gt;
&lt;Imported&gt;False&lt;/Imported&gt;
&lt;Adjusted&gt;0&lt;/Adjusted&gt;
&lt;/ThermalBridge&gt;
&lt;ThermalBridge&gt;
&lt;TypeSource xsi:nil="true"/&gt;
&lt;Length&gt;29.08&lt;/Length&gt;
&lt;PsiValue&gt;0&lt;/PsiValue&gt;
&lt;K1Index&gt;PartyFloor&lt;/K1Index&gt;
&lt;Imported&gt;False&lt;/Imported&gt;
&lt;Adjusted&gt;0&lt;/Adjusted&gt;
&lt;/ThermalBridge&gt;
&lt;ThermalBridge&gt;
&lt;TypeSource xsi:nil="true"/&gt;
&lt;Length&gt;8.54&lt;/Length&gt;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&lt;Length&gt;37.62&lt;/Length&gt;
&lt;PsiValue&gt;0&lt;/PsiValue&gt;
&lt;K1Index&gt;PartyFloorWithPartyWall&lt;/K1Index&gt;
&lt;Imported&gt;False&lt;/Imported&gt;
&lt;Adjusted&gt;0&lt;/Adjusted&gt;
&lt;/ThermalBridge&gt;</v>
      </c>
      <c r="BH58" s="25" t="str" cm="1">
        <f t="array" ref="BH58">_xlfn.TEXTJOIN(CHAR(10)&amp;CHAR(10),TRUE,
IF(BH$6:BH$49&gt;0,
"&lt;ThermalBridge&gt;"&amp;CHAR(10)&amp;
"&lt;TypeSource xsi:nil=""true""/&gt;"&amp;CHAR(10)&amp;
"&lt;Length&gt;"&amp;TEXT(BH$6:BH$49,"0.00")&amp;"&lt;/Length&gt;"&amp;CHAR(10)&amp;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&lt;Length&gt;24.39&lt;/Length&gt;
&lt;PsiValue&gt;0&lt;/PsiValue&gt;
&lt;K1Index&gt;PartyFloor&lt;/K1Index&gt;
&lt;Imported&gt;False&lt;/Imported&gt;
&lt;Adjusted&gt;0&lt;/Adjusted&gt;
&lt;/ThermalBridge&gt;
&lt;ThermalBridge&gt;
&lt;TypeSource xsi:nil="true"/&gt;
&lt;Length&gt;9.21&lt;/Length&gt;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&lt;Length&gt;33.60&lt;/Length&gt;
&lt;PsiValue&gt;0&lt;/PsiValue&gt;
&lt;K1Index&gt;PartyFloorWithPartyWall&lt;/K1Index&gt;
&lt;Imported&gt;False&lt;/Imported&gt;
&lt;Adjusted&gt;0&lt;/Adjusted&gt;
&lt;/ThermalBridge&gt;</v>
      </c>
      <c r="BI58" s="25" t="str" cm="1">
        <f t="array" ref="BI58">_xlfn.TEXTJOIN(CHAR(10)&amp;CHAR(10),TRUE,
IF(BI$6:BI$49&gt;0,
"&lt;ThermalBridge&gt;"&amp;CHAR(10)&amp;
"&lt;TypeSource xsi:nil=""true""/&gt;"&amp;CHAR(10)&amp;
"&lt;Length&gt;"&amp;TEXT(BI$6:BI$49,"0.00")&amp;"&lt;/Length&gt;"&amp;CHAR(10)&amp;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&lt;Length&gt;8.55&lt;/Length&gt;
&lt;PsiValue&gt;0&lt;/PsiValue&gt;
&lt;K1Index&gt;PartyFloor&lt;/K1Index&gt;
&lt;Imported&gt;False&lt;/Imported&gt;
&lt;Adjusted&gt;0&lt;/Adjusted&gt;
&lt;/ThermalBridge&gt;
&lt;ThermalBridge&gt;
&lt;TypeSource xsi:nil="true"/&gt;
&lt;Length&gt;6.69&lt;/Length&gt;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&lt;Length&gt;41.64&lt;/Length&gt;
&lt;PsiValue&gt;0&lt;/PsiValue&gt;
&lt;K1Index&gt;PartyFloorWithPartyWall&lt;/K1Index&gt;
&lt;Imported&gt;False&lt;/Imported&gt;
&lt;Adjusted&gt;0&lt;/Adjusted&gt;
&lt;/ThermalBridge&gt;</v>
      </c>
      <c r="BJ58" s="25" t="str" cm="1">
        <f t="array" ref="BJ58">_xlfn.TEXTJOIN(CHAR(10)&amp;CHAR(10),TRUE,
IF(BJ$6:BJ$49&gt;0,
"&lt;ThermalBridge&gt;"&amp;CHAR(10)&amp;
"&lt;TypeSource xsi:nil=""true""/&gt;"&amp;CHAR(10)&amp;
"&lt;Length&gt;"&amp;TEXT(BJ$6:BJ$49,"0.00")&amp;"&lt;/Length&gt;"&amp;CHAR(10)&amp;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&lt;Length&gt;9.30&lt;/Length&gt;
&lt;PsiValue&gt;0&lt;/PsiValue&gt;
&lt;K1Index&gt;PartyFloor&lt;/K1Index&gt;
&lt;Imported&gt;False&lt;/Imported&gt;
&lt;Adjusted&gt;0&lt;/Adjusted&gt;
&lt;/ThermalBridge&gt;
&lt;ThermalBridge&gt;
&lt;TypeSource xsi:nil="true"/&gt;
&lt;Length&gt;5.95&lt;/Length&gt;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&lt;Length&gt;41.64&lt;/Length&gt;
&lt;PsiValue&gt;0&lt;/PsiValue&gt;
&lt;K1Index&gt;PartyFloorWithPartyWall&lt;/K1Index&gt;
&lt;Imported&gt;False&lt;/Imported&gt;
&lt;Adjusted&gt;0&lt;/Adjusted&gt;
&lt;/ThermalBridge&gt;</v>
      </c>
      <c r="BK58" s="25" t="str" cm="1">
        <f t="array" ref="BK58">_xlfn.TEXTJOIN(CHAR(10)&amp;CHAR(10),TRUE,
IF(BK$6:BK$49&gt;0,
"&lt;ThermalBridge&gt;"&amp;CHAR(10)&amp;
"&lt;TypeSource xsi:nil=""true""/&gt;"&amp;CHAR(10)&amp;
"&lt;Length&gt;"&amp;TEXT(BK$6:BK$49,"0.00")&amp;"&lt;/Length&gt;"&amp;CHAR(10)&amp;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&lt;Length&gt;7.92&lt;/Length&gt;
&lt;PsiValue&gt;0&lt;/PsiValue&gt;
&lt;K1Index&gt;OtherLintels&lt;/K1Index&gt;
&lt;Imported&gt;False&lt;/Imported&gt;
&lt;Adjusted&gt;0&lt;/Adjusted&gt;
&lt;/ThermalBridge&gt;
&lt;ThermalBridge&gt;
&lt;TypeSource xsi:nil="true"/&gt;
&lt;Length&gt;5.77&lt;/Length&gt;
&lt;PsiValue&gt;0&lt;/PsiValue&gt;
&lt;K1Index&gt;Sill&lt;/K1Index&gt;
&lt;Imported&gt;False&lt;/Imported&gt;
&lt;Adjusted&gt;0&lt;/Adjusted&gt;
&lt;/ThermalBridge&gt;
&lt;ThermalBridge&gt;
&lt;TypeSource xsi:nil="true"/&gt;
&lt;Length&gt;19.26&lt;/Length&gt;
&lt;PsiValue&gt;0&lt;/PsiValue&gt;
&lt;K1Index&gt;Jamb&lt;/K1Index&gt;
&lt;Imported&gt;False&lt;/Imported&gt;
&lt;Adjusted&gt;0&lt;/Adjusted&gt;
&lt;/ThermalBridge&gt;
&lt;ThermalBridge&gt;
&lt;TypeSource xsi:nil="true"/&gt;
&lt;Length&gt;25.22&lt;/Length&gt;
&lt;PsiValue&gt;0&lt;/PsiValue&gt;
&lt;K1Index&gt;PartyFloor&lt;/K1Index&gt;
&lt;Imported&gt;False&lt;/Imported&gt;
&lt;Adjusted&gt;0&lt;/Adjusted&gt;
&lt;/ThermalBridge&gt;
&lt;ThermalBridge&gt;
&lt;TypeSource xsi:nil="true"/&gt;
&lt;Length&gt;8.34&lt;/Length&gt;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&lt;Length&gt;33.58&lt;/Length&gt;
&lt;PsiValue&gt;0&lt;/PsiValue&gt;
&lt;K1Index&gt;PartyFloorWithPartyWall&lt;/K1Index&gt;
&lt;Imported&gt;False&lt;/Imported&gt;
&lt;Adjusted&gt;0&lt;/Adjusted&gt;
&lt;/ThermalBridge&gt;</v>
      </c>
      <c r="BL58" s="25" t="str" cm="1">
        <f t="array" ref="BL58">_xlfn.TEXTJOIN(CHAR(10)&amp;CHAR(10),TRUE,
IF(BL$6:BL$49&gt;0,
"&lt;ThermalBridge&gt;"&amp;CHAR(10)&amp;
"&lt;TypeSource xsi:nil=""true""/&gt;"&amp;CHAR(10)&amp;
"&lt;Length&gt;"&amp;TEXT(BL$6:BL$49,"0.00")&amp;"&lt;/Length&gt;"&amp;CHAR(10)&amp;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&lt;Length&gt;7.69&lt;/Length&gt;
&lt;PsiValue&gt;0&lt;/PsiValue&gt;
&lt;K1Index&gt;OtherLintels&lt;/K1Index&gt;
&lt;Imported&gt;False&lt;/Imported&gt;
&lt;Adjusted&gt;0&lt;/Adjusted&gt;
&lt;/ThermalBridge&gt;
&lt;ThermalBridge&gt;
&lt;TypeSource xsi:nil="true"/&gt;
&lt;Length&gt;5.54&lt;/Length&gt;
&lt;PsiValue&gt;0&lt;/PsiValue&gt;
&lt;K1Index&gt;Sill&lt;/K1Index&gt;
&lt;Imported&gt;False&lt;/Imported&gt;
&lt;Adjusted&gt;0&lt;/Adjusted&gt;
&lt;/ThermalBridge&gt;
&lt;ThermalBridge&gt;
&lt;TypeSource xsi:nil="true"/&gt;
&lt;Length&gt;19.06&lt;/Length&gt;
&lt;PsiValue&gt;0&lt;/PsiValue&gt;
&lt;K1Index&gt;Jamb&lt;/K1Index&gt;
&lt;Imported&gt;False&lt;/Imported&gt;
&lt;Adjusted&gt;0&lt;/Adjusted&gt;
&lt;/ThermalBridge&gt;
&lt;ThermalBridge&gt;
&lt;TypeSource xsi:nil="true"/&gt;
&lt;Length&gt;23.09&lt;/Length&gt;
&lt;PsiValue&gt;0&lt;/PsiValue&gt;
&lt;K1Index&gt;PartyFloor&lt;/K1Index&gt;
&lt;Imported&gt;False&lt;/Imported&gt;
&lt;Adjusted&gt;0&lt;/Adjusted&gt;
&lt;/ThermalBridge&gt;
&lt;ThermalBridge&gt;
&lt;TypeSource xsi:nil="true"/&gt;
&lt;Length&gt;9.98&lt;/Length&gt;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&lt;Length&gt;33.06&lt;/Length&gt;
&lt;PsiValue&gt;0&lt;/PsiValue&gt;
&lt;K1Index&gt;PartyFloorWithPartyWall&lt;/K1Index&gt;
&lt;Imported&gt;False&lt;/Imported&gt;
&lt;Adjusted&gt;0&lt;/Adjusted&gt;
&lt;/ThermalBridge&gt;</v>
      </c>
      <c r="BM58" s="25" t="str" cm="1">
        <f t="array" ref="BM58">_xlfn.TEXTJOIN(CHAR(10)&amp;CHAR(10),TRUE,
IF(BM$6:BM$49&gt;0,
"&lt;ThermalBridge&gt;"&amp;CHAR(10)&amp;
"&lt;TypeSource xsi:nil=""true""/&gt;"&amp;CHAR(10)&amp;
"&lt;Length&gt;"&amp;TEXT(BM$6:BM$49,"0.00")&amp;"&lt;/Length&gt;"&amp;CHAR(10)&amp;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&lt;Length&gt;28.44&lt;/Length&gt;
&lt;PsiValue&gt;0&lt;/PsiValue&gt;
&lt;K1Index&gt;PartyFloor&lt;/K1Index&gt;
&lt;Imported&gt;False&lt;/Imported&gt;
&lt;Adjusted&gt;0&lt;/Adjusted&gt;
&lt;/ThermalBridge&gt;
&lt;ThermalBridge&gt;
&lt;TypeSource xsi:nil="true"/&gt;
&lt;Length&gt;10.48&lt;/Length&gt;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&lt;Length&gt;38.92&lt;/Length&gt;
&lt;PsiValue&gt;0&lt;/PsiValue&gt;
&lt;K1Index&gt;PartyFloorWithPartyWall&lt;/K1Index&gt;
&lt;Imported&gt;False&lt;/Imported&gt;
&lt;Adjusted&gt;0&lt;/Adjusted&gt;
&lt;/ThermalBridge&gt;</v>
      </c>
      <c r="BN58" s="25" t="str" cm="1">
        <f t="array" ref="BN58">_xlfn.TEXTJOIN(CHAR(10)&amp;CHAR(10),TRUE,
IF(BN$6:BN$49&gt;0,
"&lt;ThermalBridge&gt;"&amp;CHAR(10)&amp;
"&lt;TypeSource xsi:nil=""true""/&gt;"&amp;CHAR(10)&amp;
"&lt;Length&gt;"&amp;TEXT(BN$6:BN$49,"0.00")&amp;"&lt;/Length&gt;"&amp;CHAR(10)&amp;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&lt;Length&gt;28.44&lt;/Length&gt;
&lt;PsiValue&gt;0&lt;/PsiValue&gt;
&lt;K1Index&gt;PartyFloor&lt;/K1Index&gt;
&lt;Imported&gt;False&lt;/Imported&gt;
&lt;Adjusted&gt;0&lt;/Adjusted&gt;
&lt;/ThermalBridge&gt;
&lt;ThermalBridge&gt;
&lt;TypeSource xsi:nil="true"/&gt;
&lt;Length&gt;10.48&lt;/Length&gt;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&lt;Length&gt;38.92&lt;/Length&gt;
&lt;PsiValue&gt;0&lt;/PsiValue&gt;
&lt;K1Index&gt;PartyFloorWithPartyWall&lt;/K1Index&gt;
&lt;Imported&gt;False&lt;/Imported&gt;
&lt;Adjusted&gt;0&lt;/Adjusted&gt;
&lt;/ThermalBridge&gt;</v>
      </c>
      <c r="BO58" s="25" t="str" cm="1">
        <f t="array" ref="BO58">_xlfn.TEXTJOIN(CHAR(10)&amp;CHAR(10),TRUE,
IF(BO$6:BO$49&gt;0,
"&lt;ThermalBridge&gt;"&amp;CHAR(10)&amp;
"&lt;TypeSource xsi:nil=""true""/&gt;"&amp;CHAR(10)&amp;
"&lt;Length&gt;"&amp;TEXT(BO$6:BO$49,"0.00")&amp;"&lt;/Length&gt;"&amp;CHAR(10)&amp;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&lt;Length&gt;13.77&lt;/Length&gt;
&lt;PsiValue&gt;0&lt;/PsiValue&gt;
&lt;K1Index&gt;PartyFloor&lt;/K1Index&gt;
&lt;Imported&gt;False&lt;/Imported&gt;
&lt;Adjusted&gt;0&lt;/Adjusted&gt;
&lt;/ThermalBridge&gt;
&lt;ThermalBridge&gt;
&lt;TypeSource xsi:nil="true"/&gt;
&lt;Length&gt;5.69&lt;/Length&gt;
&lt;PsiValue&gt;0&lt;/PsiValue&gt;
&lt;K1Index&gt;BalconyBetweenDwellings&lt;/K1Index&gt;
&lt;Imported&gt;False&lt;/Imported&gt;
&lt;Adjusted&gt;0&lt;/Adjusted&gt;
&lt;/ThermalBridge&gt;
&lt;ThermalBridge&gt;
&lt;TypeSource xsi:nil="true"/&gt;
&lt;Length&gt;19.46&lt;/Length&gt;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&lt;Length&gt;19.46&lt;/Length&gt;
&lt;PsiValue&gt;0&lt;/PsiValue&gt;
&lt;K1Index&gt;PartyFloorWithPartyWall&lt;/K1Index&gt;
&lt;Imported&gt;False&lt;/Imported&gt;
&lt;Adjusted&gt;0&lt;/Adjusted&gt;
&lt;/ThermalBridge&gt;
&lt;ThermalBridge&gt;
&lt;TypeSource xsi:nil="true"/&gt;
&lt;Length&gt;19.46&lt;/Length&gt;
&lt;PsiValue&gt;0&lt;/PsiValue&gt;
&lt;K1Index&gt;RoofAtCeilingWithPartyWall&lt;/K1Index&gt;
&lt;Imported&gt;False&lt;/Imported&gt;
&lt;Adjusted&gt;0&lt;/Adjusted&gt;
&lt;/ThermalBridge&gt;</v>
      </c>
      <c r="BP58" s="25" t="str" cm="1">
        <f t="array" ref="BP58">_xlfn.TEXTJOIN(CHAR(10)&amp;CHAR(10),TRUE,
IF(BP$6:BP$49&gt;0,
"&lt;ThermalBridge&gt;"&amp;CHAR(10)&amp;
"&lt;TypeSource xsi:nil=""true""/&gt;"&amp;CHAR(10)&amp;
"&lt;Length&gt;"&amp;TEXT(BP$6:BP$49,"0.00")&amp;"&lt;/Length&gt;"&amp;CHAR(10)&amp;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&lt;Length&gt;7.80&lt;/Length&gt;
&lt;PsiValue&gt;0&lt;/PsiValue&gt;
&lt;K1Index&gt;OtherLintels&lt;/K1Index&gt;
&lt;Imported&gt;False&lt;/Imported&gt;
&lt;Adjusted&gt;0&lt;/Adjusted&gt;
&lt;/ThermalBridge&gt;
&lt;ThermalBridge&gt;
&lt;TypeSource xsi:nil="true"/&gt;
&lt;Length&gt;5.88&lt;/Length&gt;
&lt;PsiValue&gt;0&lt;/PsiValue&gt;
&lt;K1Index&gt;Sill&lt;/K1Index&gt;
&lt;Imported&gt;False&lt;/Imported&gt;
&lt;Adjusted&gt;0&lt;/Adjusted&gt;
&lt;/ThermalBridge&gt;
&lt;ThermalBridge&gt;
&lt;TypeSource xsi:nil="true"/&gt;
&lt;Length&gt;18.86&lt;/Length&gt;
&lt;PsiValue&gt;0&lt;/PsiValue&gt;
&lt;K1Index&gt;Jamb&lt;/K1Index&gt;
&lt;Imported&gt;False&lt;/Imported&gt;
&lt;Adjusted&gt;0&lt;/Adjusted&gt;
&lt;/ThermalBridge&gt;
&lt;ThermalBridge&gt;
&lt;TypeSource xsi:nil="true"/&gt;
&lt;Length&gt;13.77&lt;/Length&gt;
&lt;PsiValue&gt;0&lt;/PsiValue&gt;
&lt;K1Index&gt;PartyFloor&lt;/K1Index&gt;
&lt;Imported&gt;False&lt;/Imported&gt;
&lt;Adjusted&gt;0&lt;/Adjusted&gt;
&lt;/ThermalBridge&gt;
&lt;ThermalBridge&gt;
&lt;TypeSource xsi:nil="true"/&gt;
&lt;Length&gt;5.69&lt;/Length&gt;
&lt;PsiValue&gt;0&lt;/PsiValue&gt;
&lt;K1Index&gt;BalconyBetweenDwellings&lt;/K1Index&gt;
&lt;Imported&gt;False&lt;/Imported&gt;
&lt;Adjusted&gt;0&lt;/Adjusted&gt;
&lt;/ThermalBridge&gt;
&lt;ThermalBridge&gt;
&lt;TypeSource xsi:nil="true"/&gt;
&lt;Length&gt;19.46&lt;/Length&gt;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&lt;Length&gt;19.46&lt;/Length&gt;
&lt;PsiValue&gt;0&lt;/PsiValue&gt;
&lt;K1Index&gt;PartyFloorWithPartyWall&lt;/K1Index&gt;
&lt;Imported&gt;False&lt;/Imported&gt;
&lt;Adjusted&gt;0&lt;/Adjusted&gt;
&lt;/ThermalBridge&gt;
&lt;ThermalBridge&gt;
&lt;TypeSource xsi:nil="true"/&gt;
&lt;Length&gt;19.46&lt;/Length&gt;
&lt;PsiValue&gt;0&lt;/PsiValue&gt;
&lt;K1Index&gt;RoofAtCeilingWithPartyWall&lt;/K1Index&gt;
&lt;Imported&gt;False&lt;/Imported&gt;
&lt;Adjusted&gt;0&lt;/Adjusted&gt;
&lt;/ThermalBridge&gt;</v>
      </c>
      <c r="BQ58" s="25" t="str" cm="1">
        <f t="array" ref="BQ58">_xlfn.TEXTJOIN(CHAR(10)&amp;CHAR(10),TRUE,
IF(BQ$6:BQ$49&gt;0,
"&lt;ThermalBridge&gt;"&amp;CHAR(10)&amp;
"&lt;TypeSource xsi:nil=""true""/&gt;"&amp;CHAR(10)&amp;
"&lt;Length&gt;"&amp;TEXT(BQ$6:BQ$49,"0.00")&amp;"&lt;/Length&gt;"&amp;CHAR(10)&amp;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&lt;Length&gt;9.62&lt;/Length&gt;
&lt;PsiValue&gt;0&lt;/PsiValue&gt;
&lt;K1Index&gt;OtherLintels&lt;/K1Index&gt;
&lt;Imported&gt;False&lt;/Imported&gt;
&lt;Adjusted&gt;0&lt;/Adjusted&gt;
&lt;/ThermalBridge&gt;
&lt;ThermalBridge&gt;
&lt;TypeSource xsi:nil="true"/&gt;
&lt;Length&gt;7.47&lt;/Length&gt;
&lt;PsiValue&gt;0&lt;/PsiValue&gt;
&lt;K1Index&gt;Sill&lt;/K1Index&gt;
&lt;Imported&gt;False&lt;/Imported&gt;
&lt;Adjusted&gt;0&lt;/Adjusted&gt;
&lt;/ThermalBridge&gt;
&lt;ThermalBridge&gt;
&lt;TypeSource xsi:nil="true"/&gt;
&lt;Length&gt;22.98&lt;/Length&gt;
&lt;PsiValue&gt;0&lt;/PsiValue&gt;
&lt;K1Index&gt;Jamb&lt;/K1Index&gt;
&lt;Imported&gt;False&lt;/Imported&gt;
&lt;Adjusted&gt;0&lt;/Adjusted&gt;
&lt;/ThermalBridge&gt;
&lt;ThermalBridge&gt;
&lt;TypeSource xsi:nil="true"/&gt;
&lt;Length&gt;14.54&lt;/Length&gt;
&lt;PsiValue&gt;0&lt;/PsiValue&gt;
&lt;K1Index&gt;PartyFloor&lt;/K1Index&gt;
&lt;Imported&gt;False&lt;/Imported&gt;
&lt;Adjusted&gt;0&lt;/Adjusted&gt;
&lt;/ThermalBridge&gt;
&lt;ThermalBridge&gt;
&lt;TypeSource xsi:nil="true"/&gt;
&lt;Length&gt;4.27&lt;/Length&gt;
&lt;PsiValue&gt;0&lt;/PsiValue&gt;
&lt;K1Index&gt;BalconyBetweenDwellings&lt;/K1Index&gt;
&lt;Imported&gt;False&lt;/Imported&gt;
&lt;Adjusted&gt;0&lt;/Adjusted&gt;
&lt;/ThermalBridge&gt;
&lt;ThermalBridge&gt;
&lt;TypeSource xsi:nil="true"/&gt;
&lt;Length&gt;18.81&lt;/Length&gt;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&lt;Length&gt;18.81&lt;/Length&gt;
&lt;PsiValue&gt;0&lt;/PsiValue&gt;
&lt;K1Index&gt;PartyFloorWithPartyWall&lt;/K1Index&gt;
&lt;Imported&gt;False&lt;/Imported&gt;
&lt;Adjusted&gt;0&lt;/Adjusted&gt;
&lt;/ThermalBridge&gt;
&lt;ThermalBridge&gt;
&lt;TypeSource xsi:nil="true"/&gt;
&lt;Length&gt;18.81&lt;/Length&gt;
&lt;PsiValue&gt;0&lt;/PsiValue&gt;
&lt;K1Index&gt;RoofAtCeilingWithPartyWall&lt;/K1Index&gt;
&lt;Imported&gt;False&lt;/Imported&gt;
&lt;Adjusted&gt;0&lt;/Adjusted&gt;
&lt;/ThermalBridge&gt;</v>
      </c>
      <c r="BR58" s="25" t="str" cm="1">
        <f t="array" ref="BR58">_xlfn.TEXTJOIN(CHAR(10)&amp;CHAR(10),TRUE,
IF(BR$6:BR$49&gt;0,
"&lt;ThermalBridge&gt;"&amp;CHAR(10)&amp;
"&lt;TypeSource xsi:nil=""true""/&gt;"&amp;CHAR(10)&amp;
"&lt;Length&gt;"&amp;TEXT(BR$6:BR$49,"0.00")&amp;"&lt;/Length&gt;"&amp;CHAR(10)&amp;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&lt;Length&gt;8.38&lt;/Length&gt;
&lt;PsiValue&gt;0&lt;/PsiValue&gt;
&lt;K1Index&gt;OtherLintels&lt;/K1Index&gt;
&lt;Imported&gt;False&lt;/Imported&gt;
&lt;Adjusted&gt;0&lt;/Adjusted&gt;
&lt;/ThermalBridge&gt;
&lt;ThermalBridge&gt;
&lt;TypeSource xsi:nil="true"/&gt;
&lt;Length&gt;6.23&lt;/Length&gt;
&lt;PsiValue&gt;0&lt;/PsiValue&gt;
&lt;K1Index&gt;Sill&lt;/K1Index&gt;
&lt;Imported&gt;False&lt;/Imported&gt;
&lt;Adjusted&gt;0&lt;/Adjusted&gt;
&lt;/ThermalBridge&gt;
&lt;ThermalBridge&gt;
&lt;TypeSource xsi:nil="true"/&gt;
&lt;Length&gt;19.66&lt;/Length&gt;
&lt;PsiValue&gt;0&lt;/PsiValue&gt;
&lt;K1Index&gt;Jamb&lt;/K1Index&gt;
&lt;Imported&gt;False&lt;/Imported&gt;
&lt;Adjusted&gt;0&lt;/Adjusted&gt;
&lt;/ThermalBridge&gt;
&lt;ThermalBridge&gt;
&lt;TypeSource xsi:nil="true"/&gt;
&lt;Length&gt;11.81&lt;/Length&gt;
&lt;PsiValue&gt;0&lt;/PsiValue&gt;
&lt;K1Index&gt;PartyFloor&lt;/K1Index&gt;
&lt;Imported&gt;False&lt;/Imported&gt;
&lt;Adjusted&gt;0&lt;/Adjusted&gt;
&lt;/ThermalBridge&gt;
&lt;ThermalBridge&gt;
&lt;TypeSource xsi:nil="true"/&gt;
&lt;Length&gt;4.99&lt;/Length&gt;
&lt;PsiValue&gt;0&lt;/PsiValue&gt;
&lt;K1Index&gt;BalconyBetweenDwellings&lt;/K1Index&gt;
&lt;Imported&gt;False&lt;/Imported&gt;
&lt;Adjusted&gt;0&lt;/Adjusted&gt;
&lt;/ThermalBridge&gt;
&lt;ThermalBridge&gt;
&lt;TypeSource xsi:nil="true"/&gt;
&lt;Length&gt;16.80&lt;/Length&gt;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&lt;Length&gt;16.80&lt;/Length&gt;
&lt;PsiValue&gt;0&lt;/PsiValue&gt;
&lt;K1Index&gt;PartyFloorWithPartyWall&lt;/K1Index&gt;
&lt;Imported&gt;False&lt;/Imported&gt;
&lt;Adjusted&gt;0&lt;/Adjusted&gt;
&lt;/ThermalBridge&gt;
&lt;ThermalBridge&gt;
&lt;TypeSource xsi:nil="true"/&gt;
&lt;Length&gt;16.80&lt;/Length&gt;
&lt;PsiValue&gt;0&lt;/PsiValue&gt;
&lt;K1Index&gt;RoofAtCeilingWithPartyWall&lt;/K1Index&gt;
&lt;Imported&gt;False&lt;/Imported&gt;
&lt;Adjusted&gt;0&lt;/Adjusted&gt;
&lt;/ThermalBridge&gt;</v>
      </c>
      <c r="BS58" s="25" t="str" cm="1">
        <f t="array" ref="BS58">_xlfn.TEXTJOIN(CHAR(10)&amp;CHAR(10),TRUE,
IF(BS$6:BS$49&gt;0,
"&lt;ThermalBridge&gt;"&amp;CHAR(10)&amp;
"&lt;TypeSource xsi:nil=""true""/&gt;"&amp;CHAR(10)&amp;
"&lt;Length&gt;"&amp;TEXT(BS$6:BS$49,"0.00")&amp;"&lt;/Length&gt;"&amp;CHAR(10)&amp;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&lt;Length&gt;3.90&lt;/Length&gt;
&lt;PsiValue&gt;0&lt;/PsiValue&gt;
&lt;K1Index&gt;PartyFloor&lt;/K1Index&gt;
&lt;Imported&gt;False&lt;/Imported&gt;
&lt;Adjusted&gt;0&lt;/Adjusted&gt;
&lt;/ThermalBridge&gt;
&lt;ThermalBridge&gt;
&lt;TypeSource xsi:nil="true"/&gt;
&lt;Length&gt;3.72&lt;/Length&gt;
&lt;PsiValue&gt;0&lt;/PsiValue&gt;
&lt;K1Index&gt;BalconyBetweenDwellings&lt;/K1Index&gt;
&lt;Imported&gt;False&lt;/Imported&gt;
&lt;Adjusted&gt;0&lt;/Adjusted&gt;
&lt;/ThermalBridge&gt;
&lt;ThermalBridge&gt;
&lt;TypeSource xsi:nil="true"/&gt;
&lt;Length&gt;7.62&lt;/Length&gt;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&lt;K1Index&gt;RoofAtCeilingWithPartyWall&lt;/K1Index&gt;
&lt;Imported&gt;False&lt;/Imported&gt;
&lt;Adjusted&gt;0&lt;/Adjusted&gt;
&lt;/ThermalBridge&gt;</v>
      </c>
      <c r="BT58" s="25" t="str" cm="1">
        <f t="array" ref="BT58">_xlfn.TEXTJOIN(CHAR(10)&amp;CHAR(10),TRUE,
IF(BT$6:BT$49&gt;0,
"&lt;ThermalBridge&gt;"&amp;CHAR(10)&amp;
"&lt;TypeSource xsi:nil=""true""/&gt;"&amp;CHAR(10)&amp;
"&lt;Length&gt;"&amp;TEXT(BT$6:BT$49,"0.00")&amp;"&lt;/Length&gt;"&amp;CHAR(10)&amp;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&lt;Length&gt;3.85&lt;/Length&gt;
&lt;PsiValue&gt;0&lt;/PsiValue&gt;
&lt;K1Index&gt;OtherLintels&lt;/K1Index&gt;
&lt;Imported&gt;False&lt;/Imported&gt;
&lt;Adjusted&gt;0&lt;/Adjusted&gt;
&lt;/ThermalBridge&gt;
&lt;ThermalBridge&gt;
&lt;TypeSource xsi:nil="true"/&gt;
&lt;Length&gt;1.70&lt;/Length&gt;
&lt;PsiValue&gt;0&lt;/PsiValue&gt;
&lt;K1Index&gt;Sill&lt;/K1Index&gt;
&lt;Imported&gt;False&lt;/Imported&gt;
&lt;Adjusted&gt;0&lt;/Adjusted&gt;
&lt;/ThermalBridge&gt;
&lt;ThermalBridge&gt;
&lt;TypeSource xsi:nil="true"/&gt;
&lt;Length&gt;8.50&lt;/Length&gt;
&lt;PsiValue&gt;0&lt;/PsiValue&gt;
&lt;K1Index&gt;Jamb&lt;/K1Index&gt;
&lt;Imported&gt;False&lt;/Imported&gt;
&lt;Adjusted&gt;0&lt;/Adjusted&gt;
&lt;/ThermalBridge&gt;
&lt;ThermalBridge&gt;
&lt;TypeSource xsi:nil="true"/&gt;
&lt;Length&gt;4.65&lt;/Length&gt;
&lt;PsiValue&gt;0&lt;/PsiValue&gt;
&lt;K1Index&gt;PartyFloor&lt;/K1Index&gt;
&lt;Imported&gt;False&lt;/Imported&gt;
&lt;Adjusted&gt;0&lt;/Adjusted&gt;
&lt;/ThermalBridge&gt;
&lt;ThermalBridge&gt;
&lt;TypeSource xsi:nil="true"/&gt;
&lt;Length&gt;2.98&lt;/Length&gt;
&lt;PsiValue&gt;0&lt;/PsiValue&gt;
&lt;K1Index&gt;BalconyBetweenDwellings&lt;/K1Index&gt;
&lt;Imported&gt;False&lt;/Imported&gt;
&lt;Adjusted&gt;0&lt;/Adjusted&gt;
&lt;/ThermalBridge&gt;
&lt;ThermalBridge&gt;
&lt;TypeSource xsi:nil="true"/&gt;
&lt;Length&gt;7.62&lt;/Length&gt;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&lt;Length&gt;20.82&lt;/Length&gt;
&lt;PsiValue&gt;0&lt;/PsiValue&gt;
&lt;K1Index&gt;PartyFloorWithPartyWall&lt;/K1Index&gt;
&lt;Imported&gt;False&lt;/Imported&gt;
&lt;Adjusted&gt;0&lt;/Adjusted&gt;
&lt;/ThermalBridge&gt;
&lt;ThermalBridge&gt;
&lt;TypeSource xsi:nil="true"/&gt;
&lt;Length&gt;20.82&lt;/Length&gt;
&lt;PsiValue&gt;0&lt;/PsiValue&gt;
&lt;K1Index&gt;RoofAtCeilingWithPartyWall&lt;/K1Index&gt;
&lt;Imported&gt;False&lt;/Imported&gt;
&lt;Adjusted&gt;0&lt;/Adjusted&gt;
&lt;/ThermalBridge&gt;</v>
      </c>
      <c r="BU58" s="25" t="str" cm="1">
        <f t="array" ref="BU58">_xlfn.TEXTJOIN(CHAR(10)&amp;CHAR(10),TRUE,
IF(BU$6:BU$49&gt;0,
"&lt;ThermalBridge&gt;"&amp;CHAR(10)&amp;
"&lt;TypeSource xsi:nil=""true""/&gt;"&amp;CHAR(10)&amp;
"&lt;Length&gt;"&amp;TEXT(BU$6:BU$49,"0.00")&amp;"&lt;/Length&gt;"&amp;CHAR(10)&amp;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&lt;Length&gt;7.92&lt;/Length&gt;
&lt;PsiValue&gt;0&lt;/PsiValue&gt;
&lt;K1Index&gt;OtherLintels&lt;/K1Index&gt;
&lt;Imported&gt;False&lt;/Imported&gt;
&lt;Adjusted&gt;0&lt;/Adjusted&gt;
&lt;/ThermalBridge&gt;
&lt;ThermalBridge&gt;
&lt;TypeSource xsi:nil="true"/&gt;
&lt;Length&gt;5.77&lt;/Length&gt;
&lt;PsiValue&gt;0&lt;/PsiValue&gt;
&lt;K1Index&gt;Sill&lt;/K1Index&gt;
&lt;Imported&gt;False&lt;/Imported&gt;
&lt;Adjusted&gt;0&lt;/Adjusted&gt;
&lt;/ThermalBridge&gt;
&lt;ThermalBridge&gt;
&lt;TypeSource xsi:nil="true"/&gt;
&lt;Length&gt;19.26&lt;/Length&gt;
&lt;PsiValue&gt;0&lt;/PsiValue&gt;
&lt;K1Index&gt;Jamb&lt;/K1Index&gt;
&lt;Imported&gt;False&lt;/Imported&gt;
&lt;Adjusted&gt;0&lt;/Adjusted&gt;
&lt;/ThermalBridge&gt;
&lt;ThermalBridge&gt;
&lt;TypeSource xsi:nil="true"/&gt;
&lt;Length&gt;12.59&lt;/Length&gt;
&lt;PsiValue&gt;0&lt;/PsiValue&gt;
&lt;K1Index&gt;PartyFloor&lt;/K1Index&gt;
&lt;Imported&gt;False&lt;/Imported&gt;
&lt;Adjusted&gt;0&lt;/Adjusted&gt;
&lt;/ThermalBridge&gt;
&lt;ThermalBridge&gt;
&lt;TypeSource xsi:nil="true"/&gt;
&lt;Length&gt;4.20&lt;/Length&gt;
&lt;PsiValue&gt;0&lt;/PsiValue&gt;
&lt;K1Index&gt;BalconyBetweenDwellings&lt;/K1Index&gt;
&lt;Imported&gt;False&lt;/Imported&gt;
&lt;Adjusted&gt;0&lt;/Adjusted&gt;
&lt;/ThermalBridge&gt;
&lt;ThermalBridge&gt;
&lt;TypeSource xsi:nil="true"/&gt;
&lt;Length&gt;16.79&lt;/Length&gt;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&lt;Length&gt;16.79&lt;/Length&gt;
&lt;PsiValue&gt;0&lt;/PsiValue&gt;
&lt;K1Index&gt;PartyFloorWithPartyWall&lt;/K1Index&gt;
&lt;Imported&gt;False&lt;/Imported&gt;
&lt;Adjusted&gt;0&lt;/Adjusted&gt;
&lt;/ThermalBridge&gt;
&lt;ThermalBridge&gt;
&lt;TypeSource xsi:nil="true"/&gt;
&lt;Length&gt;16.79&lt;/Length&gt;
&lt;PsiValue&gt;0&lt;/PsiValue&gt;
&lt;K1Index&gt;RoofAtCeilingWithPartyWall&lt;/K1Index&gt;
&lt;Imported&gt;False&lt;/Imported&gt;
&lt;Adjusted&gt;0&lt;/Adjusted&gt;
&lt;/ThermalBridge&gt;</v>
      </c>
      <c r="BV58" s="25" t="str" cm="1">
        <f t="array" ref="BV58">_xlfn.TEXTJOIN(CHAR(10)&amp;CHAR(10),TRUE,
IF(BV$6:BV$49&gt;0,
"&lt;ThermalBridge&gt;"&amp;CHAR(10)&amp;
"&lt;TypeSource xsi:nil=""true""/&gt;"&amp;CHAR(10)&amp;
"&lt;Length&gt;"&amp;TEXT(BV$6:BV$49,"0.00")&amp;"&lt;/Length&gt;"&amp;CHAR(10)&amp;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&lt;Length&gt;7.69&lt;/Length&gt;
&lt;PsiValue&gt;0&lt;/PsiValue&gt;
&lt;K1Index&gt;OtherLintels&lt;/K1Index&gt;
&lt;Imported&gt;False&lt;/Imported&gt;
&lt;Adjusted&gt;0&lt;/Adjusted&gt;
&lt;/ThermalBridge&gt;
&lt;ThermalBridge&gt;
&lt;TypeSource xsi:nil="true"/&gt;
&lt;Length&gt;5.54&lt;/Length&gt;
&lt;PsiValue&gt;0&lt;/PsiValue&gt;
&lt;K1Index&gt;Sill&lt;/K1Index&gt;
&lt;Imported&gt;False&lt;/Imported&gt;
&lt;Adjusted&gt;0&lt;/Adjusted&gt;
&lt;/ThermalBridge&gt;
&lt;ThermalBridge&gt;
&lt;TypeSource xsi:nil="true"/&gt;
&lt;Length&gt;19.06&lt;/Length&gt;
&lt;PsiValue&gt;0&lt;/PsiValue&gt;
&lt;K1Index&gt;Jamb&lt;/K1Index&gt;
&lt;Imported&gt;False&lt;/Imported&gt;
&lt;Adjusted&gt;0&lt;/Adjusted&gt;
&lt;/ThermalBridge&gt;
&lt;ThermalBridge&gt;
&lt;TypeSource xsi:nil="true"/&gt;
&lt;Length&gt;11.55&lt;/Length&gt;
&lt;PsiValue&gt;0&lt;/PsiValue&gt;
&lt;K1Index&gt;PartyFloor&lt;/K1Index&gt;
&lt;Imported&gt;False&lt;/Imported&gt;
&lt;Adjusted&gt;0&lt;/Adjusted&gt;
&lt;/ThermalBridge&gt;
&lt;ThermalBridge&gt;
&lt;TypeSource xsi:nil="true"/&gt;
&lt;Length&gt;4.99&lt;/Length&gt;
&lt;PsiValue&gt;0&lt;/PsiValue&gt;
&lt;K1Index&gt;BalconyBetweenDwellings&lt;/K1Index&gt;
&lt;Imported&gt;False&lt;/Imported&gt;
&lt;Adjusted&gt;0&lt;/Adjusted&gt;
&lt;/ThermalBridge&gt;
&lt;ThermalBridge&gt;
&lt;TypeSource xsi:nil="true"/&gt;
&lt;Length&gt;16.53&lt;/Length&gt;
&lt;PsiValue&gt;0&lt;/PsiValue&gt;
&lt;K1Index&gt;FlatRoofWithParapet&lt;/K1Index&gt;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&lt;Length&gt;16.53&lt;/Length&gt;
&lt;PsiValue&gt;0&lt;/PsiValue&gt;
&lt;K1Index&gt;PartyFloorWithPartyWall&lt;/K1Index&gt;
&lt;Imported&gt;False&lt;/Imported&gt;
&lt;Adjusted&gt;0&lt;/Adjusted&gt;
&lt;/ThermalBridge&gt;
&lt;ThermalBridge&gt;
&lt;TypeSource xsi:nil="true"/&gt;
&lt;Length&gt;16.53&lt;/Length&gt;
&lt;PsiValue&gt;0&lt;/PsiValue&gt;
&lt;K1Index&gt;RoofAtCeilingWithPartyWall&lt;/K1Index&gt;
&lt;Imported&gt;False&lt;/Imported&gt;
&lt;Adjusted&gt;0&lt;/Adjusted&gt;
&lt;/ThermalBridge&gt;</v>
      </c>
      <c r="BW58" s="25" t="str" cm="1">
        <f t="array" ref="BW58">_xlfn.TEXTJOIN(CHAR(10)&amp;CHAR(10),TRUE,
IF(BW$6:BW$49&gt;0,
"&lt;ThermalBridge&gt;"&amp;CHAR(10)&amp;
"&lt;TypeSource xsi:nil=""true""/&gt;"&amp;CHAR(10)&amp;
"&lt;Length&gt;"&amp;TEXT(BW$6:BW$49,"0.00")&amp;"&lt;/Length&gt;"&amp;CHAR(10)&amp;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&lt;Length&gt;7.62&lt;/Length&gt;
&lt;PsiValue&gt;0&lt;/PsiValue&gt;
&lt;K1Index&gt;PartyFloor&lt;/K1Index&gt;
&lt;Imported&gt;False&lt;/Imported&gt;
&lt;Adjusted&gt;0&lt;/Adjusted&gt;
&lt;/ThermalBridge&gt;
&lt;ThermalBridge&gt;
&lt;TypeSource xsi:nil="true"/&gt;
&lt;Length&gt;7.53&lt;/Length&gt;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&lt;Length&gt;23.04&lt;/Length&gt;
&lt;PsiValue&gt;0&lt;/PsiValue&gt;
&lt;K1Index&gt;PartyFloorWithPartyWall&lt;/K1Index&gt;
&lt;Imported&gt;False&lt;/Imported&gt;
&lt;Adjusted&gt;0&lt;/Adjusted&gt;
&lt;/ThermalBridge&gt;
&lt;ThermalBridge&gt;
&lt;TypeSource xsi:nil="true"/&gt;
&lt;Length&gt;14.17&lt;/Length&gt;
&lt;PsiValue&gt;0&lt;/PsiValue&gt;
&lt;K1Index&gt;ExposedFloorWithPartyWall&lt;/K1Index&gt;
&lt;Imported&gt;False&lt;/Imported&gt;
&lt;Adjusted&gt;0&lt;/Adjusted&gt;
&lt;/ThermalBridge&gt;
&lt;ThermalBridge&gt;
&lt;TypeSource xsi:nil="true"/&gt;
&lt;Length&gt;4.32&lt;/Length&gt;
&lt;PsiValue&gt;0&lt;/PsiValue&gt;
&lt;K1Index&gt;ExposedFloorInvertedWithPartyWall&lt;/K1Index&gt;
&lt;Imported&gt;False&lt;/Imported&gt;
&lt;Adjusted&gt;0&lt;/Adjusted&gt;
&lt;/ThermalBridge&gt;</v>
      </c>
      <c r="BX58" s="25" t="str" cm="1">
        <f t="array" ref="BX58">_xlfn.TEXTJOIN(CHAR(10)&amp;CHAR(10),TRUE,
IF(BX$6:BX$49&gt;0,
"&lt;ThermalBridge&gt;"&amp;CHAR(10)&amp;
"&lt;TypeSource xsi:nil=""true""/&gt;"&amp;CHAR(10)&amp;
"&lt;Length&gt;"&amp;TEXT(BX$6:BX$49,"0.00")&amp;"&lt;/Length&gt;"&amp;CHAR(10)&amp;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&lt;Length&gt;14.52&lt;/Length&gt;
&lt;PsiValue&gt;0&lt;/PsiValue&gt;
&lt;K1Index&gt;PartyFloor&lt;/K1Index&gt;
&lt;Imported&gt;False&lt;/Imported&gt;
&lt;Adjusted&gt;0&lt;/Adjusted&gt;
&lt;/ThermalBridge&gt;
&lt;ThermalBridge&gt;
&lt;TypeSource xsi:nil="true"/&gt;
&lt;Length&gt;10.09&lt;/Length&gt;
&lt;PsiValue&gt;0&lt;/PsiValue&gt;
&lt;K1Index&gt;BalconyBetweenDwellings&lt;/K1Index&gt;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&lt;Length&gt;13.38&lt;/Length&gt;
&lt;PsiValue&gt;0&lt;/PsiValue&gt;
&lt;K1Index&gt;ExposedFloorNormal&lt;/K1Index&gt;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&lt;Length&gt;19.09&lt;/Length&gt;
&lt;PsiValue&gt;0&lt;/PsiValue&gt;
&lt;K1Index&gt;PartyFloorWithPartyWall&lt;/K1Index&gt;
&lt;Imported&gt;False&lt;/Imported&gt;
&lt;Adjusted&gt;0&lt;/Adjusted&gt;
&lt;/ThermalBridge&gt;
&lt;ThermalBridge&gt;
&lt;TypeSource xsi:nil="true"/&gt;
&lt;Length&gt;19.09&lt;/Length&gt;
&lt;PsiValue&gt;0&lt;/PsiValue&gt;
&lt;K1Index&gt;ExposedFloorWithPartyWall&lt;/K1Index&gt;
&lt;Imported&gt;False&lt;/Imported&gt;
&lt;Adjusted&gt;0&lt;/Adjusted&gt;
&lt;/ThermalBridge&gt;</v>
      </c>
      <c r="BY58" s="25" t="str" cm="1">
        <f t="array" ref="BY58">_xlfn.TEXTJOIN(CHAR(10)&amp;CHAR(10),TRUE,
IF(BY$6:BY$49&gt;0,
"&lt;ThermalBridge&gt;"&amp;CHAR(10)&amp;
"&lt;TypeSource xsi:nil=""true""/&gt;"&amp;CHAR(10)&amp;
"&lt;Length&gt;"&amp;TEXT(BY$6:BY$49,"0.00")&amp;"&lt;/Length&gt;"&amp;CHAR(10)&amp;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&lt;Length&gt;13.22&lt;/Length&gt;
&lt;PsiValue&gt;0&lt;/PsiValue&gt;
&lt;K1Index&gt;PartyFloor&lt;/K1Index&gt;
&lt;Imported&gt;False&lt;/Imported&gt;
&lt;Adjusted&gt;0&lt;/Adjusted&gt;
&lt;/ThermalBridge&gt;
&lt;ThermalBridge&gt;
&lt;TypeSource xsi:nil="true"/&gt;
&lt;Length&gt;11.66&lt;/Length&gt;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&lt;Length&gt;9.22&lt;/Length&gt;
&lt;PsiValue&gt;0&lt;/PsiValue&gt;
&lt;K1Index&gt;ExposedFloorNormal&lt;/K1Index&gt;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&lt;Length&gt;19.73&lt;/Length&gt;
&lt;PsiValue&gt;0&lt;/PsiValue&gt;
&lt;K1Index&gt;PartyFloorWithPartyWall&lt;/K1Index&gt;
&lt;Imported&gt;False&lt;/Imported&gt;
&lt;Adjusted&gt;0&lt;/Adjusted&gt;
&lt;/ThermalBridge&gt;
&lt;ThermalBridge&gt;
&lt;TypeSource xsi:nil="true"/&gt;
&lt;Length&gt;19.73&lt;/Length&gt;
&lt;PsiValue&gt;0&lt;/PsiValue&gt;
&lt;K1Index&gt;ExposedFloorWithPartyWall&lt;/K1Index&gt;
&lt;Imported&gt;False&lt;/Imported&gt;
&lt;Adjusted&gt;0&lt;/Adjusted&gt;
&lt;/ThermalBridge&gt;</v>
      </c>
      <c r="BZ58" s="25" t="str" cm="1">
        <f t="array" ref="BZ58">_xlfn.TEXTJOIN(CHAR(10)&amp;CHAR(10),TRUE,
IF(BZ$6:BZ$49&gt;0,
"&lt;ThermalBridge&gt;"&amp;CHAR(10)&amp;
"&lt;TypeSource xsi:nil=""true""/&gt;"&amp;CHAR(10)&amp;
"&lt;Length&gt;"&amp;TEXT(BZ$6:BZ$49,"0.00")&amp;"&lt;/Length&gt;"&amp;CHAR(10)&amp;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&lt;Length&gt;6.60&lt;/Length&gt;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&lt;Length&gt;7.90&lt;/Length&gt;
&lt;PsiValue&gt;0&lt;/PsiValue&gt;
&lt;K1Index&gt;PartyFloor&lt;/K1Index&gt;
&lt;Imported&gt;False&lt;/Imported&gt;
&lt;Adjusted&gt;0&lt;/Adjusted&gt;
&lt;/ThermalBridge&gt;
&lt;ThermalBridge&gt;
&lt;TypeSource xsi:nil="true"/&gt;
&lt;Length&gt;3.89&lt;/Length&gt;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&lt;K1Index&gt;CornerInverted&lt;/K1Index&gt;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&lt;Length&gt;7.90&lt;/Length&gt;
&lt;PsiValue&gt;0&lt;/PsiValue&gt;
&lt;K1Index&gt;ExposedFloorNormal&lt;/K1Index&gt;
&lt;Imported&gt;False&lt;/Imported&gt;
&lt;Adjusted&gt;0&lt;/Adjusted&gt;
&lt;/ThermalBridge&gt;
&lt;ThermalBridge&gt;
&lt;TypeSource xsi:nil="true"/&gt;
&lt;Length&gt;24.99&lt;/Length&gt;
&lt;PsiValue&gt;0&lt;/PsiValue&gt;
&lt;K1Index&gt;PartyFloorWithPartyWall&lt;/K1Index&gt;
&lt;Imported&gt;False&lt;/Imported&gt;
&lt;Adjusted&gt;0&lt;/Adjusted&gt;
&lt;/ThermalBridge&gt;
&lt;ThermalBridge&gt;
&lt;TypeSource xsi:nil="true"/&gt;
&lt;Length&gt;24.35&lt;/Length&gt;
&lt;PsiValue&gt;0&lt;/PsiValue&gt;
&lt;K1Index&gt;ExposedFloorWithPartyWall&lt;/K1Index&gt;
&lt;Imported&gt;False&lt;/Imported&gt;
&lt;Adjusted&gt;0&lt;/Adjusted&gt;
&lt;/ThermalBridge&gt;
&lt;ThermalBridge&gt;
&lt;TypeSource xsi:nil="true"/&gt;
&lt;Length&gt;0.64&lt;/Length&gt;
&lt;PsiValue&gt;0&lt;/PsiValue&gt;
&lt;K1Index&gt;ExposedFloorInvertedWithPartyWall&lt;/K1Index&gt;
&lt;Imported&gt;False&lt;/Imported&gt;
&lt;Adjusted&gt;0&lt;/Adjusted&gt;
&lt;/ThermalBridge&gt;</v>
      </c>
      <c r="CA58" s="25" t="str" cm="1">
        <f t="array" ref="CA58">_xlfn.TEXTJOIN(CHAR(10)&amp;CHAR(10),TRUE,
IF(CA$6:CA$49&gt;0,
"&lt;ThermalBridge&gt;"&amp;CHAR(10)&amp;
"&lt;TypeSource xsi:nil=""true""/&gt;"&amp;CHAR(10)&amp;
"&lt;Length&gt;"&amp;TEXT(CA$6:CA$49,"0.00")&amp;"&lt;/Length&gt;"&amp;CHAR(10)&amp;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&lt;Length&gt;6.88&lt;/Length&gt;
&lt;PsiValue&gt;0&lt;/PsiValue&gt;
&lt;K1Index&gt;PartyFloor&lt;/K1Index&gt;
&lt;Imported&gt;False&lt;/Imported&gt;
&lt;Adjusted&gt;0&lt;/Adjusted&gt;
&lt;/ThermalBridge&gt;
&lt;ThermalBridge&gt;
&lt;TypeSource xsi:nil="true"/&gt;
&lt;Length&gt;3.39&lt;/Length&gt;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&lt;Length&gt;10.27&lt;/Length&gt;
&lt;PsiValue&gt;0&lt;/PsiValue&gt;
&lt;K1Index&gt;ExposedFloorNormal&lt;/K1Index&gt;
&lt;Imported&gt;False&lt;/Imported&gt;
&lt;Adjusted&gt;0&lt;/Adjusted&gt;
&lt;/ThermalBridge&gt;
&lt;ThermalBridge&gt;
&lt;TypeSource xsi:nil="true"/&gt;
&lt;Length&gt;23.47&lt;/Length&gt;
&lt;PsiValue&gt;0&lt;/PsiValue&gt;
&lt;K1Index&gt;PartyFloorWithPartyWall&lt;/K1Index&gt;
&lt;Imported&gt;False&lt;/Imported&gt;
&lt;Adjusted&gt;0&lt;/Adjusted&gt;
&lt;/ThermalBridge&gt;
&lt;ThermalBridge&gt;
&lt;TypeSource xsi:nil="true"/&gt;
&lt;Length&gt;13.20&lt;/Length&gt;
&lt;PsiValue&gt;0&lt;/PsiValue&gt;
&lt;K1Index&gt;ExposedFloorWithPartyWall&lt;/K1Index&gt;
&lt;Imported&gt;False&lt;/Imported&gt;
&lt;Adjusted&gt;0&lt;/Adjusted&gt;
&lt;/ThermalBridge&gt;
&lt;ThermalBridge&gt;
&lt;TypeSource xsi:nil="true"/&gt;
&lt;Length&gt;10.27&lt;/Length&gt;
&lt;PsiValue&gt;0&lt;/PsiValue&gt;
&lt;K1Index&gt;ExposedFloorInvertedWithPartyWall&lt;/K1Index&gt;
&lt;Imported&gt;False&lt;/Imported&gt;
&lt;Adjusted&gt;0&lt;/Adjusted&gt;
&lt;/ThermalBridge&gt;</v>
      </c>
      <c r="CB58" s="25" t="str" cm="1">
        <f t="array" ref="CB58">_xlfn.TEXTJOIN(CHAR(10)&amp;CHAR(10),TRUE,
IF(CB$6:CB$49&gt;0,
"&lt;ThermalBridge&gt;"&amp;CHAR(10)&amp;
"&lt;TypeSource xsi:nil=""true""/&gt;"&amp;CHAR(10)&amp;
"&lt;Length&gt;"&amp;TEXT(CB$6:CB$49,"0.00")&amp;"&lt;/Length&gt;"&amp;CHAR(10)&amp;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&lt;Length&gt;8.74&lt;/Length&gt;
&lt;PsiValue&gt;0&lt;/PsiValue&gt;
&lt;K1Index&gt;PartyFloor&lt;/K1Index&gt;
&lt;Imported&gt;False&lt;/Imported&gt;
&lt;Adjusted&gt;0&lt;/Adjusted&gt;
&lt;/ThermalBridge&gt;
&lt;ThermalBridge&gt;
&lt;TypeSource xsi:nil="true"/&gt;
&lt;Length&gt;6.40&lt;/Length&gt;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&lt;Length&gt;41.54&lt;/Length&gt;
&lt;PsiValue&gt;0&lt;/PsiValue&gt;
&lt;K1Index&gt;PartyFloorWithPartyWall&lt;/K1Index&gt;
&lt;Imported&gt;False&lt;/Imported&gt;
&lt;Adjusted&gt;0&lt;/Adjusted&gt;
&lt;/ThermalBridge&gt;</v>
      </c>
      <c r="CC58" s="25" t="str" cm="1">
        <f t="array" ref="CC58">_xlfn.TEXTJOIN(CHAR(10)&amp;CHAR(10),TRUE,
IF(CC$6:CC$49&gt;0,
"&lt;ThermalBridge&gt;"&amp;CHAR(10)&amp;
"&lt;TypeSource xsi:nil=""true""/&gt;"&amp;CHAR(10)&amp;
"&lt;Length&gt;"&amp;TEXT(CC$6:CC$49,"0.00")&amp;"&lt;/Length&gt;"&amp;CHAR(10)&amp;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&lt;Length&gt;27.89&lt;/Length&gt;
&lt;PsiValue&gt;0&lt;/PsiValue&gt;
&lt;K1Index&gt;PartyFloor&lt;/K1Index&gt;
&lt;Imported&gt;False&lt;/Imported&gt;
&lt;Adjusted&gt;0&lt;/Adjusted&gt;
&lt;/ThermalBridge&gt;
&lt;ThermalBridge&gt;
&lt;TypeSource xsi:nil="true"/&gt;
&lt;Length&gt;10.09&lt;/Length&gt;
&lt;PsiValue&gt;0&lt;/PsiValue&gt;
&lt;K1Index&gt;BalconyBetweenDwellings&lt;/K1Index&gt;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&lt;Length&gt;38.18&lt;/Length&gt;
&lt;PsiValue&gt;0&lt;/PsiValue&gt;
&lt;K1Index&gt;PartyFloorWithPartyWall&lt;/K1Index&gt;
&lt;Imported&gt;False&lt;/Imported&gt;
&lt;Adjusted&gt;0&lt;/Adjusted&gt;
&lt;/ThermalBridge&gt;</v>
      </c>
      <c r="CD58" s="25" t="str" cm="1">
        <f t="array" ref="CD58">_xlfn.TEXTJOIN(CHAR(10)&amp;CHAR(10),TRUE,
IF(CD$6:CD$49&gt;0,
"&lt;ThermalBridge&gt;"&amp;CHAR(10)&amp;
"&lt;TypeSource xsi:nil=""true""/&gt;"&amp;CHAR(10)&amp;
"&lt;Length&gt;"&amp;TEXT(CD$6:CD$49,"0.00")&amp;"&lt;/Length&gt;"&amp;CHAR(10)&amp;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&lt;Length&gt;25.72&lt;/Length&gt;
&lt;PsiValue&gt;0&lt;/PsiValue&gt;
&lt;K1Index&gt;PartyFloor&lt;/K1Index&gt;
&lt;Imported&gt;False&lt;/Imported&gt;
&lt;Adjusted&gt;0&lt;/Adjusted&gt;
&lt;/ThermalBridge&gt;
&lt;ThermalBridge&gt;
&lt;TypeSource xsi:nil="true"/&gt;
&lt;Length&gt;8.38&lt;/Length&gt;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&lt;Length&gt;39.46&lt;/Length&gt;
&lt;PsiValue&gt;0&lt;/PsiValue&gt;
&lt;K1Index&gt;PartyFloorWithPartyWall&lt;/K1Index&gt;
&lt;Imported&gt;False&lt;/Imported&gt;
&lt;Adjusted&gt;0&lt;/Adjusted&gt;
&lt;/ThermalBridge&gt;</v>
      </c>
      <c r="CE58" s="25" t="str" cm="1">
        <f t="array" ref="CE58">_xlfn.TEXTJOIN(CHAR(10)&amp;CHAR(10),TRUE,
IF(CE$6:CE$49&gt;0,
"&lt;ThermalBridge&gt;"&amp;CHAR(10)&amp;
"&lt;TypeSource xsi:nil=""true""/&gt;"&amp;CHAR(10)&amp;
"&lt;Length&gt;"&amp;TEXT(CE$6:CE$49,"0.00")&amp;"&lt;/Length&gt;"&amp;CHAR(10)&amp;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&lt;Length&gt;15.80&lt;/Length&gt;
&lt;PsiValue&gt;0&lt;/PsiValue&gt;
&lt;K1Index&gt;PartyFloor&lt;/K1Index&gt;
&lt;Imported&gt;False&lt;/Imported&gt;
&lt;Adjusted&gt;0&lt;/Adjusted&gt;
&lt;/ThermalBridge&gt;
&lt;ThermalBridge&gt;
&lt;TypeSource xsi:nil="true"/&gt;
&lt;Length&gt;7.78&lt;/Length&gt;
&lt;PsiValue&gt;0&lt;/PsiValue&gt;
&lt;K1Index&gt;BalconyBetweenDwellings&lt;/K1Index&gt;
&lt;Imported&gt;False&lt;/Imported&gt;
&lt;Adjusted&gt;0&lt;/Adjusted&gt;
&lt;/ThermalBridge&gt;
&lt;ThermalBridge&gt;
&lt;TypeSource xsi:nil="true"/&gt;
&lt;Length&gt;2.70&lt;/Length&gt;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&lt;K1Index&gt;CornerInverted&lt;/K1Index&gt;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&lt;Length&gt;49.98&lt;/Length&gt;
&lt;PsiValue&gt;0&lt;/PsiValue&gt;
&lt;K1Index&gt;PartyFloorWithPartyWall&lt;/K1Index&gt;
&lt;Imported&gt;False&lt;/Imported&gt;
&lt;Adjusted&gt;0&lt;/Adjusted&gt;
&lt;/ThermalBridge&gt;</v>
      </c>
      <c r="CF58" s="25" t="str" cm="1">
        <f t="array" ref="CF58">_xlfn.TEXTJOIN(CHAR(10)&amp;CHAR(10),TRUE,
IF(CF$6:CF$49&gt;0,
"&lt;ThermalBridge&gt;"&amp;CHAR(10)&amp;
"&lt;TypeSource xsi:nil=""true""/&gt;"&amp;CHAR(10)&amp;
"&lt;Length&gt;"&amp;TEXT(CF$6:CF$49,"0.00")&amp;"&lt;/Length&gt;"&amp;CHAR(10)&amp;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&lt;Length&gt;4.98&lt;/Length&gt;
&lt;PsiValue&gt;0&lt;/PsiValue&gt;
&lt;K1Index&gt;OtherLintels&lt;/K1Index&gt;
&lt;Imported&gt;False&lt;/Imported&gt;
&lt;Adjusted&gt;0&lt;/Adjusted&gt;
&lt;/ThermalBridge&gt;
&lt;ThermalBridge&gt;
&lt;TypeSource xsi:nil="true"/&gt;
&lt;Length&gt;2.72&lt;/Length&gt;
&lt;PsiValue&gt;0&lt;/PsiValue&gt;
&lt;K1Index&gt;Sill&lt;/K1Index&gt;
&lt;Imported&gt;False&lt;/Imported&gt;
&lt;Adjusted&gt;0&lt;/Adjusted&gt;
&lt;/ThermalBridge&gt;
&lt;ThermalBridge&gt;
&lt;TypeSource xsi:nil="true"/&gt;
&lt;Length&gt;12.00&lt;/Length&gt;
&lt;PsiValue&gt;0&lt;/PsiValue&gt;
&lt;K1Index&gt;Jamb&lt;/K1Index&gt;
&lt;Imported&gt;False&lt;/Imported&gt;
&lt;Adjusted&gt;0&lt;/Adjusted&gt;
&lt;/ThermalBridge&gt;
&lt;ThermalBridge&gt;
&lt;TypeSource xsi:nil="true"/&gt;
&lt;Length&gt;13.76&lt;/Length&gt;
&lt;PsiValue&gt;0&lt;/PsiValue&gt;
&lt;K1Index&gt;PartyFloor&lt;/K1Index&gt;
&lt;Imported&gt;False&lt;/Imported&gt;
&lt;Adjusted&gt;0&lt;/Adjusted&gt;
&lt;/ThermalBridge&gt;
&lt;ThermalBridge&gt;
&lt;TypeSource xsi:nil="true"/&gt;
&lt;Length&gt;6.78&lt;/Length&gt;
&lt;PsiValue&gt;0&lt;/PsiValue&gt;
&lt;K1Index&gt;BalconyBetweenDwellings&lt;/K1Index&gt;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&lt;Length&gt;46.94&lt;/Length&gt;
&lt;PsiValue&gt;0&lt;/PsiValue&gt;
&lt;K1Index&gt;PartyFloorWithPartyWall&lt;/K1Index&gt;
&lt;Imported&gt;False&lt;/Imported&gt;
&lt;Adjusted&gt;0&lt;/Adjusted&gt;
&lt;/ThermalBridge&gt;</v>
      </c>
      <c r="CG58" s="25" t="str" cm="1">
        <f t="array" ref="CG58">_xlfn.TEXTJOIN(CHAR(10)&amp;CHAR(10),TRUE,
IF(CG$6:CG$49&gt;0,
"&lt;ThermalBridge&gt;"&amp;CHAR(10)&amp;
"&lt;TypeSource xsi:nil=""true""/&gt;"&amp;CHAR(10)&amp;
"&lt;Length&gt;"&amp;TEXT(CG$6:CG$49,"0.00")&amp;"&lt;/Length&gt;"&amp;CHAR(10)&amp;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&lt;Length&gt;7.70&lt;/Length&gt;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&lt;Length&gt;13.37&lt;/Length&gt;
&lt;PsiValue&gt;0&lt;/PsiValue&gt;
&lt;K1Index&gt;PartyFloor&lt;/K1Index&gt;
&lt;Imported&gt;False&lt;/Imported&gt;
&lt;Adjusted&gt;0&lt;/Adjusted&gt;
&lt;/ThermalBridge&gt;
&lt;ThermalBridge&gt;
&lt;TypeSource xsi:nil="true"/&gt;
&lt;Length&gt;5.62&lt;/Length&gt;
&lt;PsiValue&gt;0&lt;/PsiValue&gt;
&lt;K1Index&gt;BalconyBetweenDwellings&lt;/K1Index&gt;
&lt;Imported&gt;False&lt;/Imported&gt;
&lt;Adjusted&gt;0&lt;/Adjusted&gt;
&lt;/ThermalBridge&gt;
&lt;ThermalBridge&gt;
&lt;TypeSource xsi:nil="true"/&gt;
&lt;Length&gt;18.99&lt;/Length&gt;
&lt;PsiValue&gt;0&lt;/PsiValue&gt;
&lt;K1Index&gt;FlatRoofWithParapet&lt;/K1Index&gt;
&lt;Imported&gt;False&lt;/Imported&gt;
&lt;Adjusted&gt;0&lt;/Adjusted&gt;
&lt;/ThermalBridge&gt;
&lt;ThermalBridge&gt;
&lt;TypeSource xsi:nil="true"/&gt;
&lt;Length&gt;8.10&lt;/Length&gt;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&lt;Length&gt;19.09&lt;/Length&gt;
&lt;PsiValue&gt;0&lt;/PsiValue&gt;
&lt;K1Index&gt;PartyFloorWithPartyWall&lt;/K1Index&gt;
&lt;Imported&gt;False&lt;/Imported&gt;
&lt;Adjusted&gt;0&lt;/Adjusted&gt;
&lt;/ThermalBridge&gt;
&lt;ThermalBridge&gt;
&lt;TypeSource xsi:nil="true"/&gt;
&lt;Length&gt;19.09&lt;/Length&gt;
&lt;PsiValue&gt;0&lt;/PsiValue&gt;
&lt;K1Index&gt;RoofAtCeilingWithPartyWall&lt;/K1Index&gt;
&lt;Imported&gt;False&lt;/Imported&gt;
&lt;Adjusted&gt;0&lt;/Adjusted&gt;
&lt;/ThermalBridge&gt;</v>
      </c>
      <c r="CH58" s="25" t="str" cm="1">
        <f t="array" ref="CH58">_xlfn.TEXTJOIN(CHAR(10)&amp;CHAR(10),TRUE,
IF(CH$6:CH$49&gt;0,
"&lt;ThermalBridge&gt;"&amp;CHAR(10)&amp;
"&lt;TypeSource xsi:nil=""true""/&gt;"&amp;CHAR(10)&amp;
"&lt;Length&gt;"&amp;TEXT(CH$6:CH$49,"0.00")&amp;"&lt;/Length&gt;"&amp;CHAR(10)&amp;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&lt;Length&gt;12.86&lt;/Length&gt;
&lt;PsiValue&gt;0&lt;/PsiValue&gt;
&lt;K1Index&gt;PartyFloor&lt;/K1Index&gt;
&lt;Imported&gt;False&lt;/Imported&gt;
&lt;Adjusted&gt;0&lt;/Adjusted&gt;
&lt;/ThermalBridge&gt;
&lt;ThermalBridge&gt;
&lt;TypeSource xsi:nil="true"/&gt;
&lt;Length&gt;4.19&lt;/Length&gt;
&lt;PsiValue&gt;0&lt;/PsiValue&gt;
&lt;K1Index&gt;BalconyBetweenDwellings&lt;/K1Index&gt;
&lt;Imported&gt;False&lt;/Imported&gt;
&lt;Adjusted&gt;0&lt;/Adjusted&gt;
&lt;/ThermalBridge&gt;
&lt;ThermalBridge&gt;
&lt;TypeSource xsi:nil="true"/&gt;
&lt;Length&gt;17.05&lt;/Length&gt;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&lt;Length&gt;2.70&lt;/Length&gt;
&lt;PsiValue&gt;0&lt;/PsiValue&gt;
&lt;K1Index&gt;PartyWall&lt;/K1Index&gt;
&lt;Imported&gt;False&lt;/Imported&gt;
&lt;Adjusted&gt;0&lt;/Adjusted&gt;
&lt;/ThermalBridge&gt;
&lt;ThermalBridge&gt;
&lt;TypeSource xsi:nil="true"/&gt;
&lt;Length&gt;2.70&lt;/Length&gt;
&lt;PsiValue&gt;0&lt;/PsiValue&gt;
&lt;K1Index&gt;StaggeredPart&lt;/K1Index&gt;
&lt;Imported&gt;False&lt;/Imported&gt;
&lt;Adjusted&gt;0&lt;/Adjusted&gt;
&lt;/ThermalBridge&gt;
&lt;ThermalBridge&gt;
&lt;TypeSource xsi:nil="true"/&gt;
&lt;Length&gt;19.73&lt;/Length&gt;
&lt;PsiValue&gt;0&lt;/PsiValue&gt;
&lt;K1Index&gt;PartyFloorWithPartyWall&lt;/K1Index&gt;
&lt;Imported&gt;False&lt;/Imported&gt;
&lt;Adjusted&gt;0&lt;/Adjusted&gt;
&lt;/ThermalBridge&gt;
&lt;ThermalBridge&gt;
&lt;TypeSource xsi:nil="true"/&gt;
&lt;Length&gt;19.73&lt;/Length&gt;
&lt;PsiValue&gt;0&lt;/PsiValue&gt;
&lt;K1Index&gt;RoofAtCeilingWithPartyWall&lt;/K1Index&gt;
&lt;Imported&gt;False&lt;/Imported&gt;
&lt;Adjusted&gt;0&lt;/Adjusted&gt;
&lt;/ThermalBridge&gt;</v>
      </c>
      <c r="CI58" s="25" t="str" cm="1">
        <f t="array" ref="CI58">_xlfn.TEXTJOIN(CHAR(10)&amp;CHAR(10),TRUE,
IF(CI$6:CI$49&gt;0,
"&lt;ThermalBridge&gt;"&amp;CHAR(10)&amp;
"&lt;TypeSource xsi:nil=""true""/&gt;"&amp;CHAR(10)&amp;
"&lt;Length&gt;"&amp;TEXT(CI$6:CI$49,"0.00")&amp;"&lt;/Length&gt;"&amp;CHAR(10)&amp;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&lt;Length&gt;6.34&lt;/Length&gt;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&lt;Length&gt;22.94&lt;/Length&gt;
&lt;PsiValue&gt;0&lt;/PsiValue&gt;
&lt;K1Index&gt;PartyFloor&lt;/K1Index&gt;
&lt;Imported&gt;False&lt;/Imported&gt;
&lt;Adjusted&gt;0&lt;/Adjusted&gt;
&lt;/ThermalBridge&gt;
&lt;ThermalBridge&gt;
&lt;TypeSource xsi:nil="true"/&gt;
&lt;Length&gt;3.93&lt;/Length&gt;
&lt;PsiValue&gt;0&lt;/PsiValue&gt;
&lt;K1Index&gt;BalconyBetweenDwellings&lt;/K1Index&gt;
&lt;Imported&gt;False&lt;/Imported&gt;
&lt;Adjusted&gt;0&lt;/Adjusted&gt;
&lt;/ThermalBridge&gt;
&lt;ThermalBridge&gt;
&lt;TypeSource xsi:nil="true"/&gt;
&lt;Length&gt;26.87&lt;/Length&gt;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&lt;K1Index&gt;CornerNormal&lt;/K1Index&gt;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&lt;Length&gt;22.18&lt;/Length&gt;
&lt;PsiValue&gt;0&lt;/PsiValue&gt;
&lt;K1Index&gt;PartyFloorWithPartyWall&lt;/K1Index&gt;
&lt;Imported&gt;False&lt;/Imported&gt;
&lt;Adjusted&gt;0&lt;/Adjusted&gt;
&lt;/ThermalBridge&gt;
&lt;ThermalBridge&gt;
&lt;TypeSource xsi:nil="true"/&gt;
&lt;Length&gt;22.18&lt;/Length&gt;
&lt;PsiValue&gt;0&lt;/PsiValue&gt;
&lt;K1Index&gt;RoofAtCeilingWithPartyWall&lt;/K1Index&gt;
&lt;Imported&gt;False&lt;/Imported&gt;
&lt;Adjusted&gt;0&lt;/Adjusted&gt;
&lt;/ThermalBridge&gt;</v>
      </c>
      <c r="CJ58" s="25" t="str" cm="1">
        <f t="array" ref="CJ58">_xlfn.TEXTJOIN(CHAR(10)&amp;CHAR(10),TRUE,
IF(CJ$6:CJ$49&gt;0,
"&lt;ThermalBridge&gt;"&amp;CHAR(10)&amp;
"&lt;TypeSource xsi:nil=""true""/&gt;"&amp;CHAR(10)&amp;
"&lt;Length&gt;"&amp;TEXT(CJ$6:CJ$49,"0.00")&amp;"&lt;/Length&gt;"&amp;CHAR(10)&amp;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&lt;Length&gt;3.62&lt;/Length&gt;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&lt;Length&gt;8.40&lt;/Length&gt;
&lt;PsiValue&gt;0&lt;/PsiValue&gt;
&lt;K1Index&gt;Jamb&lt;/K1Index&gt;
&lt;Imported&gt;False&lt;/Imported&gt;
&lt;Adjusted&gt;0&lt;/Adjusted&gt;
&lt;/ThermalBridge&gt;
&lt;ThermalBridge&gt;
&lt;TypeSource xsi:nil="true"/&gt;
&lt;Length&gt;2.57&lt;/Length&gt;
&lt;PsiValue&gt;0&lt;/PsiValue&gt;
&lt;K1Index&gt;PartyFloor&lt;/K1Index&gt;
&lt;Imported&gt;False&lt;/Imported&gt;
&lt;Adjusted&gt;0&lt;/Adjusted&gt;
&lt;/ThermalBridge&gt;
&lt;ThermalBridge&gt;
&lt;TypeSource xsi:nil="true"/&gt;
&lt;Length&gt;3.39&lt;/Length&gt;
&lt;PsiValue&gt;0&lt;/PsiValue&gt;
&lt;K1Index&gt;BalconyBetweenDwellings&lt;/K1Index&gt;
&lt;Imported&gt;False&lt;/Imported&gt;
&lt;Adjusted&gt;0&lt;/Adjusted&gt;
&lt;/ThermalBridge&gt;
&lt;ThermalBridge&gt;
&lt;TypeSource xsi:nil="true"/&gt;
&lt;Length&gt;5.96&lt;/Length&gt;
&lt;PsiValue&gt;0&lt;/PsiValue&gt;
&lt;K1Index&gt;FlatRoofWithParapet&lt;/K1Index&gt;
&lt;Imported&gt;False&lt;/Imported&gt;
&lt;Adjusted&gt;0&lt;/Adjusted&gt;
&lt;/ThermalBridge&gt;
&lt;ThermalBridge&gt;
&lt;TypeSource xsi:nil="true"/&gt;
&lt;Length&gt;5.40&lt;/Length&gt;
&lt;PsiValue&gt;0&lt;/PsiValue&gt;
&lt;K1Index&gt;PartyWall&lt;/K1Index&gt;
&lt;Imported&gt;False&lt;/Imported&gt;
&lt;Adjusted&gt;0&lt;/Adjusted&gt;
&lt;/ThermalBridge&gt;
&lt;ThermalBridge&gt;
&lt;TypeSource xsi:nil="true"/&gt;
&lt;Length&gt;19.16&lt;/Length&gt;
&lt;PsiValue&gt;0&lt;/PsiValue&gt;
&lt;K1Index&gt;PartyFloorWithPartyWall&lt;/K1Index&gt;
&lt;Imported&gt;False&lt;/Imported&gt;
&lt;Adjusted&gt;0&lt;/Adjusted&gt;
&lt;/ThermalBridge&gt;
&lt;ThermalBridge&gt;
&lt;TypeSource xsi:nil="true"/&gt;
&lt;Length&gt;19.16&lt;/Length&gt;
&lt;PsiValue&gt;0&lt;/PsiValue&gt;
&lt;K1Index&gt;RoofAtCeilingWithPartyWall&lt;/K1Index&gt;
&lt;Imported&gt;False&lt;/Imported&gt;
&lt;Adjusted&gt;0&lt;/Adjusted&gt;
&lt;/ThermalBridge&gt;</v>
      </c>
      <c r="CK58" s="25" t="str" cm="1">
        <f t="array" ref="CK58">_xlfn.TEXTJOIN(CHAR(10)&amp;CHAR(10),TRUE,
IF(CK$6:CK$49&gt;0,
"&lt;ThermalBridge&gt;"&amp;CHAR(10)&amp;
"&lt;TypeSource xsi:nil=""true""/&gt;"&amp;CHAR(10)&amp;
"&lt;Length&gt;"&amp;TEXT(CK$6:CK$49,"0.00")&amp;"&lt;/Length&gt;"&amp;CHAR(10)&amp;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&lt;Length&gt;8.49&lt;/Length&gt;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&lt;Length&gt;18.36&lt;/Length&gt;
&lt;PsiValue&gt;0&lt;/PsiValue&gt;
&lt;K1Index&gt;PartyFloor&lt;/K1Index&gt;
&lt;Imported&gt;False&lt;/Imported&gt;
&lt;Adjusted&gt;0&lt;/Adjusted&gt;
&lt;/ThermalBridge&gt;
&lt;ThermalBridge&gt;
&lt;TypeSource xsi:nil="true"/&gt;
&lt;Length&gt;6.10&lt;/Length&gt;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&lt;Length&gt;15.31&lt;/Length&gt;
&lt;PsiValue&gt;0&lt;/PsiValue&gt;
&lt;K1Index&gt;ExposedFloorNormal&lt;/K1Index&gt;
&lt;Imported&gt;False&lt;/Imported&gt;
&lt;Adjusted&gt;0&lt;/Adjusted&gt;
&lt;/ThermalBridge&gt;
&lt;ThermalBridge&gt;
&lt;TypeSource xsi:nil="true"/&gt;
&lt;Length&gt;11.49&lt;/Length&gt;
&lt;PsiValue&gt;0&lt;/PsiValue&gt;
&lt;K1Index&gt;PartyFloorWithPartyWall&lt;/K1Index&gt;
&lt;Imported&gt;False&lt;/Imported&gt;
&lt;Adjusted&gt;0&lt;/Adjusted&gt;
&lt;/ThermalBridge&gt;
&lt;ThermalBridge&gt;
&lt;TypeSource xsi:nil="true"/&gt;
&lt;Length&gt;7.26&lt;/Length&gt;
&lt;PsiValue&gt;0&lt;/PsiValue&gt;
&lt;K1Index&gt;ExposedFloorWithPartyWall&lt;/K1Index&gt;
&lt;Imported&gt;False&lt;/Imported&gt;
&lt;Adjusted&gt;0&lt;/Adjusted&gt;
&lt;/ThermalBridge&gt;
&lt;ThermalBridge&gt;
&lt;TypeSource xsi:nil="true"/&gt;
&lt;Length&gt;4.23&lt;/Length&gt;
&lt;PsiValue&gt;0&lt;/PsiValue&gt;
&lt;K1Index&gt;ExposedFloorInvertedWithPartyWall&lt;/K1Index&gt;
&lt;Imported&gt;False&lt;/Imported&gt;
&lt;Adjusted&gt;0&lt;/Adjusted&gt;
&lt;/ThermalBridge&gt;</v>
      </c>
      <c r="CL58" s="25" t="str" cm="1">
        <f t="array" ref="CL58">_xlfn.TEXTJOIN(CHAR(10)&amp;CHAR(10),TRUE,
IF(CL$6:CL$49&gt;0,
"&lt;ThermalBridge&gt;"&amp;CHAR(10)&amp;
"&lt;TypeSource xsi:nil=""true""/&gt;"&amp;CHAR(10)&amp;
"&lt;Length&gt;"&amp;TEXT(CL$6:CL$49,"0.00")&amp;"&lt;/Length&gt;"&amp;CHAR(10)&amp;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&lt;Length&gt;9.71&lt;/Length&gt;
&lt;PsiValue&gt;0&lt;/PsiValue&gt;
&lt;K1Index&gt;PartyFloor&lt;/K1Index&gt;
&lt;Imported&gt;False&lt;/Imported&gt;
&lt;Adjusted&gt;0&lt;/Adjusted&gt;
&lt;/ThermalBridge&gt;
&lt;ThermalBridge&gt;
&lt;TypeSource xsi:nil="true"/&gt;
&lt;Length&gt;11.82&lt;/Length&gt;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&lt;Length&gt;6.15&lt;/Length&gt;
&lt;PsiValue&gt;0&lt;/PsiValue&gt;
&lt;K1Index&gt;ExposedFloorNormal&lt;/K1Index&gt;
&lt;Imported&gt;False&lt;/Imported&gt;
&lt;Adjusted&gt;0&lt;/Adjusted&gt;
&lt;/ThermalBridge&gt;
&lt;ThermalBridge&gt;
&lt;TypeSource xsi:nil="true"/&gt;
&lt;Length&gt;13.72&lt;/Length&gt;
&lt;PsiValue&gt;0&lt;/PsiValue&gt;
&lt;K1Index&gt;ExposedFloorInverted&lt;/K1Index&gt;
&lt;Imported&gt;False&lt;/Imported&gt;
&lt;Adjusted&gt;0&lt;/Adjusted&gt;
&lt;/ThermalBridge&gt;
&lt;ThermalBridge&gt;
&lt;TypeSource xsi:nil="true"/&gt;
&lt;Length&gt;24.35&lt;/Length&gt;
&lt;PsiValue&gt;0&lt;/PsiValue&gt;
&lt;K1Index&gt;PartyFloorWithPartyWall&lt;/K1Index&gt;
&lt;Imported&gt;False&lt;/Imported&gt;
&lt;Adjusted&gt;0&lt;/Adjusted&gt;
&lt;/ThermalBridge&gt;
&lt;ThermalBridge&gt;
&lt;TypeSource xsi:nil="true"/&gt;
&lt;Length&gt;11.22&lt;/Length&gt;
&lt;PsiValue&gt;0&lt;/PsiValue&gt;
&lt;K1Index&gt;ExposedFloorWithPartyWall&lt;/K1Index&gt;
&lt;Imported&gt;False&lt;/Imported&gt;
&lt;Adjusted&gt;0&lt;/Adjusted&gt;
&lt;/ThermalBridge&gt;
&lt;ThermalBridge&gt;
&lt;TypeSource xsi:nil="true"/&gt;
&lt;Length&gt;9.56&lt;/Length&gt;
&lt;PsiValue&gt;0&lt;/PsiValue&gt;
&lt;K1Index&gt;ExposedFloorInvertedWithPartyWall&lt;/K1Index&gt;
&lt;Imported&gt;False&lt;/Imported&gt;
&lt;Adjusted&gt;0&lt;/Adjusted&gt;
&lt;/ThermalBridge&gt;</v>
      </c>
      <c r="CM58" s="25" t="str" cm="1">
        <f t="array" ref="CM58">_xlfn.TEXTJOIN(CHAR(10)&amp;CHAR(10),TRUE,
IF(CM$6:CM$49&gt;0,
"&lt;ThermalBridge&gt;"&amp;CHAR(10)&amp;
"&lt;TypeSource xsi:nil=""true""/&gt;"&amp;CHAR(10)&amp;
"&lt;Length&gt;"&amp;TEXT(CM$6:CM$49,"0.00")&amp;"&lt;/Length&gt;"&amp;CHAR(10)&amp;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&lt;Length&gt;17.92&lt;/Length&gt;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&lt;Length&gt;8.79&lt;/Length&gt;
&lt;PsiValue&gt;0&lt;/PsiValue&gt;
&lt;K1Index&gt;ExposedFloorNormal&lt;/K1Index&gt;
&lt;Imported&gt;False&lt;/Imported&gt;
&lt;Adjusted&gt;0&lt;/Adjusted&gt;
&lt;/ThermalBridge&gt;
&lt;ThermalBridge&gt;
&lt;TypeSource xsi:nil="true"/&gt;
&lt;Length&gt;7.92&lt;/Length&gt;
&lt;PsiValue&gt;0&lt;/PsiValue&gt;
&lt;K1Index&gt;ExposedFloorInverted&lt;/K1Index&gt;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&lt;Length&gt;14.31&lt;/Length&gt;
&lt;PsiValue&gt;0&lt;/PsiValue&gt;
&lt;K1Index&gt;PartyFloorWithPartyWall&lt;/K1Index&gt;
&lt;Imported&gt;False&lt;/Imported&gt;
&lt;Adjusted&gt;0&lt;/Adjusted&gt;
&lt;/ThermalBridge&gt;
&lt;ThermalBridge&gt;
&lt;TypeSource xsi:nil="true"/&gt;
&lt;Length&gt;5.88&lt;/Length&gt;
&lt;PsiValue&gt;0&lt;/PsiValue&gt;
&lt;K1Index&gt;ExposedFloorWithPartyWall&lt;/K1Index&gt;
&lt;Imported&gt;False&lt;/Imported&gt;
&lt;Adjusted&gt;0&lt;/Adjusted&gt;
&lt;/ThermalBridge&gt;
&lt;ThermalBridge&gt;
&lt;TypeSource xsi:nil="true"/&gt;
&lt;Length&gt;5.38&lt;/Length&gt;
&lt;PsiValue&gt;0&lt;/PsiValue&gt;
&lt;K1Index&gt;ExposedFloorInvertedWithPartyWall&lt;/K1Index&gt;
&lt;Imported&gt;False&lt;/Imported&gt;
&lt;Adjusted&gt;0&lt;/Adjusted&gt;
&lt;/ThermalBridge&gt;</v>
      </c>
      <c r="CN58" s="25" t="str" cm="1">
        <f t="array" ref="CN58">_xlfn.TEXTJOIN(CHAR(10)&amp;CHAR(10),TRUE,
IF(CN$6:CN$49&gt;0,
"&lt;ThermalBridge&gt;"&amp;CHAR(10)&amp;
"&lt;TypeSource xsi:nil=""true""/&gt;"&amp;CHAR(10)&amp;
"&lt;Length&gt;"&amp;TEXT(CN$6:CN$49,"0.00")&amp;"&lt;/Length&gt;"&amp;CHAR(10)&amp;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&lt;Length&gt;10.90&lt;/Length&gt;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&lt;Length&gt;10.90&lt;/Length&gt;
&lt;PsiValue&gt;0&lt;/PsiValue&gt;
&lt;K1Index&gt;ExposedFloorNormal&lt;/K1Index&gt;
&lt;Imported&gt;False&lt;/Imported&gt;
&lt;Adjusted&gt;0&lt;/Adjusted&gt;
&lt;/ThermalBridge&gt;
&lt;ThermalBridge&gt;
&lt;TypeSource xsi:nil="true"/&gt;
&lt;Length&gt;4.75&lt;/Length&gt;
&lt;PsiValue&gt;0&lt;/PsiValue&gt;
&lt;K1Index&gt;ExposedFloorInverted&lt;/K1Index&gt;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&lt;Length&gt;20.99&lt;/Length&gt;
&lt;PsiValue&gt;0&lt;/PsiValue&gt;
&lt;K1Index&gt;PartyFloorWithPartyWall&lt;/K1Index&gt;
&lt;Imported&gt;False&lt;/Imported&gt;
&lt;Adjusted&gt;0&lt;/Adjusted&gt;
&lt;/ThermalBridge&gt;
&lt;ThermalBridge&gt;
&lt;TypeSource xsi:nil="true"/&gt;
&lt;Length&gt;16.61&lt;/Length&gt;
&lt;PsiValue&gt;0&lt;/PsiValue&gt;
&lt;K1Index&gt;ExposedFloorWithPartyWall&lt;/K1Index&gt;
&lt;Imported&gt;False&lt;/Imported&gt;
&lt;Adjusted&gt;0&lt;/Adjusted&gt;
&lt;/ThermalBridge&gt;
&lt;ThermalBridge&gt;
&lt;TypeSource xsi:nil="true"/&gt;
&lt;Length&gt;4.38&lt;/Length&gt;
&lt;PsiValue&gt;0&lt;/PsiValue&gt;
&lt;K1Index&gt;ExposedFloorInvertedWithPartyWall&lt;/K1Index&gt;
&lt;Imported&gt;False&lt;/Imported&gt;
&lt;Adjusted&gt;0&lt;/Adjusted&gt;
&lt;/ThermalBridge&gt;</v>
      </c>
      <c r="CO58" s="25" t="str" cm="1">
        <f t="array" ref="CO58">_xlfn.TEXTJOIN(CHAR(10)&amp;CHAR(10),TRUE,
IF(CO$6:CO$49&gt;0,
"&lt;ThermalBridge&gt;"&amp;CHAR(10)&amp;
"&lt;TypeSource xsi:nil=""true""/&gt;"&amp;CHAR(10)&amp;
"&lt;Length&gt;"&amp;TEXT(CO$6:CO$49,"0.00")&amp;"&lt;/Length&gt;"&amp;CHAR(10)&amp;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&lt;Length&gt;17.58&lt;/Length&gt;
&lt;PsiValue&gt;0&lt;/PsiValue&gt;
&lt;K1Index&gt;PartyFloor&lt;/K1Index&gt;
&lt;Imported&gt;False&lt;/Imported&gt;
&lt;Adjusted&gt;0&lt;/Adjusted&gt;
&lt;/ThermalBridge&gt;
&lt;ThermalBridge&gt;
&lt;TypeSource xsi:nil="true"/&gt;
&lt;Length&gt;17.94&lt;/Length&gt;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&lt;Length&gt;25.60&lt;/Length&gt;
&lt;PsiValue&gt;0&lt;/PsiValue&gt;
&lt;K1Index&gt;PartyFloorWithPartyWall&lt;/K1Index&gt;
&lt;Imported&gt;False&lt;/Imported&gt;
&lt;Adjusted&gt;0&lt;/Adjusted&gt;
&lt;/ThermalBridge&gt;</v>
      </c>
      <c r="CP58" s="25" t="str" cm="1">
        <f t="array" ref="CP58">_xlfn.TEXTJOIN(CHAR(10)&amp;CHAR(10),TRUE,
IF(CP$6:CP$49&gt;0,
"&lt;ThermalBridge&gt;"&amp;CHAR(10)&amp;
"&lt;TypeSource xsi:nil=""true""/&gt;"&amp;CHAR(10)&amp;
"&lt;Length&gt;"&amp;TEXT(CP$6:CP$49,"0.00")&amp;"&lt;/Length&gt;"&amp;CHAR(10)&amp;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&lt;Length&gt;21.80&lt;/Length&gt;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&lt;Length&gt;41.98&lt;/Length&gt;
&lt;PsiValue&gt;0&lt;/PsiValue&gt;
&lt;K1Index&gt;PartyFloorWithPartyWall&lt;/K1Index&gt;
&lt;Imported&gt;False&lt;/Imported&gt;
&lt;Adjusted&gt;0&lt;/Adjusted&gt;
&lt;/ThermalBridge&gt;</v>
      </c>
      <c r="CQ58" s="25" t="str" cm="1">
        <f t="array" ref="CQ58">_xlfn.TEXTJOIN(CHAR(10)&amp;CHAR(10),TRUE,
IF(CQ$6:CQ$49&gt;0,
"&lt;ThermalBridge&gt;"&amp;CHAR(10)&amp;
"&lt;TypeSource xsi:nil=""true""/&gt;"&amp;CHAR(10)&amp;
"&lt;Length&gt;"&amp;TEXT(CQ$6:CQ$49,"0.00")&amp;"&lt;/Length&gt;"&amp;CHAR(10)&amp;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&lt;Length&gt;20.70&lt;/Length&gt;
&lt;PsiValue&gt;0&lt;/PsiValue&gt;
&lt;K1Index&gt;PartyFloor&lt;/K1Index&gt;
&lt;Imported&gt;False&lt;/Imported&gt;
&lt;Adjusted&gt;0&lt;/Adjusted&gt;
&lt;/ThermalBridge&gt;
&lt;ThermalBridge&gt;
&lt;TypeSource xsi:nil="true"/&gt;
&lt;Length&gt;12.20&lt;/Length&gt;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&lt;Length&gt;32.90&lt;/Length&gt;
&lt;PsiValue&gt;0&lt;/PsiValue&gt;
&lt;K1Index&gt;PartyFloorWithPartyWall&lt;/K1Index&gt;
&lt;Imported&gt;False&lt;/Imported&gt;
&lt;Adjusted&gt;0&lt;/Adjusted&gt;
&lt;/ThermalBridge&gt;</v>
      </c>
      <c r="CR58" s="25" t="str" cm="1">
        <f t="array" ref="CR58">_xlfn.TEXTJOIN(CHAR(10)&amp;CHAR(10),TRUE,
IF(CR$6:CR$49&gt;0,
"&lt;ThermalBridge&gt;"&amp;CHAR(10)&amp;
"&lt;TypeSource xsi:nil=""true""/&gt;"&amp;CHAR(10)&amp;
"&lt;Length&gt;"&amp;TEXT(CR$6:CR$49,"0.00")&amp;"&lt;/Length&gt;"&amp;CHAR(10)&amp;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&lt;Length&gt;15.86&lt;/Length&gt;
&lt;PsiValue&gt;0&lt;/PsiValue&gt;
&lt;K1Index&gt;PartyFloor&lt;/K1Index&gt;
&lt;Imported&gt;False&lt;/Imported&gt;
&lt;Adjusted&gt;0&lt;/Adjusted&gt;
&lt;/ThermalBridge&gt;
&lt;ThermalBridge&gt;
&lt;TypeSource xsi:nil="true"/&gt;
&lt;Length&gt;11.82&lt;/Length&gt;
&lt;PsiValue&gt;0&lt;/PsiValue&gt;
&lt;K1Index&gt;BalconyBetweenDwellings&lt;/K1Index&gt;
&lt;Imported&gt;False&lt;/Imported&gt;
&lt;Adjusted&gt;0&lt;/Adjusted&gt;
&lt;/ThermalBridge&gt;
&lt;ThermalBridge&gt;
&lt;TypeSource xsi:nil="true"/&gt;
&lt;Length&gt;2.50&lt;/Length&gt;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&lt;Length&gt;45.14&lt;/Length&gt;
&lt;PsiValue&gt;0&lt;/PsiValue&gt;
&lt;K1Index&gt;PartyFloorWithPartyWall&lt;/K1Index&gt;
&lt;Imported&gt;False&lt;/Imported&gt;
&lt;Adjusted&gt;0&lt;/Adjusted&gt;
&lt;/ThermalBridge&gt;</v>
      </c>
      <c r="CS58" s="25" t="str" cm="1">
        <f t="array" ref="CS58">_xlfn.TEXTJOIN(CHAR(10)&amp;CHAR(10),TRUE,
IF(CS$6:CS$49&gt;0,
"&lt;ThermalBridge&gt;"&amp;CHAR(10)&amp;
"&lt;TypeSource xsi:nil=""true""/&gt;"&amp;CHAR(10)&amp;
"&lt;Length&gt;"&amp;TEXT(CS$6:CS$49,"0.00")&amp;"&lt;/Length&gt;"&amp;CHAR(10)&amp;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&lt;Length&gt;4.08&lt;/Length&gt;
&lt;PsiValue&gt;0&lt;/PsiValue&gt;
&lt;K1Index&gt;Sill&lt;/K1Index&gt;
&lt;Imported&gt;False&lt;/Imported&gt;
&lt;Adjusted&gt;0&lt;/Adjusted&gt;
&lt;/ThermalBridge&gt;
&lt;ThermalBridge&gt;
&lt;TypeSource xsi:nil="true"/&gt;
&lt;Length&gt;15.60&lt;/Length&gt;
&lt;PsiValue&gt;0&lt;/PsiValue&gt;
&lt;K1Index&gt;Jamb&lt;/K1Index&gt;
&lt;Imported&gt;False&lt;/Imported&gt;
&lt;Adjusted&gt;0&lt;/Adjusted&gt;
&lt;/ThermalBridge&gt;
&lt;ThermalBridge&gt;
&lt;TypeSource xsi:nil="true"/&gt;
&lt;Length&gt;17.58&lt;/Length&gt;
&lt;PsiValue&gt;0&lt;/PsiValue&gt;
&lt;K1Index&gt;PartyFloor&lt;/K1Index&gt;
&lt;Imported&gt;False&lt;/Imported&gt;
&lt;Adjusted&gt;0&lt;/Adjusted&gt;
&lt;/ThermalBridge&gt;
&lt;ThermalBridge&gt;
&lt;TypeSource xsi:nil="true"/&gt;
&lt;Length&gt;17.92&lt;/Length&gt;
&lt;PsiValue&gt;0&lt;/PsiValue&gt;
&lt;K1Index&gt;BalconyBetweenDwellings&lt;/K1Index&gt;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&lt;Length&gt;25.58&lt;/Length&gt;
&lt;PsiValue&gt;0&lt;/PsiValue&gt;
&lt;K1Index&gt;PartyFloorWithPartyWall&lt;/K1Index&gt;
&lt;Imported&gt;False&lt;/Imported&gt;
&lt;Adjusted&gt;0&lt;/Adjusted&gt;
&lt;/ThermalBridge&gt;</v>
      </c>
      <c r="CT58" s="25" t="str" cm="1">
        <f t="array" ref="CT58">_xlfn.TEXTJOIN(CHAR(10)&amp;CHAR(10),TRUE,
IF(CT$6:CT$49&gt;0,
"&lt;ThermalBridge&gt;"&amp;CHAR(10)&amp;
"&lt;TypeSource xsi:nil=""true""/&gt;"&amp;CHAR(10)&amp;
"&lt;Length&gt;"&amp;TEXT(CT$6:CT$49,"0.00")&amp;"&lt;/Length&gt;"&amp;CHAR(10)&amp;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&lt;Length&gt;6.80&lt;/Length&gt;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&lt;Length&gt;33.74&lt;/Length&gt;
&lt;PsiValue&gt;0&lt;/PsiValue&gt;
&lt;K1Index&gt;PartyFloor&lt;/K1Index&gt;
&lt;Imported&gt;False&lt;/Imported&gt;
&lt;Adjusted&gt;0&lt;/Adjusted&gt;
&lt;/ThermalBridge&gt;
&lt;ThermalBridge&gt;
&lt;TypeSource xsi:nil="true"/&gt;
&lt;Length&gt;12.58&lt;/Length&gt;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&lt;Length&gt;30.38&lt;/Length&gt;
&lt;PsiValue&gt;0&lt;/PsiValue&gt;
&lt;K1Index&gt;PartyFloorWithPartyWall&lt;/K1Index&gt;
&lt;Imported&gt;False&lt;/Imported&gt;
&lt;Adjusted&gt;0&lt;/Adjusted&gt;
&lt;/ThermalBridge&gt;</v>
      </c>
      <c r="CU58" s="25" t="str" cm="1">
        <f t="array" ref="CU58">_xlfn.TEXTJOIN(CHAR(10)&amp;CHAR(10),TRUE,
IF(CU$6:CU$49&gt;0,
"&lt;ThermalBridge&gt;"&amp;CHAR(10)&amp;
"&lt;TypeSource xsi:nil=""true""/&gt;"&amp;CHAR(10)&amp;
"&lt;Length&gt;"&amp;TEXT(CU$6:CU$49,"0.00")&amp;"&lt;/Length&gt;"&amp;CHAR(10)&amp;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&lt;Length&gt;5.44&lt;/Length&gt;
&lt;PsiValue&gt;0&lt;/PsiValue&gt;
&lt;K1Index&gt;Sill&lt;/K1Index&gt;
&lt;Imported&gt;False&lt;/Imported&gt;
&lt;Adjusted&gt;0&lt;/Adjusted&gt;
&lt;/ThermalBridge&gt;
&lt;ThermalBridge&gt;
&lt;TypeSource xsi:nil="true"/&gt;
&lt;Length&gt;19.20&lt;/Length&gt;
&lt;PsiValue&gt;0&lt;/PsiValue&gt;
&lt;K1Index&gt;Jamb&lt;/K1Index&gt;
&lt;Imported&gt;False&lt;/Imported&gt;
&lt;Adjusted&gt;0&lt;/Adjusted&gt;
&lt;/ThermalBridge&gt;
&lt;ThermalBridge&gt;
&lt;TypeSource xsi:nil="true"/&gt;
&lt;Length&gt;24.14&lt;/Length&gt;
&lt;PsiValue&gt;0&lt;/PsiValue&gt;
&lt;K1Index&gt;PartyFloor&lt;/K1Index&gt;
&lt;Imported&gt;False&lt;/Imported&gt;
&lt;Adjusted&gt;0&lt;/Adjusted&gt;
&lt;/ThermalBridge&gt;
&lt;ThermalBridge&gt;
&lt;TypeSource xsi:nil="true"/&gt;
&lt;Length&gt;11.84&lt;/Length&gt;
&lt;PsiValue&gt;0&lt;/PsiValue&gt;
&lt;K1Index&gt;BalconyBetweenDwellings&lt;/K1Index&gt;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&lt;Length&gt;37.54&lt;/Length&gt;
&lt;PsiValue&gt;0&lt;/PsiValue&gt;
&lt;K1Index&gt;PartyFloorWithPartyWall&lt;/K1Index&gt;
&lt;Imported&gt;False&lt;/Imported&gt;
&lt;Adjusted&gt;0&lt;/Adjusted&gt;
&lt;/ThermalBridge&gt;</v>
      </c>
      <c r="CV58" s="25" t="str" cm="1">
        <f t="array" ref="CV58">_xlfn.TEXTJOIN(CHAR(10)&amp;CHAR(10),TRUE,
IF(CV$6:CV$49&gt;0,
"&lt;ThermalBridge&gt;"&amp;CHAR(10)&amp;
"&lt;TypeSource xsi:nil=""true""/&gt;"&amp;CHAR(10)&amp;
"&lt;Length&gt;"&amp;TEXT(CV$6:CV$49,"0.00")&amp;"&lt;/Length&gt;"&amp;CHAR(10)&amp;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&lt;Length&gt;3.19&lt;/Length&gt;
&lt;PsiValue&gt;0&lt;/PsiValue&gt;
&lt;K1Index&gt;Sill&lt;/K1Index&gt;
&lt;Imported&gt;False&lt;/Imported&gt;
&lt;Adjusted&gt;0&lt;/Adjusted&gt;
&lt;/ThermalBridge&gt;
&lt;ThermalBridge&gt;
&lt;TypeSource xsi:nil="true"/&gt;
&lt;Length&gt;18.00&lt;/Length&gt;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&lt;Length&gt;8.97&lt;/Length&gt;
&lt;PsiValue&gt;0&lt;/PsiValue&gt;
&lt;K1Index&gt;BalconyBetweenDwellings&lt;/K1Index&gt;
&lt;Imported&gt;False&lt;/Imported&gt;
&lt;Adjusted&gt;0&lt;/Adjusted&gt;
&lt;/ThermalBridge&gt;
&lt;ThermalBridge&gt;
&lt;TypeSource xsi:nil="true"/&gt;
&lt;Length&gt;17.76&lt;/Length&gt;
&lt;PsiValue&gt;0&lt;/PsiValue&gt;
&lt;K1Index&gt;FlatRoofWithParapet&lt;/K1Index&gt;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&lt;Length&gt;12.80&lt;/Length&gt;
&lt;PsiValue&gt;0&lt;/PsiValue&gt;
&lt;K1Index&gt;PartyFloorWithPartyWall&lt;/K1Index&gt;
&lt;Imported&gt;False&lt;/Imported&gt;
&lt;Adjusted&gt;0&lt;/Adjusted&gt;
&lt;/ThermalBridge&gt;
&lt;ThermalBridge&gt;
&lt;TypeSource xsi:nil="true"/&gt;
&lt;Length&gt;12.80&lt;/Length&gt;
&lt;PsiValue&gt;0&lt;/PsiValue&gt;
&lt;K1Index&gt;RoofAtCeilingWithPartyWall&lt;/K1Index&gt;
&lt;Imported&gt;False&lt;/Imported&gt;
&lt;Adjusted&gt;0&lt;/Adjusted&gt;
&lt;/ThermalBridge&gt;</v>
      </c>
      <c r="CW58" s="25" t="str" cm="1">
        <f t="array" ref="CW58">_xlfn.TEXTJOIN(CHAR(10)&amp;CHAR(10),TRUE,
IF(CW$6:CW$49&gt;0,
"&lt;ThermalBridge&gt;"&amp;CHAR(10)&amp;
"&lt;TypeSource xsi:nil=""true""/&gt;"&amp;CHAR(10)&amp;
"&lt;Length&gt;"&amp;TEXT(CW$6:CW$49,"0.00")&amp;"&lt;/Length&gt;"&amp;CHAR(10)&amp;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&lt;Length&gt;27.60&lt;/Length&gt;
&lt;PsiValue&gt;0&lt;/PsiValue&gt;
&lt;K1Index&gt;Jamb&lt;/K1Index&gt;
&lt;Imported&gt;False&lt;/Imported&gt;
&lt;Adjusted&gt;0&lt;/Adjusted&gt;
&lt;/ThermalBridge&gt;
&lt;ThermalBridge&gt;
&lt;TypeSource xsi:nil="true"/&gt;
&lt;Length&gt;16.87&lt;/Length&gt;
&lt;PsiValue&gt;0&lt;/PsiValue&gt;
&lt;K1Index&gt;PartyFloor&lt;/K1Index&gt;
&lt;Imported&gt;False&lt;/Imported&gt;
&lt;Adjusted&gt;0&lt;/Adjusted&gt;
&lt;/ThermalBridge&gt;
&lt;ThermalBridge&gt;
&lt;TypeSource xsi:nil="true"/&gt;
&lt;Length&gt;6.29&lt;/Length&gt;
&lt;PsiValue&gt;0&lt;/PsiValue&gt;
&lt;K1Index&gt;BalconyBetweenDwellings&lt;/K1Index&gt;
&lt;Imported&gt;False&lt;/Imported&gt;
&lt;Adjusted&gt;0&lt;/Adjusted&gt;
&lt;/ThermalBridge&gt;
&lt;ThermalBridge&gt;
&lt;TypeSource xsi:nil="true"/&gt;
&lt;Length&gt;23.16&lt;/Length&gt;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&lt;Length&gt;15.20&lt;/Length&gt;
&lt;PsiValue&gt;0&lt;/PsiValue&gt;
&lt;K1Index&gt;PartyFloorWithPartyWall&lt;/K1Index&gt;
&lt;Imported&gt;False&lt;/Imported&gt;
&lt;Adjusted&gt;0&lt;/Adjusted&gt;
&lt;/ThermalBridge&gt;
&lt;ThermalBridge&gt;
&lt;TypeSource xsi:nil="true"/&gt;
&lt;Length&gt;15.20&lt;/Length&gt;
&lt;PsiValue&gt;0&lt;/PsiValue&gt;
&lt;K1Index&gt;RoofAtCeilingWithPartyWall&lt;/K1Index&gt;
&lt;Imported&gt;False&lt;/Imported&gt;
&lt;Adjusted&gt;0&lt;/Adjusted&gt;
&lt;/ThermalBridge&gt;</v>
      </c>
      <c r="CX58" s="25" t="str" cm="1">
        <f t="array" ref="CX58">_xlfn.TEXTJOIN(CHAR(10)&amp;CHAR(10),TRUE,
IF(CX$6:CX$49&gt;0,
"&lt;ThermalBridge&gt;"&amp;CHAR(10)&amp;
"&lt;TypeSource xsi:nil=""true""/&gt;"&amp;CHAR(10)&amp;
"&lt;Length&gt;"&amp;TEXT(CX$6:CX$49,"0.00")&amp;"&lt;/Length&gt;"&amp;CHAR(10)&amp;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&lt;Length&gt;12.07&lt;/Length&gt;
&lt;PsiValue&gt;0&lt;/PsiValue&gt;
&lt;K1Index&gt;PartyFloor&lt;/K1Index&gt;
&lt;Imported&gt;False&lt;/Imported&gt;
&lt;Adjusted&gt;0&lt;/Adjusted&gt;
&lt;/ThermalBridge&gt;
&lt;ThermalBridge&gt;
&lt;TypeSource xsi:nil="true"/&gt;
&lt;Length&gt;5.91&lt;/Length&gt;
&lt;PsiValue&gt;0&lt;/PsiValue&gt;
&lt;K1Index&gt;BalconyBetweenDwellings&lt;/K1Index&gt;
&lt;Imported&gt;False&lt;/Imported&gt;
&lt;Adjusted&gt;0&lt;/Adjusted&gt;
&lt;/ThermalBridge&gt;
&lt;ThermalBridge&gt;
&lt;TypeSource xsi:nil="true"/&gt;
&lt;Length&gt;17.98&lt;/Length&gt;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&lt;Length&gt;18.76&lt;/Length&gt;
&lt;PsiValue&gt;0&lt;/PsiValue&gt;
&lt;K1Index&gt;PartyFloorWithPartyWall&lt;/K1Index&gt;
&lt;Imported&gt;False&lt;/Imported&gt;
&lt;Adjusted&gt;0&lt;/Adjusted&gt;
&lt;/ThermalBridge&gt;
&lt;ThermalBridge&gt;
&lt;TypeSource xsi:nil="true"/&gt;
&lt;Length&gt;18.76&lt;/Length&gt;
&lt;PsiValue&gt;0&lt;/PsiValue&gt;
&lt;K1Index&gt;RoofAtCeilingWithPartyWall&lt;/K1Index&gt;
&lt;Imported&gt;False&lt;/Imported&gt;
&lt;Adjusted&gt;0&lt;/Adjusted&gt;
&lt;/ThermalBridge&gt;</v>
      </c>
      <c r="CY58" s="25" t="str" cm="1">
        <f t="array" ref="CY58">_xlfn.TEXTJOIN(CHAR(10)&amp;CHAR(10),TRUE,
IF(CY$6:CY$49&gt;0,
"&lt;ThermalBridge&gt;"&amp;CHAR(10)&amp;
"&lt;TypeSource xsi:nil=""true""/&gt;"&amp;CHAR(10)&amp;
"&lt;Length&gt;"&amp;TEXT(CY$6:CY$49,"0.00")&amp;"&lt;/Length&gt;"&amp;CHAR(10)&amp;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&lt;Length&gt;5.91&lt;/Length&gt;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&lt;Length&gt;18.00&lt;/Length&gt;
&lt;PsiValue&gt;0&lt;/PsiValue&gt;
&lt;K1Index&gt;Jamb&lt;/K1Index&gt;
&lt;Imported&gt;False&lt;/Imported&gt;
&lt;Adjusted&gt;0&lt;/Adjusted&gt;
&lt;/ThermalBridge&gt;
&lt;ThermalBridge&gt;
&lt;TypeSource xsi:nil="true"/&gt;
&lt;Length&gt;8.79&lt;/Length&gt;
&lt;PsiValue&gt;0&lt;/PsiValue&gt;
&lt;K1Index&gt;PartyFloor&lt;/K1Index&gt;
&lt;Imported&gt;False&lt;/Imported&gt;
&lt;Adjusted&gt;0&lt;/Adjusted&gt;
&lt;/ThermalBridge&gt;
&lt;ThermalBridge&gt;
&lt;TypeSource xsi:nil="true"/&gt;
&lt;Length&gt;8.96&lt;/Length&gt;
&lt;PsiValue&gt;0&lt;/PsiValue&gt;
&lt;K1Index&gt;BalconyBetweenDwellings&lt;/K1Index&gt;
&lt;Imported&gt;False&lt;/Imported&gt;
&lt;Adjusted&gt;0&lt;/Adjusted&gt;
&lt;/ThermalBridge&gt;
&lt;ThermalBridge&gt;
&lt;TypeSource xsi:nil="true"/&gt;
&lt;Length&gt;17.75&lt;/Length&gt;
&lt;PsiValue&gt;0&lt;/PsiValue&gt;
&lt;K1Index&gt;FlatRoofWithParapet&lt;/K1Index&gt;
&lt;Imported&gt;False&lt;/Imported&gt;
&lt;Adjusted&gt;0&lt;/Adjusted&gt;
&lt;/ThermalBridge&gt;
&lt;ThermalBridge&gt;
&lt;TypeSource xsi:nil="true"/&gt;
&lt;Length&gt;7.50&lt;/Length&gt;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&lt;Length&gt;12.79&lt;/Length&gt;
&lt;PsiValue&gt;0&lt;/PsiValue&gt;
&lt;K1Index&gt;PartyFloorWithPartyWall&lt;/K1Index&gt;
&lt;Imported&gt;False&lt;/Imported&gt;
&lt;Adjusted&gt;0&lt;/Adjusted&gt;
&lt;/ThermalBridge&gt;
&lt;ThermalBridge&gt;
&lt;TypeSource xsi:nil="true"/&gt;
&lt;Length&gt;12.79&lt;/Length&gt;
&lt;PsiValue&gt;0&lt;/PsiValue&gt;
&lt;K1Index&gt;RoofAtCeilingWithPartyWall&lt;/K1Index&gt;
&lt;Imported&gt;False&lt;/Imported&gt;
&lt;Adjusted&gt;0&lt;/Adjusted&gt;
&lt;/ThermalBridge&gt;</v>
      </c>
      <c r="CZ58" s="25" t="str" cm="1">
        <f t="array" ref="CZ58">_xlfn.TEXTJOIN(CHAR(10)&amp;CHAR(10),TRUE,
IF(CZ$6:CZ$49&gt;0,
"&lt;ThermalBridge&gt;"&amp;CHAR(10)&amp;
"&lt;TypeSource xsi:nil=""true""/&gt;"&amp;CHAR(10)&amp;
"&lt;Length&gt;"&amp;TEXT(CZ$6:CZ$49,"0.00")&amp;"&lt;/Length&gt;"&amp;CHAR(10)&amp;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&lt;Length&gt;8.63&lt;/Length&gt;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&lt;Length&gt;27.60&lt;/Length&gt;
&lt;PsiValue&gt;0&lt;/PsiValue&gt;
&lt;K1Index&gt;Jamb&lt;/K1Index&gt;
&lt;Imported&gt;False&lt;/Imported&gt;
&lt;Adjusted&gt;0&lt;/Adjusted&gt;
&lt;/ThermalBridge&gt;
&lt;ThermalBridge&gt;
&lt;TypeSource xsi:nil="true"/&gt;
&lt;Length&gt;16.87&lt;/Length&gt;
&lt;PsiValue&gt;0&lt;/PsiValue&gt;
&lt;K1Index&gt;PartyFloor&lt;/K1Index&gt;
&lt;Imported&gt;False&lt;/Imported&gt;
&lt;Adjusted&gt;0&lt;/Adjusted&gt;
&lt;/ThermalBridge&gt;
&lt;ThermalBridge&gt;
&lt;TypeSource xsi:nil="true"/&gt;
&lt;Length&gt;6.29&lt;/Length&gt;
&lt;PsiValue&gt;0&lt;/PsiValue&gt;
&lt;K1Index&gt;BalconyBetweenDwellings&lt;/K1Index&gt;
&lt;Imported&gt;False&lt;/Imported&gt;
&lt;Adjusted&gt;0&lt;/Adjusted&gt;
&lt;/ThermalBridge&gt;
&lt;ThermalBridge&gt;
&lt;TypeSource xsi:nil="true"/&gt;
&lt;Length&gt;23.16&lt;/Length&gt;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&lt;Length&gt;2.50&lt;/Length&gt;
&lt;PsiValue&gt;0&lt;/PsiValue&gt;
&lt;K1Index&gt;PartyWall&lt;/K1Index&gt;
&lt;Imported&gt;False&lt;/Imported&gt;
&lt;Adjusted&gt;0&lt;/Adjusted&gt;
&lt;/ThermalBridge&gt;
&lt;ThermalBridge&gt;
&lt;TypeSource xsi:nil="true"/&gt;
&lt;Length&gt;2.50&lt;/Length&gt;
&lt;PsiValue&gt;0&lt;/PsiValue&gt;
&lt;K1Index&gt;StaggeredPart&lt;/K1Index&gt;
&lt;Imported&gt;False&lt;/Imported&gt;
&lt;Adjusted&gt;0&lt;/Adjusted&gt;
&lt;/ThermalBridge&gt;
&lt;ThermalBridge&gt;
&lt;TypeSource xsi:nil="true"/&gt;
&lt;Length&gt;15.19&lt;/Length&gt;
&lt;PsiValue&gt;0&lt;/PsiValue&gt;
&lt;K1Index&gt;PartyFloorWithPartyWall&lt;/K1Index&gt;
&lt;Imported&gt;False&lt;/Imported&gt;
&lt;Adjusted&gt;0&lt;/Adjusted&gt;
&lt;/ThermalBridge&gt;
&lt;ThermalBridge&gt;
&lt;TypeSource xsi:nil="true"/&gt;
&lt;Length&gt;15.19&lt;/Length&gt;
&lt;PsiValue&gt;0&lt;/PsiValue&gt;
&lt;K1Index&gt;RoofAtCeilingWithPartyWall&lt;/K1Index&gt;
&lt;Imported&gt;False&lt;/Imported&gt;
&lt;Adjusted&gt;0&lt;/Adjusted&gt;
&lt;/ThermalBridge&gt;</v>
      </c>
      <c r="DA58" s="25" t="str" cm="1">
        <f t="array" ref="DA58">_xlfn.TEXTJOIN(CHAR(10)&amp;CHAR(10),TRUE,
IF(DA$6:DA$49&gt;0,
"&lt;ThermalBridge&gt;"&amp;CHAR(10)&amp;
"&lt;TypeSource xsi:nil=""true""/&gt;"&amp;CHAR(10)&amp;
"&lt;Length&gt;"&amp;TEXT(DA$6:DA$49,"0.00")&amp;"&lt;/Length&gt;"&amp;CHAR(10)&amp;
"&lt;PsiValue&gt;0&lt;/PsiValue&gt;"&amp;CHAR(10)&amp;
"&lt;K1Index&gt;"&amp;$D$6:$D$49&amp;"&lt;/K1Index&gt;"&amp;CHAR(10)&amp;
"&lt;Imported&gt;False&lt;/Imported&gt;"&amp;CHAR(10)&amp;
"&lt;Adjusted&gt;0&lt;/Adjusted&gt;"&amp;CHAR(10)&amp;
"&lt;/ThermalBridge&gt;",
""))</f>
        <v>&lt;ThermalBridge&gt;
&lt;TypeSource xsi:nil="true"/&gt;
&lt;Length&gt;7.27&lt;/Length&gt;
&lt;PsiValue&gt;0&lt;/PsiValue&gt;
&lt;K1Index&gt;OtherLintels&lt;/K1Index&gt;
&lt;Imported&gt;False&lt;/Imported&gt;
&lt;Adjusted&gt;0&lt;/Adjusted&gt;
&lt;/ThermalBridge&gt;
&lt;ThermalBridge&gt;
&lt;TypeSource xsi:nil="true"/&gt;
&lt;Length&gt;1.36&lt;/Length&gt;
&lt;PsiValue&gt;0&lt;/PsiValue&gt;
&lt;K1Index&gt;Sill&lt;/K1Index&gt;
&lt;Imported&gt;False&lt;/Imported&gt;
&lt;Adjusted&gt;0&lt;/Adjusted&gt;
&lt;/ThermalBridge&gt;
&lt;ThermalBridge&gt;
&lt;TypeSource xsi:nil="true"/&gt;
&lt;Length&gt;22.80&lt;/Length&gt;
&lt;PsiValue&gt;0&lt;/PsiValue&gt;
&lt;K1Index&gt;Jamb&lt;/K1Index&gt;
&lt;Imported&gt;False&lt;/Imported&gt;
&lt;Adjusted&gt;0&lt;/Adjusted&gt;
&lt;/ThermalBridge&gt;
&lt;ThermalBridge&gt;
&lt;TypeSource xsi:nil="true"/&gt;
&lt;Length&gt;12.07&lt;/Length&gt;
&lt;PsiValue&gt;0&lt;/PsiValue&gt;
&lt;K1Index&gt;PartyFloor&lt;/K1Index&gt;
&lt;Imported&gt;False&lt;/Imported&gt;
&lt;Adjusted&gt;0&lt;/Adjusted&gt;
&lt;/ThermalBridge&gt;
&lt;ThermalBridge&gt;
&lt;TypeSource xsi:nil="true"/&gt;
&lt;Length&gt;5.92&lt;/Length&gt;
&lt;PsiValue&gt;0&lt;/PsiValue&gt;
&lt;K1Index&gt;BalconyBetweenDwellings&lt;/K1Index&gt;
&lt;Imported&gt;False&lt;/Imported&gt;
&lt;Adjusted&gt;0&lt;/Adjusted&gt;
&lt;/ThermalBridge&gt;
&lt;ThermalBridge&gt;
&lt;TypeSource xsi:nil="true"/&gt;
&lt;Length&gt;17.99&lt;/Length&gt;
&lt;PsiValue&gt;0&lt;/PsiValue&gt;
&lt;K1Index&gt;FlatRoofWithParapet&lt;/K1Index&gt;
&lt;Imported&gt;False&lt;/Imported&gt;
&lt;Adjusted&gt;0&lt;/Adjusted&gt;
&lt;/ThermalBridge&gt;
&lt;ThermalBridge&gt;
&lt;TypeSource xsi:nil="true"/&gt;
&lt;Length&gt;5.00&lt;/Length&gt;
&lt;PsiValue&gt;0&lt;/PsiValue&gt;
&lt;K1Index&gt;CornerNormal&lt;/K1Index&gt;
&lt;Imported&gt;False&lt;/Imported&gt;
&lt;Adjusted&gt;0&lt;/Adjusted&gt;
&lt;/ThermalBridge&gt;
&lt;ThermalBridge&gt;
&lt;TypeSource xsi:nil="true"/&gt;
&lt;Length&gt;2.50&lt;/Length&gt;
&lt;PsiValue&gt;0&lt;/PsiValue&gt;
&lt;K1Index&gt;CornerInverted&lt;/K1Index&gt;
&lt;Imported&gt;False&lt;/Imported&gt;
&lt;Adjusted&gt;0&lt;/Adjusted&gt;
&lt;/ThermalBridge&gt;
&lt;ThermalBridge&gt;
&lt;TypeSource xsi:nil="true"/&gt;
&lt;Length&gt;5.00&lt;/Length&gt;
&lt;PsiValue&gt;0&lt;/PsiValue&gt;
&lt;K1Index&gt;PartyWall&lt;/K1Index&gt;
&lt;Imported&gt;False&lt;/Imported&gt;
&lt;Adjusted&gt;0&lt;/Adjusted&gt;
&lt;/ThermalBridge&gt;
&lt;ThermalBridge&gt;
&lt;TypeSource xsi:nil="true"/&gt;
&lt;Length&gt;18.77&lt;/Length&gt;
&lt;PsiValue&gt;0&lt;/PsiValue&gt;
&lt;K1Index&gt;PartyFloorWithPartyWall&lt;/K1Index&gt;
&lt;Imported&gt;False&lt;/Imported&gt;
&lt;Adjusted&gt;0&lt;/Adjusted&gt;
&lt;/ThermalBridge&gt;
&lt;ThermalBridge&gt;
&lt;TypeSource xsi:nil="true"/&gt;
&lt;Length&gt;18.77&lt;/Length&gt;
&lt;PsiValue&gt;0&lt;/PsiValue&gt;
&lt;K1Index&gt;RoofAtCeilingWithPartyWall&lt;/K1Index&gt;
&lt;Imported&gt;False&lt;/Imported&gt;
&lt;Adjusted&gt;0&lt;/Adjusted&gt;
&lt;/ThermalBridge&gt;</v>
      </c>
    </row>
    <row r="59" spans="2:106" x14ac:dyDescent="0.25">
      <c r="I59" s="1"/>
      <c r="K59" s="20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P59" s="21"/>
      <c r="BQ59" s="21"/>
      <c r="BR59" s="21"/>
      <c r="BS59" s="21"/>
      <c r="BT59" s="21"/>
      <c r="BU59" s="21"/>
      <c r="BV59" s="21"/>
      <c r="BW59" s="21"/>
      <c r="BX59" s="21"/>
      <c r="BY59" s="21"/>
      <c r="BZ59" s="21"/>
      <c r="CA59" s="21"/>
      <c r="CB59" s="21"/>
      <c r="CC59" s="21"/>
      <c r="CD59" s="21"/>
      <c r="CE59" s="21"/>
      <c r="CF59" s="21"/>
      <c r="CG59" s="21"/>
      <c r="CH59" s="21"/>
      <c r="CI59" s="21"/>
      <c r="CJ59" s="21"/>
      <c r="CK59" s="21"/>
      <c r="CL59" s="21"/>
      <c r="CM59" s="21"/>
      <c r="CN59" s="21"/>
      <c r="CO59" s="21"/>
      <c r="CP59" s="21"/>
      <c r="CQ59" s="21"/>
      <c r="CR59" s="21"/>
      <c r="CS59" s="21"/>
      <c r="CT59" s="21"/>
      <c r="CU59" s="21"/>
      <c r="CV59" s="21"/>
      <c r="CW59" s="21"/>
      <c r="CX59" s="21"/>
      <c r="CY59" s="21"/>
      <c r="CZ59" s="21"/>
      <c r="DA59" s="21"/>
    </row>
    <row r="60" spans="2:106" x14ac:dyDescent="0.25">
      <c r="I60" s="1"/>
      <c r="K60" s="22" t="s">
        <v>303</v>
      </c>
      <c r="L60" s="22" t="s">
        <v>305</v>
      </c>
      <c r="M60" s="22" t="s">
        <v>307</v>
      </c>
      <c r="N60" s="22" t="s">
        <v>309</v>
      </c>
      <c r="O60" s="22" t="s">
        <v>311</v>
      </c>
      <c r="P60" s="22" t="s">
        <v>313</v>
      </c>
      <c r="Q60" s="22" t="s">
        <v>315</v>
      </c>
      <c r="R60" s="22" t="s">
        <v>317</v>
      </c>
      <c r="S60" s="22" t="s">
        <v>319</v>
      </c>
      <c r="T60" s="22" t="s">
        <v>321</v>
      </c>
      <c r="U60" s="22" t="s">
        <v>323</v>
      </c>
      <c r="V60" s="22" t="s">
        <v>325</v>
      </c>
      <c r="W60" s="22" t="s">
        <v>327</v>
      </c>
      <c r="X60" s="22" t="s">
        <v>329</v>
      </c>
      <c r="Y60" s="22" t="s">
        <v>331</v>
      </c>
      <c r="Z60" s="22" t="s">
        <v>333</v>
      </c>
      <c r="AA60" s="22" t="s">
        <v>335</v>
      </c>
      <c r="AB60" s="22" t="s">
        <v>337</v>
      </c>
      <c r="AC60" s="22" t="s">
        <v>339</v>
      </c>
      <c r="AD60" s="22" t="s">
        <v>341</v>
      </c>
      <c r="AE60" s="22" t="s">
        <v>343</v>
      </c>
      <c r="AF60" s="22" t="s">
        <v>345</v>
      </c>
      <c r="AG60" s="22" t="s">
        <v>347</v>
      </c>
      <c r="AH60" s="22" t="s">
        <v>349</v>
      </c>
      <c r="AI60" s="22" t="s">
        <v>351</v>
      </c>
      <c r="AJ60" s="22" t="s">
        <v>353</v>
      </c>
      <c r="AK60" s="22" t="s">
        <v>355</v>
      </c>
      <c r="AL60" s="22" t="s">
        <v>357</v>
      </c>
      <c r="AM60" s="22" t="s">
        <v>359</v>
      </c>
      <c r="AN60" s="22" t="s">
        <v>361</v>
      </c>
      <c r="AO60" s="22" t="s">
        <v>363</v>
      </c>
      <c r="AP60" s="22" t="s">
        <v>365</v>
      </c>
      <c r="AQ60" s="22" t="s">
        <v>367</v>
      </c>
      <c r="AR60" s="22" t="s">
        <v>369</v>
      </c>
      <c r="AS60" s="22" t="s">
        <v>371</v>
      </c>
      <c r="AT60" s="22" t="s">
        <v>373</v>
      </c>
      <c r="AU60" s="22" t="s">
        <v>375</v>
      </c>
      <c r="AV60" s="22" t="s">
        <v>377</v>
      </c>
      <c r="AW60" s="22" t="s">
        <v>379</v>
      </c>
      <c r="AX60" s="22" t="s">
        <v>381</v>
      </c>
      <c r="AY60" s="22" t="s">
        <v>383</v>
      </c>
      <c r="AZ60" s="22" t="s">
        <v>385</v>
      </c>
      <c r="BA60" s="22" t="s">
        <v>387</v>
      </c>
      <c r="BB60" s="22" t="s">
        <v>389</v>
      </c>
      <c r="BC60" s="22" t="s">
        <v>391</v>
      </c>
      <c r="BD60" s="22" t="s">
        <v>393</v>
      </c>
      <c r="BE60" s="22" t="s">
        <v>395</v>
      </c>
      <c r="BF60" s="22" t="s">
        <v>397</v>
      </c>
      <c r="BG60" s="22" t="s">
        <v>399</v>
      </c>
      <c r="BH60" s="22" t="s">
        <v>401</v>
      </c>
      <c r="BI60" s="22" t="s">
        <v>403</v>
      </c>
      <c r="BJ60" s="22" t="s">
        <v>405</v>
      </c>
      <c r="BK60" s="22" t="s">
        <v>407</v>
      </c>
      <c r="BL60" s="22" t="s">
        <v>409</v>
      </c>
      <c r="BM60" s="22" t="s">
        <v>411</v>
      </c>
      <c r="BN60" s="22" t="s">
        <v>413</v>
      </c>
      <c r="BO60" s="22" t="s">
        <v>415</v>
      </c>
      <c r="BP60" s="22" t="s">
        <v>417</v>
      </c>
      <c r="BQ60" s="22" t="s">
        <v>419</v>
      </c>
      <c r="BR60" s="22" t="s">
        <v>421</v>
      </c>
      <c r="BS60" s="22" t="s">
        <v>423</v>
      </c>
      <c r="BT60" s="22" t="s">
        <v>425</v>
      </c>
      <c r="BU60" s="22" t="s">
        <v>427</v>
      </c>
      <c r="BV60" s="22" t="s">
        <v>429</v>
      </c>
      <c r="BW60" s="22" t="s">
        <v>431</v>
      </c>
      <c r="BX60" s="22" t="s">
        <v>433</v>
      </c>
      <c r="BY60" s="22" t="s">
        <v>435</v>
      </c>
      <c r="BZ60" s="22" t="s">
        <v>437</v>
      </c>
      <c r="CA60" s="22" t="s">
        <v>439</v>
      </c>
      <c r="CB60" s="22" t="s">
        <v>441</v>
      </c>
      <c r="CC60" s="22" t="s">
        <v>443</v>
      </c>
      <c r="CD60" s="22" t="s">
        <v>445</v>
      </c>
      <c r="CE60" s="22" t="s">
        <v>447</v>
      </c>
      <c r="CF60" s="22" t="s">
        <v>449</v>
      </c>
      <c r="CG60" s="22" t="s">
        <v>451</v>
      </c>
      <c r="CH60" s="22" t="s">
        <v>453</v>
      </c>
      <c r="CI60" s="22" t="s">
        <v>455</v>
      </c>
      <c r="CJ60" s="22" t="s">
        <v>457</v>
      </c>
      <c r="CK60" s="22" t="s">
        <v>459</v>
      </c>
      <c r="CL60" s="22" t="s">
        <v>461</v>
      </c>
      <c r="CM60" s="22" t="s">
        <v>463</v>
      </c>
      <c r="CN60" s="22" t="s">
        <v>465</v>
      </c>
      <c r="CO60" s="22" t="s">
        <v>467</v>
      </c>
      <c r="CP60" s="22" t="s">
        <v>469</v>
      </c>
      <c r="CQ60" s="22" t="s">
        <v>471</v>
      </c>
      <c r="CR60" s="22" t="s">
        <v>473</v>
      </c>
      <c r="CS60" s="22" t="s">
        <v>475</v>
      </c>
      <c r="CT60" s="22" t="s">
        <v>477</v>
      </c>
      <c r="CU60" s="22" t="s">
        <v>479</v>
      </c>
      <c r="CV60" s="22" t="s">
        <v>481</v>
      </c>
      <c r="CW60" s="22" t="s">
        <v>483</v>
      </c>
      <c r="CX60" s="22" t="s">
        <v>485</v>
      </c>
      <c r="CY60" s="22" t="s">
        <v>487</v>
      </c>
      <c r="CZ60" s="22" t="s">
        <v>489</v>
      </c>
      <c r="DA60" s="22" t="s">
        <v>491</v>
      </c>
      <c r="DB60" s="23"/>
    </row>
    <row r="61" spans="2:106" x14ac:dyDescent="0.25">
      <c r="I61" s="1"/>
      <c r="K61" s="22" t="s">
        <v>304</v>
      </c>
      <c r="L61" s="22" t="s">
        <v>306</v>
      </c>
      <c r="M61" s="22" t="s">
        <v>308</v>
      </c>
      <c r="N61" s="22" t="s">
        <v>310</v>
      </c>
      <c r="O61" s="22" t="s">
        <v>312</v>
      </c>
      <c r="P61" s="22" t="s">
        <v>314</v>
      </c>
      <c r="Q61" s="22" t="s">
        <v>316</v>
      </c>
      <c r="R61" s="22" t="s">
        <v>318</v>
      </c>
      <c r="S61" s="22" t="s">
        <v>320</v>
      </c>
      <c r="T61" s="22" t="s">
        <v>322</v>
      </c>
      <c r="U61" s="22" t="s">
        <v>324</v>
      </c>
      <c r="V61" s="22" t="s">
        <v>326</v>
      </c>
      <c r="W61" s="22" t="s">
        <v>328</v>
      </c>
      <c r="X61" s="22" t="s">
        <v>330</v>
      </c>
      <c r="Y61" s="22" t="s">
        <v>332</v>
      </c>
      <c r="Z61" s="22" t="s">
        <v>334</v>
      </c>
      <c r="AA61" s="22" t="s">
        <v>336</v>
      </c>
      <c r="AB61" s="22" t="s">
        <v>338</v>
      </c>
      <c r="AC61" s="22" t="s">
        <v>340</v>
      </c>
      <c r="AD61" s="22" t="s">
        <v>342</v>
      </c>
      <c r="AE61" s="22" t="s">
        <v>344</v>
      </c>
      <c r="AF61" s="22" t="s">
        <v>346</v>
      </c>
      <c r="AG61" s="22" t="s">
        <v>348</v>
      </c>
      <c r="AH61" s="22" t="s">
        <v>350</v>
      </c>
      <c r="AI61" s="22" t="s">
        <v>352</v>
      </c>
      <c r="AJ61" s="22" t="s">
        <v>354</v>
      </c>
      <c r="AK61" s="22" t="s">
        <v>356</v>
      </c>
      <c r="AL61" s="22" t="s">
        <v>358</v>
      </c>
      <c r="AM61" s="22" t="s">
        <v>360</v>
      </c>
      <c r="AN61" s="22" t="s">
        <v>362</v>
      </c>
      <c r="AO61" s="22" t="s">
        <v>364</v>
      </c>
      <c r="AP61" s="22" t="s">
        <v>366</v>
      </c>
      <c r="AQ61" s="22" t="s">
        <v>368</v>
      </c>
      <c r="AR61" s="22" t="s">
        <v>370</v>
      </c>
      <c r="AS61" s="22" t="s">
        <v>372</v>
      </c>
      <c r="AT61" s="22" t="s">
        <v>374</v>
      </c>
      <c r="AU61" s="22" t="s">
        <v>376</v>
      </c>
      <c r="AV61" s="22" t="s">
        <v>378</v>
      </c>
      <c r="AW61" s="22" t="s">
        <v>380</v>
      </c>
      <c r="AX61" s="22" t="s">
        <v>382</v>
      </c>
      <c r="AY61" s="22" t="s">
        <v>384</v>
      </c>
      <c r="AZ61" s="22" t="s">
        <v>386</v>
      </c>
      <c r="BA61" s="22" t="s">
        <v>388</v>
      </c>
      <c r="BB61" s="22" t="s">
        <v>390</v>
      </c>
      <c r="BC61" s="22" t="s">
        <v>392</v>
      </c>
      <c r="BD61" s="22" t="s">
        <v>394</v>
      </c>
      <c r="BE61" s="22" t="s">
        <v>396</v>
      </c>
      <c r="BF61" s="22" t="s">
        <v>398</v>
      </c>
      <c r="BG61" s="22" t="s">
        <v>400</v>
      </c>
      <c r="BH61" s="22" t="s">
        <v>402</v>
      </c>
      <c r="BI61" s="22" t="s">
        <v>404</v>
      </c>
      <c r="BJ61" s="22" t="s">
        <v>406</v>
      </c>
      <c r="BK61" s="22" t="s">
        <v>408</v>
      </c>
      <c r="BL61" s="22" t="s">
        <v>410</v>
      </c>
      <c r="BM61" s="22" t="s">
        <v>412</v>
      </c>
      <c r="BN61" s="22" t="s">
        <v>414</v>
      </c>
      <c r="BO61" s="22" t="s">
        <v>416</v>
      </c>
      <c r="BP61" s="22" t="s">
        <v>418</v>
      </c>
      <c r="BQ61" s="22" t="s">
        <v>420</v>
      </c>
      <c r="BR61" s="22" t="s">
        <v>422</v>
      </c>
      <c r="BS61" s="22" t="s">
        <v>424</v>
      </c>
      <c r="BT61" s="22" t="s">
        <v>426</v>
      </c>
      <c r="BU61" s="22" t="s">
        <v>428</v>
      </c>
      <c r="BV61" s="22" t="s">
        <v>430</v>
      </c>
      <c r="BW61" s="22" t="s">
        <v>432</v>
      </c>
      <c r="BX61" s="22" t="s">
        <v>434</v>
      </c>
      <c r="BY61" s="22" t="s">
        <v>436</v>
      </c>
      <c r="BZ61" s="22" t="s">
        <v>438</v>
      </c>
      <c r="CA61" s="22" t="s">
        <v>440</v>
      </c>
      <c r="CB61" s="22" t="s">
        <v>442</v>
      </c>
      <c r="CC61" s="22" t="s">
        <v>444</v>
      </c>
      <c r="CD61" s="22" t="s">
        <v>446</v>
      </c>
      <c r="CE61" s="22" t="s">
        <v>448</v>
      </c>
      <c r="CF61" s="22" t="s">
        <v>450</v>
      </c>
      <c r="CG61" s="22" t="s">
        <v>452</v>
      </c>
      <c r="CH61" s="22" t="s">
        <v>454</v>
      </c>
      <c r="CI61" s="22" t="s">
        <v>456</v>
      </c>
      <c r="CJ61" s="22" t="s">
        <v>458</v>
      </c>
      <c r="CK61" s="22" t="s">
        <v>460</v>
      </c>
      <c r="CL61" s="22" t="s">
        <v>462</v>
      </c>
      <c r="CM61" s="22" t="s">
        <v>464</v>
      </c>
      <c r="CN61" s="22" t="s">
        <v>466</v>
      </c>
      <c r="CO61" s="22" t="s">
        <v>468</v>
      </c>
      <c r="CP61" s="22" t="s">
        <v>470</v>
      </c>
      <c r="CQ61" s="22" t="s">
        <v>472</v>
      </c>
      <c r="CR61" s="22" t="s">
        <v>474</v>
      </c>
      <c r="CS61" s="22" t="s">
        <v>476</v>
      </c>
      <c r="CT61" s="22" t="s">
        <v>478</v>
      </c>
      <c r="CU61" s="22" t="s">
        <v>480</v>
      </c>
      <c r="CV61" s="22" t="s">
        <v>482</v>
      </c>
      <c r="CW61" s="22" t="s">
        <v>484</v>
      </c>
      <c r="CX61" s="22" t="s">
        <v>486</v>
      </c>
      <c r="CY61" s="22" t="s">
        <v>488</v>
      </c>
      <c r="CZ61" s="22" t="s">
        <v>490</v>
      </c>
      <c r="DA61" s="22" t="s">
        <v>492</v>
      </c>
      <c r="DB61" s="23"/>
    </row>
    <row r="62" spans="2:106" x14ac:dyDescent="0.25">
      <c r="I62" s="1"/>
    </row>
    <row r="63" spans="2:106" ht="41.4" customHeight="1" x14ac:dyDescent="0.25">
      <c r="I63" s="24" t="s">
        <v>202</v>
      </c>
      <c r="K63" s="9" t="str">
        <f>LEFT(K60,8)</f>
        <v>A3.01.01</v>
      </c>
      <c r="L63" s="9" t="str">
        <f t="shared" ref="L63:BW63" si="16">LEFT(L60,8)</f>
        <v>A3.01.02</v>
      </c>
      <c r="M63" s="9" t="str">
        <f t="shared" si="16"/>
        <v>A3.07.01</v>
      </c>
      <c r="N63" s="9" t="str">
        <f t="shared" si="16"/>
        <v>A3.07.02</v>
      </c>
      <c r="O63" s="9" t="str">
        <f t="shared" si="16"/>
        <v>A3.07.03</v>
      </c>
      <c r="P63" s="9" t="str">
        <f t="shared" si="16"/>
        <v>A3.07.04</v>
      </c>
      <c r="Q63" s="9" t="str">
        <f t="shared" si="16"/>
        <v>A3.07.05</v>
      </c>
      <c r="R63" s="9" t="str">
        <f t="shared" si="16"/>
        <v>A3.07.06</v>
      </c>
      <c r="S63" s="9" t="str">
        <f t="shared" si="16"/>
        <v>A3.07.07</v>
      </c>
      <c r="T63" s="9" t="str">
        <f t="shared" si="16"/>
        <v>A3.07.08</v>
      </c>
      <c r="U63" s="9" t="str">
        <f t="shared" si="16"/>
        <v>A3.08.02</v>
      </c>
      <c r="V63" s="9" t="str">
        <f t="shared" si="16"/>
        <v>A3.08.03</v>
      </c>
      <c r="W63" s="9" t="str">
        <f t="shared" si="16"/>
        <v>A3.10.01</v>
      </c>
      <c r="X63" s="9" t="str">
        <f t="shared" si="16"/>
        <v>A3.10.02</v>
      </c>
      <c r="Y63" s="9" t="str">
        <f t="shared" si="16"/>
        <v>A3.10.03</v>
      </c>
      <c r="Z63" s="9" t="str">
        <f t="shared" si="16"/>
        <v>A3.10.04</v>
      </c>
      <c r="AA63" s="9" t="str">
        <f t="shared" si="16"/>
        <v>A3.10.05</v>
      </c>
      <c r="AB63" s="9" t="str">
        <f t="shared" si="16"/>
        <v>A6.01.01</v>
      </c>
      <c r="AC63" s="9" t="str">
        <f t="shared" si="16"/>
        <v>A6.01.02</v>
      </c>
      <c r="AD63" s="9" t="str">
        <f t="shared" si="16"/>
        <v>A6.09.01</v>
      </c>
      <c r="AE63" s="9" t="str">
        <f t="shared" si="16"/>
        <v>A6.09.02</v>
      </c>
      <c r="AF63" s="9" t="str">
        <f t="shared" si="16"/>
        <v>A6.09.03</v>
      </c>
      <c r="AG63" s="9" t="str">
        <f t="shared" si="16"/>
        <v>A6.09.04</v>
      </c>
      <c r="AH63" s="9" t="str">
        <f t="shared" si="16"/>
        <v>A6.09.05</v>
      </c>
      <c r="AI63" s="9" t="str">
        <f t="shared" si="16"/>
        <v>A6.09.06</v>
      </c>
      <c r="AJ63" s="9" t="str">
        <f t="shared" si="16"/>
        <v>A6.09.07</v>
      </c>
      <c r="AK63" s="9" t="str">
        <f t="shared" si="16"/>
        <v>A6.10.04</v>
      </c>
      <c r="AL63" s="9" t="str">
        <f t="shared" si="16"/>
        <v>A6.13.01</v>
      </c>
      <c r="AM63" s="9" t="str">
        <f t="shared" si="16"/>
        <v>A6.13.02</v>
      </c>
      <c r="AN63" s="9" t="str">
        <f t="shared" si="16"/>
        <v>A6.13.03</v>
      </c>
      <c r="AO63" s="9" t="str">
        <f t="shared" si="16"/>
        <v>A6.13.04</v>
      </c>
      <c r="AP63" s="9" t="str">
        <f t="shared" si="16"/>
        <v>B1.02.01</v>
      </c>
      <c r="AQ63" s="9" t="str">
        <f t="shared" si="16"/>
        <v>B1.02.02</v>
      </c>
      <c r="AR63" s="9" t="str">
        <f t="shared" si="16"/>
        <v>B1.07.01</v>
      </c>
      <c r="AS63" s="9" t="str">
        <f t="shared" si="16"/>
        <v>B1.07.02</v>
      </c>
      <c r="AT63" s="9" t="str">
        <f t="shared" si="16"/>
        <v>B1.07.03</v>
      </c>
      <c r="AU63" s="9" t="str">
        <f t="shared" si="16"/>
        <v>B1.07.04</v>
      </c>
      <c r="AV63" s="9" t="str">
        <f t="shared" si="16"/>
        <v>B1.07.05</v>
      </c>
      <c r="AW63" s="9" t="str">
        <f t="shared" si="16"/>
        <v>B1.08.02</v>
      </c>
      <c r="AX63" s="9" t="str">
        <f t="shared" si="16"/>
        <v>B1.08.03</v>
      </c>
      <c r="AY63" s="9" t="str">
        <f t="shared" si="16"/>
        <v>B1.11.01</v>
      </c>
      <c r="AZ63" s="9" t="str">
        <f t="shared" si="16"/>
        <v>B1.11.02</v>
      </c>
      <c r="BA63" s="9" t="str">
        <f t="shared" si="16"/>
        <v>C1.01.01</v>
      </c>
      <c r="BB63" s="9" t="str">
        <f t="shared" si="16"/>
        <v>C1.01.02</v>
      </c>
      <c r="BC63" s="9" t="str">
        <f t="shared" si="16"/>
        <v>C1.01.03</v>
      </c>
      <c r="BD63" s="9" t="str">
        <f t="shared" si="16"/>
        <v>C1.01.04</v>
      </c>
      <c r="BE63" s="9" t="str">
        <f t="shared" si="16"/>
        <v>C1.01.05</v>
      </c>
      <c r="BF63" s="9" t="str">
        <f t="shared" si="16"/>
        <v>C1.01.06</v>
      </c>
      <c r="BG63" s="9" t="str">
        <f t="shared" si="16"/>
        <v>C1.08.01</v>
      </c>
      <c r="BH63" s="9" t="str">
        <f t="shared" si="16"/>
        <v>C1.08.02</v>
      </c>
      <c r="BI63" s="9" t="str">
        <f t="shared" si="16"/>
        <v>C1.08.03</v>
      </c>
      <c r="BJ63" s="9" t="str">
        <f t="shared" si="16"/>
        <v>C1.08.04</v>
      </c>
      <c r="BK63" s="9" t="str">
        <f t="shared" si="16"/>
        <v>C1.08.05</v>
      </c>
      <c r="BL63" s="9" t="str">
        <f t="shared" si="16"/>
        <v>C1.08.06</v>
      </c>
      <c r="BM63" s="9" t="str">
        <f t="shared" si="16"/>
        <v>C1.08.07</v>
      </c>
      <c r="BN63" s="9" t="str">
        <f t="shared" si="16"/>
        <v>C1.08.08</v>
      </c>
      <c r="BO63" s="9" t="str">
        <f t="shared" si="16"/>
        <v>C1.09.07</v>
      </c>
      <c r="BP63" s="9" t="str">
        <f t="shared" si="16"/>
        <v>C1.09.08</v>
      </c>
      <c r="BQ63" s="9" t="str">
        <f t="shared" si="16"/>
        <v>C1.14.01</v>
      </c>
      <c r="BR63" s="9" t="str">
        <f t="shared" si="16"/>
        <v>C1.14.02</v>
      </c>
      <c r="BS63" s="9" t="str">
        <f t="shared" si="16"/>
        <v>C1.14.03</v>
      </c>
      <c r="BT63" s="9" t="str">
        <f t="shared" si="16"/>
        <v>C1.14.04</v>
      </c>
      <c r="BU63" s="9" t="str">
        <f t="shared" si="16"/>
        <v>C1.14.05</v>
      </c>
      <c r="BV63" s="9" t="str">
        <f t="shared" si="16"/>
        <v>C1.14.06</v>
      </c>
      <c r="BW63" s="9" t="str">
        <f t="shared" si="16"/>
        <v>D1.02.01</v>
      </c>
      <c r="BX63" s="9" t="str">
        <f t="shared" ref="BX63:DA63" si="17">LEFT(BX60,8)</f>
        <v>D1.02.02</v>
      </c>
      <c r="BY63" s="9" t="str">
        <f t="shared" si="17"/>
        <v>D1.02.03</v>
      </c>
      <c r="BZ63" s="9" t="str">
        <f t="shared" si="17"/>
        <v>D1.02.04</v>
      </c>
      <c r="CA63" s="9" t="str">
        <f t="shared" si="17"/>
        <v>D1.02.05</v>
      </c>
      <c r="CB63" s="9" t="str">
        <f t="shared" si="17"/>
        <v>D1.08.01</v>
      </c>
      <c r="CC63" s="9" t="str">
        <f t="shared" si="17"/>
        <v>D1.08.02</v>
      </c>
      <c r="CD63" s="9" t="str">
        <f t="shared" si="17"/>
        <v>D1.08.03</v>
      </c>
      <c r="CE63" s="9" t="str">
        <f t="shared" si="17"/>
        <v>D1.08.04</v>
      </c>
      <c r="CF63" s="9" t="str">
        <f t="shared" si="17"/>
        <v>D1.08.05</v>
      </c>
      <c r="CG63" s="9" t="str">
        <f t="shared" si="17"/>
        <v>D1.09.02</v>
      </c>
      <c r="CH63" s="9" t="str">
        <f t="shared" si="17"/>
        <v>D1.09.03</v>
      </c>
      <c r="CI63" s="9" t="str">
        <f t="shared" si="17"/>
        <v>D1.12.01</v>
      </c>
      <c r="CJ63" s="9" t="str">
        <f t="shared" si="17"/>
        <v>D1.12.02</v>
      </c>
      <c r="CK63" s="9" t="str">
        <f t="shared" si="17"/>
        <v>E2.01.01</v>
      </c>
      <c r="CL63" s="9" t="str">
        <f t="shared" si="17"/>
        <v>E2.01.02</v>
      </c>
      <c r="CM63" s="9" t="str">
        <f t="shared" si="17"/>
        <v>E2.01.03</v>
      </c>
      <c r="CN63" s="9" t="str">
        <f t="shared" si="17"/>
        <v>E2.01.04</v>
      </c>
      <c r="CO63" s="9" t="str">
        <f t="shared" si="17"/>
        <v>E2.15.01</v>
      </c>
      <c r="CP63" s="9" t="str">
        <f t="shared" si="17"/>
        <v>E2.15.02</v>
      </c>
      <c r="CQ63" s="9" t="str">
        <f t="shared" si="17"/>
        <v>E2.15.03</v>
      </c>
      <c r="CR63" s="9" t="str">
        <f t="shared" si="17"/>
        <v>E2.15.04</v>
      </c>
      <c r="CS63" s="9" t="str">
        <f t="shared" si="17"/>
        <v>E2.15.05</v>
      </c>
      <c r="CT63" s="9" t="str">
        <f t="shared" si="17"/>
        <v>E2.15.06</v>
      </c>
      <c r="CU63" s="9" t="str">
        <f t="shared" si="17"/>
        <v>E2.15.07</v>
      </c>
      <c r="CV63" s="9" t="str">
        <f t="shared" si="17"/>
        <v>E2.34.01</v>
      </c>
      <c r="CW63" s="9" t="str">
        <f t="shared" si="17"/>
        <v>E2.34.02</v>
      </c>
      <c r="CX63" s="9" t="str">
        <f t="shared" si="17"/>
        <v>E2.34.03</v>
      </c>
      <c r="CY63" s="9" t="str">
        <f t="shared" si="17"/>
        <v>E2.34.04</v>
      </c>
      <c r="CZ63" s="9" t="str">
        <f t="shared" si="17"/>
        <v>E2.34.05</v>
      </c>
      <c r="DA63" s="9" t="str">
        <f t="shared" si="17"/>
        <v>E2.34.06</v>
      </c>
    </row>
    <row r="64" spans="2:106" x14ac:dyDescent="0.25">
      <c r="I64" s="11" t="s">
        <v>203</v>
      </c>
      <c r="K64" s="2" t="b">
        <f>K5=K63</f>
        <v>1</v>
      </c>
      <c r="L64" s="2" t="b">
        <f t="shared" ref="L64:BW64" si="18">L5=L63</f>
        <v>1</v>
      </c>
      <c r="M64" s="2" t="b">
        <f t="shared" si="18"/>
        <v>1</v>
      </c>
      <c r="N64" s="2" t="b">
        <f t="shared" si="18"/>
        <v>1</v>
      </c>
      <c r="O64" s="2" t="b">
        <f t="shared" si="18"/>
        <v>1</v>
      </c>
      <c r="P64" s="2" t="b">
        <f t="shared" si="18"/>
        <v>1</v>
      </c>
      <c r="Q64" s="2" t="b">
        <f t="shared" si="18"/>
        <v>1</v>
      </c>
      <c r="R64" s="2" t="b">
        <f t="shared" si="18"/>
        <v>1</v>
      </c>
      <c r="S64" s="2" t="b">
        <f t="shared" si="18"/>
        <v>1</v>
      </c>
      <c r="T64" s="2" t="b">
        <f t="shared" si="18"/>
        <v>1</v>
      </c>
      <c r="U64" s="2" t="b">
        <f t="shared" si="18"/>
        <v>1</v>
      </c>
      <c r="V64" s="2" t="b">
        <f t="shared" si="18"/>
        <v>1</v>
      </c>
      <c r="W64" s="2" t="b">
        <f t="shared" si="18"/>
        <v>1</v>
      </c>
      <c r="X64" s="2" t="b">
        <f t="shared" si="18"/>
        <v>1</v>
      </c>
      <c r="Y64" s="2" t="b">
        <f t="shared" si="18"/>
        <v>1</v>
      </c>
      <c r="Z64" s="2" t="b">
        <f t="shared" si="18"/>
        <v>1</v>
      </c>
      <c r="AA64" s="2" t="b">
        <f t="shared" si="18"/>
        <v>1</v>
      </c>
      <c r="AB64" s="2" t="b">
        <f t="shared" si="18"/>
        <v>1</v>
      </c>
      <c r="AC64" s="2" t="b">
        <f t="shared" si="18"/>
        <v>1</v>
      </c>
      <c r="AD64" s="2" t="b">
        <f t="shared" si="18"/>
        <v>1</v>
      </c>
      <c r="AE64" s="2" t="b">
        <f t="shared" si="18"/>
        <v>1</v>
      </c>
      <c r="AF64" s="2" t="b">
        <f t="shared" si="18"/>
        <v>1</v>
      </c>
      <c r="AG64" s="2" t="b">
        <f t="shared" si="18"/>
        <v>1</v>
      </c>
      <c r="AH64" s="2" t="b">
        <f t="shared" si="18"/>
        <v>1</v>
      </c>
      <c r="AI64" s="2" t="b">
        <f t="shared" si="18"/>
        <v>1</v>
      </c>
      <c r="AJ64" s="2" t="b">
        <f t="shared" si="18"/>
        <v>1</v>
      </c>
      <c r="AK64" s="2" t="b">
        <f t="shared" si="18"/>
        <v>1</v>
      </c>
      <c r="AL64" s="2" t="b">
        <f t="shared" si="18"/>
        <v>1</v>
      </c>
      <c r="AM64" s="2" t="b">
        <f t="shared" si="18"/>
        <v>1</v>
      </c>
      <c r="AN64" s="2" t="b">
        <f t="shared" si="18"/>
        <v>1</v>
      </c>
      <c r="AO64" s="2" t="b">
        <f t="shared" si="18"/>
        <v>1</v>
      </c>
      <c r="AP64" s="2" t="b">
        <f t="shared" si="18"/>
        <v>1</v>
      </c>
      <c r="AQ64" s="2" t="b">
        <f t="shared" si="18"/>
        <v>1</v>
      </c>
      <c r="AR64" s="2" t="b">
        <f t="shared" si="18"/>
        <v>1</v>
      </c>
      <c r="AS64" s="2" t="b">
        <f t="shared" si="18"/>
        <v>1</v>
      </c>
      <c r="AT64" s="2" t="b">
        <f t="shared" si="18"/>
        <v>1</v>
      </c>
      <c r="AU64" s="2" t="b">
        <f t="shared" si="18"/>
        <v>1</v>
      </c>
      <c r="AV64" s="2" t="b">
        <f t="shared" si="18"/>
        <v>1</v>
      </c>
      <c r="AW64" s="2" t="b">
        <f t="shared" si="18"/>
        <v>1</v>
      </c>
      <c r="AX64" s="2" t="b">
        <f t="shared" si="18"/>
        <v>1</v>
      </c>
      <c r="AY64" s="2" t="b">
        <f t="shared" si="18"/>
        <v>1</v>
      </c>
      <c r="AZ64" s="2" t="b">
        <f t="shared" si="18"/>
        <v>1</v>
      </c>
      <c r="BA64" s="2" t="b">
        <f t="shared" si="18"/>
        <v>1</v>
      </c>
      <c r="BB64" s="2" t="b">
        <f t="shared" si="18"/>
        <v>1</v>
      </c>
      <c r="BC64" s="2" t="b">
        <f t="shared" si="18"/>
        <v>1</v>
      </c>
      <c r="BD64" s="2" t="b">
        <f t="shared" si="18"/>
        <v>1</v>
      </c>
      <c r="BE64" s="2" t="b">
        <f t="shared" si="18"/>
        <v>1</v>
      </c>
      <c r="BF64" s="2" t="b">
        <f t="shared" si="18"/>
        <v>1</v>
      </c>
      <c r="BG64" s="2" t="b">
        <f t="shared" si="18"/>
        <v>1</v>
      </c>
      <c r="BH64" s="2" t="b">
        <f t="shared" si="18"/>
        <v>1</v>
      </c>
      <c r="BI64" s="2" t="b">
        <f t="shared" si="18"/>
        <v>1</v>
      </c>
      <c r="BJ64" s="2" t="b">
        <f t="shared" si="18"/>
        <v>1</v>
      </c>
      <c r="BK64" s="2" t="b">
        <f t="shared" si="18"/>
        <v>1</v>
      </c>
      <c r="BL64" s="2" t="b">
        <f t="shared" si="18"/>
        <v>1</v>
      </c>
      <c r="BM64" s="2" t="b">
        <f t="shared" si="18"/>
        <v>1</v>
      </c>
      <c r="BN64" s="2" t="b">
        <f t="shared" si="18"/>
        <v>1</v>
      </c>
      <c r="BO64" s="2" t="b">
        <f t="shared" si="18"/>
        <v>1</v>
      </c>
      <c r="BP64" s="2" t="b">
        <f t="shared" si="18"/>
        <v>1</v>
      </c>
      <c r="BQ64" s="2" t="b">
        <f t="shared" si="18"/>
        <v>1</v>
      </c>
      <c r="BR64" s="2" t="b">
        <f t="shared" si="18"/>
        <v>1</v>
      </c>
      <c r="BS64" s="2" t="b">
        <f t="shared" si="18"/>
        <v>1</v>
      </c>
      <c r="BT64" s="2" t="b">
        <f t="shared" si="18"/>
        <v>1</v>
      </c>
      <c r="BU64" s="2" t="b">
        <f t="shared" si="18"/>
        <v>1</v>
      </c>
      <c r="BV64" s="2" t="b">
        <f t="shared" si="18"/>
        <v>1</v>
      </c>
      <c r="BW64" s="2" t="b">
        <f t="shared" si="18"/>
        <v>1</v>
      </c>
      <c r="BX64" s="2" t="b">
        <f t="shared" ref="BX64:DA64" si="19">BX5=BX63</f>
        <v>1</v>
      </c>
      <c r="BY64" s="2" t="b">
        <f t="shared" si="19"/>
        <v>1</v>
      </c>
      <c r="BZ64" s="2" t="b">
        <f t="shared" si="19"/>
        <v>1</v>
      </c>
      <c r="CA64" s="2" t="b">
        <f t="shared" si="19"/>
        <v>1</v>
      </c>
      <c r="CB64" s="2" t="b">
        <f t="shared" si="19"/>
        <v>1</v>
      </c>
      <c r="CC64" s="2" t="b">
        <f t="shared" si="19"/>
        <v>1</v>
      </c>
      <c r="CD64" s="2" t="b">
        <f t="shared" si="19"/>
        <v>1</v>
      </c>
      <c r="CE64" s="2" t="b">
        <f t="shared" si="19"/>
        <v>1</v>
      </c>
      <c r="CF64" s="2" t="b">
        <f t="shared" si="19"/>
        <v>1</v>
      </c>
      <c r="CG64" s="2" t="b">
        <f t="shared" si="19"/>
        <v>1</v>
      </c>
      <c r="CH64" s="2" t="b">
        <f t="shared" si="19"/>
        <v>1</v>
      </c>
      <c r="CI64" s="2" t="b">
        <f t="shared" si="19"/>
        <v>1</v>
      </c>
      <c r="CJ64" s="2" t="b">
        <f t="shared" si="19"/>
        <v>1</v>
      </c>
      <c r="CK64" s="2" t="b">
        <f t="shared" si="19"/>
        <v>1</v>
      </c>
      <c r="CL64" s="2" t="b">
        <f t="shared" si="19"/>
        <v>1</v>
      </c>
      <c r="CM64" s="2" t="b">
        <f t="shared" si="19"/>
        <v>1</v>
      </c>
      <c r="CN64" s="2" t="b">
        <f t="shared" si="19"/>
        <v>1</v>
      </c>
      <c r="CO64" s="2" t="b">
        <f t="shared" si="19"/>
        <v>1</v>
      </c>
      <c r="CP64" s="2" t="b">
        <f t="shared" si="19"/>
        <v>1</v>
      </c>
      <c r="CQ64" s="2" t="b">
        <f t="shared" si="19"/>
        <v>1</v>
      </c>
      <c r="CR64" s="2" t="b">
        <f t="shared" si="19"/>
        <v>1</v>
      </c>
      <c r="CS64" s="2" t="b">
        <f t="shared" si="19"/>
        <v>1</v>
      </c>
      <c r="CT64" s="2" t="b">
        <f t="shared" si="19"/>
        <v>1</v>
      </c>
      <c r="CU64" s="2" t="b">
        <f t="shared" si="19"/>
        <v>1</v>
      </c>
      <c r="CV64" s="2" t="b">
        <f t="shared" si="19"/>
        <v>1</v>
      </c>
      <c r="CW64" s="2" t="b">
        <f t="shared" si="19"/>
        <v>1</v>
      </c>
      <c r="CX64" s="2" t="b">
        <f t="shared" si="19"/>
        <v>1</v>
      </c>
      <c r="CY64" s="2" t="b">
        <f t="shared" si="19"/>
        <v>1</v>
      </c>
      <c r="CZ64" s="2" t="b">
        <f t="shared" si="19"/>
        <v>1</v>
      </c>
      <c r="DA64" s="2" t="b">
        <f t="shared" si="19"/>
        <v>1</v>
      </c>
    </row>
  </sheetData>
  <sortState xmlns:xlrd2="http://schemas.microsoft.com/office/spreadsheetml/2017/richdata2" ref="A6:A22">
    <sortCondition ref="A6:A22"/>
  </sortState>
  <phoneticPr fontId="1" type="noConversion"/>
  <conditionalFormatting sqref="K64:DA64">
    <cfRule type="cellIs" dxfId="3" priority="4" operator="equal">
      <formula>FALSE</formula>
    </cfRule>
    <cfRule type="cellIs" dxfId="2" priority="5" operator="equal">
      <formula>TRUE</formula>
    </cfRule>
  </conditionalFormatting>
  <conditionalFormatting sqref="C6:C49">
    <cfRule type="expression" dxfId="1" priority="2">
      <formula>SUM(K6:DA6)&lt;&gt;0</formula>
    </cfRule>
  </conditionalFormatting>
  <conditionalFormatting sqref="I3">
    <cfRule type="expression" dxfId="0" priority="1">
      <formula>ROUND(I2,1)=ROUND(I3,1)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ExportBridgesYvalue2.SelectAndListXMLFiles">
                <anchor moveWithCells="1" sizeWithCells="1">
                  <from>
                    <xdr:col>6</xdr:col>
                    <xdr:colOff>304800</xdr:colOff>
                    <xdr:row>59</xdr:row>
                    <xdr:rowOff>7620</xdr:rowOff>
                  </from>
                  <to>
                    <xdr:col>8</xdr:col>
                    <xdr:colOff>449580</xdr:colOff>
                    <xdr:row>61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xportBridgesYvalue4.ExportThermalBridgesToXML">
                <anchor moveWithCells="1" sizeWithCells="1">
                  <from>
                    <xdr:col>6</xdr:col>
                    <xdr:colOff>213360</xdr:colOff>
                    <xdr:row>65</xdr:row>
                    <xdr:rowOff>0</xdr:rowOff>
                  </from>
                  <to>
                    <xdr:col>8</xdr:col>
                    <xdr:colOff>441960</xdr:colOff>
                    <xdr:row>67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B040-BFF5-446D-8A24-992A00CF81FC}">
  <sheetPr codeName="Sheet5">
    <tabColor theme="0" tint="-0.499984740745262"/>
  </sheetPr>
  <dimension ref="B3:J3415"/>
  <sheetViews>
    <sheetView showGridLines="0" workbookViewId="0">
      <selection activeCell="I15" sqref="I15"/>
    </sheetView>
  </sheetViews>
  <sheetFormatPr defaultRowHeight="13.2" x14ac:dyDescent="0.25"/>
  <cols>
    <col min="1" max="1" width="8.796875" style="29"/>
    <col min="2" max="2" width="37.5" style="29" customWidth="1"/>
    <col min="3" max="3" width="10" style="29" bestFit="1" customWidth="1"/>
    <col min="4" max="4" width="7.8984375" style="29" customWidth="1"/>
    <col min="5" max="5" width="30.296875" style="29" bestFit="1" customWidth="1"/>
    <col min="6" max="6" width="8.796875" style="30"/>
    <col min="7" max="7" width="11.69921875" style="30" customWidth="1"/>
    <col min="8" max="8" width="8.796875" style="29"/>
    <col min="9" max="9" width="31.796875" style="29" customWidth="1"/>
    <col min="10" max="16384" width="8.796875" style="29"/>
  </cols>
  <sheetData>
    <row r="3" spans="2:10" ht="15.6" x14ac:dyDescent="0.25">
      <c r="B3" s="36" t="s">
        <v>302</v>
      </c>
      <c r="G3" s="31">
        <f>SUM(G6:G4000)</f>
        <v>10234.29000000009</v>
      </c>
    </row>
    <row r="5" spans="2:10" ht="39.6" x14ac:dyDescent="0.25">
      <c r="B5" s="37" t="s">
        <v>45</v>
      </c>
      <c r="C5" s="37" t="s">
        <v>54</v>
      </c>
      <c r="D5" s="37" t="s">
        <v>49</v>
      </c>
      <c r="E5" s="37" t="s">
        <v>46</v>
      </c>
      <c r="F5" s="31" t="s">
        <v>48</v>
      </c>
      <c r="G5" s="31" t="s">
        <v>49</v>
      </c>
      <c r="J5" s="32"/>
    </row>
    <row r="6" spans="2:10" ht="13.8" customHeight="1" x14ac:dyDescent="0.25">
      <c r="B6" s="33" t="s">
        <v>7</v>
      </c>
      <c r="C6" s="33">
        <v>2765478</v>
      </c>
      <c r="D6" s="33">
        <v>1.83</v>
      </c>
      <c r="E6" s="33" t="s">
        <v>205</v>
      </c>
      <c r="F6" s="31" t="str">
        <f>LEFT(E6,8)</f>
        <v>E2.01.04</v>
      </c>
      <c r="G6" s="34">
        <f>D6</f>
        <v>1.83</v>
      </c>
    </row>
    <row r="7" spans="2:10" ht="13.8" customHeight="1" x14ac:dyDescent="0.25">
      <c r="B7" s="33" t="s">
        <v>7</v>
      </c>
      <c r="C7" s="33">
        <v>2765481</v>
      </c>
      <c r="D7" s="33">
        <v>1.36</v>
      </c>
      <c r="E7" s="33" t="s">
        <v>205</v>
      </c>
      <c r="F7" s="31" t="str">
        <f t="shared" ref="F7:F70" si="0">LEFT(E7,8)</f>
        <v>E2.01.04</v>
      </c>
      <c r="G7" s="34">
        <f t="shared" ref="G7:G70" si="1">D7</f>
        <v>1.36</v>
      </c>
    </row>
    <row r="8" spans="2:10" ht="13.8" customHeight="1" x14ac:dyDescent="0.25">
      <c r="B8" s="33" t="s">
        <v>7</v>
      </c>
      <c r="C8" s="33">
        <v>2765484</v>
      </c>
      <c r="D8" s="33">
        <v>1.36</v>
      </c>
      <c r="E8" s="33" t="s">
        <v>205</v>
      </c>
      <c r="F8" s="31" t="str">
        <f t="shared" si="0"/>
        <v>E2.01.04</v>
      </c>
      <c r="G8" s="34">
        <f t="shared" si="1"/>
        <v>1.36</v>
      </c>
    </row>
    <row r="9" spans="2:10" ht="13.8" customHeight="1" x14ac:dyDescent="0.25">
      <c r="B9" s="33" t="s">
        <v>7</v>
      </c>
      <c r="C9" s="33">
        <v>2765487</v>
      </c>
      <c r="D9" s="33">
        <v>1.36</v>
      </c>
      <c r="E9" s="33" t="s">
        <v>205</v>
      </c>
      <c r="F9" s="31" t="str">
        <f t="shared" si="0"/>
        <v>E2.01.04</v>
      </c>
      <c r="G9" s="34">
        <f t="shared" si="1"/>
        <v>1.36</v>
      </c>
    </row>
    <row r="10" spans="2:10" ht="13.8" customHeight="1" x14ac:dyDescent="0.25">
      <c r="B10" s="33" t="s">
        <v>7</v>
      </c>
      <c r="C10" s="33">
        <v>2765490</v>
      </c>
      <c r="D10" s="33">
        <v>1.36</v>
      </c>
      <c r="E10" s="33" t="s">
        <v>205</v>
      </c>
      <c r="F10" s="31" t="str">
        <f t="shared" si="0"/>
        <v>E2.01.04</v>
      </c>
      <c r="G10" s="34">
        <f t="shared" si="1"/>
        <v>1.36</v>
      </c>
    </row>
    <row r="11" spans="2:10" ht="13.8" customHeight="1" x14ac:dyDescent="0.25">
      <c r="B11" s="33" t="s">
        <v>7</v>
      </c>
      <c r="C11" s="33">
        <v>2765553</v>
      </c>
      <c r="D11" s="33">
        <v>1.36</v>
      </c>
      <c r="E11" s="33" t="s">
        <v>206</v>
      </c>
      <c r="F11" s="31" t="str">
        <f t="shared" si="0"/>
        <v>E2.01.03</v>
      </c>
      <c r="G11" s="34">
        <f t="shared" si="1"/>
        <v>1.36</v>
      </c>
    </row>
    <row r="12" spans="2:10" ht="13.8" customHeight="1" x14ac:dyDescent="0.25">
      <c r="B12" s="33" t="s">
        <v>7</v>
      </c>
      <c r="C12" s="33">
        <v>2765556</v>
      </c>
      <c r="D12" s="33">
        <v>1.36</v>
      </c>
      <c r="E12" s="33" t="s">
        <v>206</v>
      </c>
      <c r="F12" s="31" t="str">
        <f t="shared" si="0"/>
        <v>E2.01.03</v>
      </c>
      <c r="G12" s="34">
        <f t="shared" si="1"/>
        <v>1.36</v>
      </c>
    </row>
    <row r="13" spans="2:10" ht="13.8" customHeight="1" x14ac:dyDescent="0.25">
      <c r="B13" s="33" t="s">
        <v>7</v>
      </c>
      <c r="C13" s="33">
        <v>2765559</v>
      </c>
      <c r="D13" s="33">
        <v>1.36</v>
      </c>
      <c r="E13" s="33" t="s">
        <v>206</v>
      </c>
      <c r="F13" s="31" t="str">
        <f t="shared" si="0"/>
        <v>E2.01.03</v>
      </c>
      <c r="G13" s="34">
        <f t="shared" si="1"/>
        <v>1.36</v>
      </c>
    </row>
    <row r="14" spans="2:10" ht="13.8" customHeight="1" x14ac:dyDescent="0.25">
      <c r="B14" s="33" t="s">
        <v>7</v>
      </c>
      <c r="C14" s="33">
        <v>2765562</v>
      </c>
      <c r="D14" s="33">
        <v>1.83</v>
      </c>
      <c r="E14" s="33" t="s">
        <v>206</v>
      </c>
      <c r="F14" s="31" t="str">
        <f t="shared" si="0"/>
        <v>E2.01.03</v>
      </c>
      <c r="G14" s="34">
        <f t="shared" si="1"/>
        <v>1.83</v>
      </c>
    </row>
    <row r="15" spans="2:10" ht="13.8" customHeight="1" x14ac:dyDescent="0.25">
      <c r="B15" s="33" t="s">
        <v>7</v>
      </c>
      <c r="C15" s="33">
        <v>2765618</v>
      </c>
      <c r="D15" s="33">
        <v>1.36</v>
      </c>
      <c r="E15" s="33" t="s">
        <v>207</v>
      </c>
      <c r="F15" s="31" t="str">
        <f t="shared" si="0"/>
        <v>E2.01.01</v>
      </c>
      <c r="G15" s="34">
        <f t="shared" si="1"/>
        <v>1.36</v>
      </c>
    </row>
    <row r="16" spans="2:10" ht="13.8" customHeight="1" x14ac:dyDescent="0.25">
      <c r="B16" s="33" t="s">
        <v>7</v>
      </c>
      <c r="C16" s="33">
        <v>2765621</v>
      </c>
      <c r="D16" s="33">
        <v>1.36</v>
      </c>
      <c r="E16" s="33" t="s">
        <v>207</v>
      </c>
      <c r="F16" s="31" t="str">
        <f t="shared" si="0"/>
        <v>E2.01.01</v>
      </c>
      <c r="G16" s="34">
        <f t="shared" si="1"/>
        <v>1.36</v>
      </c>
    </row>
    <row r="17" spans="2:7" ht="13.8" customHeight="1" x14ac:dyDescent="0.25">
      <c r="B17" s="33" t="s">
        <v>7</v>
      </c>
      <c r="C17" s="33">
        <v>2765624</v>
      </c>
      <c r="D17" s="33">
        <v>1.83</v>
      </c>
      <c r="E17" s="33" t="s">
        <v>207</v>
      </c>
      <c r="F17" s="31" t="str">
        <f t="shared" si="0"/>
        <v>E2.01.01</v>
      </c>
      <c r="G17" s="34">
        <f t="shared" si="1"/>
        <v>1.83</v>
      </c>
    </row>
    <row r="18" spans="2:7" ht="13.8" customHeight="1" x14ac:dyDescent="0.25">
      <c r="B18" s="33" t="s">
        <v>7</v>
      </c>
      <c r="C18" s="33">
        <v>2765627</v>
      </c>
      <c r="D18" s="33">
        <v>1.36</v>
      </c>
      <c r="E18" s="33" t="s">
        <v>207</v>
      </c>
      <c r="F18" s="31" t="str">
        <f t="shared" si="0"/>
        <v>E2.01.01</v>
      </c>
      <c r="G18" s="34">
        <f t="shared" si="1"/>
        <v>1.36</v>
      </c>
    </row>
    <row r="19" spans="2:7" ht="13.8" customHeight="1" x14ac:dyDescent="0.25">
      <c r="B19" s="33" t="s">
        <v>7</v>
      </c>
      <c r="C19" s="33">
        <v>2765630</v>
      </c>
      <c r="D19" s="33">
        <v>1.36</v>
      </c>
      <c r="E19" s="33" t="s">
        <v>207</v>
      </c>
      <c r="F19" s="31" t="str">
        <f t="shared" si="0"/>
        <v>E2.01.01</v>
      </c>
      <c r="G19" s="34">
        <f t="shared" si="1"/>
        <v>1.36</v>
      </c>
    </row>
    <row r="20" spans="2:7" ht="13.8" customHeight="1" x14ac:dyDescent="0.25">
      <c r="B20" s="33" t="s">
        <v>7</v>
      </c>
      <c r="C20" s="33">
        <v>2765689</v>
      </c>
      <c r="D20" s="33">
        <v>1.36</v>
      </c>
      <c r="E20" s="33" t="s">
        <v>208</v>
      </c>
      <c r="F20" s="31" t="str">
        <f t="shared" si="0"/>
        <v>E2.01.02</v>
      </c>
      <c r="G20" s="34">
        <f t="shared" si="1"/>
        <v>1.36</v>
      </c>
    </row>
    <row r="21" spans="2:7" ht="13.8" customHeight="1" x14ac:dyDescent="0.25">
      <c r="B21" s="33" t="s">
        <v>7</v>
      </c>
      <c r="C21" s="33">
        <v>2765692</v>
      </c>
      <c r="D21" s="33">
        <v>1.36</v>
      </c>
      <c r="E21" s="33" t="s">
        <v>208</v>
      </c>
      <c r="F21" s="31" t="str">
        <f t="shared" si="0"/>
        <v>E2.01.02</v>
      </c>
      <c r="G21" s="34">
        <f t="shared" si="1"/>
        <v>1.36</v>
      </c>
    </row>
    <row r="22" spans="2:7" ht="13.8" customHeight="1" x14ac:dyDescent="0.25">
      <c r="B22" s="33" t="s">
        <v>7</v>
      </c>
      <c r="C22" s="33">
        <v>2765695</v>
      </c>
      <c r="D22" s="33">
        <v>1.36</v>
      </c>
      <c r="E22" s="33" t="s">
        <v>208</v>
      </c>
      <c r="F22" s="31" t="str">
        <f t="shared" si="0"/>
        <v>E2.01.02</v>
      </c>
      <c r="G22" s="34">
        <f t="shared" si="1"/>
        <v>1.36</v>
      </c>
    </row>
    <row r="23" spans="2:7" ht="13.8" customHeight="1" x14ac:dyDescent="0.25">
      <c r="B23" s="33" t="s">
        <v>7</v>
      </c>
      <c r="C23" s="33">
        <v>2765698</v>
      </c>
      <c r="D23" s="33">
        <v>1.83</v>
      </c>
      <c r="E23" s="33" t="s">
        <v>208</v>
      </c>
      <c r="F23" s="31" t="str">
        <f t="shared" si="0"/>
        <v>E2.01.02</v>
      </c>
      <c r="G23" s="34">
        <f t="shared" si="1"/>
        <v>1.83</v>
      </c>
    </row>
    <row r="24" spans="2:7" ht="13.8" customHeight="1" x14ac:dyDescent="0.25">
      <c r="B24" s="33" t="s">
        <v>7</v>
      </c>
      <c r="C24" s="33">
        <v>2765749</v>
      </c>
      <c r="D24" s="33">
        <v>1.36</v>
      </c>
      <c r="E24" s="33" t="s">
        <v>209</v>
      </c>
      <c r="F24" s="31" t="str">
        <f t="shared" si="0"/>
        <v>E2.15.02</v>
      </c>
      <c r="G24" s="34">
        <f t="shared" si="1"/>
        <v>1.36</v>
      </c>
    </row>
    <row r="25" spans="2:7" ht="13.8" customHeight="1" x14ac:dyDescent="0.25">
      <c r="B25" s="33" t="s">
        <v>7</v>
      </c>
      <c r="C25" s="33">
        <v>2765752</v>
      </c>
      <c r="D25" s="33">
        <v>1.36</v>
      </c>
      <c r="E25" s="33" t="s">
        <v>209</v>
      </c>
      <c r="F25" s="31" t="str">
        <f t="shared" si="0"/>
        <v>E2.15.02</v>
      </c>
      <c r="G25" s="34">
        <f t="shared" si="1"/>
        <v>1.36</v>
      </c>
    </row>
    <row r="26" spans="2:7" ht="13.8" customHeight="1" x14ac:dyDescent="0.25">
      <c r="B26" s="33" t="s">
        <v>7</v>
      </c>
      <c r="C26" s="33">
        <v>2765755</v>
      </c>
      <c r="D26" s="33">
        <v>1.36</v>
      </c>
      <c r="E26" s="33" t="s">
        <v>209</v>
      </c>
      <c r="F26" s="31" t="str">
        <f t="shared" si="0"/>
        <v>E2.15.02</v>
      </c>
      <c r="G26" s="34">
        <f t="shared" si="1"/>
        <v>1.36</v>
      </c>
    </row>
    <row r="27" spans="2:7" ht="13.8" customHeight="1" x14ac:dyDescent="0.25">
      <c r="B27" s="33" t="s">
        <v>7</v>
      </c>
      <c r="C27" s="33">
        <v>2765758</v>
      </c>
      <c r="D27" s="33">
        <v>1.83</v>
      </c>
      <c r="E27" s="33" t="s">
        <v>209</v>
      </c>
      <c r="F27" s="31" t="str">
        <f t="shared" si="0"/>
        <v>E2.15.02</v>
      </c>
      <c r="G27" s="34">
        <f t="shared" si="1"/>
        <v>1.83</v>
      </c>
    </row>
    <row r="28" spans="2:7" ht="13.8" customHeight="1" x14ac:dyDescent="0.25">
      <c r="B28" s="33" t="s">
        <v>7</v>
      </c>
      <c r="C28" s="33">
        <v>2765761</v>
      </c>
      <c r="D28" s="33">
        <v>1.36</v>
      </c>
      <c r="E28" s="33" t="s">
        <v>209</v>
      </c>
      <c r="F28" s="31" t="str">
        <f t="shared" si="0"/>
        <v>E2.15.02</v>
      </c>
      <c r="G28" s="34">
        <f t="shared" si="1"/>
        <v>1.36</v>
      </c>
    </row>
    <row r="29" spans="2:7" ht="13.8" customHeight="1" x14ac:dyDescent="0.25">
      <c r="B29" s="33" t="s">
        <v>7</v>
      </c>
      <c r="C29" s="33">
        <v>2765835</v>
      </c>
      <c r="D29" s="33">
        <v>1.36</v>
      </c>
      <c r="E29" s="33" t="s">
        <v>210</v>
      </c>
      <c r="F29" s="31" t="str">
        <f t="shared" si="0"/>
        <v>E2.15.03</v>
      </c>
      <c r="G29" s="34">
        <f t="shared" si="1"/>
        <v>1.36</v>
      </c>
    </row>
    <row r="30" spans="2:7" ht="13.8" customHeight="1" x14ac:dyDescent="0.25">
      <c r="B30" s="33" t="s">
        <v>7</v>
      </c>
      <c r="C30" s="33">
        <v>2765838</v>
      </c>
      <c r="D30" s="33">
        <v>1.36</v>
      </c>
      <c r="E30" s="33" t="s">
        <v>210</v>
      </c>
      <c r="F30" s="31" t="str">
        <f t="shared" si="0"/>
        <v>E2.15.03</v>
      </c>
      <c r="G30" s="34">
        <f t="shared" si="1"/>
        <v>1.36</v>
      </c>
    </row>
    <row r="31" spans="2:7" ht="13.8" customHeight="1" x14ac:dyDescent="0.25">
      <c r="B31" s="33" t="s">
        <v>7</v>
      </c>
      <c r="C31" s="33">
        <v>2765841</v>
      </c>
      <c r="D31" s="33">
        <v>1.36</v>
      </c>
      <c r="E31" s="33" t="s">
        <v>210</v>
      </c>
      <c r="F31" s="31" t="str">
        <f t="shared" si="0"/>
        <v>E2.15.03</v>
      </c>
      <c r="G31" s="34">
        <f t="shared" si="1"/>
        <v>1.36</v>
      </c>
    </row>
    <row r="32" spans="2:7" ht="13.8" customHeight="1" x14ac:dyDescent="0.25">
      <c r="B32" s="33" t="s">
        <v>7</v>
      </c>
      <c r="C32" s="33">
        <v>2765844</v>
      </c>
      <c r="D32" s="33">
        <v>1.83</v>
      </c>
      <c r="E32" s="33" t="s">
        <v>210</v>
      </c>
      <c r="F32" s="31" t="str">
        <f t="shared" si="0"/>
        <v>E2.15.03</v>
      </c>
      <c r="G32" s="34">
        <f t="shared" si="1"/>
        <v>1.83</v>
      </c>
    </row>
    <row r="33" spans="2:7" ht="13.8" customHeight="1" x14ac:dyDescent="0.25">
      <c r="B33" s="33" t="s">
        <v>7</v>
      </c>
      <c r="C33" s="33">
        <v>2765847</v>
      </c>
      <c r="D33" s="33">
        <v>1.36</v>
      </c>
      <c r="E33" s="33" t="s">
        <v>210</v>
      </c>
      <c r="F33" s="31" t="str">
        <f t="shared" si="0"/>
        <v>E2.15.03</v>
      </c>
      <c r="G33" s="34">
        <f t="shared" si="1"/>
        <v>1.36</v>
      </c>
    </row>
    <row r="34" spans="2:7" ht="13.8" customHeight="1" x14ac:dyDescent="0.25">
      <c r="B34" s="33" t="s">
        <v>7</v>
      </c>
      <c r="C34" s="33">
        <v>2765913</v>
      </c>
      <c r="D34" s="33">
        <v>1.36</v>
      </c>
      <c r="E34" s="33" t="s">
        <v>211</v>
      </c>
      <c r="F34" s="31" t="str">
        <f t="shared" si="0"/>
        <v>E2.15.01</v>
      </c>
      <c r="G34" s="34">
        <f t="shared" si="1"/>
        <v>1.36</v>
      </c>
    </row>
    <row r="35" spans="2:7" ht="13.8" customHeight="1" x14ac:dyDescent="0.25">
      <c r="B35" s="33" t="s">
        <v>7</v>
      </c>
      <c r="C35" s="33">
        <v>2765916</v>
      </c>
      <c r="D35" s="33">
        <v>1.36</v>
      </c>
      <c r="E35" s="33" t="s">
        <v>211</v>
      </c>
      <c r="F35" s="31" t="str">
        <f t="shared" si="0"/>
        <v>E2.15.01</v>
      </c>
      <c r="G35" s="34">
        <f t="shared" si="1"/>
        <v>1.36</v>
      </c>
    </row>
    <row r="36" spans="2:7" ht="13.8" customHeight="1" x14ac:dyDescent="0.25">
      <c r="B36" s="33" t="s">
        <v>7</v>
      </c>
      <c r="C36" s="33">
        <v>2765919</v>
      </c>
      <c r="D36" s="33">
        <v>1.36</v>
      </c>
      <c r="E36" s="33" t="s">
        <v>211</v>
      </c>
      <c r="F36" s="31" t="str">
        <f t="shared" si="0"/>
        <v>E2.15.01</v>
      </c>
      <c r="G36" s="34">
        <f t="shared" si="1"/>
        <v>1.36</v>
      </c>
    </row>
    <row r="37" spans="2:7" ht="13.8" customHeight="1" x14ac:dyDescent="0.25">
      <c r="B37" s="33" t="s">
        <v>7</v>
      </c>
      <c r="C37" s="33">
        <v>2765922</v>
      </c>
      <c r="D37" s="33">
        <v>1.83</v>
      </c>
      <c r="E37" s="33" t="s">
        <v>211</v>
      </c>
      <c r="F37" s="31" t="str">
        <f t="shared" si="0"/>
        <v>E2.15.01</v>
      </c>
      <c r="G37" s="34">
        <f t="shared" si="1"/>
        <v>1.83</v>
      </c>
    </row>
    <row r="38" spans="2:7" ht="13.8" customHeight="1" x14ac:dyDescent="0.25">
      <c r="B38" s="33" t="s">
        <v>7</v>
      </c>
      <c r="C38" s="33">
        <v>2765982</v>
      </c>
      <c r="D38" s="33">
        <v>1.36</v>
      </c>
      <c r="E38" s="33" t="s">
        <v>212</v>
      </c>
      <c r="F38" s="31" t="str">
        <f t="shared" si="0"/>
        <v>E2.15.06</v>
      </c>
      <c r="G38" s="34">
        <f t="shared" si="1"/>
        <v>1.36</v>
      </c>
    </row>
    <row r="39" spans="2:7" ht="13.8" customHeight="1" x14ac:dyDescent="0.25">
      <c r="B39" s="33" t="s">
        <v>7</v>
      </c>
      <c r="C39" s="33">
        <v>2765985</v>
      </c>
      <c r="D39" s="33">
        <v>1.36</v>
      </c>
      <c r="E39" s="33" t="s">
        <v>212</v>
      </c>
      <c r="F39" s="31" t="str">
        <f t="shared" si="0"/>
        <v>E2.15.06</v>
      </c>
      <c r="G39" s="34">
        <f t="shared" si="1"/>
        <v>1.36</v>
      </c>
    </row>
    <row r="40" spans="2:7" ht="13.8" customHeight="1" x14ac:dyDescent="0.25">
      <c r="B40" s="33" t="s">
        <v>7</v>
      </c>
      <c r="C40" s="33">
        <v>2765988</v>
      </c>
      <c r="D40" s="33">
        <v>1.36</v>
      </c>
      <c r="E40" s="33" t="s">
        <v>212</v>
      </c>
      <c r="F40" s="31" t="str">
        <f t="shared" si="0"/>
        <v>E2.15.06</v>
      </c>
      <c r="G40" s="34">
        <f t="shared" si="1"/>
        <v>1.36</v>
      </c>
    </row>
    <row r="41" spans="2:7" ht="13.8" customHeight="1" x14ac:dyDescent="0.25">
      <c r="B41" s="33" t="s">
        <v>7</v>
      </c>
      <c r="C41" s="33">
        <v>2765991</v>
      </c>
      <c r="D41" s="33">
        <v>1.36</v>
      </c>
      <c r="E41" s="33" t="s">
        <v>212</v>
      </c>
      <c r="F41" s="31" t="str">
        <f t="shared" si="0"/>
        <v>E2.15.06</v>
      </c>
      <c r="G41" s="34">
        <f t="shared" si="1"/>
        <v>1.36</v>
      </c>
    </row>
    <row r="42" spans="2:7" ht="13.8" customHeight="1" x14ac:dyDescent="0.25">
      <c r="B42" s="33" t="s">
        <v>7</v>
      </c>
      <c r="C42" s="33">
        <v>2765994</v>
      </c>
      <c r="D42" s="33">
        <v>1.83</v>
      </c>
      <c r="E42" s="33" t="s">
        <v>212</v>
      </c>
      <c r="F42" s="31" t="str">
        <f t="shared" si="0"/>
        <v>E2.15.06</v>
      </c>
      <c r="G42" s="34">
        <f t="shared" si="1"/>
        <v>1.83</v>
      </c>
    </row>
    <row r="43" spans="2:7" ht="13.8" customHeight="1" x14ac:dyDescent="0.25">
      <c r="B43" s="33" t="s">
        <v>7</v>
      </c>
      <c r="C43" s="33">
        <v>2765997</v>
      </c>
      <c r="D43" s="33">
        <v>1.36</v>
      </c>
      <c r="E43" s="33" t="s">
        <v>212</v>
      </c>
      <c r="F43" s="31" t="str">
        <f t="shared" si="0"/>
        <v>E2.15.06</v>
      </c>
      <c r="G43" s="34">
        <f t="shared" si="1"/>
        <v>1.36</v>
      </c>
    </row>
    <row r="44" spans="2:7" ht="13.8" customHeight="1" x14ac:dyDescent="0.25">
      <c r="B44" s="33" t="s">
        <v>7</v>
      </c>
      <c r="C44" s="33">
        <v>2766072</v>
      </c>
      <c r="D44" s="33">
        <v>1.36</v>
      </c>
      <c r="E44" s="33" t="s">
        <v>213</v>
      </c>
      <c r="F44" s="31" t="str">
        <f t="shared" si="0"/>
        <v>E2.15.05</v>
      </c>
      <c r="G44" s="34">
        <f t="shared" si="1"/>
        <v>1.36</v>
      </c>
    </row>
    <row r="45" spans="2:7" ht="13.8" customHeight="1" x14ac:dyDescent="0.25">
      <c r="B45" s="33" t="s">
        <v>7</v>
      </c>
      <c r="C45" s="33">
        <v>2766075</v>
      </c>
      <c r="D45" s="33">
        <v>1.36</v>
      </c>
      <c r="E45" s="33" t="s">
        <v>213</v>
      </c>
      <c r="F45" s="31" t="str">
        <f t="shared" si="0"/>
        <v>E2.15.05</v>
      </c>
      <c r="G45" s="34">
        <f t="shared" si="1"/>
        <v>1.36</v>
      </c>
    </row>
    <row r="46" spans="2:7" ht="13.8" customHeight="1" x14ac:dyDescent="0.25">
      <c r="B46" s="33" t="s">
        <v>7</v>
      </c>
      <c r="C46" s="33">
        <v>2766078</v>
      </c>
      <c r="D46" s="33">
        <v>1.83</v>
      </c>
      <c r="E46" s="33" t="s">
        <v>213</v>
      </c>
      <c r="F46" s="31" t="str">
        <f t="shared" si="0"/>
        <v>E2.15.05</v>
      </c>
      <c r="G46" s="34">
        <f t="shared" si="1"/>
        <v>1.83</v>
      </c>
    </row>
    <row r="47" spans="2:7" ht="13.8" customHeight="1" x14ac:dyDescent="0.25">
      <c r="B47" s="33" t="s">
        <v>7</v>
      </c>
      <c r="C47" s="33">
        <v>2766081</v>
      </c>
      <c r="D47" s="33">
        <v>1.36</v>
      </c>
      <c r="E47" s="33" t="s">
        <v>213</v>
      </c>
      <c r="F47" s="31" t="str">
        <f t="shared" si="0"/>
        <v>E2.15.05</v>
      </c>
      <c r="G47" s="34">
        <f t="shared" si="1"/>
        <v>1.36</v>
      </c>
    </row>
    <row r="48" spans="2:7" ht="13.8" customHeight="1" x14ac:dyDescent="0.25">
      <c r="B48" s="33" t="s">
        <v>7</v>
      </c>
      <c r="C48" s="33">
        <v>2766141</v>
      </c>
      <c r="D48" s="33">
        <v>1.36</v>
      </c>
      <c r="E48" s="33" t="s">
        <v>214</v>
      </c>
      <c r="F48" s="31" t="str">
        <f t="shared" si="0"/>
        <v>E2.15.07</v>
      </c>
      <c r="G48" s="34">
        <f t="shared" si="1"/>
        <v>1.36</v>
      </c>
    </row>
    <row r="49" spans="2:7" ht="13.8" customHeight="1" x14ac:dyDescent="0.25">
      <c r="B49" s="33" t="s">
        <v>7</v>
      </c>
      <c r="C49" s="33">
        <v>2766144</v>
      </c>
      <c r="D49" s="33">
        <v>1.83</v>
      </c>
      <c r="E49" s="33" t="s">
        <v>214</v>
      </c>
      <c r="F49" s="31" t="str">
        <f t="shared" si="0"/>
        <v>E2.15.07</v>
      </c>
      <c r="G49" s="34">
        <f t="shared" si="1"/>
        <v>1.83</v>
      </c>
    </row>
    <row r="50" spans="2:7" ht="13.8" customHeight="1" x14ac:dyDescent="0.25">
      <c r="B50" s="33" t="s">
        <v>7</v>
      </c>
      <c r="C50" s="33">
        <v>2766147</v>
      </c>
      <c r="D50" s="33">
        <v>1.36</v>
      </c>
      <c r="E50" s="33" t="s">
        <v>214</v>
      </c>
      <c r="F50" s="31" t="str">
        <f t="shared" si="0"/>
        <v>E2.15.07</v>
      </c>
      <c r="G50" s="34">
        <f t="shared" si="1"/>
        <v>1.36</v>
      </c>
    </row>
    <row r="51" spans="2:7" ht="13.8" customHeight="1" x14ac:dyDescent="0.25">
      <c r="B51" s="33" t="s">
        <v>7</v>
      </c>
      <c r="C51" s="33">
        <v>2766150</v>
      </c>
      <c r="D51" s="33">
        <v>1.36</v>
      </c>
      <c r="E51" s="33" t="s">
        <v>214</v>
      </c>
      <c r="F51" s="31" t="str">
        <f t="shared" si="0"/>
        <v>E2.15.07</v>
      </c>
      <c r="G51" s="34">
        <f t="shared" si="1"/>
        <v>1.36</v>
      </c>
    </row>
    <row r="52" spans="2:7" ht="13.8" customHeight="1" x14ac:dyDescent="0.25">
      <c r="B52" s="33" t="s">
        <v>7</v>
      </c>
      <c r="C52" s="33">
        <v>2766153</v>
      </c>
      <c r="D52" s="33">
        <v>1.36</v>
      </c>
      <c r="E52" s="33" t="s">
        <v>214</v>
      </c>
      <c r="F52" s="31" t="str">
        <f t="shared" si="0"/>
        <v>E2.15.07</v>
      </c>
      <c r="G52" s="34">
        <f t="shared" si="1"/>
        <v>1.36</v>
      </c>
    </row>
    <row r="53" spans="2:7" ht="13.8" customHeight="1" x14ac:dyDescent="0.25">
      <c r="B53" s="33" t="s">
        <v>7</v>
      </c>
      <c r="C53" s="33">
        <v>2766215</v>
      </c>
      <c r="D53" s="33">
        <v>1.36</v>
      </c>
      <c r="E53" s="33" t="s">
        <v>215</v>
      </c>
      <c r="F53" s="31" t="str">
        <f t="shared" si="0"/>
        <v>E2.15.04</v>
      </c>
      <c r="G53" s="34">
        <f t="shared" si="1"/>
        <v>1.36</v>
      </c>
    </row>
    <row r="54" spans="2:7" ht="13.8" customHeight="1" x14ac:dyDescent="0.25">
      <c r="B54" s="33" t="s">
        <v>7</v>
      </c>
      <c r="C54" s="33">
        <v>2766218</v>
      </c>
      <c r="D54" s="33">
        <v>1.36</v>
      </c>
      <c r="E54" s="33" t="s">
        <v>215</v>
      </c>
      <c r="F54" s="31" t="str">
        <f t="shared" si="0"/>
        <v>E2.15.04</v>
      </c>
      <c r="G54" s="34">
        <f t="shared" si="1"/>
        <v>1.36</v>
      </c>
    </row>
    <row r="55" spans="2:7" ht="13.8" customHeight="1" x14ac:dyDescent="0.25">
      <c r="B55" s="33" t="s">
        <v>7</v>
      </c>
      <c r="C55" s="33">
        <v>2766221</v>
      </c>
      <c r="D55" s="33">
        <v>1.36</v>
      </c>
      <c r="E55" s="33" t="s">
        <v>215</v>
      </c>
      <c r="F55" s="31" t="str">
        <f t="shared" si="0"/>
        <v>E2.15.04</v>
      </c>
      <c r="G55" s="34">
        <f t="shared" si="1"/>
        <v>1.36</v>
      </c>
    </row>
    <row r="56" spans="2:7" ht="13.8" customHeight="1" x14ac:dyDescent="0.25">
      <c r="B56" s="33" t="s">
        <v>7</v>
      </c>
      <c r="C56" s="33">
        <v>2766224</v>
      </c>
      <c r="D56" s="33">
        <v>1.83</v>
      </c>
      <c r="E56" s="33" t="s">
        <v>215</v>
      </c>
      <c r="F56" s="31" t="str">
        <f t="shared" si="0"/>
        <v>E2.15.04</v>
      </c>
      <c r="G56" s="34">
        <f t="shared" si="1"/>
        <v>1.83</v>
      </c>
    </row>
    <row r="57" spans="2:7" ht="13.8" customHeight="1" x14ac:dyDescent="0.25">
      <c r="B57" s="33" t="s">
        <v>7</v>
      </c>
      <c r="C57" s="33">
        <v>2766284</v>
      </c>
      <c r="D57" s="33">
        <v>1.36</v>
      </c>
      <c r="E57" s="33" t="s">
        <v>216</v>
      </c>
      <c r="F57" s="31" t="str">
        <f t="shared" si="0"/>
        <v>E2.34.05</v>
      </c>
      <c r="G57" s="34">
        <f t="shared" si="1"/>
        <v>1.36</v>
      </c>
    </row>
    <row r="58" spans="2:7" ht="13.8" customHeight="1" x14ac:dyDescent="0.25">
      <c r="B58" s="33" t="s">
        <v>7</v>
      </c>
      <c r="C58" s="33">
        <v>2766287</v>
      </c>
      <c r="D58" s="33">
        <v>1.36</v>
      </c>
      <c r="E58" s="33" t="s">
        <v>216</v>
      </c>
      <c r="F58" s="31" t="str">
        <f t="shared" si="0"/>
        <v>E2.34.05</v>
      </c>
      <c r="G58" s="34">
        <f t="shared" si="1"/>
        <v>1.36</v>
      </c>
    </row>
    <row r="59" spans="2:7" ht="13.8" customHeight="1" x14ac:dyDescent="0.25">
      <c r="B59" s="33" t="s">
        <v>7</v>
      </c>
      <c r="C59" s="33">
        <v>2766290</v>
      </c>
      <c r="D59" s="33">
        <v>1.36</v>
      </c>
      <c r="E59" s="33" t="s">
        <v>216</v>
      </c>
      <c r="F59" s="31" t="str">
        <f t="shared" si="0"/>
        <v>E2.34.05</v>
      </c>
      <c r="G59" s="34">
        <f t="shared" si="1"/>
        <v>1.36</v>
      </c>
    </row>
    <row r="60" spans="2:7" ht="13.8" customHeight="1" x14ac:dyDescent="0.25">
      <c r="B60" s="33" t="s">
        <v>7</v>
      </c>
      <c r="C60" s="33">
        <v>2766293</v>
      </c>
      <c r="D60" s="33">
        <v>1.36</v>
      </c>
      <c r="E60" s="33" t="s">
        <v>216</v>
      </c>
      <c r="F60" s="31" t="str">
        <f t="shared" si="0"/>
        <v>E2.34.05</v>
      </c>
      <c r="G60" s="34">
        <f t="shared" si="1"/>
        <v>1.36</v>
      </c>
    </row>
    <row r="61" spans="2:7" ht="13.8" customHeight="1" x14ac:dyDescent="0.25">
      <c r="B61" s="33" t="s">
        <v>7</v>
      </c>
      <c r="C61" s="33">
        <v>2766296</v>
      </c>
      <c r="D61" s="33">
        <v>1.83</v>
      </c>
      <c r="E61" s="33" t="s">
        <v>216</v>
      </c>
      <c r="F61" s="31" t="str">
        <f t="shared" si="0"/>
        <v>E2.34.05</v>
      </c>
      <c r="G61" s="34">
        <f t="shared" si="1"/>
        <v>1.83</v>
      </c>
    </row>
    <row r="62" spans="2:7" ht="13.8" customHeight="1" x14ac:dyDescent="0.25">
      <c r="B62" s="33" t="s">
        <v>7</v>
      </c>
      <c r="C62" s="33">
        <v>2766299</v>
      </c>
      <c r="D62" s="33">
        <v>1.36</v>
      </c>
      <c r="E62" s="33" t="s">
        <v>216</v>
      </c>
      <c r="F62" s="31" t="str">
        <f t="shared" si="0"/>
        <v>E2.34.05</v>
      </c>
      <c r="G62" s="34">
        <f t="shared" si="1"/>
        <v>1.36</v>
      </c>
    </row>
    <row r="63" spans="2:7" ht="13.8" customHeight="1" x14ac:dyDescent="0.25">
      <c r="B63" s="33" t="s">
        <v>7</v>
      </c>
      <c r="C63" s="33">
        <v>2766310</v>
      </c>
      <c r="D63" s="33">
        <v>0</v>
      </c>
      <c r="E63" s="33" t="s">
        <v>216</v>
      </c>
      <c r="F63" s="31" t="str">
        <f t="shared" si="0"/>
        <v>E2.34.05</v>
      </c>
      <c r="G63" s="34">
        <f t="shared" si="1"/>
        <v>0</v>
      </c>
    </row>
    <row r="64" spans="2:7" ht="13.8" customHeight="1" x14ac:dyDescent="0.25">
      <c r="B64" s="33" t="s">
        <v>7</v>
      </c>
      <c r="C64" s="33">
        <v>2766373</v>
      </c>
      <c r="D64" s="33">
        <v>1.36</v>
      </c>
      <c r="E64" s="33" t="s">
        <v>217</v>
      </c>
      <c r="F64" s="31" t="str">
        <f t="shared" si="0"/>
        <v>E2.34.06</v>
      </c>
      <c r="G64" s="34">
        <f t="shared" si="1"/>
        <v>1.36</v>
      </c>
    </row>
    <row r="65" spans="2:7" ht="13.8" customHeight="1" x14ac:dyDescent="0.25">
      <c r="B65" s="33" t="s">
        <v>7</v>
      </c>
      <c r="C65" s="33">
        <v>2766376</v>
      </c>
      <c r="D65" s="33">
        <v>1.36</v>
      </c>
      <c r="E65" s="33" t="s">
        <v>217</v>
      </c>
      <c r="F65" s="31" t="str">
        <f t="shared" si="0"/>
        <v>E2.34.06</v>
      </c>
      <c r="G65" s="34">
        <f t="shared" si="1"/>
        <v>1.36</v>
      </c>
    </row>
    <row r="66" spans="2:7" ht="13.8" customHeight="1" x14ac:dyDescent="0.25">
      <c r="B66" s="33" t="s">
        <v>7</v>
      </c>
      <c r="C66" s="33">
        <v>2766379</v>
      </c>
      <c r="D66" s="33">
        <v>1.83</v>
      </c>
      <c r="E66" s="33" t="s">
        <v>217</v>
      </c>
      <c r="F66" s="31" t="str">
        <f t="shared" si="0"/>
        <v>E2.34.06</v>
      </c>
      <c r="G66" s="34">
        <f t="shared" si="1"/>
        <v>1.83</v>
      </c>
    </row>
    <row r="67" spans="2:7" ht="13.8" customHeight="1" x14ac:dyDescent="0.25">
      <c r="B67" s="33" t="s">
        <v>7</v>
      </c>
      <c r="C67" s="33">
        <v>2766382</v>
      </c>
      <c r="D67" s="33">
        <v>1.36</v>
      </c>
      <c r="E67" s="33" t="s">
        <v>217</v>
      </c>
      <c r="F67" s="31" t="str">
        <f t="shared" si="0"/>
        <v>E2.34.06</v>
      </c>
      <c r="G67" s="34">
        <f t="shared" si="1"/>
        <v>1.36</v>
      </c>
    </row>
    <row r="68" spans="2:7" ht="13.8" customHeight="1" x14ac:dyDescent="0.25">
      <c r="B68" s="33" t="s">
        <v>7</v>
      </c>
      <c r="C68" s="33">
        <v>2766385</v>
      </c>
      <c r="D68" s="33">
        <v>1.36</v>
      </c>
      <c r="E68" s="33" t="s">
        <v>217</v>
      </c>
      <c r="F68" s="31" t="str">
        <f t="shared" si="0"/>
        <v>E2.34.06</v>
      </c>
      <c r="G68" s="34">
        <f t="shared" si="1"/>
        <v>1.36</v>
      </c>
    </row>
    <row r="69" spans="2:7" ht="13.8" customHeight="1" x14ac:dyDescent="0.25">
      <c r="B69" s="33" t="s">
        <v>7</v>
      </c>
      <c r="C69" s="33">
        <v>2766444</v>
      </c>
      <c r="D69" s="33">
        <v>1.36</v>
      </c>
      <c r="E69" s="33" t="s">
        <v>218</v>
      </c>
      <c r="F69" s="31" t="str">
        <f t="shared" si="0"/>
        <v>E2.34.04</v>
      </c>
      <c r="G69" s="34">
        <f t="shared" si="1"/>
        <v>1.36</v>
      </c>
    </row>
    <row r="70" spans="2:7" ht="13.8" customHeight="1" x14ac:dyDescent="0.25">
      <c r="B70" s="33" t="s">
        <v>7</v>
      </c>
      <c r="C70" s="33">
        <v>2766447</v>
      </c>
      <c r="D70" s="33">
        <v>1.36</v>
      </c>
      <c r="E70" s="33" t="s">
        <v>218</v>
      </c>
      <c r="F70" s="31" t="str">
        <f t="shared" si="0"/>
        <v>E2.34.04</v>
      </c>
      <c r="G70" s="34">
        <f t="shared" si="1"/>
        <v>1.36</v>
      </c>
    </row>
    <row r="71" spans="2:7" ht="13.8" customHeight="1" x14ac:dyDescent="0.25">
      <c r="B71" s="33" t="s">
        <v>7</v>
      </c>
      <c r="C71" s="33">
        <v>2766450</v>
      </c>
      <c r="D71" s="33">
        <v>1.83</v>
      </c>
      <c r="E71" s="33" t="s">
        <v>218</v>
      </c>
      <c r="F71" s="31" t="str">
        <f t="shared" ref="F71:F134" si="2">LEFT(E71,8)</f>
        <v>E2.34.04</v>
      </c>
      <c r="G71" s="34">
        <f t="shared" ref="G71:G134" si="3">D71</f>
        <v>1.83</v>
      </c>
    </row>
    <row r="72" spans="2:7" ht="13.8" customHeight="1" x14ac:dyDescent="0.25">
      <c r="B72" s="33" t="s">
        <v>7</v>
      </c>
      <c r="C72" s="33">
        <v>2766453</v>
      </c>
      <c r="D72" s="33">
        <v>1.36</v>
      </c>
      <c r="E72" s="33" t="s">
        <v>218</v>
      </c>
      <c r="F72" s="31" t="str">
        <f t="shared" si="2"/>
        <v>E2.34.04</v>
      </c>
      <c r="G72" s="34">
        <f t="shared" si="3"/>
        <v>1.36</v>
      </c>
    </row>
    <row r="73" spans="2:7" ht="13.8" customHeight="1" x14ac:dyDescent="0.25">
      <c r="B73" s="33" t="s">
        <v>7</v>
      </c>
      <c r="C73" s="33">
        <v>2766468</v>
      </c>
      <c r="D73" s="33">
        <v>0</v>
      </c>
      <c r="E73" s="33" t="s">
        <v>218</v>
      </c>
      <c r="F73" s="31" t="str">
        <f t="shared" si="2"/>
        <v>E2.34.04</v>
      </c>
      <c r="G73" s="34">
        <f t="shared" si="3"/>
        <v>0</v>
      </c>
    </row>
    <row r="74" spans="2:7" ht="13.8" customHeight="1" x14ac:dyDescent="0.25">
      <c r="B74" s="33" t="s">
        <v>7</v>
      </c>
      <c r="C74" s="33">
        <v>2766515</v>
      </c>
      <c r="D74" s="33">
        <v>1.36</v>
      </c>
      <c r="E74" s="33" t="s">
        <v>219</v>
      </c>
      <c r="F74" s="31" t="str">
        <f t="shared" si="2"/>
        <v>E2.34.01</v>
      </c>
      <c r="G74" s="34">
        <f t="shared" si="3"/>
        <v>1.36</v>
      </c>
    </row>
    <row r="75" spans="2:7" ht="13.8" customHeight="1" x14ac:dyDescent="0.25">
      <c r="B75" s="33" t="s">
        <v>7</v>
      </c>
      <c r="C75" s="33">
        <v>2766518</v>
      </c>
      <c r="D75" s="33">
        <v>1.36</v>
      </c>
      <c r="E75" s="33" t="s">
        <v>219</v>
      </c>
      <c r="F75" s="31" t="str">
        <f t="shared" si="2"/>
        <v>E2.34.01</v>
      </c>
      <c r="G75" s="34">
        <f t="shared" si="3"/>
        <v>1.36</v>
      </c>
    </row>
    <row r="76" spans="2:7" ht="13.8" customHeight="1" x14ac:dyDescent="0.25">
      <c r="B76" s="33" t="s">
        <v>7</v>
      </c>
      <c r="C76" s="33">
        <v>2766521</v>
      </c>
      <c r="D76" s="33">
        <v>0</v>
      </c>
      <c r="E76" s="33" t="s">
        <v>219</v>
      </c>
      <c r="F76" s="31" t="str">
        <f t="shared" si="2"/>
        <v>E2.34.01</v>
      </c>
      <c r="G76" s="34">
        <f t="shared" si="3"/>
        <v>0</v>
      </c>
    </row>
    <row r="77" spans="2:7" ht="13.8" customHeight="1" x14ac:dyDescent="0.25">
      <c r="B77" s="33" t="s">
        <v>7</v>
      </c>
      <c r="C77" s="33">
        <v>2766524</v>
      </c>
      <c r="D77" s="33">
        <v>1.83</v>
      </c>
      <c r="E77" s="33" t="s">
        <v>219</v>
      </c>
      <c r="F77" s="31" t="str">
        <f t="shared" si="2"/>
        <v>E2.34.01</v>
      </c>
      <c r="G77" s="34">
        <f t="shared" si="3"/>
        <v>1.83</v>
      </c>
    </row>
    <row r="78" spans="2:7" ht="13.8" customHeight="1" x14ac:dyDescent="0.25">
      <c r="B78" s="33" t="s">
        <v>7</v>
      </c>
      <c r="C78" s="33">
        <v>2766530</v>
      </c>
      <c r="D78" s="33">
        <v>1.36</v>
      </c>
      <c r="E78" s="33" t="s">
        <v>219</v>
      </c>
      <c r="F78" s="31" t="str">
        <f t="shared" si="2"/>
        <v>E2.34.01</v>
      </c>
      <c r="G78" s="34">
        <f t="shared" si="3"/>
        <v>1.36</v>
      </c>
    </row>
    <row r="79" spans="2:7" ht="13.8" customHeight="1" x14ac:dyDescent="0.25">
      <c r="B79" s="33" t="s">
        <v>7</v>
      </c>
      <c r="C79" s="33">
        <v>2766587</v>
      </c>
      <c r="D79" s="33">
        <v>0</v>
      </c>
      <c r="E79" s="33" t="s">
        <v>220</v>
      </c>
      <c r="F79" s="31" t="str">
        <f t="shared" si="2"/>
        <v>E2.34.02</v>
      </c>
      <c r="G79" s="34">
        <f t="shared" si="3"/>
        <v>0</v>
      </c>
    </row>
    <row r="80" spans="2:7" ht="13.8" customHeight="1" x14ac:dyDescent="0.25">
      <c r="B80" s="33" t="s">
        <v>7</v>
      </c>
      <c r="C80" s="33">
        <v>2766590</v>
      </c>
      <c r="D80" s="33">
        <v>0</v>
      </c>
      <c r="E80" s="33" t="s">
        <v>220</v>
      </c>
      <c r="F80" s="31" t="str">
        <f t="shared" si="2"/>
        <v>E2.34.02</v>
      </c>
      <c r="G80" s="34">
        <f t="shared" si="3"/>
        <v>0</v>
      </c>
    </row>
    <row r="81" spans="2:7" ht="13.8" customHeight="1" x14ac:dyDescent="0.25">
      <c r="B81" s="33" t="s">
        <v>7</v>
      </c>
      <c r="C81" s="33">
        <v>2766593</v>
      </c>
      <c r="D81" s="33">
        <v>1.36</v>
      </c>
      <c r="E81" s="33" t="s">
        <v>220</v>
      </c>
      <c r="F81" s="31" t="str">
        <f t="shared" si="2"/>
        <v>E2.34.02</v>
      </c>
      <c r="G81" s="34">
        <f t="shared" si="3"/>
        <v>1.36</v>
      </c>
    </row>
    <row r="82" spans="2:7" ht="13.8" customHeight="1" x14ac:dyDescent="0.25">
      <c r="B82" s="33" t="s">
        <v>7</v>
      </c>
      <c r="C82" s="33">
        <v>2766596</v>
      </c>
      <c r="D82" s="33">
        <v>1.36</v>
      </c>
      <c r="E82" s="33" t="s">
        <v>220</v>
      </c>
      <c r="F82" s="31" t="str">
        <f t="shared" si="2"/>
        <v>E2.34.02</v>
      </c>
      <c r="G82" s="34">
        <f t="shared" si="3"/>
        <v>1.36</v>
      </c>
    </row>
    <row r="83" spans="2:7" ht="13.8" customHeight="1" x14ac:dyDescent="0.25">
      <c r="B83" s="33" t="s">
        <v>7</v>
      </c>
      <c r="C83" s="33">
        <v>2766599</v>
      </c>
      <c r="D83" s="33">
        <v>1.83</v>
      </c>
      <c r="E83" s="33" t="s">
        <v>220</v>
      </c>
      <c r="F83" s="31" t="str">
        <f t="shared" si="2"/>
        <v>E2.34.02</v>
      </c>
      <c r="G83" s="34">
        <f t="shared" si="3"/>
        <v>1.83</v>
      </c>
    </row>
    <row r="84" spans="2:7" ht="13.8" customHeight="1" x14ac:dyDescent="0.25">
      <c r="B84" s="33" t="s">
        <v>7</v>
      </c>
      <c r="C84" s="33">
        <v>2766602</v>
      </c>
      <c r="D84" s="33">
        <v>1.36</v>
      </c>
      <c r="E84" s="33" t="s">
        <v>220</v>
      </c>
      <c r="F84" s="31" t="str">
        <f t="shared" si="2"/>
        <v>E2.34.02</v>
      </c>
      <c r="G84" s="34">
        <f t="shared" si="3"/>
        <v>1.36</v>
      </c>
    </row>
    <row r="85" spans="2:7" ht="13.8" customHeight="1" x14ac:dyDescent="0.25">
      <c r="B85" s="33" t="s">
        <v>7</v>
      </c>
      <c r="C85" s="33">
        <v>2766608</v>
      </c>
      <c r="D85" s="33">
        <v>1.36</v>
      </c>
      <c r="E85" s="33" t="s">
        <v>220</v>
      </c>
      <c r="F85" s="31" t="str">
        <f t="shared" si="2"/>
        <v>E2.34.02</v>
      </c>
      <c r="G85" s="34">
        <f t="shared" si="3"/>
        <v>1.36</v>
      </c>
    </row>
    <row r="86" spans="2:7" ht="13.8" customHeight="1" x14ac:dyDescent="0.25">
      <c r="B86" s="33" t="s">
        <v>7</v>
      </c>
      <c r="C86" s="33">
        <v>2766615</v>
      </c>
      <c r="D86" s="33">
        <v>1.36</v>
      </c>
      <c r="E86" s="33" t="s">
        <v>220</v>
      </c>
      <c r="F86" s="31" t="str">
        <f t="shared" si="2"/>
        <v>E2.34.02</v>
      </c>
      <c r="G86" s="34">
        <f t="shared" si="3"/>
        <v>1.36</v>
      </c>
    </row>
    <row r="87" spans="2:7" ht="13.8" customHeight="1" x14ac:dyDescent="0.25">
      <c r="B87" s="33" t="s">
        <v>7</v>
      </c>
      <c r="C87" s="33">
        <v>2766681</v>
      </c>
      <c r="D87" s="33">
        <v>1.36</v>
      </c>
      <c r="E87" s="33" t="s">
        <v>221</v>
      </c>
      <c r="F87" s="31" t="str">
        <f t="shared" si="2"/>
        <v>E2.34.03</v>
      </c>
      <c r="G87" s="34">
        <f t="shared" si="3"/>
        <v>1.36</v>
      </c>
    </row>
    <row r="88" spans="2:7" ht="13.8" customHeight="1" x14ac:dyDescent="0.25">
      <c r="B88" s="33" t="s">
        <v>7</v>
      </c>
      <c r="C88" s="33">
        <v>2766684</v>
      </c>
      <c r="D88" s="33">
        <v>1.36</v>
      </c>
      <c r="E88" s="33" t="s">
        <v>221</v>
      </c>
      <c r="F88" s="31" t="str">
        <f t="shared" si="2"/>
        <v>E2.34.03</v>
      </c>
      <c r="G88" s="34">
        <f t="shared" si="3"/>
        <v>1.36</v>
      </c>
    </row>
    <row r="89" spans="2:7" ht="13.8" customHeight="1" x14ac:dyDescent="0.25">
      <c r="B89" s="33" t="s">
        <v>7</v>
      </c>
      <c r="C89" s="33">
        <v>2766687</v>
      </c>
      <c r="D89" s="33">
        <v>1.36</v>
      </c>
      <c r="E89" s="33" t="s">
        <v>221</v>
      </c>
      <c r="F89" s="31" t="str">
        <f t="shared" si="2"/>
        <v>E2.34.03</v>
      </c>
      <c r="G89" s="34">
        <f t="shared" si="3"/>
        <v>1.36</v>
      </c>
    </row>
    <row r="90" spans="2:7" ht="13.8" customHeight="1" x14ac:dyDescent="0.25">
      <c r="B90" s="33" t="s">
        <v>7</v>
      </c>
      <c r="C90" s="33">
        <v>2766690</v>
      </c>
      <c r="D90" s="33">
        <v>1.36</v>
      </c>
      <c r="E90" s="33" t="s">
        <v>221</v>
      </c>
      <c r="F90" s="31" t="str">
        <f t="shared" si="2"/>
        <v>E2.34.03</v>
      </c>
      <c r="G90" s="34">
        <f t="shared" si="3"/>
        <v>1.36</v>
      </c>
    </row>
    <row r="91" spans="2:7" ht="13.8" customHeight="1" x14ac:dyDescent="0.25">
      <c r="B91" s="33" t="s">
        <v>7</v>
      </c>
      <c r="C91" s="33">
        <v>2766693</v>
      </c>
      <c r="D91" s="33">
        <v>1.83</v>
      </c>
      <c r="E91" s="33" t="s">
        <v>221</v>
      </c>
      <c r="F91" s="31" t="str">
        <f t="shared" si="2"/>
        <v>E2.34.03</v>
      </c>
      <c r="G91" s="34">
        <f t="shared" si="3"/>
        <v>1.83</v>
      </c>
    </row>
    <row r="92" spans="2:7" ht="13.8" customHeight="1" x14ac:dyDescent="0.25">
      <c r="B92" s="33" t="s">
        <v>7</v>
      </c>
      <c r="C92" s="33">
        <v>2766755</v>
      </c>
      <c r="D92" s="33">
        <v>2.2599999999999998</v>
      </c>
      <c r="E92" s="33" t="s">
        <v>222</v>
      </c>
      <c r="F92" s="31" t="str">
        <f t="shared" si="2"/>
        <v>D1.09.02</v>
      </c>
      <c r="G92" s="34">
        <f t="shared" si="3"/>
        <v>2.2599999999999998</v>
      </c>
    </row>
    <row r="93" spans="2:7" ht="13.8" customHeight="1" x14ac:dyDescent="0.25">
      <c r="B93" s="33" t="s">
        <v>7</v>
      </c>
      <c r="C93" s="33">
        <v>2766758</v>
      </c>
      <c r="D93" s="33">
        <v>1.36</v>
      </c>
      <c r="E93" s="33" t="s">
        <v>222</v>
      </c>
      <c r="F93" s="31" t="str">
        <f t="shared" si="2"/>
        <v>D1.09.02</v>
      </c>
      <c r="G93" s="34">
        <f t="shared" si="3"/>
        <v>1.36</v>
      </c>
    </row>
    <row r="94" spans="2:7" ht="13.8" customHeight="1" x14ac:dyDescent="0.25">
      <c r="B94" s="33" t="s">
        <v>7</v>
      </c>
      <c r="C94" s="33">
        <v>2766761</v>
      </c>
      <c r="D94" s="33">
        <v>1.36</v>
      </c>
      <c r="E94" s="33" t="s">
        <v>222</v>
      </c>
      <c r="F94" s="31" t="str">
        <f t="shared" si="2"/>
        <v>D1.09.02</v>
      </c>
      <c r="G94" s="34">
        <f t="shared" si="3"/>
        <v>1.36</v>
      </c>
    </row>
    <row r="95" spans="2:7" ht="13.8" customHeight="1" x14ac:dyDescent="0.25">
      <c r="B95" s="33" t="s">
        <v>7</v>
      </c>
      <c r="C95" s="33">
        <v>2766764</v>
      </c>
      <c r="D95" s="33">
        <v>1.36</v>
      </c>
      <c r="E95" s="33" t="s">
        <v>222</v>
      </c>
      <c r="F95" s="31" t="str">
        <f t="shared" si="2"/>
        <v>D1.09.02</v>
      </c>
      <c r="G95" s="34">
        <f t="shared" si="3"/>
        <v>1.36</v>
      </c>
    </row>
    <row r="96" spans="2:7" ht="13.8" customHeight="1" x14ac:dyDescent="0.25">
      <c r="B96" s="33" t="s">
        <v>7</v>
      </c>
      <c r="C96" s="33">
        <v>2766767</v>
      </c>
      <c r="D96" s="33">
        <v>1.36</v>
      </c>
      <c r="E96" s="33" t="s">
        <v>222</v>
      </c>
      <c r="F96" s="31" t="str">
        <f t="shared" si="2"/>
        <v>D1.09.02</v>
      </c>
      <c r="G96" s="34">
        <f t="shared" si="3"/>
        <v>1.36</v>
      </c>
    </row>
    <row r="97" spans="2:7" ht="13.8" customHeight="1" x14ac:dyDescent="0.25">
      <c r="B97" s="33" t="s">
        <v>7</v>
      </c>
      <c r="C97" s="33">
        <v>2766827</v>
      </c>
      <c r="D97" s="33">
        <v>1.36</v>
      </c>
      <c r="E97" s="33" t="s">
        <v>223</v>
      </c>
      <c r="F97" s="31" t="str">
        <f t="shared" si="2"/>
        <v>D1.09.03</v>
      </c>
      <c r="G97" s="34">
        <f t="shared" si="3"/>
        <v>1.36</v>
      </c>
    </row>
    <row r="98" spans="2:7" ht="13.8" customHeight="1" x14ac:dyDescent="0.25">
      <c r="B98" s="33" t="s">
        <v>7</v>
      </c>
      <c r="C98" s="33">
        <v>2766830</v>
      </c>
      <c r="D98" s="33">
        <v>2.2599999999999998</v>
      </c>
      <c r="E98" s="33" t="s">
        <v>223</v>
      </c>
      <c r="F98" s="31" t="str">
        <f t="shared" si="2"/>
        <v>D1.09.03</v>
      </c>
      <c r="G98" s="34">
        <f t="shared" si="3"/>
        <v>2.2599999999999998</v>
      </c>
    </row>
    <row r="99" spans="2:7" ht="13.8" customHeight="1" x14ac:dyDescent="0.25">
      <c r="B99" s="33" t="s">
        <v>7</v>
      </c>
      <c r="C99" s="33">
        <v>2766833</v>
      </c>
      <c r="D99" s="33">
        <v>1.36</v>
      </c>
      <c r="E99" s="33" t="s">
        <v>223</v>
      </c>
      <c r="F99" s="31" t="str">
        <f t="shared" si="2"/>
        <v>D1.09.03</v>
      </c>
      <c r="G99" s="34">
        <f t="shared" si="3"/>
        <v>1.36</v>
      </c>
    </row>
    <row r="100" spans="2:7" ht="13.8" customHeight="1" x14ac:dyDescent="0.25">
      <c r="B100" s="33" t="s">
        <v>7</v>
      </c>
      <c r="C100" s="33">
        <v>2766836</v>
      </c>
      <c r="D100" s="33">
        <v>1.36</v>
      </c>
      <c r="E100" s="33" t="s">
        <v>223</v>
      </c>
      <c r="F100" s="31" t="str">
        <f t="shared" si="2"/>
        <v>D1.09.03</v>
      </c>
      <c r="G100" s="34">
        <f t="shared" si="3"/>
        <v>1.36</v>
      </c>
    </row>
    <row r="101" spans="2:7" ht="13.8" customHeight="1" x14ac:dyDescent="0.25">
      <c r="B101" s="33" t="s">
        <v>7</v>
      </c>
      <c r="C101" s="33">
        <v>2766892</v>
      </c>
      <c r="D101" s="33">
        <v>2.2599999999999998</v>
      </c>
      <c r="E101" s="33" t="s">
        <v>224</v>
      </c>
      <c r="F101" s="31" t="str">
        <f t="shared" si="2"/>
        <v>D1.12.01</v>
      </c>
      <c r="G101" s="34">
        <f t="shared" si="3"/>
        <v>2.2599999999999998</v>
      </c>
    </row>
    <row r="102" spans="2:7" ht="13.8" customHeight="1" x14ac:dyDescent="0.25">
      <c r="B102" s="33" t="s">
        <v>7</v>
      </c>
      <c r="C102" s="33">
        <v>2766895</v>
      </c>
      <c r="D102" s="33">
        <v>1.36</v>
      </c>
      <c r="E102" s="33" t="s">
        <v>224</v>
      </c>
      <c r="F102" s="31" t="str">
        <f t="shared" si="2"/>
        <v>D1.12.01</v>
      </c>
      <c r="G102" s="34">
        <f t="shared" si="3"/>
        <v>1.36</v>
      </c>
    </row>
    <row r="103" spans="2:7" ht="13.8" customHeight="1" x14ac:dyDescent="0.25">
      <c r="B103" s="33" t="s">
        <v>7</v>
      </c>
      <c r="C103" s="33">
        <v>2766898</v>
      </c>
      <c r="D103" s="33">
        <v>1.36</v>
      </c>
      <c r="E103" s="33" t="s">
        <v>224</v>
      </c>
      <c r="F103" s="31" t="str">
        <f t="shared" si="2"/>
        <v>D1.12.01</v>
      </c>
      <c r="G103" s="34">
        <f t="shared" si="3"/>
        <v>1.36</v>
      </c>
    </row>
    <row r="104" spans="2:7" ht="13.8" customHeight="1" x14ac:dyDescent="0.25">
      <c r="B104" s="33" t="s">
        <v>7</v>
      </c>
      <c r="C104" s="33">
        <v>2766901</v>
      </c>
      <c r="D104" s="33">
        <v>1.36</v>
      </c>
      <c r="E104" s="33" t="s">
        <v>224</v>
      </c>
      <c r="F104" s="31" t="str">
        <f t="shared" si="2"/>
        <v>D1.12.01</v>
      </c>
      <c r="G104" s="34">
        <f t="shared" si="3"/>
        <v>1.36</v>
      </c>
    </row>
    <row r="105" spans="2:7" ht="13.8" customHeight="1" x14ac:dyDescent="0.25">
      <c r="B105" s="33" t="s">
        <v>7</v>
      </c>
      <c r="C105" s="33">
        <v>2766963</v>
      </c>
      <c r="D105" s="33">
        <v>1.36</v>
      </c>
      <c r="E105" s="33" t="s">
        <v>225</v>
      </c>
      <c r="F105" s="31" t="str">
        <f t="shared" si="2"/>
        <v>D1.12.02</v>
      </c>
      <c r="G105" s="34">
        <f t="shared" si="3"/>
        <v>1.36</v>
      </c>
    </row>
    <row r="106" spans="2:7" ht="13.8" customHeight="1" x14ac:dyDescent="0.25">
      <c r="B106" s="33" t="s">
        <v>7</v>
      </c>
      <c r="C106" s="33">
        <v>2766966</v>
      </c>
      <c r="D106" s="33">
        <v>2.2599999999999998</v>
      </c>
      <c r="E106" s="33" t="s">
        <v>225</v>
      </c>
      <c r="F106" s="31" t="str">
        <f t="shared" si="2"/>
        <v>D1.12.02</v>
      </c>
      <c r="G106" s="34">
        <f t="shared" si="3"/>
        <v>2.2599999999999998</v>
      </c>
    </row>
    <row r="107" spans="2:7" ht="13.8" customHeight="1" x14ac:dyDescent="0.25">
      <c r="B107" s="33" t="s">
        <v>7</v>
      </c>
      <c r="C107" s="33">
        <v>2766998</v>
      </c>
      <c r="D107" s="33">
        <v>2.2599999999999998</v>
      </c>
      <c r="E107" s="33" t="s">
        <v>226</v>
      </c>
      <c r="F107" s="31" t="str">
        <f t="shared" si="2"/>
        <v>D1.08.04</v>
      </c>
      <c r="G107" s="34">
        <f t="shared" si="3"/>
        <v>2.2599999999999998</v>
      </c>
    </row>
    <row r="108" spans="2:7" ht="13.8" customHeight="1" x14ac:dyDescent="0.25">
      <c r="B108" s="33" t="s">
        <v>7</v>
      </c>
      <c r="C108" s="33">
        <v>2767001</v>
      </c>
      <c r="D108" s="33">
        <v>1.36</v>
      </c>
      <c r="E108" s="33" t="s">
        <v>226</v>
      </c>
      <c r="F108" s="31" t="str">
        <f t="shared" si="2"/>
        <v>D1.08.04</v>
      </c>
      <c r="G108" s="34">
        <f t="shared" si="3"/>
        <v>1.36</v>
      </c>
    </row>
    <row r="109" spans="2:7" ht="13.8" customHeight="1" x14ac:dyDescent="0.25">
      <c r="B109" s="33" t="s">
        <v>7</v>
      </c>
      <c r="C109" s="33">
        <v>2767004</v>
      </c>
      <c r="D109" s="33">
        <v>1.36</v>
      </c>
      <c r="E109" s="33" t="s">
        <v>226</v>
      </c>
      <c r="F109" s="31" t="str">
        <f t="shared" si="2"/>
        <v>D1.08.04</v>
      </c>
      <c r="G109" s="34">
        <f t="shared" si="3"/>
        <v>1.36</v>
      </c>
    </row>
    <row r="110" spans="2:7" ht="13.8" customHeight="1" x14ac:dyDescent="0.25">
      <c r="B110" s="33" t="s">
        <v>7</v>
      </c>
      <c r="C110" s="33">
        <v>2767059</v>
      </c>
      <c r="D110" s="33">
        <v>1.36</v>
      </c>
      <c r="E110" s="33" t="s">
        <v>227</v>
      </c>
      <c r="F110" s="31" t="str">
        <f t="shared" si="2"/>
        <v>D1.08.05</v>
      </c>
      <c r="G110" s="34">
        <f t="shared" si="3"/>
        <v>1.36</v>
      </c>
    </row>
    <row r="111" spans="2:7" ht="13.8" customHeight="1" x14ac:dyDescent="0.25">
      <c r="B111" s="33" t="s">
        <v>7</v>
      </c>
      <c r="C111" s="33">
        <v>2767062</v>
      </c>
      <c r="D111" s="33">
        <v>1.36</v>
      </c>
      <c r="E111" s="33" t="s">
        <v>227</v>
      </c>
      <c r="F111" s="31" t="str">
        <f t="shared" si="2"/>
        <v>D1.08.05</v>
      </c>
      <c r="G111" s="34">
        <f t="shared" si="3"/>
        <v>1.36</v>
      </c>
    </row>
    <row r="112" spans="2:7" ht="13.8" customHeight="1" x14ac:dyDescent="0.25">
      <c r="B112" s="33" t="s">
        <v>7</v>
      </c>
      <c r="C112" s="33">
        <v>2767065</v>
      </c>
      <c r="D112" s="33">
        <v>2.2599999999999998</v>
      </c>
      <c r="E112" s="33" t="s">
        <v>227</v>
      </c>
      <c r="F112" s="31" t="str">
        <f t="shared" si="2"/>
        <v>D1.08.05</v>
      </c>
      <c r="G112" s="34">
        <f t="shared" si="3"/>
        <v>2.2599999999999998</v>
      </c>
    </row>
    <row r="113" spans="2:7" ht="13.8" customHeight="1" x14ac:dyDescent="0.25">
      <c r="B113" s="33" t="s">
        <v>7</v>
      </c>
      <c r="C113" s="33">
        <v>2767104</v>
      </c>
      <c r="D113" s="33">
        <v>1.36</v>
      </c>
      <c r="E113" s="33" t="s">
        <v>228</v>
      </c>
      <c r="F113" s="31" t="str">
        <f t="shared" si="2"/>
        <v>D1.08.02</v>
      </c>
      <c r="G113" s="34">
        <f t="shared" si="3"/>
        <v>1.36</v>
      </c>
    </row>
    <row r="114" spans="2:7" ht="13.8" customHeight="1" x14ac:dyDescent="0.25">
      <c r="B114" s="33" t="s">
        <v>7</v>
      </c>
      <c r="C114" s="33">
        <v>2767107</v>
      </c>
      <c r="D114" s="33">
        <v>1.36</v>
      </c>
      <c r="E114" s="33" t="s">
        <v>228</v>
      </c>
      <c r="F114" s="31" t="str">
        <f t="shared" si="2"/>
        <v>D1.08.02</v>
      </c>
      <c r="G114" s="34">
        <f t="shared" si="3"/>
        <v>1.36</v>
      </c>
    </row>
    <row r="115" spans="2:7" ht="13.8" customHeight="1" x14ac:dyDescent="0.25">
      <c r="B115" s="33" t="s">
        <v>7</v>
      </c>
      <c r="C115" s="33">
        <v>2767110</v>
      </c>
      <c r="D115" s="33">
        <v>1.36</v>
      </c>
      <c r="E115" s="33" t="s">
        <v>228</v>
      </c>
      <c r="F115" s="31" t="str">
        <f t="shared" si="2"/>
        <v>D1.08.02</v>
      </c>
      <c r="G115" s="34">
        <f t="shared" si="3"/>
        <v>1.36</v>
      </c>
    </row>
    <row r="116" spans="2:7" ht="13.8" customHeight="1" x14ac:dyDescent="0.25">
      <c r="B116" s="33" t="s">
        <v>7</v>
      </c>
      <c r="C116" s="33">
        <v>2767113</v>
      </c>
      <c r="D116" s="33">
        <v>2.2599999999999998</v>
      </c>
      <c r="E116" s="33" t="s">
        <v>228</v>
      </c>
      <c r="F116" s="31" t="str">
        <f t="shared" si="2"/>
        <v>D1.08.02</v>
      </c>
      <c r="G116" s="34">
        <f t="shared" si="3"/>
        <v>2.2599999999999998</v>
      </c>
    </row>
    <row r="117" spans="2:7" ht="13.8" customHeight="1" x14ac:dyDescent="0.25">
      <c r="B117" s="33" t="s">
        <v>7</v>
      </c>
      <c r="C117" s="33">
        <v>2767116</v>
      </c>
      <c r="D117" s="33">
        <v>1.36</v>
      </c>
      <c r="E117" s="33" t="s">
        <v>228</v>
      </c>
      <c r="F117" s="31" t="str">
        <f t="shared" si="2"/>
        <v>D1.08.02</v>
      </c>
      <c r="G117" s="34">
        <f t="shared" si="3"/>
        <v>1.36</v>
      </c>
    </row>
    <row r="118" spans="2:7" ht="13.8" customHeight="1" x14ac:dyDescent="0.25">
      <c r="B118" s="33" t="s">
        <v>7</v>
      </c>
      <c r="C118" s="33">
        <v>2767182</v>
      </c>
      <c r="D118" s="33">
        <v>2.2599999999999998</v>
      </c>
      <c r="E118" s="33" t="s">
        <v>229</v>
      </c>
      <c r="F118" s="31" t="str">
        <f t="shared" si="2"/>
        <v>D1.08.01</v>
      </c>
      <c r="G118" s="34">
        <f t="shared" si="3"/>
        <v>2.2599999999999998</v>
      </c>
    </row>
    <row r="119" spans="2:7" ht="13.8" customHeight="1" x14ac:dyDescent="0.25">
      <c r="B119" s="33" t="s">
        <v>7</v>
      </c>
      <c r="C119" s="33">
        <v>2767185</v>
      </c>
      <c r="D119" s="33">
        <v>1.36</v>
      </c>
      <c r="E119" s="33" t="s">
        <v>229</v>
      </c>
      <c r="F119" s="31" t="str">
        <f t="shared" si="2"/>
        <v>D1.08.01</v>
      </c>
      <c r="G119" s="34">
        <f t="shared" si="3"/>
        <v>1.36</v>
      </c>
    </row>
    <row r="120" spans="2:7" ht="13.8" customHeight="1" x14ac:dyDescent="0.25">
      <c r="B120" s="33" t="s">
        <v>7</v>
      </c>
      <c r="C120" s="33">
        <v>2767220</v>
      </c>
      <c r="D120" s="33">
        <v>1.36</v>
      </c>
      <c r="E120" s="33" t="s">
        <v>230</v>
      </c>
      <c r="F120" s="31" t="str">
        <f t="shared" si="2"/>
        <v>D1.08.03</v>
      </c>
      <c r="G120" s="34">
        <f t="shared" si="3"/>
        <v>1.36</v>
      </c>
    </row>
    <row r="121" spans="2:7" ht="13.8" customHeight="1" x14ac:dyDescent="0.25">
      <c r="B121" s="33" t="s">
        <v>7</v>
      </c>
      <c r="C121" s="33">
        <v>2767223</v>
      </c>
      <c r="D121" s="33">
        <v>2.2599999999999998</v>
      </c>
      <c r="E121" s="33" t="s">
        <v>230</v>
      </c>
      <c r="F121" s="31" t="str">
        <f t="shared" si="2"/>
        <v>D1.08.03</v>
      </c>
      <c r="G121" s="34">
        <f t="shared" si="3"/>
        <v>2.2599999999999998</v>
      </c>
    </row>
    <row r="122" spans="2:7" ht="13.8" customHeight="1" x14ac:dyDescent="0.25">
      <c r="B122" s="33" t="s">
        <v>7</v>
      </c>
      <c r="C122" s="33">
        <v>2767226</v>
      </c>
      <c r="D122" s="33">
        <v>1.36</v>
      </c>
      <c r="E122" s="33" t="s">
        <v>230</v>
      </c>
      <c r="F122" s="31" t="str">
        <f t="shared" si="2"/>
        <v>D1.08.03</v>
      </c>
      <c r="G122" s="34">
        <f t="shared" si="3"/>
        <v>1.36</v>
      </c>
    </row>
    <row r="123" spans="2:7" ht="13.8" customHeight="1" x14ac:dyDescent="0.25">
      <c r="B123" s="33" t="s">
        <v>7</v>
      </c>
      <c r="C123" s="33">
        <v>2767229</v>
      </c>
      <c r="D123" s="33">
        <v>1.36</v>
      </c>
      <c r="E123" s="33" t="s">
        <v>230</v>
      </c>
      <c r="F123" s="31" t="str">
        <f t="shared" si="2"/>
        <v>D1.08.03</v>
      </c>
      <c r="G123" s="34">
        <f t="shared" si="3"/>
        <v>1.36</v>
      </c>
    </row>
    <row r="124" spans="2:7" ht="13.8" customHeight="1" x14ac:dyDescent="0.25">
      <c r="B124" s="33" t="s">
        <v>7</v>
      </c>
      <c r="C124" s="33">
        <v>2767293</v>
      </c>
      <c r="D124" s="33">
        <v>2.2599999999999998</v>
      </c>
      <c r="E124" s="33" t="s">
        <v>231</v>
      </c>
      <c r="F124" s="31" t="str">
        <f t="shared" si="2"/>
        <v>B1.11.01</v>
      </c>
      <c r="G124" s="34">
        <f t="shared" si="3"/>
        <v>2.2599999999999998</v>
      </c>
    </row>
    <row r="125" spans="2:7" ht="13.8" customHeight="1" x14ac:dyDescent="0.25">
      <c r="B125" s="33" t="s">
        <v>7</v>
      </c>
      <c r="C125" s="33">
        <v>2767296</v>
      </c>
      <c r="D125" s="33">
        <v>1.36</v>
      </c>
      <c r="E125" s="33" t="s">
        <v>231</v>
      </c>
      <c r="F125" s="31" t="str">
        <f t="shared" si="2"/>
        <v>B1.11.01</v>
      </c>
      <c r="G125" s="34">
        <f t="shared" si="3"/>
        <v>1.36</v>
      </c>
    </row>
    <row r="126" spans="2:7" ht="13.8" customHeight="1" x14ac:dyDescent="0.25">
      <c r="B126" s="33" t="s">
        <v>7</v>
      </c>
      <c r="C126" s="33">
        <v>2767299</v>
      </c>
      <c r="D126" s="33">
        <v>0.91</v>
      </c>
      <c r="E126" s="33" t="s">
        <v>231</v>
      </c>
      <c r="F126" s="31" t="str">
        <f t="shared" si="2"/>
        <v>B1.11.01</v>
      </c>
      <c r="G126" s="34">
        <f t="shared" si="3"/>
        <v>0.91</v>
      </c>
    </row>
    <row r="127" spans="2:7" ht="13.8" customHeight="1" x14ac:dyDescent="0.25">
      <c r="B127" s="33" t="s">
        <v>7</v>
      </c>
      <c r="C127" s="33">
        <v>2767302</v>
      </c>
      <c r="D127" s="33">
        <v>1.36</v>
      </c>
      <c r="E127" s="33" t="s">
        <v>231</v>
      </c>
      <c r="F127" s="31" t="str">
        <f t="shared" si="2"/>
        <v>B1.11.01</v>
      </c>
      <c r="G127" s="34">
        <f t="shared" si="3"/>
        <v>1.36</v>
      </c>
    </row>
    <row r="128" spans="2:7" ht="13.8" customHeight="1" x14ac:dyDescent="0.25">
      <c r="B128" s="33" t="s">
        <v>7</v>
      </c>
      <c r="C128" s="33">
        <v>2767349</v>
      </c>
      <c r="D128" s="33">
        <v>2.2599999999999998</v>
      </c>
      <c r="E128" s="33" t="s">
        <v>232</v>
      </c>
      <c r="F128" s="31" t="str">
        <f t="shared" si="2"/>
        <v>B1.11.02</v>
      </c>
      <c r="G128" s="34">
        <f t="shared" si="3"/>
        <v>2.2599999999999998</v>
      </c>
    </row>
    <row r="129" spans="2:7" ht="13.8" customHeight="1" x14ac:dyDescent="0.25">
      <c r="B129" s="33" t="s">
        <v>7</v>
      </c>
      <c r="C129" s="33">
        <v>2767352</v>
      </c>
      <c r="D129" s="33">
        <v>1.36</v>
      </c>
      <c r="E129" s="33" t="s">
        <v>232</v>
      </c>
      <c r="F129" s="31" t="str">
        <f t="shared" si="2"/>
        <v>B1.11.02</v>
      </c>
      <c r="G129" s="34">
        <f t="shared" si="3"/>
        <v>1.36</v>
      </c>
    </row>
    <row r="130" spans="2:7" ht="13.8" customHeight="1" x14ac:dyDescent="0.25">
      <c r="B130" s="33" t="s">
        <v>7</v>
      </c>
      <c r="C130" s="33">
        <v>2767384</v>
      </c>
      <c r="D130" s="33">
        <v>2.2599999999999998</v>
      </c>
      <c r="E130" s="33" t="s">
        <v>233</v>
      </c>
      <c r="F130" s="31" t="str">
        <f t="shared" si="2"/>
        <v>B1.07.01</v>
      </c>
      <c r="G130" s="34">
        <f t="shared" si="3"/>
        <v>2.2599999999999998</v>
      </c>
    </row>
    <row r="131" spans="2:7" ht="13.8" customHeight="1" x14ac:dyDescent="0.25">
      <c r="B131" s="33" t="s">
        <v>7</v>
      </c>
      <c r="C131" s="33">
        <v>2767387</v>
      </c>
      <c r="D131" s="33">
        <v>1.36</v>
      </c>
      <c r="E131" s="33" t="s">
        <v>233</v>
      </c>
      <c r="F131" s="31" t="str">
        <f t="shared" si="2"/>
        <v>B1.07.01</v>
      </c>
      <c r="G131" s="34">
        <f t="shared" si="3"/>
        <v>1.36</v>
      </c>
    </row>
    <row r="132" spans="2:7" ht="13.8" customHeight="1" x14ac:dyDescent="0.25">
      <c r="B132" s="33" t="s">
        <v>7</v>
      </c>
      <c r="C132" s="33">
        <v>2767426</v>
      </c>
      <c r="D132" s="33">
        <v>1.36</v>
      </c>
      <c r="E132" s="33" t="s">
        <v>234</v>
      </c>
      <c r="F132" s="31" t="str">
        <f t="shared" si="2"/>
        <v>B1.07.02</v>
      </c>
      <c r="G132" s="34">
        <f t="shared" si="3"/>
        <v>1.36</v>
      </c>
    </row>
    <row r="133" spans="2:7" ht="13.8" customHeight="1" x14ac:dyDescent="0.25">
      <c r="B133" s="33" t="s">
        <v>7</v>
      </c>
      <c r="C133" s="33">
        <v>2767429</v>
      </c>
      <c r="D133" s="33">
        <v>1.36</v>
      </c>
      <c r="E133" s="33" t="s">
        <v>234</v>
      </c>
      <c r="F133" s="31" t="str">
        <f t="shared" si="2"/>
        <v>B1.07.02</v>
      </c>
      <c r="G133" s="34">
        <f t="shared" si="3"/>
        <v>1.36</v>
      </c>
    </row>
    <row r="134" spans="2:7" ht="13.8" customHeight="1" x14ac:dyDescent="0.25">
      <c r="B134" s="33" t="s">
        <v>7</v>
      </c>
      <c r="C134" s="33">
        <v>2767432</v>
      </c>
      <c r="D134" s="33">
        <v>2.2599999999999998</v>
      </c>
      <c r="E134" s="33" t="s">
        <v>234</v>
      </c>
      <c r="F134" s="31" t="str">
        <f t="shared" si="2"/>
        <v>B1.07.02</v>
      </c>
      <c r="G134" s="34">
        <f t="shared" si="3"/>
        <v>2.2599999999999998</v>
      </c>
    </row>
    <row r="135" spans="2:7" ht="13.8" customHeight="1" x14ac:dyDescent="0.25">
      <c r="B135" s="33" t="s">
        <v>7</v>
      </c>
      <c r="C135" s="33">
        <v>2767435</v>
      </c>
      <c r="D135" s="33">
        <v>1.36</v>
      </c>
      <c r="E135" s="33" t="s">
        <v>234</v>
      </c>
      <c r="F135" s="31" t="str">
        <f t="shared" ref="F135:F198" si="4">LEFT(E135,8)</f>
        <v>B1.07.02</v>
      </c>
      <c r="G135" s="34">
        <f t="shared" ref="G135:G198" si="5">D135</f>
        <v>1.36</v>
      </c>
    </row>
    <row r="136" spans="2:7" ht="13.8" customHeight="1" x14ac:dyDescent="0.25">
      <c r="B136" s="33" t="s">
        <v>7</v>
      </c>
      <c r="C136" s="33">
        <v>2767438</v>
      </c>
      <c r="D136" s="33">
        <v>0.91</v>
      </c>
      <c r="E136" s="33" t="s">
        <v>234</v>
      </c>
      <c r="F136" s="31" t="str">
        <f t="shared" si="4"/>
        <v>B1.07.02</v>
      </c>
      <c r="G136" s="34">
        <f t="shared" si="5"/>
        <v>0.91</v>
      </c>
    </row>
    <row r="137" spans="2:7" ht="13.8" customHeight="1" x14ac:dyDescent="0.25">
      <c r="B137" s="33" t="s">
        <v>7</v>
      </c>
      <c r="C137" s="33">
        <v>2767496</v>
      </c>
      <c r="D137" s="33">
        <v>0.91</v>
      </c>
      <c r="E137" s="33" t="s">
        <v>235</v>
      </c>
      <c r="F137" s="31" t="str">
        <f t="shared" si="4"/>
        <v>B1.07.03</v>
      </c>
      <c r="G137" s="34">
        <f t="shared" si="5"/>
        <v>0.91</v>
      </c>
    </row>
    <row r="138" spans="2:7" ht="13.8" customHeight="1" x14ac:dyDescent="0.25">
      <c r="B138" s="33" t="s">
        <v>7</v>
      </c>
      <c r="C138" s="33">
        <v>2767499</v>
      </c>
      <c r="D138" s="33">
        <v>1.36</v>
      </c>
      <c r="E138" s="33" t="s">
        <v>235</v>
      </c>
      <c r="F138" s="31" t="str">
        <f t="shared" si="4"/>
        <v>B1.07.03</v>
      </c>
      <c r="G138" s="34">
        <f t="shared" si="5"/>
        <v>1.36</v>
      </c>
    </row>
    <row r="139" spans="2:7" ht="13.8" customHeight="1" x14ac:dyDescent="0.25">
      <c r="B139" s="33" t="s">
        <v>7</v>
      </c>
      <c r="C139" s="33">
        <v>2767502</v>
      </c>
      <c r="D139" s="33">
        <v>2.2599999999999998</v>
      </c>
      <c r="E139" s="33" t="s">
        <v>235</v>
      </c>
      <c r="F139" s="31" t="str">
        <f t="shared" si="4"/>
        <v>B1.07.03</v>
      </c>
      <c r="G139" s="34">
        <f t="shared" si="5"/>
        <v>2.2599999999999998</v>
      </c>
    </row>
    <row r="140" spans="2:7" ht="13.8" customHeight="1" x14ac:dyDescent="0.25">
      <c r="B140" s="33" t="s">
        <v>7</v>
      </c>
      <c r="C140" s="33">
        <v>2767505</v>
      </c>
      <c r="D140" s="33">
        <v>1.36</v>
      </c>
      <c r="E140" s="33" t="s">
        <v>235</v>
      </c>
      <c r="F140" s="31" t="str">
        <f t="shared" si="4"/>
        <v>B1.07.03</v>
      </c>
      <c r="G140" s="34">
        <f t="shared" si="5"/>
        <v>1.36</v>
      </c>
    </row>
    <row r="141" spans="2:7" ht="13.8" customHeight="1" x14ac:dyDescent="0.25">
      <c r="B141" s="33" t="s">
        <v>7</v>
      </c>
      <c r="C141" s="33">
        <v>2767550</v>
      </c>
      <c r="D141" s="33">
        <v>2.2599999999999998</v>
      </c>
      <c r="E141" s="33" t="s">
        <v>236</v>
      </c>
      <c r="F141" s="31" t="str">
        <f t="shared" si="4"/>
        <v>B1.07.04</v>
      </c>
      <c r="G141" s="34">
        <f t="shared" si="5"/>
        <v>2.2599999999999998</v>
      </c>
    </row>
    <row r="142" spans="2:7" ht="13.8" customHeight="1" x14ac:dyDescent="0.25">
      <c r="B142" s="33" t="s">
        <v>7</v>
      </c>
      <c r="C142" s="33">
        <v>2767553</v>
      </c>
      <c r="D142" s="33">
        <v>1.36</v>
      </c>
      <c r="E142" s="33" t="s">
        <v>236</v>
      </c>
      <c r="F142" s="31" t="str">
        <f t="shared" si="4"/>
        <v>B1.07.04</v>
      </c>
      <c r="G142" s="34">
        <f t="shared" si="5"/>
        <v>1.36</v>
      </c>
    </row>
    <row r="143" spans="2:7" ht="13.8" customHeight="1" x14ac:dyDescent="0.25">
      <c r="B143" s="33" t="s">
        <v>7</v>
      </c>
      <c r="C143" s="33">
        <v>2767591</v>
      </c>
      <c r="D143" s="33">
        <v>2.2599999999999998</v>
      </c>
      <c r="E143" s="33" t="s">
        <v>237</v>
      </c>
      <c r="F143" s="31" t="str">
        <f t="shared" si="4"/>
        <v>B1.07.05</v>
      </c>
      <c r="G143" s="34">
        <f t="shared" si="5"/>
        <v>2.2599999999999998</v>
      </c>
    </row>
    <row r="144" spans="2:7" ht="13.8" customHeight="1" x14ac:dyDescent="0.25">
      <c r="B144" s="33" t="s">
        <v>7</v>
      </c>
      <c r="C144" s="33">
        <v>2767594</v>
      </c>
      <c r="D144" s="33">
        <v>1.36</v>
      </c>
      <c r="E144" s="33" t="s">
        <v>237</v>
      </c>
      <c r="F144" s="31" t="str">
        <f t="shared" si="4"/>
        <v>B1.07.05</v>
      </c>
      <c r="G144" s="34">
        <f t="shared" si="5"/>
        <v>1.36</v>
      </c>
    </row>
    <row r="145" spans="2:7" ht="13.8" customHeight="1" x14ac:dyDescent="0.25">
      <c r="B145" s="33" t="s">
        <v>7</v>
      </c>
      <c r="C145" s="33">
        <v>2767633</v>
      </c>
      <c r="D145" s="33">
        <v>1.36</v>
      </c>
      <c r="E145" s="33" t="s">
        <v>238</v>
      </c>
      <c r="F145" s="31" t="str">
        <f t="shared" si="4"/>
        <v>B1.08.02</v>
      </c>
      <c r="G145" s="34">
        <f t="shared" si="5"/>
        <v>1.36</v>
      </c>
    </row>
    <row r="146" spans="2:7" ht="13.8" customHeight="1" x14ac:dyDescent="0.25">
      <c r="B146" s="33" t="s">
        <v>7</v>
      </c>
      <c r="C146" s="33">
        <v>2767636</v>
      </c>
      <c r="D146" s="33">
        <v>0.91</v>
      </c>
      <c r="E146" s="33" t="s">
        <v>238</v>
      </c>
      <c r="F146" s="31" t="str">
        <f t="shared" si="4"/>
        <v>B1.08.02</v>
      </c>
      <c r="G146" s="34">
        <f t="shared" si="5"/>
        <v>0.91</v>
      </c>
    </row>
    <row r="147" spans="2:7" ht="13.8" customHeight="1" x14ac:dyDescent="0.25">
      <c r="B147" s="33" t="s">
        <v>7</v>
      </c>
      <c r="C147" s="33">
        <v>2767639</v>
      </c>
      <c r="D147" s="33">
        <v>1.36</v>
      </c>
      <c r="E147" s="33" t="s">
        <v>238</v>
      </c>
      <c r="F147" s="31" t="str">
        <f t="shared" si="4"/>
        <v>B1.08.02</v>
      </c>
      <c r="G147" s="34">
        <f t="shared" si="5"/>
        <v>1.36</v>
      </c>
    </row>
    <row r="148" spans="2:7" ht="13.8" customHeight="1" x14ac:dyDescent="0.25">
      <c r="B148" s="33" t="s">
        <v>7</v>
      </c>
      <c r="C148" s="33">
        <v>2767642</v>
      </c>
      <c r="D148" s="33">
        <v>1.36</v>
      </c>
      <c r="E148" s="33" t="s">
        <v>238</v>
      </c>
      <c r="F148" s="31" t="str">
        <f t="shared" si="4"/>
        <v>B1.08.02</v>
      </c>
      <c r="G148" s="34">
        <f t="shared" si="5"/>
        <v>1.36</v>
      </c>
    </row>
    <row r="149" spans="2:7" ht="13.8" customHeight="1" x14ac:dyDescent="0.25">
      <c r="B149" s="33" t="s">
        <v>7</v>
      </c>
      <c r="C149" s="33">
        <v>2767645</v>
      </c>
      <c r="D149" s="33">
        <v>2.2599999999999998</v>
      </c>
      <c r="E149" s="33" t="s">
        <v>238</v>
      </c>
      <c r="F149" s="31" t="str">
        <f t="shared" si="4"/>
        <v>B1.08.02</v>
      </c>
      <c r="G149" s="34">
        <f t="shared" si="5"/>
        <v>2.2599999999999998</v>
      </c>
    </row>
    <row r="150" spans="2:7" ht="13.8" customHeight="1" x14ac:dyDescent="0.25">
      <c r="B150" s="33" t="s">
        <v>7</v>
      </c>
      <c r="C150" s="33">
        <v>2767701</v>
      </c>
      <c r="D150" s="33">
        <v>0.91</v>
      </c>
      <c r="E150" s="33" t="s">
        <v>239</v>
      </c>
      <c r="F150" s="31" t="str">
        <f t="shared" si="4"/>
        <v>B1.08.03</v>
      </c>
      <c r="G150" s="34">
        <f t="shared" si="5"/>
        <v>0.91</v>
      </c>
    </row>
    <row r="151" spans="2:7" ht="13.8" customHeight="1" x14ac:dyDescent="0.25">
      <c r="B151" s="33" t="s">
        <v>7</v>
      </c>
      <c r="C151" s="33">
        <v>2767704</v>
      </c>
      <c r="D151" s="33">
        <v>1.36</v>
      </c>
      <c r="E151" s="33" t="s">
        <v>239</v>
      </c>
      <c r="F151" s="31" t="str">
        <f t="shared" si="4"/>
        <v>B1.08.03</v>
      </c>
      <c r="G151" s="34">
        <f t="shared" si="5"/>
        <v>1.36</v>
      </c>
    </row>
    <row r="152" spans="2:7" ht="13.8" customHeight="1" x14ac:dyDescent="0.25">
      <c r="B152" s="33" t="s">
        <v>7</v>
      </c>
      <c r="C152" s="33">
        <v>2767707</v>
      </c>
      <c r="D152" s="33">
        <v>2.2599999999999998</v>
      </c>
      <c r="E152" s="33" t="s">
        <v>239</v>
      </c>
      <c r="F152" s="31" t="str">
        <f t="shared" si="4"/>
        <v>B1.08.03</v>
      </c>
      <c r="G152" s="34">
        <f t="shared" si="5"/>
        <v>2.2599999999999998</v>
      </c>
    </row>
    <row r="153" spans="2:7" ht="13.8" customHeight="1" x14ac:dyDescent="0.25">
      <c r="B153" s="33" t="s">
        <v>7</v>
      </c>
      <c r="C153" s="33">
        <v>2767710</v>
      </c>
      <c r="D153" s="33">
        <v>1.36</v>
      </c>
      <c r="E153" s="33" t="s">
        <v>239</v>
      </c>
      <c r="F153" s="31" t="str">
        <f t="shared" si="4"/>
        <v>B1.08.03</v>
      </c>
      <c r="G153" s="34">
        <f t="shared" si="5"/>
        <v>1.36</v>
      </c>
    </row>
    <row r="154" spans="2:7" ht="13.8" customHeight="1" x14ac:dyDescent="0.25">
      <c r="B154" s="33" t="s">
        <v>7</v>
      </c>
      <c r="C154" s="33">
        <v>2767753</v>
      </c>
      <c r="D154" s="33">
        <v>1.36</v>
      </c>
      <c r="E154" s="33" t="s">
        <v>240</v>
      </c>
      <c r="F154" s="31" t="str">
        <f t="shared" si="4"/>
        <v>A3.10.01</v>
      </c>
      <c r="G154" s="34">
        <f t="shared" si="5"/>
        <v>1.36</v>
      </c>
    </row>
    <row r="155" spans="2:7" ht="13.8" customHeight="1" x14ac:dyDescent="0.25">
      <c r="B155" s="33" t="s">
        <v>7</v>
      </c>
      <c r="C155" s="33">
        <v>2767756</v>
      </c>
      <c r="D155" s="33">
        <v>1.36</v>
      </c>
      <c r="E155" s="33" t="s">
        <v>240</v>
      </c>
      <c r="F155" s="31" t="str">
        <f t="shared" si="4"/>
        <v>A3.10.01</v>
      </c>
      <c r="G155" s="34">
        <f t="shared" si="5"/>
        <v>1.36</v>
      </c>
    </row>
    <row r="156" spans="2:7" ht="13.8" customHeight="1" x14ac:dyDescent="0.25">
      <c r="B156" s="33" t="s">
        <v>7</v>
      </c>
      <c r="C156" s="33">
        <v>2767759</v>
      </c>
      <c r="D156" s="33">
        <v>1.36</v>
      </c>
      <c r="E156" s="33" t="s">
        <v>240</v>
      </c>
      <c r="F156" s="31" t="str">
        <f t="shared" si="4"/>
        <v>A3.10.01</v>
      </c>
      <c r="G156" s="34">
        <f t="shared" si="5"/>
        <v>1.36</v>
      </c>
    </row>
    <row r="157" spans="2:7" ht="13.8" customHeight="1" x14ac:dyDescent="0.25">
      <c r="B157" s="33" t="s">
        <v>7</v>
      </c>
      <c r="C157" s="33">
        <v>2767762</v>
      </c>
      <c r="D157" s="33">
        <v>2.2599999999999998</v>
      </c>
      <c r="E157" s="33" t="s">
        <v>240</v>
      </c>
      <c r="F157" s="31" t="str">
        <f t="shared" si="4"/>
        <v>A3.10.01</v>
      </c>
      <c r="G157" s="34">
        <f t="shared" si="5"/>
        <v>2.2599999999999998</v>
      </c>
    </row>
    <row r="158" spans="2:7" ht="13.8" customHeight="1" x14ac:dyDescent="0.25">
      <c r="B158" s="33" t="s">
        <v>7</v>
      </c>
      <c r="C158" s="33">
        <v>2767823</v>
      </c>
      <c r="D158" s="33">
        <v>1.25</v>
      </c>
      <c r="E158" s="33" t="s">
        <v>241</v>
      </c>
      <c r="F158" s="31" t="str">
        <f t="shared" si="4"/>
        <v>A3.10.05</v>
      </c>
      <c r="G158" s="34">
        <f t="shared" si="5"/>
        <v>1.25</v>
      </c>
    </row>
    <row r="159" spans="2:7" ht="13.8" customHeight="1" x14ac:dyDescent="0.25">
      <c r="B159" s="33" t="s">
        <v>7</v>
      </c>
      <c r="C159" s="33">
        <v>2767826</v>
      </c>
      <c r="D159" s="33">
        <v>1.25</v>
      </c>
      <c r="E159" s="33" t="s">
        <v>241</v>
      </c>
      <c r="F159" s="31" t="str">
        <f t="shared" si="4"/>
        <v>A3.10.05</v>
      </c>
      <c r="G159" s="34">
        <f t="shared" si="5"/>
        <v>1.25</v>
      </c>
    </row>
    <row r="160" spans="2:7" ht="13.8" customHeight="1" x14ac:dyDescent="0.25">
      <c r="B160" s="33" t="s">
        <v>7</v>
      </c>
      <c r="C160" s="33">
        <v>2767829</v>
      </c>
      <c r="D160" s="33">
        <v>2.2599999999999998</v>
      </c>
      <c r="E160" s="33" t="s">
        <v>241</v>
      </c>
      <c r="F160" s="31" t="str">
        <f t="shared" si="4"/>
        <v>A3.10.05</v>
      </c>
      <c r="G160" s="34">
        <f t="shared" si="5"/>
        <v>2.2599999999999998</v>
      </c>
    </row>
    <row r="161" spans="2:7" ht="13.8" customHeight="1" x14ac:dyDescent="0.25">
      <c r="B161" s="33" t="s">
        <v>7</v>
      </c>
      <c r="C161" s="33">
        <v>2767832</v>
      </c>
      <c r="D161" s="33">
        <v>1.25</v>
      </c>
      <c r="E161" s="33" t="s">
        <v>241</v>
      </c>
      <c r="F161" s="31" t="str">
        <f t="shared" si="4"/>
        <v>A3.10.05</v>
      </c>
      <c r="G161" s="34">
        <f t="shared" si="5"/>
        <v>1.25</v>
      </c>
    </row>
    <row r="162" spans="2:7" ht="13.8" customHeight="1" x14ac:dyDescent="0.25">
      <c r="B162" s="33" t="s">
        <v>7</v>
      </c>
      <c r="C162" s="33">
        <v>2767893</v>
      </c>
      <c r="D162" s="33">
        <v>1.35</v>
      </c>
      <c r="E162" s="33" t="s">
        <v>242</v>
      </c>
      <c r="F162" s="31" t="str">
        <f t="shared" si="4"/>
        <v>A3.10.04</v>
      </c>
      <c r="G162" s="34">
        <f t="shared" si="5"/>
        <v>1.35</v>
      </c>
    </row>
    <row r="163" spans="2:7" ht="13.8" customHeight="1" x14ac:dyDescent="0.25">
      <c r="B163" s="33" t="s">
        <v>7</v>
      </c>
      <c r="C163" s="33">
        <v>2767896</v>
      </c>
      <c r="D163" s="33">
        <v>1.25</v>
      </c>
      <c r="E163" s="33" t="s">
        <v>242</v>
      </c>
      <c r="F163" s="31" t="str">
        <f t="shared" si="4"/>
        <v>A3.10.04</v>
      </c>
      <c r="G163" s="34">
        <f t="shared" si="5"/>
        <v>1.25</v>
      </c>
    </row>
    <row r="164" spans="2:7" ht="13.8" customHeight="1" x14ac:dyDescent="0.25">
      <c r="B164" s="33" t="s">
        <v>7</v>
      </c>
      <c r="C164" s="33">
        <v>2767899</v>
      </c>
      <c r="D164" s="33">
        <v>1.25</v>
      </c>
      <c r="E164" s="33" t="s">
        <v>242</v>
      </c>
      <c r="F164" s="31" t="str">
        <f t="shared" si="4"/>
        <v>A3.10.04</v>
      </c>
      <c r="G164" s="34">
        <f t="shared" si="5"/>
        <v>1.25</v>
      </c>
    </row>
    <row r="165" spans="2:7" ht="13.8" customHeight="1" x14ac:dyDescent="0.25">
      <c r="B165" s="33" t="s">
        <v>7</v>
      </c>
      <c r="C165" s="33">
        <v>2767936</v>
      </c>
      <c r="D165" s="33">
        <v>2.2599999999999998</v>
      </c>
      <c r="E165" s="33" t="s">
        <v>243</v>
      </c>
      <c r="F165" s="31" t="str">
        <f t="shared" si="4"/>
        <v>A3.10.03</v>
      </c>
      <c r="G165" s="34">
        <f t="shared" si="5"/>
        <v>2.2599999999999998</v>
      </c>
    </row>
    <row r="166" spans="2:7" ht="13.8" customHeight="1" x14ac:dyDescent="0.25">
      <c r="B166" s="33" t="s">
        <v>7</v>
      </c>
      <c r="C166" s="33">
        <v>2767939</v>
      </c>
      <c r="D166" s="33">
        <v>1.25</v>
      </c>
      <c r="E166" s="33" t="s">
        <v>243</v>
      </c>
      <c r="F166" s="31" t="str">
        <f t="shared" si="4"/>
        <v>A3.10.03</v>
      </c>
      <c r="G166" s="34">
        <f t="shared" si="5"/>
        <v>1.25</v>
      </c>
    </row>
    <row r="167" spans="2:7" ht="13.8" customHeight="1" x14ac:dyDescent="0.25">
      <c r="B167" s="33" t="s">
        <v>7</v>
      </c>
      <c r="C167" s="33">
        <v>2767942</v>
      </c>
      <c r="D167" s="33">
        <v>1.25</v>
      </c>
      <c r="E167" s="33" t="s">
        <v>243</v>
      </c>
      <c r="F167" s="31" t="str">
        <f t="shared" si="4"/>
        <v>A3.10.03</v>
      </c>
      <c r="G167" s="34">
        <f t="shared" si="5"/>
        <v>1.25</v>
      </c>
    </row>
    <row r="168" spans="2:7" ht="13.8" customHeight="1" x14ac:dyDescent="0.25">
      <c r="B168" s="33" t="s">
        <v>7</v>
      </c>
      <c r="C168" s="33">
        <v>2767945</v>
      </c>
      <c r="D168" s="33">
        <v>1.25</v>
      </c>
      <c r="E168" s="33" t="s">
        <v>243</v>
      </c>
      <c r="F168" s="31" t="str">
        <f t="shared" si="4"/>
        <v>A3.10.03</v>
      </c>
      <c r="G168" s="34">
        <f t="shared" si="5"/>
        <v>1.25</v>
      </c>
    </row>
    <row r="169" spans="2:7" ht="13.8" customHeight="1" x14ac:dyDescent="0.25">
      <c r="B169" s="33" t="s">
        <v>7</v>
      </c>
      <c r="C169" s="33">
        <v>2768010</v>
      </c>
      <c r="D169" s="33">
        <v>2.2599999999999998</v>
      </c>
      <c r="E169" s="33" t="s">
        <v>244</v>
      </c>
      <c r="F169" s="31" t="str">
        <f t="shared" si="4"/>
        <v>A3.10.02</v>
      </c>
      <c r="G169" s="34">
        <f t="shared" si="5"/>
        <v>2.2599999999999998</v>
      </c>
    </row>
    <row r="170" spans="2:7" ht="13.8" customHeight="1" x14ac:dyDescent="0.25">
      <c r="B170" s="33" t="s">
        <v>7</v>
      </c>
      <c r="C170" s="33">
        <v>2768013</v>
      </c>
      <c r="D170" s="33">
        <v>1.36</v>
      </c>
      <c r="E170" s="33" t="s">
        <v>244</v>
      </c>
      <c r="F170" s="31" t="str">
        <f t="shared" si="4"/>
        <v>A3.10.02</v>
      </c>
      <c r="G170" s="34">
        <f t="shared" si="5"/>
        <v>1.36</v>
      </c>
    </row>
    <row r="171" spans="2:7" ht="13.8" customHeight="1" x14ac:dyDescent="0.25">
      <c r="B171" s="33" t="s">
        <v>7</v>
      </c>
      <c r="C171" s="33">
        <v>2768016</v>
      </c>
      <c r="D171" s="33">
        <v>1.36</v>
      </c>
      <c r="E171" s="33" t="s">
        <v>244</v>
      </c>
      <c r="F171" s="31" t="str">
        <f t="shared" si="4"/>
        <v>A3.10.02</v>
      </c>
      <c r="G171" s="34">
        <f t="shared" si="5"/>
        <v>1.36</v>
      </c>
    </row>
    <row r="172" spans="2:7" ht="13.8" customHeight="1" x14ac:dyDescent="0.25">
      <c r="B172" s="33" t="s">
        <v>7</v>
      </c>
      <c r="C172" s="33">
        <v>2768019</v>
      </c>
      <c r="D172" s="33">
        <v>1.36</v>
      </c>
      <c r="E172" s="33" t="s">
        <v>244</v>
      </c>
      <c r="F172" s="31" t="str">
        <f t="shared" si="4"/>
        <v>A3.10.02</v>
      </c>
      <c r="G172" s="34">
        <f t="shared" si="5"/>
        <v>1.36</v>
      </c>
    </row>
    <row r="173" spans="2:7" ht="13.8" customHeight="1" x14ac:dyDescent="0.25">
      <c r="B173" s="33" t="s">
        <v>7</v>
      </c>
      <c r="C173" s="33">
        <v>2768078</v>
      </c>
      <c r="D173" s="33">
        <v>2.2599999999999998</v>
      </c>
      <c r="E173" s="33" t="s">
        <v>245</v>
      </c>
      <c r="F173" s="31" t="str">
        <f t="shared" si="4"/>
        <v>A3.07.05</v>
      </c>
      <c r="G173" s="34">
        <f t="shared" si="5"/>
        <v>2.2599999999999998</v>
      </c>
    </row>
    <row r="174" spans="2:7" ht="13.8" customHeight="1" x14ac:dyDescent="0.25">
      <c r="B174" s="33" t="s">
        <v>7</v>
      </c>
      <c r="C174" s="33">
        <v>2768081</v>
      </c>
      <c r="D174" s="33">
        <v>1.25</v>
      </c>
      <c r="E174" s="33" t="s">
        <v>245</v>
      </c>
      <c r="F174" s="31" t="str">
        <f t="shared" si="4"/>
        <v>A3.07.05</v>
      </c>
      <c r="G174" s="34">
        <f t="shared" si="5"/>
        <v>1.25</v>
      </c>
    </row>
    <row r="175" spans="2:7" ht="13.8" customHeight="1" x14ac:dyDescent="0.25">
      <c r="B175" s="33" t="s">
        <v>7</v>
      </c>
      <c r="C175" s="33">
        <v>2768084</v>
      </c>
      <c r="D175" s="33">
        <v>1.25</v>
      </c>
      <c r="E175" s="33" t="s">
        <v>245</v>
      </c>
      <c r="F175" s="31" t="str">
        <f t="shared" si="4"/>
        <v>A3.07.05</v>
      </c>
      <c r="G175" s="34">
        <f t="shared" si="5"/>
        <v>1.25</v>
      </c>
    </row>
    <row r="176" spans="2:7" ht="13.8" customHeight="1" x14ac:dyDescent="0.25">
      <c r="B176" s="33" t="s">
        <v>7</v>
      </c>
      <c r="C176" s="33">
        <v>2768087</v>
      </c>
      <c r="D176" s="33">
        <v>1.25</v>
      </c>
      <c r="E176" s="33" t="s">
        <v>245</v>
      </c>
      <c r="F176" s="31" t="str">
        <f t="shared" si="4"/>
        <v>A3.07.05</v>
      </c>
      <c r="G176" s="34">
        <f t="shared" si="5"/>
        <v>1.25</v>
      </c>
    </row>
    <row r="177" spans="2:7" ht="13.8" customHeight="1" x14ac:dyDescent="0.25">
      <c r="B177" s="33" t="s">
        <v>7</v>
      </c>
      <c r="C177" s="33">
        <v>2768158</v>
      </c>
      <c r="D177" s="33">
        <v>1.36</v>
      </c>
      <c r="E177" s="33" t="s">
        <v>246</v>
      </c>
      <c r="F177" s="31" t="str">
        <f t="shared" si="4"/>
        <v>A3.07.04</v>
      </c>
      <c r="G177" s="34">
        <f t="shared" si="5"/>
        <v>1.36</v>
      </c>
    </row>
    <row r="178" spans="2:7" ht="13.8" customHeight="1" x14ac:dyDescent="0.25">
      <c r="B178" s="33" t="s">
        <v>7</v>
      </c>
      <c r="C178" s="33">
        <v>2768161</v>
      </c>
      <c r="D178" s="33">
        <v>2.2599999999999998</v>
      </c>
      <c r="E178" s="33" t="s">
        <v>246</v>
      </c>
      <c r="F178" s="31" t="str">
        <f t="shared" si="4"/>
        <v>A3.07.04</v>
      </c>
      <c r="G178" s="34">
        <f t="shared" si="5"/>
        <v>2.2599999999999998</v>
      </c>
    </row>
    <row r="179" spans="2:7" ht="13.8" customHeight="1" x14ac:dyDescent="0.25">
      <c r="B179" s="33" t="s">
        <v>7</v>
      </c>
      <c r="C179" s="33">
        <v>2768164</v>
      </c>
      <c r="D179" s="33">
        <v>1.36</v>
      </c>
      <c r="E179" s="33" t="s">
        <v>246</v>
      </c>
      <c r="F179" s="31" t="str">
        <f t="shared" si="4"/>
        <v>A3.07.04</v>
      </c>
      <c r="G179" s="34">
        <f t="shared" si="5"/>
        <v>1.36</v>
      </c>
    </row>
    <row r="180" spans="2:7" ht="13.8" customHeight="1" x14ac:dyDescent="0.25">
      <c r="B180" s="33" t="s">
        <v>7</v>
      </c>
      <c r="C180" s="33">
        <v>2768167</v>
      </c>
      <c r="D180" s="33">
        <v>1.36</v>
      </c>
      <c r="E180" s="33" t="s">
        <v>246</v>
      </c>
      <c r="F180" s="31" t="str">
        <f t="shared" si="4"/>
        <v>A3.07.04</v>
      </c>
      <c r="G180" s="34">
        <f t="shared" si="5"/>
        <v>1.36</v>
      </c>
    </row>
    <row r="181" spans="2:7" ht="13.8" customHeight="1" x14ac:dyDescent="0.25">
      <c r="B181" s="33" t="s">
        <v>7</v>
      </c>
      <c r="C181" s="33">
        <v>2768230</v>
      </c>
      <c r="D181" s="33">
        <v>2.2599999999999998</v>
      </c>
      <c r="E181" s="33" t="s">
        <v>247</v>
      </c>
      <c r="F181" s="31" t="str">
        <f t="shared" si="4"/>
        <v>A3.07.08</v>
      </c>
      <c r="G181" s="34">
        <f t="shared" si="5"/>
        <v>2.2599999999999998</v>
      </c>
    </row>
    <row r="182" spans="2:7" ht="13.8" customHeight="1" x14ac:dyDescent="0.25">
      <c r="B182" s="33" t="s">
        <v>7</v>
      </c>
      <c r="C182" s="33">
        <v>2768233</v>
      </c>
      <c r="D182" s="33">
        <v>1.25</v>
      </c>
      <c r="E182" s="33" t="s">
        <v>247</v>
      </c>
      <c r="F182" s="31" t="str">
        <f t="shared" si="4"/>
        <v>A3.07.08</v>
      </c>
      <c r="G182" s="34">
        <f t="shared" si="5"/>
        <v>1.25</v>
      </c>
    </row>
    <row r="183" spans="2:7" ht="13.8" customHeight="1" x14ac:dyDescent="0.25">
      <c r="B183" s="33" t="s">
        <v>7</v>
      </c>
      <c r="C183" s="33">
        <v>2768236</v>
      </c>
      <c r="D183" s="33">
        <v>1.25</v>
      </c>
      <c r="E183" s="33" t="s">
        <v>247</v>
      </c>
      <c r="F183" s="31" t="str">
        <f t="shared" si="4"/>
        <v>A3.07.08</v>
      </c>
      <c r="G183" s="34">
        <f t="shared" si="5"/>
        <v>1.25</v>
      </c>
    </row>
    <row r="184" spans="2:7" ht="13.8" customHeight="1" x14ac:dyDescent="0.25">
      <c r="B184" s="33" t="s">
        <v>7</v>
      </c>
      <c r="C184" s="33">
        <v>2768239</v>
      </c>
      <c r="D184" s="33">
        <v>1.25</v>
      </c>
      <c r="E184" s="33" t="s">
        <v>247</v>
      </c>
      <c r="F184" s="31" t="str">
        <f t="shared" si="4"/>
        <v>A3.07.08</v>
      </c>
      <c r="G184" s="34">
        <f t="shared" si="5"/>
        <v>1.25</v>
      </c>
    </row>
    <row r="185" spans="2:7" ht="13.8" customHeight="1" x14ac:dyDescent="0.25">
      <c r="B185" s="33" t="s">
        <v>7</v>
      </c>
      <c r="C185" s="33">
        <v>2768310</v>
      </c>
      <c r="D185" s="33">
        <v>1.36</v>
      </c>
      <c r="E185" s="33" t="s">
        <v>248</v>
      </c>
      <c r="F185" s="31" t="str">
        <f t="shared" si="4"/>
        <v>A3.07.01</v>
      </c>
      <c r="G185" s="34">
        <f t="shared" si="5"/>
        <v>1.36</v>
      </c>
    </row>
    <row r="186" spans="2:7" ht="13.8" customHeight="1" x14ac:dyDescent="0.25">
      <c r="B186" s="33" t="s">
        <v>7</v>
      </c>
      <c r="C186" s="33">
        <v>2768313</v>
      </c>
      <c r="D186" s="33">
        <v>1.36</v>
      </c>
      <c r="E186" s="33" t="s">
        <v>248</v>
      </c>
      <c r="F186" s="31" t="str">
        <f t="shared" si="4"/>
        <v>A3.07.01</v>
      </c>
      <c r="G186" s="34">
        <f t="shared" si="5"/>
        <v>1.36</v>
      </c>
    </row>
    <row r="187" spans="2:7" ht="13.8" customHeight="1" x14ac:dyDescent="0.25">
      <c r="B187" s="33" t="s">
        <v>7</v>
      </c>
      <c r="C187" s="33">
        <v>2768316</v>
      </c>
      <c r="D187" s="33">
        <v>1.36</v>
      </c>
      <c r="E187" s="33" t="s">
        <v>248</v>
      </c>
      <c r="F187" s="31" t="str">
        <f t="shared" si="4"/>
        <v>A3.07.01</v>
      </c>
      <c r="G187" s="34">
        <f t="shared" si="5"/>
        <v>1.36</v>
      </c>
    </row>
    <row r="188" spans="2:7" ht="13.8" customHeight="1" x14ac:dyDescent="0.25">
      <c r="B188" s="33" t="s">
        <v>7</v>
      </c>
      <c r="C188" s="33">
        <v>2768319</v>
      </c>
      <c r="D188" s="33">
        <v>2.2599999999999998</v>
      </c>
      <c r="E188" s="33" t="s">
        <v>248</v>
      </c>
      <c r="F188" s="31" t="str">
        <f t="shared" si="4"/>
        <v>A3.07.01</v>
      </c>
      <c r="G188" s="34">
        <f t="shared" si="5"/>
        <v>2.2599999999999998</v>
      </c>
    </row>
    <row r="189" spans="2:7" ht="13.8" customHeight="1" x14ac:dyDescent="0.25">
      <c r="B189" s="33" t="s">
        <v>7</v>
      </c>
      <c r="C189" s="33">
        <v>2768384</v>
      </c>
      <c r="D189" s="33">
        <v>2.2599999999999998</v>
      </c>
      <c r="E189" s="33" t="s">
        <v>249</v>
      </c>
      <c r="F189" s="31" t="str">
        <f t="shared" si="4"/>
        <v>A3.07.02</v>
      </c>
      <c r="G189" s="34">
        <f t="shared" si="5"/>
        <v>2.2599999999999998</v>
      </c>
    </row>
    <row r="190" spans="2:7" ht="13.8" customHeight="1" x14ac:dyDescent="0.25">
      <c r="B190" s="33" t="s">
        <v>7</v>
      </c>
      <c r="C190" s="33">
        <v>2768387</v>
      </c>
      <c r="D190" s="33">
        <v>1.25</v>
      </c>
      <c r="E190" s="33" t="s">
        <v>249</v>
      </c>
      <c r="F190" s="31" t="str">
        <f t="shared" si="4"/>
        <v>A3.07.02</v>
      </c>
      <c r="G190" s="34">
        <f t="shared" si="5"/>
        <v>1.25</v>
      </c>
    </row>
    <row r="191" spans="2:7" ht="13.8" customHeight="1" x14ac:dyDescent="0.25">
      <c r="B191" s="33" t="s">
        <v>7</v>
      </c>
      <c r="C191" s="33">
        <v>2768390</v>
      </c>
      <c r="D191" s="33">
        <v>1.25</v>
      </c>
      <c r="E191" s="33" t="s">
        <v>249</v>
      </c>
      <c r="F191" s="31" t="str">
        <f t="shared" si="4"/>
        <v>A3.07.02</v>
      </c>
      <c r="G191" s="34">
        <f t="shared" si="5"/>
        <v>1.25</v>
      </c>
    </row>
    <row r="192" spans="2:7" ht="13.8" customHeight="1" x14ac:dyDescent="0.25">
      <c r="B192" s="33" t="s">
        <v>7</v>
      </c>
      <c r="C192" s="33">
        <v>2768393</v>
      </c>
      <c r="D192" s="33">
        <v>1.25</v>
      </c>
      <c r="E192" s="33" t="s">
        <v>249</v>
      </c>
      <c r="F192" s="31" t="str">
        <f t="shared" si="4"/>
        <v>A3.07.02</v>
      </c>
      <c r="G192" s="34">
        <f t="shared" si="5"/>
        <v>1.25</v>
      </c>
    </row>
    <row r="193" spans="2:7" ht="13.8" customHeight="1" x14ac:dyDescent="0.25">
      <c r="B193" s="33" t="s">
        <v>7</v>
      </c>
      <c r="C193" s="33">
        <v>2768396</v>
      </c>
      <c r="D193" s="33">
        <v>1.25</v>
      </c>
      <c r="E193" s="33" t="s">
        <v>249</v>
      </c>
      <c r="F193" s="31" t="str">
        <f t="shared" si="4"/>
        <v>A3.07.02</v>
      </c>
      <c r="G193" s="34">
        <f t="shared" si="5"/>
        <v>1.25</v>
      </c>
    </row>
    <row r="194" spans="2:7" ht="13.8" customHeight="1" x14ac:dyDescent="0.25">
      <c r="B194" s="33" t="s">
        <v>7</v>
      </c>
      <c r="C194" s="33">
        <v>2768399</v>
      </c>
      <c r="D194" s="33">
        <v>0.91</v>
      </c>
      <c r="E194" s="33" t="s">
        <v>249</v>
      </c>
      <c r="F194" s="31" t="str">
        <f t="shared" si="4"/>
        <v>A3.07.02</v>
      </c>
      <c r="G194" s="34">
        <f t="shared" si="5"/>
        <v>0.91</v>
      </c>
    </row>
    <row r="195" spans="2:7" ht="13.8" customHeight="1" x14ac:dyDescent="0.25">
      <c r="B195" s="33" t="s">
        <v>7</v>
      </c>
      <c r="C195" s="33">
        <v>2768470</v>
      </c>
      <c r="D195" s="33">
        <v>2.2599999999999998</v>
      </c>
      <c r="E195" s="33" t="s">
        <v>250</v>
      </c>
      <c r="F195" s="31" t="str">
        <f t="shared" si="4"/>
        <v>A3.07.07</v>
      </c>
      <c r="G195" s="34">
        <f t="shared" si="5"/>
        <v>2.2599999999999998</v>
      </c>
    </row>
    <row r="196" spans="2:7" ht="13.8" customHeight="1" x14ac:dyDescent="0.25">
      <c r="B196" s="33" t="s">
        <v>7</v>
      </c>
      <c r="C196" s="33">
        <v>2768473</v>
      </c>
      <c r="D196" s="33">
        <v>1.25</v>
      </c>
      <c r="E196" s="33" t="s">
        <v>250</v>
      </c>
      <c r="F196" s="31" t="str">
        <f t="shared" si="4"/>
        <v>A3.07.07</v>
      </c>
      <c r="G196" s="34">
        <f t="shared" si="5"/>
        <v>1.25</v>
      </c>
    </row>
    <row r="197" spans="2:7" ht="13.8" customHeight="1" x14ac:dyDescent="0.25">
      <c r="B197" s="33" t="s">
        <v>7</v>
      </c>
      <c r="C197" s="33">
        <v>2768517</v>
      </c>
      <c r="D197" s="33">
        <v>0.91</v>
      </c>
      <c r="E197" s="33" t="s">
        <v>251</v>
      </c>
      <c r="F197" s="31" t="str">
        <f t="shared" si="4"/>
        <v>A3.07.03</v>
      </c>
      <c r="G197" s="34">
        <f t="shared" si="5"/>
        <v>0.91</v>
      </c>
    </row>
    <row r="198" spans="2:7" ht="13.8" customHeight="1" x14ac:dyDescent="0.25">
      <c r="B198" s="33" t="s">
        <v>7</v>
      </c>
      <c r="C198" s="33">
        <v>2768520</v>
      </c>
      <c r="D198" s="33">
        <v>1.25</v>
      </c>
      <c r="E198" s="33" t="s">
        <v>251</v>
      </c>
      <c r="F198" s="31" t="str">
        <f t="shared" si="4"/>
        <v>A3.07.03</v>
      </c>
      <c r="G198" s="34">
        <f t="shared" si="5"/>
        <v>1.25</v>
      </c>
    </row>
    <row r="199" spans="2:7" ht="13.8" customHeight="1" x14ac:dyDescent="0.25">
      <c r="B199" s="33" t="s">
        <v>7</v>
      </c>
      <c r="C199" s="33">
        <v>2768523</v>
      </c>
      <c r="D199" s="33">
        <v>2.2599999999999998</v>
      </c>
      <c r="E199" s="33" t="s">
        <v>251</v>
      </c>
      <c r="F199" s="31" t="str">
        <f t="shared" ref="F199:F262" si="6">LEFT(E199,8)</f>
        <v>A3.07.03</v>
      </c>
      <c r="G199" s="34">
        <f t="shared" ref="G199:G262" si="7">D199</f>
        <v>2.2599999999999998</v>
      </c>
    </row>
    <row r="200" spans="2:7" ht="13.8" customHeight="1" x14ac:dyDescent="0.25">
      <c r="B200" s="33" t="s">
        <v>7</v>
      </c>
      <c r="C200" s="33">
        <v>2768526</v>
      </c>
      <c r="D200" s="33">
        <v>1.25</v>
      </c>
      <c r="E200" s="33" t="s">
        <v>251</v>
      </c>
      <c r="F200" s="31" t="str">
        <f t="shared" si="6"/>
        <v>A3.07.03</v>
      </c>
      <c r="G200" s="34">
        <f t="shared" si="7"/>
        <v>1.25</v>
      </c>
    </row>
    <row r="201" spans="2:7" ht="13.8" customHeight="1" x14ac:dyDescent="0.25">
      <c r="B201" s="33" t="s">
        <v>7</v>
      </c>
      <c r="C201" s="33">
        <v>2768529</v>
      </c>
      <c r="D201" s="33">
        <v>1.25</v>
      </c>
      <c r="E201" s="33" t="s">
        <v>251</v>
      </c>
      <c r="F201" s="31" t="str">
        <f t="shared" si="6"/>
        <v>A3.07.03</v>
      </c>
      <c r="G201" s="34">
        <f t="shared" si="7"/>
        <v>1.25</v>
      </c>
    </row>
    <row r="202" spans="2:7" ht="13.8" customHeight="1" x14ac:dyDescent="0.25">
      <c r="B202" s="33" t="s">
        <v>7</v>
      </c>
      <c r="C202" s="33">
        <v>2768532</v>
      </c>
      <c r="D202" s="33">
        <v>1.25</v>
      </c>
      <c r="E202" s="33" t="s">
        <v>251</v>
      </c>
      <c r="F202" s="31" t="str">
        <f t="shared" si="6"/>
        <v>A3.07.03</v>
      </c>
      <c r="G202" s="34">
        <f t="shared" si="7"/>
        <v>1.25</v>
      </c>
    </row>
    <row r="203" spans="2:7" ht="13.8" customHeight="1" x14ac:dyDescent="0.25">
      <c r="B203" s="33" t="s">
        <v>7</v>
      </c>
      <c r="C203" s="33">
        <v>2768599</v>
      </c>
      <c r="D203" s="33">
        <v>2.2599999999999998</v>
      </c>
      <c r="E203" s="33" t="s">
        <v>252</v>
      </c>
      <c r="F203" s="31" t="str">
        <f t="shared" si="6"/>
        <v>A3.07.06</v>
      </c>
      <c r="G203" s="34">
        <f t="shared" si="7"/>
        <v>2.2599999999999998</v>
      </c>
    </row>
    <row r="204" spans="2:7" ht="13.8" customHeight="1" x14ac:dyDescent="0.25">
      <c r="B204" s="33" t="s">
        <v>7</v>
      </c>
      <c r="C204" s="33">
        <v>2768602</v>
      </c>
      <c r="D204" s="33">
        <v>1.25</v>
      </c>
      <c r="E204" s="33" t="s">
        <v>252</v>
      </c>
      <c r="F204" s="31" t="str">
        <f t="shared" si="6"/>
        <v>A3.07.06</v>
      </c>
      <c r="G204" s="34">
        <f t="shared" si="7"/>
        <v>1.25</v>
      </c>
    </row>
    <row r="205" spans="2:7" ht="13.8" customHeight="1" x14ac:dyDescent="0.25">
      <c r="B205" s="33" t="s">
        <v>7</v>
      </c>
      <c r="C205" s="33">
        <v>2768646</v>
      </c>
      <c r="D205" s="33">
        <v>1.36</v>
      </c>
      <c r="E205" s="33" t="s">
        <v>253</v>
      </c>
      <c r="F205" s="31" t="str">
        <f t="shared" si="6"/>
        <v>A6.10.04</v>
      </c>
      <c r="G205" s="34">
        <f t="shared" si="7"/>
        <v>1.36</v>
      </c>
    </row>
    <row r="206" spans="2:7" ht="13.8" customHeight="1" x14ac:dyDescent="0.25">
      <c r="B206" s="33" t="s">
        <v>7</v>
      </c>
      <c r="C206" s="33">
        <v>2768649</v>
      </c>
      <c r="D206" s="33">
        <v>1.36</v>
      </c>
      <c r="E206" s="33" t="s">
        <v>253</v>
      </c>
      <c r="F206" s="31" t="str">
        <f t="shared" si="6"/>
        <v>A6.10.04</v>
      </c>
      <c r="G206" s="34">
        <f t="shared" si="7"/>
        <v>1.36</v>
      </c>
    </row>
    <row r="207" spans="2:7" ht="13.8" customHeight="1" x14ac:dyDescent="0.25">
      <c r="B207" s="33" t="s">
        <v>7</v>
      </c>
      <c r="C207" s="33">
        <v>2768652</v>
      </c>
      <c r="D207" s="33">
        <v>2.2599999999999998</v>
      </c>
      <c r="E207" s="33" t="s">
        <v>253</v>
      </c>
      <c r="F207" s="31" t="str">
        <f t="shared" si="6"/>
        <v>A6.10.04</v>
      </c>
      <c r="G207" s="34">
        <f t="shared" si="7"/>
        <v>2.2599999999999998</v>
      </c>
    </row>
    <row r="208" spans="2:7" ht="13.8" customHeight="1" x14ac:dyDescent="0.25">
      <c r="B208" s="33" t="s">
        <v>7</v>
      </c>
      <c r="C208" s="33">
        <v>2768655</v>
      </c>
      <c r="D208" s="33">
        <v>0.91</v>
      </c>
      <c r="E208" s="33" t="s">
        <v>253</v>
      </c>
      <c r="F208" s="31" t="str">
        <f t="shared" si="6"/>
        <v>A6.10.04</v>
      </c>
      <c r="G208" s="34">
        <f t="shared" si="7"/>
        <v>0.91</v>
      </c>
    </row>
    <row r="209" spans="2:7" ht="13.8" customHeight="1" x14ac:dyDescent="0.25">
      <c r="B209" s="33" t="s">
        <v>7</v>
      </c>
      <c r="C209" s="33">
        <v>2768658</v>
      </c>
      <c r="D209" s="33">
        <v>1.25</v>
      </c>
      <c r="E209" s="33" t="s">
        <v>253</v>
      </c>
      <c r="F209" s="31" t="str">
        <f t="shared" si="6"/>
        <v>A6.10.04</v>
      </c>
      <c r="G209" s="34">
        <f t="shared" si="7"/>
        <v>1.25</v>
      </c>
    </row>
    <row r="210" spans="2:7" ht="13.8" customHeight="1" x14ac:dyDescent="0.25">
      <c r="B210" s="33" t="s">
        <v>7</v>
      </c>
      <c r="C210" s="33">
        <v>2768661</v>
      </c>
      <c r="D210" s="33">
        <v>0.91</v>
      </c>
      <c r="E210" s="33" t="s">
        <v>253</v>
      </c>
      <c r="F210" s="31" t="str">
        <f t="shared" si="6"/>
        <v>A6.10.04</v>
      </c>
      <c r="G210" s="34">
        <f t="shared" si="7"/>
        <v>0.91</v>
      </c>
    </row>
    <row r="211" spans="2:7" ht="13.8" customHeight="1" x14ac:dyDescent="0.25">
      <c r="B211" s="33" t="s">
        <v>7</v>
      </c>
      <c r="C211" s="33">
        <v>2768664</v>
      </c>
      <c r="D211" s="33">
        <v>1.36</v>
      </c>
      <c r="E211" s="33" t="s">
        <v>253</v>
      </c>
      <c r="F211" s="31" t="str">
        <f t="shared" si="6"/>
        <v>A6.10.04</v>
      </c>
      <c r="G211" s="34">
        <f t="shared" si="7"/>
        <v>1.36</v>
      </c>
    </row>
    <row r="212" spans="2:7" ht="13.8" customHeight="1" x14ac:dyDescent="0.25">
      <c r="B212" s="33" t="s">
        <v>7</v>
      </c>
      <c r="C212" s="33">
        <v>2768667</v>
      </c>
      <c r="D212" s="33">
        <v>1.25</v>
      </c>
      <c r="E212" s="33" t="s">
        <v>253</v>
      </c>
      <c r="F212" s="31" t="str">
        <f t="shared" si="6"/>
        <v>A6.10.04</v>
      </c>
      <c r="G212" s="34">
        <f t="shared" si="7"/>
        <v>1.25</v>
      </c>
    </row>
    <row r="213" spans="2:7" ht="13.8" customHeight="1" x14ac:dyDescent="0.25">
      <c r="B213" s="33" t="s">
        <v>7</v>
      </c>
      <c r="C213" s="33">
        <v>2768670</v>
      </c>
      <c r="D213" s="33">
        <v>1.25</v>
      </c>
      <c r="E213" s="33" t="s">
        <v>253</v>
      </c>
      <c r="F213" s="31" t="str">
        <f t="shared" si="6"/>
        <v>A6.10.04</v>
      </c>
      <c r="G213" s="34">
        <f t="shared" si="7"/>
        <v>1.25</v>
      </c>
    </row>
    <row r="214" spans="2:7" ht="13.8" customHeight="1" x14ac:dyDescent="0.25">
      <c r="B214" s="33" t="s">
        <v>7</v>
      </c>
      <c r="C214" s="33">
        <v>2768757</v>
      </c>
      <c r="D214" s="33">
        <v>1.36</v>
      </c>
      <c r="E214" s="33" t="s">
        <v>254</v>
      </c>
      <c r="F214" s="31" t="str">
        <f t="shared" si="6"/>
        <v>A6.13.01</v>
      </c>
      <c r="G214" s="34">
        <f t="shared" si="7"/>
        <v>1.36</v>
      </c>
    </row>
    <row r="215" spans="2:7" ht="13.8" customHeight="1" x14ac:dyDescent="0.25">
      <c r="B215" s="33" t="s">
        <v>7</v>
      </c>
      <c r="C215" s="33">
        <v>2768760</v>
      </c>
      <c r="D215" s="33">
        <v>1.25</v>
      </c>
      <c r="E215" s="33" t="s">
        <v>254</v>
      </c>
      <c r="F215" s="31" t="str">
        <f t="shared" si="6"/>
        <v>A6.13.01</v>
      </c>
      <c r="G215" s="34">
        <f t="shared" si="7"/>
        <v>1.25</v>
      </c>
    </row>
    <row r="216" spans="2:7" ht="13.8" customHeight="1" x14ac:dyDescent="0.25">
      <c r="B216" s="33" t="s">
        <v>7</v>
      </c>
      <c r="C216" s="33">
        <v>2768763</v>
      </c>
      <c r="D216" s="33">
        <v>1.36</v>
      </c>
      <c r="E216" s="33" t="s">
        <v>254</v>
      </c>
      <c r="F216" s="31" t="str">
        <f t="shared" si="6"/>
        <v>A6.13.01</v>
      </c>
      <c r="G216" s="34">
        <f t="shared" si="7"/>
        <v>1.36</v>
      </c>
    </row>
    <row r="217" spans="2:7" ht="13.8" customHeight="1" x14ac:dyDescent="0.25">
      <c r="B217" s="33" t="s">
        <v>7</v>
      </c>
      <c r="C217" s="33">
        <v>2768766</v>
      </c>
      <c r="D217" s="33">
        <v>1.25</v>
      </c>
      <c r="E217" s="33" t="s">
        <v>254</v>
      </c>
      <c r="F217" s="31" t="str">
        <f t="shared" si="6"/>
        <v>A6.13.01</v>
      </c>
      <c r="G217" s="34">
        <f t="shared" si="7"/>
        <v>1.25</v>
      </c>
    </row>
    <row r="218" spans="2:7" ht="13.8" customHeight="1" x14ac:dyDescent="0.25">
      <c r="B218" s="33" t="s">
        <v>7</v>
      </c>
      <c r="C218" s="33">
        <v>2768769</v>
      </c>
      <c r="D218" s="33">
        <v>1.25</v>
      </c>
      <c r="E218" s="33" t="s">
        <v>254</v>
      </c>
      <c r="F218" s="31" t="str">
        <f t="shared" si="6"/>
        <v>A6.13.01</v>
      </c>
      <c r="G218" s="34">
        <f t="shared" si="7"/>
        <v>1.25</v>
      </c>
    </row>
    <row r="219" spans="2:7" ht="13.8" customHeight="1" x14ac:dyDescent="0.25">
      <c r="B219" s="33" t="s">
        <v>7</v>
      </c>
      <c r="C219" s="33">
        <v>2768772</v>
      </c>
      <c r="D219" s="33">
        <v>2.2599999999999998</v>
      </c>
      <c r="E219" s="33" t="s">
        <v>254</v>
      </c>
      <c r="F219" s="31" t="str">
        <f t="shared" si="6"/>
        <v>A6.13.01</v>
      </c>
      <c r="G219" s="34">
        <f t="shared" si="7"/>
        <v>2.2599999999999998</v>
      </c>
    </row>
    <row r="220" spans="2:7" ht="13.8" customHeight="1" x14ac:dyDescent="0.25">
      <c r="B220" s="33" t="s">
        <v>7</v>
      </c>
      <c r="C220" s="33">
        <v>2768849</v>
      </c>
      <c r="D220" s="33">
        <v>1.36</v>
      </c>
      <c r="E220" s="33" t="s">
        <v>255</v>
      </c>
      <c r="F220" s="31" t="str">
        <f t="shared" si="6"/>
        <v>A6.13.02</v>
      </c>
      <c r="G220" s="34">
        <f t="shared" si="7"/>
        <v>1.36</v>
      </c>
    </row>
    <row r="221" spans="2:7" ht="13.8" customHeight="1" x14ac:dyDescent="0.25">
      <c r="B221" s="33" t="s">
        <v>7</v>
      </c>
      <c r="C221" s="33">
        <v>2768852</v>
      </c>
      <c r="D221" s="33">
        <v>2.2599999999999998</v>
      </c>
      <c r="E221" s="33" t="s">
        <v>255</v>
      </c>
      <c r="F221" s="31" t="str">
        <f t="shared" si="6"/>
        <v>A6.13.02</v>
      </c>
      <c r="G221" s="34">
        <f t="shared" si="7"/>
        <v>2.2599999999999998</v>
      </c>
    </row>
    <row r="222" spans="2:7" ht="13.8" customHeight="1" x14ac:dyDescent="0.25">
      <c r="B222" s="33" t="s">
        <v>7</v>
      </c>
      <c r="C222" s="33">
        <v>2768855</v>
      </c>
      <c r="D222" s="33">
        <v>1.36</v>
      </c>
      <c r="E222" s="33" t="s">
        <v>255</v>
      </c>
      <c r="F222" s="31" t="str">
        <f t="shared" si="6"/>
        <v>A6.13.02</v>
      </c>
      <c r="G222" s="34">
        <f t="shared" si="7"/>
        <v>1.36</v>
      </c>
    </row>
    <row r="223" spans="2:7" ht="13.8" customHeight="1" x14ac:dyDescent="0.25">
      <c r="B223" s="33" t="s">
        <v>7</v>
      </c>
      <c r="C223" s="33">
        <v>2768858</v>
      </c>
      <c r="D223" s="33">
        <v>1.36</v>
      </c>
      <c r="E223" s="33" t="s">
        <v>255</v>
      </c>
      <c r="F223" s="31" t="str">
        <f t="shared" si="6"/>
        <v>A6.13.02</v>
      </c>
      <c r="G223" s="34">
        <f t="shared" si="7"/>
        <v>1.36</v>
      </c>
    </row>
    <row r="224" spans="2:7" ht="13.8" customHeight="1" x14ac:dyDescent="0.25">
      <c r="B224" s="33" t="s">
        <v>7</v>
      </c>
      <c r="C224" s="33">
        <v>2768919</v>
      </c>
      <c r="D224" s="33">
        <v>1.36</v>
      </c>
      <c r="E224" s="33" t="s">
        <v>256</v>
      </c>
      <c r="F224" s="31" t="str">
        <f t="shared" si="6"/>
        <v>A6.13.03</v>
      </c>
      <c r="G224" s="34">
        <f t="shared" si="7"/>
        <v>1.36</v>
      </c>
    </row>
    <row r="225" spans="2:7" ht="13.8" customHeight="1" x14ac:dyDescent="0.25">
      <c r="B225" s="33" t="s">
        <v>7</v>
      </c>
      <c r="C225" s="33">
        <v>2768922</v>
      </c>
      <c r="D225" s="33">
        <v>1.36</v>
      </c>
      <c r="E225" s="33" t="s">
        <v>256</v>
      </c>
      <c r="F225" s="31" t="str">
        <f t="shared" si="6"/>
        <v>A6.13.03</v>
      </c>
      <c r="G225" s="34">
        <f t="shared" si="7"/>
        <v>1.36</v>
      </c>
    </row>
    <row r="226" spans="2:7" ht="13.8" customHeight="1" x14ac:dyDescent="0.25">
      <c r="B226" s="33" t="s">
        <v>7</v>
      </c>
      <c r="C226" s="33">
        <v>2768925</v>
      </c>
      <c r="D226" s="33">
        <v>2.2599999999999998</v>
      </c>
      <c r="E226" s="33" t="s">
        <v>256</v>
      </c>
      <c r="F226" s="31" t="str">
        <f t="shared" si="6"/>
        <v>A6.13.03</v>
      </c>
      <c r="G226" s="34">
        <f t="shared" si="7"/>
        <v>2.2599999999999998</v>
      </c>
    </row>
    <row r="227" spans="2:7" ht="13.8" customHeight="1" x14ac:dyDescent="0.25">
      <c r="B227" s="33" t="s">
        <v>7</v>
      </c>
      <c r="C227" s="33">
        <v>2768928</v>
      </c>
      <c r="D227" s="33">
        <v>1.36</v>
      </c>
      <c r="E227" s="33" t="s">
        <v>256</v>
      </c>
      <c r="F227" s="31" t="str">
        <f t="shared" si="6"/>
        <v>A6.13.03</v>
      </c>
      <c r="G227" s="34">
        <f t="shared" si="7"/>
        <v>1.36</v>
      </c>
    </row>
    <row r="228" spans="2:7" ht="13.8" customHeight="1" x14ac:dyDescent="0.25">
      <c r="B228" s="33" t="s">
        <v>7</v>
      </c>
      <c r="C228" s="33">
        <v>2768993</v>
      </c>
      <c r="D228" s="33">
        <v>2.2599999999999998</v>
      </c>
      <c r="E228" s="33" t="s">
        <v>257</v>
      </c>
      <c r="F228" s="31" t="str">
        <f t="shared" si="6"/>
        <v>A6.13.04</v>
      </c>
      <c r="G228" s="34">
        <f t="shared" si="7"/>
        <v>2.2599999999999998</v>
      </c>
    </row>
    <row r="229" spans="2:7" ht="13.8" customHeight="1" x14ac:dyDescent="0.25">
      <c r="B229" s="33" t="s">
        <v>7</v>
      </c>
      <c r="C229" s="33">
        <v>2768996</v>
      </c>
      <c r="D229" s="33">
        <v>1.25</v>
      </c>
      <c r="E229" s="33" t="s">
        <v>257</v>
      </c>
      <c r="F229" s="31" t="str">
        <f t="shared" si="6"/>
        <v>A6.13.04</v>
      </c>
      <c r="G229" s="34">
        <f t="shared" si="7"/>
        <v>1.25</v>
      </c>
    </row>
    <row r="230" spans="2:7" ht="13.8" customHeight="1" x14ac:dyDescent="0.25">
      <c r="B230" s="33" t="s">
        <v>7</v>
      </c>
      <c r="C230" s="33">
        <v>2768999</v>
      </c>
      <c r="D230" s="33">
        <v>1.25</v>
      </c>
      <c r="E230" s="33" t="s">
        <v>257</v>
      </c>
      <c r="F230" s="31" t="str">
        <f t="shared" si="6"/>
        <v>A6.13.04</v>
      </c>
      <c r="G230" s="34">
        <f t="shared" si="7"/>
        <v>1.25</v>
      </c>
    </row>
    <row r="231" spans="2:7" ht="13.8" customHeight="1" x14ac:dyDescent="0.25">
      <c r="B231" s="33" t="s">
        <v>7</v>
      </c>
      <c r="C231" s="33">
        <v>2769002</v>
      </c>
      <c r="D231" s="33">
        <v>1.36</v>
      </c>
      <c r="E231" s="33" t="s">
        <v>257</v>
      </c>
      <c r="F231" s="31" t="str">
        <f t="shared" si="6"/>
        <v>A6.13.04</v>
      </c>
      <c r="G231" s="34">
        <f t="shared" si="7"/>
        <v>1.36</v>
      </c>
    </row>
    <row r="232" spans="2:7" ht="13.8" customHeight="1" x14ac:dyDescent="0.25">
      <c r="B232" s="33" t="s">
        <v>7</v>
      </c>
      <c r="C232" s="33">
        <v>2769005</v>
      </c>
      <c r="D232" s="33">
        <v>1.25</v>
      </c>
      <c r="E232" s="33" t="s">
        <v>257</v>
      </c>
      <c r="F232" s="31" t="str">
        <f t="shared" si="6"/>
        <v>A6.13.04</v>
      </c>
      <c r="G232" s="34">
        <f t="shared" si="7"/>
        <v>1.25</v>
      </c>
    </row>
    <row r="233" spans="2:7" ht="13.8" customHeight="1" x14ac:dyDescent="0.25">
      <c r="B233" s="33" t="s">
        <v>7</v>
      </c>
      <c r="C233" s="33">
        <v>2769008</v>
      </c>
      <c r="D233" s="33">
        <v>1.36</v>
      </c>
      <c r="E233" s="33" t="s">
        <v>257</v>
      </c>
      <c r="F233" s="31" t="str">
        <f t="shared" si="6"/>
        <v>A6.13.04</v>
      </c>
      <c r="G233" s="34">
        <f t="shared" si="7"/>
        <v>1.36</v>
      </c>
    </row>
    <row r="234" spans="2:7" ht="13.8" customHeight="1" x14ac:dyDescent="0.25">
      <c r="B234" s="33" t="s">
        <v>7</v>
      </c>
      <c r="C234" s="33">
        <v>2769093</v>
      </c>
      <c r="D234" s="33">
        <v>1.36</v>
      </c>
      <c r="E234" s="33" t="s">
        <v>258</v>
      </c>
      <c r="F234" s="31" t="str">
        <f t="shared" si="6"/>
        <v>A6.09.06</v>
      </c>
      <c r="G234" s="34">
        <f t="shared" si="7"/>
        <v>1.36</v>
      </c>
    </row>
    <row r="235" spans="2:7" ht="13.8" customHeight="1" x14ac:dyDescent="0.25">
      <c r="B235" s="33" t="s">
        <v>7</v>
      </c>
      <c r="C235" s="33">
        <v>2769096</v>
      </c>
      <c r="D235" s="33">
        <v>2.2599999999999998</v>
      </c>
      <c r="E235" s="33" t="s">
        <v>258</v>
      </c>
      <c r="F235" s="31" t="str">
        <f t="shared" si="6"/>
        <v>A6.09.06</v>
      </c>
      <c r="G235" s="34">
        <f t="shared" si="7"/>
        <v>2.2599999999999998</v>
      </c>
    </row>
    <row r="236" spans="2:7" ht="13.8" customHeight="1" x14ac:dyDescent="0.25">
      <c r="B236" s="33" t="s">
        <v>7</v>
      </c>
      <c r="C236" s="33">
        <v>2769099</v>
      </c>
      <c r="D236" s="33">
        <v>1.36</v>
      </c>
      <c r="E236" s="33" t="s">
        <v>258</v>
      </c>
      <c r="F236" s="31" t="str">
        <f t="shared" si="6"/>
        <v>A6.09.06</v>
      </c>
      <c r="G236" s="34">
        <f t="shared" si="7"/>
        <v>1.36</v>
      </c>
    </row>
    <row r="237" spans="2:7" ht="13.8" customHeight="1" x14ac:dyDescent="0.25">
      <c r="B237" s="33" t="s">
        <v>7</v>
      </c>
      <c r="C237" s="33">
        <v>2769102</v>
      </c>
      <c r="D237" s="33">
        <v>1.36</v>
      </c>
      <c r="E237" s="33" t="s">
        <v>258</v>
      </c>
      <c r="F237" s="31" t="str">
        <f t="shared" si="6"/>
        <v>A6.09.06</v>
      </c>
      <c r="G237" s="34">
        <f t="shared" si="7"/>
        <v>1.36</v>
      </c>
    </row>
    <row r="238" spans="2:7" ht="13.8" customHeight="1" x14ac:dyDescent="0.25">
      <c r="B238" s="33" t="s">
        <v>7</v>
      </c>
      <c r="C238" s="33">
        <v>2769182</v>
      </c>
      <c r="D238" s="33">
        <v>1.36</v>
      </c>
      <c r="E238" s="33" t="s">
        <v>259</v>
      </c>
      <c r="F238" s="31" t="str">
        <f t="shared" si="6"/>
        <v>A6.09.07</v>
      </c>
      <c r="G238" s="34">
        <f t="shared" si="7"/>
        <v>1.36</v>
      </c>
    </row>
    <row r="239" spans="2:7" ht="13.8" customHeight="1" x14ac:dyDescent="0.25">
      <c r="B239" s="33" t="s">
        <v>7</v>
      </c>
      <c r="C239" s="33">
        <v>2769185</v>
      </c>
      <c r="D239" s="33">
        <v>1.25</v>
      </c>
      <c r="E239" s="33" t="s">
        <v>259</v>
      </c>
      <c r="F239" s="31" t="str">
        <f t="shared" si="6"/>
        <v>A6.09.07</v>
      </c>
      <c r="G239" s="34">
        <f t="shared" si="7"/>
        <v>1.25</v>
      </c>
    </row>
    <row r="240" spans="2:7" ht="13.8" customHeight="1" x14ac:dyDescent="0.25">
      <c r="B240" s="33" t="s">
        <v>7</v>
      </c>
      <c r="C240" s="33">
        <v>2769188</v>
      </c>
      <c r="D240" s="33">
        <v>1.36</v>
      </c>
      <c r="E240" s="33" t="s">
        <v>259</v>
      </c>
      <c r="F240" s="31" t="str">
        <f t="shared" si="6"/>
        <v>A6.09.07</v>
      </c>
      <c r="G240" s="34">
        <f t="shared" si="7"/>
        <v>1.36</v>
      </c>
    </row>
    <row r="241" spans="2:7" ht="13.8" customHeight="1" x14ac:dyDescent="0.25">
      <c r="B241" s="33" t="s">
        <v>7</v>
      </c>
      <c r="C241" s="33">
        <v>2769191</v>
      </c>
      <c r="D241" s="33">
        <v>2.2599999999999998</v>
      </c>
      <c r="E241" s="33" t="s">
        <v>259</v>
      </c>
      <c r="F241" s="31" t="str">
        <f t="shared" si="6"/>
        <v>A6.09.07</v>
      </c>
      <c r="G241" s="34">
        <f t="shared" si="7"/>
        <v>2.2599999999999998</v>
      </c>
    </row>
    <row r="242" spans="2:7" ht="13.8" customHeight="1" x14ac:dyDescent="0.25">
      <c r="B242" s="33" t="s">
        <v>7</v>
      </c>
      <c r="C242" s="33">
        <v>2769194</v>
      </c>
      <c r="D242" s="33">
        <v>1.25</v>
      </c>
      <c r="E242" s="33" t="s">
        <v>259</v>
      </c>
      <c r="F242" s="31" t="str">
        <f t="shared" si="6"/>
        <v>A6.09.07</v>
      </c>
      <c r="G242" s="34">
        <f t="shared" si="7"/>
        <v>1.25</v>
      </c>
    </row>
    <row r="243" spans="2:7" ht="13.8" customHeight="1" x14ac:dyDescent="0.25">
      <c r="B243" s="33" t="s">
        <v>7</v>
      </c>
      <c r="C243" s="33">
        <v>2769197</v>
      </c>
      <c r="D243" s="33">
        <v>1.25</v>
      </c>
      <c r="E243" s="33" t="s">
        <v>259</v>
      </c>
      <c r="F243" s="31" t="str">
        <f t="shared" si="6"/>
        <v>A6.09.07</v>
      </c>
      <c r="G243" s="34">
        <f t="shared" si="7"/>
        <v>1.25</v>
      </c>
    </row>
    <row r="244" spans="2:7" ht="13.8" customHeight="1" x14ac:dyDescent="0.25">
      <c r="B244" s="33" t="s">
        <v>7</v>
      </c>
      <c r="C244" s="33">
        <v>2769286</v>
      </c>
      <c r="D244" s="33">
        <v>1.36</v>
      </c>
      <c r="E244" s="33" t="s">
        <v>260</v>
      </c>
      <c r="F244" s="31" t="str">
        <f t="shared" si="6"/>
        <v>A6.09.02</v>
      </c>
      <c r="G244" s="34">
        <f t="shared" si="7"/>
        <v>1.36</v>
      </c>
    </row>
    <row r="245" spans="2:7" ht="13.8" customHeight="1" x14ac:dyDescent="0.25">
      <c r="B245" s="33" t="s">
        <v>7</v>
      </c>
      <c r="C245" s="33">
        <v>2769289</v>
      </c>
      <c r="D245" s="33">
        <v>2.2599999999999998</v>
      </c>
      <c r="E245" s="33" t="s">
        <v>260</v>
      </c>
      <c r="F245" s="31" t="str">
        <f t="shared" si="6"/>
        <v>A6.09.02</v>
      </c>
      <c r="G245" s="34">
        <f t="shared" si="7"/>
        <v>2.2599999999999998</v>
      </c>
    </row>
    <row r="246" spans="2:7" ht="13.8" customHeight="1" x14ac:dyDescent="0.25">
      <c r="B246" s="33" t="s">
        <v>7</v>
      </c>
      <c r="C246" s="33">
        <v>2769292</v>
      </c>
      <c r="D246" s="33">
        <v>1.25</v>
      </c>
      <c r="E246" s="33" t="s">
        <v>260</v>
      </c>
      <c r="F246" s="31" t="str">
        <f t="shared" si="6"/>
        <v>A6.09.02</v>
      </c>
      <c r="G246" s="34">
        <f t="shared" si="7"/>
        <v>1.25</v>
      </c>
    </row>
    <row r="247" spans="2:7" ht="13.8" customHeight="1" x14ac:dyDescent="0.25">
      <c r="B247" s="33" t="s">
        <v>7</v>
      </c>
      <c r="C247" s="33">
        <v>2769295</v>
      </c>
      <c r="D247" s="33">
        <v>1.36</v>
      </c>
      <c r="E247" s="33" t="s">
        <v>260</v>
      </c>
      <c r="F247" s="31" t="str">
        <f t="shared" si="6"/>
        <v>A6.09.02</v>
      </c>
      <c r="G247" s="34">
        <f t="shared" si="7"/>
        <v>1.36</v>
      </c>
    </row>
    <row r="248" spans="2:7" ht="13.8" customHeight="1" x14ac:dyDescent="0.25">
      <c r="B248" s="33" t="s">
        <v>7</v>
      </c>
      <c r="C248" s="33">
        <v>2769385</v>
      </c>
      <c r="D248" s="33">
        <v>2.2599999999999998</v>
      </c>
      <c r="E248" s="33" t="s">
        <v>261</v>
      </c>
      <c r="F248" s="31" t="str">
        <f t="shared" si="6"/>
        <v>A6.09.03</v>
      </c>
      <c r="G248" s="34">
        <f t="shared" si="7"/>
        <v>2.2599999999999998</v>
      </c>
    </row>
    <row r="249" spans="2:7" ht="13.8" customHeight="1" x14ac:dyDescent="0.25">
      <c r="B249" s="33" t="s">
        <v>7</v>
      </c>
      <c r="C249" s="33">
        <v>2769388</v>
      </c>
      <c r="D249" s="33">
        <v>1.25</v>
      </c>
      <c r="E249" s="33" t="s">
        <v>261</v>
      </c>
      <c r="F249" s="31" t="str">
        <f t="shared" si="6"/>
        <v>A6.09.03</v>
      </c>
      <c r="G249" s="34">
        <f t="shared" si="7"/>
        <v>1.25</v>
      </c>
    </row>
    <row r="250" spans="2:7" ht="13.8" customHeight="1" x14ac:dyDescent="0.25">
      <c r="B250" s="33" t="s">
        <v>7</v>
      </c>
      <c r="C250" s="33">
        <v>2769391</v>
      </c>
      <c r="D250" s="33">
        <v>1.25</v>
      </c>
      <c r="E250" s="33" t="s">
        <v>261</v>
      </c>
      <c r="F250" s="31" t="str">
        <f t="shared" si="6"/>
        <v>A6.09.03</v>
      </c>
      <c r="G250" s="34">
        <f t="shared" si="7"/>
        <v>1.25</v>
      </c>
    </row>
    <row r="251" spans="2:7" ht="13.8" customHeight="1" x14ac:dyDescent="0.25">
      <c r="B251" s="33" t="s">
        <v>7</v>
      </c>
      <c r="C251" s="33">
        <v>2769440</v>
      </c>
      <c r="D251" s="33">
        <v>1.25</v>
      </c>
      <c r="E251" s="33" t="s">
        <v>262</v>
      </c>
      <c r="F251" s="31" t="str">
        <f t="shared" si="6"/>
        <v>A6.09.04</v>
      </c>
      <c r="G251" s="34">
        <f t="shared" si="7"/>
        <v>1.25</v>
      </c>
    </row>
    <row r="252" spans="2:7" ht="13.8" customHeight="1" x14ac:dyDescent="0.25">
      <c r="B252" s="33" t="s">
        <v>7</v>
      </c>
      <c r="C252" s="33">
        <v>2769443</v>
      </c>
      <c r="D252" s="33">
        <v>1.25</v>
      </c>
      <c r="E252" s="33" t="s">
        <v>262</v>
      </c>
      <c r="F252" s="31" t="str">
        <f t="shared" si="6"/>
        <v>A6.09.04</v>
      </c>
      <c r="G252" s="34">
        <f t="shared" si="7"/>
        <v>1.25</v>
      </c>
    </row>
    <row r="253" spans="2:7" ht="13.8" customHeight="1" x14ac:dyDescent="0.25">
      <c r="B253" s="33" t="s">
        <v>7</v>
      </c>
      <c r="C253" s="33">
        <v>2769446</v>
      </c>
      <c r="D253" s="33">
        <v>1.36</v>
      </c>
      <c r="E253" s="33" t="s">
        <v>262</v>
      </c>
      <c r="F253" s="31" t="str">
        <f t="shared" si="6"/>
        <v>A6.09.04</v>
      </c>
      <c r="G253" s="34">
        <f t="shared" si="7"/>
        <v>1.36</v>
      </c>
    </row>
    <row r="254" spans="2:7" ht="13.8" customHeight="1" x14ac:dyDescent="0.25">
      <c r="B254" s="33" t="s">
        <v>7</v>
      </c>
      <c r="C254" s="33">
        <v>2769449</v>
      </c>
      <c r="D254" s="33">
        <v>1.36</v>
      </c>
      <c r="E254" s="33" t="s">
        <v>262</v>
      </c>
      <c r="F254" s="31" t="str">
        <f t="shared" si="6"/>
        <v>A6.09.04</v>
      </c>
      <c r="G254" s="34">
        <f t="shared" si="7"/>
        <v>1.36</v>
      </c>
    </row>
    <row r="255" spans="2:7" ht="13.8" customHeight="1" x14ac:dyDescent="0.25">
      <c r="B255" s="33" t="s">
        <v>7</v>
      </c>
      <c r="C255" s="33">
        <v>2769452</v>
      </c>
      <c r="D255" s="33">
        <v>2.2599999999999998</v>
      </c>
      <c r="E255" s="33" t="s">
        <v>262</v>
      </c>
      <c r="F255" s="31" t="str">
        <f t="shared" si="6"/>
        <v>A6.09.04</v>
      </c>
      <c r="G255" s="34">
        <f t="shared" si="7"/>
        <v>2.2599999999999998</v>
      </c>
    </row>
    <row r="256" spans="2:7" ht="13.8" customHeight="1" x14ac:dyDescent="0.25">
      <c r="B256" s="33" t="s">
        <v>7</v>
      </c>
      <c r="C256" s="33">
        <v>2769455</v>
      </c>
      <c r="D256" s="33">
        <v>0.91</v>
      </c>
      <c r="E256" s="33" t="s">
        <v>262</v>
      </c>
      <c r="F256" s="31" t="str">
        <f t="shared" si="6"/>
        <v>A6.09.04</v>
      </c>
      <c r="G256" s="34">
        <f t="shared" si="7"/>
        <v>0.91</v>
      </c>
    </row>
    <row r="257" spans="2:7" ht="13.8" customHeight="1" x14ac:dyDescent="0.25">
      <c r="B257" s="33" t="s">
        <v>7</v>
      </c>
      <c r="C257" s="33">
        <v>2769458</v>
      </c>
      <c r="D257" s="33">
        <v>1.25</v>
      </c>
      <c r="E257" s="33" t="s">
        <v>262</v>
      </c>
      <c r="F257" s="31" t="str">
        <f t="shared" si="6"/>
        <v>A6.09.04</v>
      </c>
      <c r="G257" s="34">
        <f t="shared" si="7"/>
        <v>1.25</v>
      </c>
    </row>
    <row r="258" spans="2:7" ht="13.8" customHeight="1" x14ac:dyDescent="0.25">
      <c r="B258" s="33" t="s">
        <v>7</v>
      </c>
      <c r="C258" s="33">
        <v>2769461</v>
      </c>
      <c r="D258" s="33">
        <v>0.91</v>
      </c>
      <c r="E258" s="33" t="s">
        <v>262</v>
      </c>
      <c r="F258" s="31" t="str">
        <f t="shared" si="6"/>
        <v>A6.09.04</v>
      </c>
      <c r="G258" s="34">
        <f t="shared" si="7"/>
        <v>0.91</v>
      </c>
    </row>
    <row r="259" spans="2:7" ht="13.8" customHeight="1" x14ac:dyDescent="0.25">
      <c r="B259" s="33" t="s">
        <v>7</v>
      </c>
      <c r="C259" s="33">
        <v>2769464</v>
      </c>
      <c r="D259" s="33">
        <v>1.36</v>
      </c>
      <c r="E259" s="33" t="s">
        <v>262</v>
      </c>
      <c r="F259" s="31" t="str">
        <f t="shared" si="6"/>
        <v>A6.09.04</v>
      </c>
      <c r="G259" s="34">
        <f t="shared" si="7"/>
        <v>1.36</v>
      </c>
    </row>
    <row r="260" spans="2:7" ht="13.8" customHeight="1" x14ac:dyDescent="0.25">
      <c r="B260" s="33" t="s">
        <v>7</v>
      </c>
      <c r="C260" s="33">
        <v>2769559</v>
      </c>
      <c r="D260" s="33">
        <v>1.36</v>
      </c>
      <c r="E260" s="33" t="s">
        <v>263</v>
      </c>
      <c r="F260" s="31" t="str">
        <f t="shared" si="6"/>
        <v>A6.09.01</v>
      </c>
      <c r="G260" s="34">
        <f t="shared" si="7"/>
        <v>1.36</v>
      </c>
    </row>
    <row r="261" spans="2:7" ht="13.8" customHeight="1" x14ac:dyDescent="0.25">
      <c r="B261" s="33" t="s">
        <v>7</v>
      </c>
      <c r="C261" s="33">
        <v>2769562</v>
      </c>
      <c r="D261" s="33">
        <v>1.25</v>
      </c>
      <c r="E261" s="33" t="s">
        <v>263</v>
      </c>
      <c r="F261" s="31" t="str">
        <f t="shared" si="6"/>
        <v>A6.09.01</v>
      </c>
      <c r="G261" s="34">
        <f t="shared" si="7"/>
        <v>1.25</v>
      </c>
    </row>
    <row r="262" spans="2:7" ht="13.8" customHeight="1" x14ac:dyDescent="0.25">
      <c r="B262" s="33" t="s">
        <v>7</v>
      </c>
      <c r="C262" s="33">
        <v>2769565</v>
      </c>
      <c r="D262" s="33">
        <v>1.36</v>
      </c>
      <c r="E262" s="33" t="s">
        <v>263</v>
      </c>
      <c r="F262" s="31" t="str">
        <f t="shared" si="6"/>
        <v>A6.09.01</v>
      </c>
      <c r="G262" s="34">
        <f t="shared" si="7"/>
        <v>1.36</v>
      </c>
    </row>
    <row r="263" spans="2:7" ht="13.8" customHeight="1" x14ac:dyDescent="0.25">
      <c r="B263" s="33" t="s">
        <v>7</v>
      </c>
      <c r="C263" s="33">
        <v>2769568</v>
      </c>
      <c r="D263" s="33">
        <v>1.25</v>
      </c>
      <c r="E263" s="33" t="s">
        <v>263</v>
      </c>
      <c r="F263" s="31" t="str">
        <f t="shared" ref="F263:F326" si="8">LEFT(E263,8)</f>
        <v>A6.09.01</v>
      </c>
      <c r="G263" s="34">
        <f t="shared" ref="G263:G326" si="9">D263</f>
        <v>1.25</v>
      </c>
    </row>
    <row r="264" spans="2:7" ht="13.8" customHeight="1" x14ac:dyDescent="0.25">
      <c r="B264" s="33" t="s">
        <v>7</v>
      </c>
      <c r="C264" s="33">
        <v>2769571</v>
      </c>
      <c r="D264" s="33">
        <v>1.25</v>
      </c>
      <c r="E264" s="33" t="s">
        <v>263</v>
      </c>
      <c r="F264" s="31" t="str">
        <f t="shared" si="8"/>
        <v>A6.09.01</v>
      </c>
      <c r="G264" s="34">
        <f t="shared" si="9"/>
        <v>1.25</v>
      </c>
    </row>
    <row r="265" spans="2:7" ht="13.8" customHeight="1" x14ac:dyDescent="0.25">
      <c r="B265" s="33" t="s">
        <v>7</v>
      </c>
      <c r="C265" s="33">
        <v>2769574</v>
      </c>
      <c r="D265" s="33">
        <v>2.2599999999999998</v>
      </c>
      <c r="E265" s="33" t="s">
        <v>263</v>
      </c>
      <c r="F265" s="31" t="str">
        <f t="shared" si="8"/>
        <v>A6.09.01</v>
      </c>
      <c r="G265" s="34">
        <f t="shared" si="9"/>
        <v>2.2599999999999998</v>
      </c>
    </row>
    <row r="266" spans="2:7" ht="13.8" customHeight="1" x14ac:dyDescent="0.25">
      <c r="B266" s="33" t="s">
        <v>7</v>
      </c>
      <c r="C266" s="33">
        <v>2769653</v>
      </c>
      <c r="D266" s="33">
        <v>2.2599999999999998</v>
      </c>
      <c r="E266" s="33" t="s">
        <v>264</v>
      </c>
      <c r="F266" s="31" t="str">
        <f t="shared" si="8"/>
        <v>A6.09.05</v>
      </c>
      <c r="G266" s="34">
        <f t="shared" si="9"/>
        <v>2.2599999999999998</v>
      </c>
    </row>
    <row r="267" spans="2:7" ht="13.8" customHeight="1" x14ac:dyDescent="0.25">
      <c r="B267" s="33" t="s">
        <v>7</v>
      </c>
      <c r="C267" s="33">
        <v>2769656</v>
      </c>
      <c r="D267" s="33">
        <v>1.36</v>
      </c>
      <c r="E267" s="33" t="s">
        <v>264</v>
      </c>
      <c r="F267" s="31" t="str">
        <f t="shared" si="8"/>
        <v>A6.09.05</v>
      </c>
      <c r="G267" s="34">
        <f t="shared" si="9"/>
        <v>1.36</v>
      </c>
    </row>
    <row r="268" spans="2:7" ht="13.8" customHeight="1" x14ac:dyDescent="0.25">
      <c r="B268" s="33" t="s">
        <v>7</v>
      </c>
      <c r="C268" s="33">
        <v>2769659</v>
      </c>
      <c r="D268" s="33">
        <v>1.36</v>
      </c>
      <c r="E268" s="33" t="s">
        <v>264</v>
      </c>
      <c r="F268" s="31" t="str">
        <f t="shared" si="8"/>
        <v>A6.09.05</v>
      </c>
      <c r="G268" s="34">
        <f t="shared" si="9"/>
        <v>1.36</v>
      </c>
    </row>
    <row r="269" spans="2:7" ht="13.8" customHeight="1" x14ac:dyDescent="0.25">
      <c r="B269" s="33" t="s">
        <v>7</v>
      </c>
      <c r="C269" s="33">
        <v>2769712</v>
      </c>
      <c r="D269" s="33">
        <v>2.2599999999999998</v>
      </c>
      <c r="E269" s="33" t="s">
        <v>265</v>
      </c>
      <c r="F269" s="31" t="str">
        <f t="shared" si="8"/>
        <v>B1.02.01</v>
      </c>
      <c r="G269" s="34">
        <f t="shared" si="9"/>
        <v>2.2599999999999998</v>
      </c>
    </row>
    <row r="270" spans="2:7" ht="13.8" customHeight="1" x14ac:dyDescent="0.25">
      <c r="B270" s="33" t="s">
        <v>7</v>
      </c>
      <c r="C270" s="33">
        <v>2769715</v>
      </c>
      <c r="D270" s="33">
        <v>1.36</v>
      </c>
      <c r="E270" s="33" t="s">
        <v>265</v>
      </c>
      <c r="F270" s="31" t="str">
        <f t="shared" si="8"/>
        <v>B1.02.01</v>
      </c>
      <c r="G270" s="34">
        <f t="shared" si="9"/>
        <v>1.36</v>
      </c>
    </row>
    <row r="271" spans="2:7" ht="13.8" customHeight="1" x14ac:dyDescent="0.25">
      <c r="B271" s="33" t="s">
        <v>7</v>
      </c>
      <c r="C271" s="33">
        <v>2769748</v>
      </c>
      <c r="D271" s="33">
        <v>1.36</v>
      </c>
      <c r="E271" s="33" t="s">
        <v>266</v>
      </c>
      <c r="F271" s="31" t="str">
        <f t="shared" si="8"/>
        <v>B1.02.02</v>
      </c>
      <c r="G271" s="34">
        <f t="shared" si="9"/>
        <v>1.36</v>
      </c>
    </row>
    <row r="272" spans="2:7" ht="13.8" customHeight="1" x14ac:dyDescent="0.25">
      <c r="B272" s="33" t="s">
        <v>7</v>
      </c>
      <c r="C272" s="33">
        <v>2769751</v>
      </c>
      <c r="D272" s="33">
        <v>1.36</v>
      </c>
      <c r="E272" s="33" t="s">
        <v>266</v>
      </c>
      <c r="F272" s="31" t="str">
        <f t="shared" si="8"/>
        <v>B1.02.02</v>
      </c>
      <c r="G272" s="34">
        <f t="shared" si="9"/>
        <v>1.36</v>
      </c>
    </row>
    <row r="273" spans="2:7" ht="13.8" customHeight="1" x14ac:dyDescent="0.25">
      <c r="B273" s="33" t="s">
        <v>7</v>
      </c>
      <c r="C273" s="33">
        <v>2769754</v>
      </c>
      <c r="D273" s="33">
        <v>2.2599999999999998</v>
      </c>
      <c r="E273" s="33" t="s">
        <v>266</v>
      </c>
      <c r="F273" s="31" t="str">
        <f t="shared" si="8"/>
        <v>B1.02.02</v>
      </c>
      <c r="G273" s="34">
        <f t="shared" si="9"/>
        <v>2.2599999999999998</v>
      </c>
    </row>
    <row r="274" spans="2:7" ht="13.8" customHeight="1" x14ac:dyDescent="0.25">
      <c r="B274" s="33" t="s">
        <v>7</v>
      </c>
      <c r="C274" s="33">
        <v>2769757</v>
      </c>
      <c r="D274" s="33">
        <v>1.36</v>
      </c>
      <c r="E274" s="33" t="s">
        <v>266</v>
      </c>
      <c r="F274" s="31" t="str">
        <f t="shared" si="8"/>
        <v>B1.02.02</v>
      </c>
      <c r="G274" s="34">
        <f t="shared" si="9"/>
        <v>1.36</v>
      </c>
    </row>
    <row r="275" spans="2:7" ht="13.8" customHeight="1" x14ac:dyDescent="0.25">
      <c r="B275" s="33" t="s">
        <v>7</v>
      </c>
      <c r="C275" s="33">
        <v>2769760</v>
      </c>
      <c r="D275" s="33">
        <v>0.91</v>
      </c>
      <c r="E275" s="33" t="s">
        <v>266</v>
      </c>
      <c r="F275" s="31" t="str">
        <f t="shared" si="8"/>
        <v>B1.02.02</v>
      </c>
      <c r="G275" s="34">
        <f t="shared" si="9"/>
        <v>0.91</v>
      </c>
    </row>
    <row r="276" spans="2:7" ht="13.8" customHeight="1" x14ac:dyDescent="0.25">
      <c r="B276" s="33" t="s">
        <v>7</v>
      </c>
      <c r="C276" s="33">
        <v>2769811</v>
      </c>
      <c r="D276" s="33">
        <v>2.2599999999999998</v>
      </c>
      <c r="E276" s="33" t="s">
        <v>267</v>
      </c>
      <c r="F276" s="31" t="str">
        <f t="shared" si="8"/>
        <v>D1.02.02</v>
      </c>
      <c r="G276" s="34">
        <f t="shared" si="9"/>
        <v>2.2599999999999998</v>
      </c>
    </row>
    <row r="277" spans="2:7" ht="13.8" customHeight="1" x14ac:dyDescent="0.25">
      <c r="B277" s="33" t="s">
        <v>7</v>
      </c>
      <c r="C277" s="33">
        <v>2769814</v>
      </c>
      <c r="D277" s="33">
        <v>1.36</v>
      </c>
      <c r="E277" s="33" t="s">
        <v>267</v>
      </c>
      <c r="F277" s="31" t="str">
        <f t="shared" si="8"/>
        <v>D1.02.02</v>
      </c>
      <c r="G277" s="34">
        <f t="shared" si="9"/>
        <v>1.36</v>
      </c>
    </row>
    <row r="278" spans="2:7" ht="13.8" customHeight="1" x14ac:dyDescent="0.25">
      <c r="B278" s="33" t="s">
        <v>7</v>
      </c>
      <c r="C278" s="33">
        <v>2769817</v>
      </c>
      <c r="D278" s="33">
        <v>1.36</v>
      </c>
      <c r="E278" s="33" t="s">
        <v>267</v>
      </c>
      <c r="F278" s="31" t="str">
        <f t="shared" si="8"/>
        <v>D1.02.02</v>
      </c>
      <c r="G278" s="34">
        <f t="shared" si="9"/>
        <v>1.36</v>
      </c>
    </row>
    <row r="279" spans="2:7" ht="13.8" customHeight="1" x14ac:dyDescent="0.25">
      <c r="B279" s="33" t="s">
        <v>7</v>
      </c>
      <c r="C279" s="33">
        <v>2769820</v>
      </c>
      <c r="D279" s="33">
        <v>1.36</v>
      </c>
      <c r="E279" s="33" t="s">
        <v>267</v>
      </c>
      <c r="F279" s="31" t="str">
        <f t="shared" si="8"/>
        <v>D1.02.02</v>
      </c>
      <c r="G279" s="34">
        <f t="shared" si="9"/>
        <v>1.36</v>
      </c>
    </row>
    <row r="280" spans="2:7" ht="13.8" customHeight="1" x14ac:dyDescent="0.25">
      <c r="B280" s="33" t="s">
        <v>7</v>
      </c>
      <c r="C280" s="33">
        <v>2769823</v>
      </c>
      <c r="D280" s="33">
        <v>1.36</v>
      </c>
      <c r="E280" s="33" t="s">
        <v>267</v>
      </c>
      <c r="F280" s="31" t="str">
        <f t="shared" si="8"/>
        <v>D1.02.02</v>
      </c>
      <c r="G280" s="34">
        <f t="shared" si="9"/>
        <v>1.36</v>
      </c>
    </row>
    <row r="281" spans="2:7" ht="13.8" customHeight="1" x14ac:dyDescent="0.25">
      <c r="B281" s="33" t="s">
        <v>7</v>
      </c>
      <c r="C281" s="33">
        <v>2769884</v>
      </c>
      <c r="D281" s="33">
        <v>1.36</v>
      </c>
      <c r="E281" s="33" t="s">
        <v>268</v>
      </c>
      <c r="F281" s="31" t="str">
        <f t="shared" si="8"/>
        <v>D1.02.01</v>
      </c>
      <c r="G281" s="34">
        <f t="shared" si="9"/>
        <v>1.36</v>
      </c>
    </row>
    <row r="282" spans="2:7" ht="13.8" customHeight="1" x14ac:dyDescent="0.25">
      <c r="B282" s="33" t="s">
        <v>7</v>
      </c>
      <c r="C282" s="33">
        <v>2769887</v>
      </c>
      <c r="D282" s="33">
        <v>2.2599999999999998</v>
      </c>
      <c r="E282" s="33" t="s">
        <v>268</v>
      </c>
      <c r="F282" s="31" t="str">
        <f t="shared" si="8"/>
        <v>D1.02.01</v>
      </c>
      <c r="G282" s="34">
        <f t="shared" si="9"/>
        <v>2.2599999999999998</v>
      </c>
    </row>
    <row r="283" spans="2:7" ht="13.8" customHeight="1" x14ac:dyDescent="0.25">
      <c r="B283" s="33" t="s">
        <v>7</v>
      </c>
      <c r="C283" s="33">
        <v>2769928</v>
      </c>
      <c r="D283" s="33">
        <v>1.36</v>
      </c>
      <c r="E283" s="33" t="s">
        <v>269</v>
      </c>
      <c r="F283" s="31" t="str">
        <f t="shared" si="8"/>
        <v>D1.02.04</v>
      </c>
      <c r="G283" s="34">
        <f t="shared" si="9"/>
        <v>1.36</v>
      </c>
    </row>
    <row r="284" spans="2:7" ht="13.8" customHeight="1" x14ac:dyDescent="0.25">
      <c r="B284" s="33" t="s">
        <v>7</v>
      </c>
      <c r="C284" s="33">
        <v>2769931</v>
      </c>
      <c r="D284" s="33">
        <v>1.36</v>
      </c>
      <c r="E284" s="33" t="s">
        <v>269</v>
      </c>
      <c r="F284" s="31" t="str">
        <f t="shared" si="8"/>
        <v>D1.02.04</v>
      </c>
      <c r="G284" s="34">
        <f t="shared" si="9"/>
        <v>1.36</v>
      </c>
    </row>
    <row r="285" spans="2:7" ht="13.8" customHeight="1" x14ac:dyDescent="0.25">
      <c r="B285" s="33" t="s">
        <v>7</v>
      </c>
      <c r="C285" s="33">
        <v>2769934</v>
      </c>
      <c r="D285" s="33">
        <v>2.2599999999999998</v>
      </c>
      <c r="E285" s="33" t="s">
        <v>269</v>
      </c>
      <c r="F285" s="31" t="str">
        <f t="shared" si="8"/>
        <v>D1.02.04</v>
      </c>
      <c r="G285" s="34">
        <f t="shared" si="9"/>
        <v>2.2599999999999998</v>
      </c>
    </row>
    <row r="286" spans="2:7" ht="13.8" customHeight="1" x14ac:dyDescent="0.25">
      <c r="B286" s="33" t="s">
        <v>7</v>
      </c>
      <c r="C286" s="33">
        <v>2769980</v>
      </c>
      <c r="D286" s="33">
        <v>1.36</v>
      </c>
      <c r="E286" s="33" t="s">
        <v>270</v>
      </c>
      <c r="F286" s="31" t="str">
        <f t="shared" si="8"/>
        <v>D1.02.03</v>
      </c>
      <c r="G286" s="34">
        <f t="shared" si="9"/>
        <v>1.36</v>
      </c>
    </row>
    <row r="287" spans="2:7" ht="13.8" customHeight="1" x14ac:dyDescent="0.25">
      <c r="B287" s="33" t="s">
        <v>7</v>
      </c>
      <c r="C287" s="33">
        <v>2769983</v>
      </c>
      <c r="D287" s="33">
        <v>2.2599999999999998</v>
      </c>
      <c r="E287" s="33" t="s">
        <v>270</v>
      </c>
      <c r="F287" s="31" t="str">
        <f t="shared" si="8"/>
        <v>D1.02.03</v>
      </c>
      <c r="G287" s="34">
        <f t="shared" si="9"/>
        <v>2.2599999999999998</v>
      </c>
    </row>
    <row r="288" spans="2:7" ht="13.8" customHeight="1" x14ac:dyDescent="0.25">
      <c r="B288" s="33" t="s">
        <v>7</v>
      </c>
      <c r="C288" s="33">
        <v>2769986</v>
      </c>
      <c r="D288" s="33">
        <v>1.36</v>
      </c>
      <c r="E288" s="33" t="s">
        <v>270</v>
      </c>
      <c r="F288" s="31" t="str">
        <f t="shared" si="8"/>
        <v>D1.02.03</v>
      </c>
      <c r="G288" s="34">
        <f t="shared" si="9"/>
        <v>1.36</v>
      </c>
    </row>
    <row r="289" spans="2:7" ht="13.8" customHeight="1" x14ac:dyDescent="0.25">
      <c r="B289" s="33" t="s">
        <v>7</v>
      </c>
      <c r="C289" s="33">
        <v>2769989</v>
      </c>
      <c r="D289" s="33">
        <v>1.36</v>
      </c>
      <c r="E289" s="33" t="s">
        <v>270</v>
      </c>
      <c r="F289" s="31" t="str">
        <f t="shared" si="8"/>
        <v>D1.02.03</v>
      </c>
      <c r="G289" s="34">
        <f t="shared" si="9"/>
        <v>1.36</v>
      </c>
    </row>
    <row r="290" spans="2:7" ht="13.8" customHeight="1" x14ac:dyDescent="0.25">
      <c r="B290" s="33" t="s">
        <v>7</v>
      </c>
      <c r="C290" s="33">
        <v>2770044</v>
      </c>
      <c r="D290" s="33">
        <v>1.36</v>
      </c>
      <c r="E290" s="33" t="s">
        <v>271</v>
      </c>
      <c r="F290" s="31" t="str">
        <f t="shared" si="8"/>
        <v>D1.02.05</v>
      </c>
      <c r="G290" s="34">
        <f t="shared" si="9"/>
        <v>1.36</v>
      </c>
    </row>
    <row r="291" spans="2:7" ht="13.8" customHeight="1" x14ac:dyDescent="0.25">
      <c r="B291" s="33" t="s">
        <v>7</v>
      </c>
      <c r="C291" s="33">
        <v>2770047</v>
      </c>
      <c r="D291" s="33">
        <v>1.36</v>
      </c>
      <c r="E291" s="33" t="s">
        <v>271</v>
      </c>
      <c r="F291" s="31" t="str">
        <f t="shared" si="8"/>
        <v>D1.02.05</v>
      </c>
      <c r="G291" s="34">
        <f t="shared" si="9"/>
        <v>1.36</v>
      </c>
    </row>
    <row r="292" spans="2:7" ht="13.8" customHeight="1" x14ac:dyDescent="0.25">
      <c r="B292" s="33" t="s">
        <v>7</v>
      </c>
      <c r="C292" s="33">
        <v>2770050</v>
      </c>
      <c r="D292" s="33">
        <v>2.2599999999999998</v>
      </c>
      <c r="E292" s="33" t="s">
        <v>271</v>
      </c>
      <c r="F292" s="31" t="str">
        <f t="shared" si="8"/>
        <v>D1.02.05</v>
      </c>
      <c r="G292" s="34">
        <f t="shared" si="9"/>
        <v>2.2599999999999998</v>
      </c>
    </row>
    <row r="293" spans="2:7" ht="13.8" customHeight="1" x14ac:dyDescent="0.25">
      <c r="B293" s="33" t="s">
        <v>7</v>
      </c>
      <c r="C293" s="33">
        <v>2770084</v>
      </c>
      <c r="D293" s="33">
        <v>1.36</v>
      </c>
      <c r="E293" s="33" t="s">
        <v>272</v>
      </c>
      <c r="F293" s="31" t="str">
        <f t="shared" si="8"/>
        <v>A6.01.01</v>
      </c>
      <c r="G293" s="34">
        <f t="shared" si="9"/>
        <v>1.36</v>
      </c>
    </row>
    <row r="294" spans="2:7" ht="13.8" customHeight="1" x14ac:dyDescent="0.25">
      <c r="B294" s="33" t="s">
        <v>7</v>
      </c>
      <c r="C294" s="33">
        <v>2770087</v>
      </c>
      <c r="D294" s="33">
        <v>1.25</v>
      </c>
      <c r="E294" s="33" t="s">
        <v>272</v>
      </c>
      <c r="F294" s="31" t="str">
        <f t="shared" si="8"/>
        <v>A6.01.01</v>
      </c>
      <c r="G294" s="34">
        <f t="shared" si="9"/>
        <v>1.25</v>
      </c>
    </row>
    <row r="295" spans="2:7" ht="13.8" customHeight="1" x14ac:dyDescent="0.25">
      <c r="B295" s="33" t="s">
        <v>7</v>
      </c>
      <c r="C295" s="33">
        <v>2770090</v>
      </c>
      <c r="D295" s="33">
        <v>2.2599999999999998</v>
      </c>
      <c r="E295" s="33" t="s">
        <v>272</v>
      </c>
      <c r="F295" s="31" t="str">
        <f t="shared" si="8"/>
        <v>A6.01.01</v>
      </c>
      <c r="G295" s="34">
        <f t="shared" si="9"/>
        <v>2.2599999999999998</v>
      </c>
    </row>
    <row r="296" spans="2:7" ht="13.8" customHeight="1" x14ac:dyDescent="0.25">
      <c r="B296" s="33" t="s">
        <v>7</v>
      </c>
      <c r="C296" s="33">
        <v>2770145</v>
      </c>
      <c r="D296" s="33">
        <v>2.2599999999999998</v>
      </c>
      <c r="E296" s="33" t="s">
        <v>273</v>
      </c>
      <c r="F296" s="31" t="str">
        <f t="shared" si="8"/>
        <v>A6.01.02</v>
      </c>
      <c r="G296" s="34">
        <f t="shared" si="9"/>
        <v>2.2599999999999998</v>
      </c>
    </row>
    <row r="297" spans="2:7" ht="13.8" customHeight="1" x14ac:dyDescent="0.25">
      <c r="B297" s="33" t="s">
        <v>7</v>
      </c>
      <c r="C297" s="33">
        <v>2770148</v>
      </c>
      <c r="D297" s="33">
        <v>1.25</v>
      </c>
      <c r="E297" s="33" t="s">
        <v>273</v>
      </c>
      <c r="F297" s="31" t="str">
        <f t="shared" si="8"/>
        <v>A6.01.02</v>
      </c>
      <c r="G297" s="34">
        <f t="shared" si="9"/>
        <v>1.25</v>
      </c>
    </row>
    <row r="298" spans="2:7" ht="13.8" customHeight="1" x14ac:dyDescent="0.25">
      <c r="B298" s="33" t="s">
        <v>7</v>
      </c>
      <c r="C298" s="33">
        <v>2770151</v>
      </c>
      <c r="D298" s="33">
        <v>1.36</v>
      </c>
      <c r="E298" s="33" t="s">
        <v>273</v>
      </c>
      <c r="F298" s="31" t="str">
        <f t="shared" si="8"/>
        <v>A6.01.02</v>
      </c>
      <c r="G298" s="34">
        <f t="shared" si="9"/>
        <v>1.36</v>
      </c>
    </row>
    <row r="299" spans="2:7" ht="13.8" customHeight="1" x14ac:dyDescent="0.25">
      <c r="B299" s="33" t="s">
        <v>7</v>
      </c>
      <c r="C299" s="33">
        <v>2770213</v>
      </c>
      <c r="D299" s="33">
        <v>1.36</v>
      </c>
      <c r="E299" s="33" t="s">
        <v>274</v>
      </c>
      <c r="F299" s="31" t="str">
        <f t="shared" si="8"/>
        <v>A3.01.02</v>
      </c>
      <c r="G299" s="34">
        <f t="shared" si="9"/>
        <v>1.36</v>
      </c>
    </row>
    <row r="300" spans="2:7" ht="13.8" customHeight="1" x14ac:dyDescent="0.25">
      <c r="B300" s="33" t="s">
        <v>7</v>
      </c>
      <c r="C300" s="33">
        <v>2770216</v>
      </c>
      <c r="D300" s="33">
        <v>1.36</v>
      </c>
      <c r="E300" s="33" t="s">
        <v>274</v>
      </c>
      <c r="F300" s="31" t="str">
        <f t="shared" si="8"/>
        <v>A3.01.02</v>
      </c>
      <c r="G300" s="34">
        <f t="shared" si="9"/>
        <v>1.36</v>
      </c>
    </row>
    <row r="301" spans="2:7" ht="13.8" customHeight="1" x14ac:dyDescent="0.25">
      <c r="B301" s="33" t="s">
        <v>7</v>
      </c>
      <c r="C301" s="33">
        <v>2770219</v>
      </c>
      <c r="D301" s="33">
        <v>2.2599999999999998</v>
      </c>
      <c r="E301" s="33" t="s">
        <v>274</v>
      </c>
      <c r="F301" s="31" t="str">
        <f t="shared" si="8"/>
        <v>A3.01.02</v>
      </c>
      <c r="G301" s="34">
        <f t="shared" si="9"/>
        <v>2.2599999999999998</v>
      </c>
    </row>
    <row r="302" spans="2:7" ht="13.8" customHeight="1" x14ac:dyDescent="0.25">
      <c r="B302" s="33" t="s">
        <v>7</v>
      </c>
      <c r="C302" s="33">
        <v>2770276</v>
      </c>
      <c r="D302" s="33">
        <v>2.2599999999999998</v>
      </c>
      <c r="E302" s="33" t="s">
        <v>275</v>
      </c>
      <c r="F302" s="31" t="str">
        <f t="shared" si="8"/>
        <v>A3.01.01</v>
      </c>
      <c r="G302" s="34">
        <f t="shared" si="9"/>
        <v>2.2599999999999998</v>
      </c>
    </row>
    <row r="303" spans="2:7" ht="13.8" customHeight="1" x14ac:dyDescent="0.25">
      <c r="B303" s="33" t="s">
        <v>7</v>
      </c>
      <c r="C303" s="33">
        <v>2770279</v>
      </c>
      <c r="D303" s="33">
        <v>1.36</v>
      </c>
      <c r="E303" s="33" t="s">
        <v>275</v>
      </c>
      <c r="F303" s="31" t="str">
        <f t="shared" si="8"/>
        <v>A3.01.01</v>
      </c>
      <c r="G303" s="34">
        <f t="shared" si="9"/>
        <v>1.36</v>
      </c>
    </row>
    <row r="304" spans="2:7" ht="13.8" customHeight="1" x14ac:dyDescent="0.25">
      <c r="B304" s="33" t="s">
        <v>7</v>
      </c>
      <c r="C304" s="33">
        <v>2770282</v>
      </c>
      <c r="D304" s="33">
        <v>1.36</v>
      </c>
      <c r="E304" s="33" t="s">
        <v>275</v>
      </c>
      <c r="F304" s="31" t="str">
        <f t="shared" si="8"/>
        <v>A3.01.01</v>
      </c>
      <c r="G304" s="34">
        <f t="shared" si="9"/>
        <v>1.36</v>
      </c>
    </row>
    <row r="305" spans="2:7" ht="13.8" customHeight="1" x14ac:dyDescent="0.25">
      <c r="B305" s="33" t="s">
        <v>7</v>
      </c>
      <c r="C305" s="33">
        <v>2770339</v>
      </c>
      <c r="D305" s="33">
        <v>0.91</v>
      </c>
      <c r="E305" s="33" t="s">
        <v>276</v>
      </c>
      <c r="F305" s="31" t="str">
        <f t="shared" si="8"/>
        <v>A3.08.03</v>
      </c>
      <c r="G305" s="34">
        <f t="shared" si="9"/>
        <v>0.91</v>
      </c>
    </row>
    <row r="306" spans="2:7" ht="13.8" customHeight="1" x14ac:dyDescent="0.25">
      <c r="B306" s="33" t="s">
        <v>7</v>
      </c>
      <c r="C306" s="33">
        <v>2770342</v>
      </c>
      <c r="D306" s="33">
        <v>1.25</v>
      </c>
      <c r="E306" s="33" t="s">
        <v>276</v>
      </c>
      <c r="F306" s="31" t="str">
        <f t="shared" si="8"/>
        <v>A3.08.03</v>
      </c>
      <c r="G306" s="34">
        <f t="shared" si="9"/>
        <v>1.25</v>
      </c>
    </row>
    <row r="307" spans="2:7" ht="13.8" customHeight="1" x14ac:dyDescent="0.25">
      <c r="B307" s="33" t="s">
        <v>7</v>
      </c>
      <c r="C307" s="33">
        <v>2770345</v>
      </c>
      <c r="D307" s="33">
        <v>2.2599999999999998</v>
      </c>
      <c r="E307" s="33" t="s">
        <v>276</v>
      </c>
      <c r="F307" s="31" t="str">
        <f t="shared" si="8"/>
        <v>A3.08.03</v>
      </c>
      <c r="G307" s="34">
        <f t="shared" si="9"/>
        <v>2.2599999999999998</v>
      </c>
    </row>
    <row r="308" spans="2:7" ht="13.8" customHeight="1" x14ac:dyDescent="0.25">
      <c r="B308" s="33" t="s">
        <v>7</v>
      </c>
      <c r="C308" s="33">
        <v>2770348</v>
      </c>
      <c r="D308" s="33">
        <v>1.25</v>
      </c>
      <c r="E308" s="33" t="s">
        <v>276</v>
      </c>
      <c r="F308" s="31" t="str">
        <f t="shared" si="8"/>
        <v>A3.08.03</v>
      </c>
      <c r="G308" s="34">
        <f t="shared" si="9"/>
        <v>1.25</v>
      </c>
    </row>
    <row r="309" spans="2:7" ht="13.8" customHeight="1" x14ac:dyDescent="0.25">
      <c r="B309" s="33" t="s">
        <v>7</v>
      </c>
      <c r="C309" s="33">
        <v>2770351</v>
      </c>
      <c r="D309" s="33">
        <v>1.25</v>
      </c>
      <c r="E309" s="33" t="s">
        <v>276</v>
      </c>
      <c r="F309" s="31" t="str">
        <f t="shared" si="8"/>
        <v>A3.08.03</v>
      </c>
      <c r="G309" s="34">
        <f t="shared" si="9"/>
        <v>1.25</v>
      </c>
    </row>
    <row r="310" spans="2:7" ht="13.8" customHeight="1" x14ac:dyDescent="0.25">
      <c r="B310" s="33" t="s">
        <v>7</v>
      </c>
      <c r="C310" s="33">
        <v>2770354</v>
      </c>
      <c r="D310" s="33">
        <v>1.25</v>
      </c>
      <c r="E310" s="33" t="s">
        <v>276</v>
      </c>
      <c r="F310" s="31" t="str">
        <f t="shared" si="8"/>
        <v>A3.08.03</v>
      </c>
      <c r="G310" s="34">
        <f t="shared" si="9"/>
        <v>1.25</v>
      </c>
    </row>
    <row r="311" spans="2:7" ht="13.8" customHeight="1" x14ac:dyDescent="0.25">
      <c r="B311" s="33" t="s">
        <v>7</v>
      </c>
      <c r="C311" s="33">
        <v>2770417</v>
      </c>
      <c r="D311" s="33">
        <v>1.25</v>
      </c>
      <c r="E311" s="33" t="s">
        <v>277</v>
      </c>
      <c r="F311" s="31" t="str">
        <f t="shared" si="8"/>
        <v>A3.08.02</v>
      </c>
      <c r="G311" s="34">
        <f t="shared" si="9"/>
        <v>1.25</v>
      </c>
    </row>
    <row r="312" spans="2:7" ht="13.8" customHeight="1" x14ac:dyDescent="0.25">
      <c r="B312" s="33" t="s">
        <v>7</v>
      </c>
      <c r="C312" s="33">
        <v>2770420</v>
      </c>
      <c r="D312" s="33">
        <v>0.91</v>
      </c>
      <c r="E312" s="33" t="s">
        <v>277</v>
      </c>
      <c r="F312" s="31" t="str">
        <f t="shared" si="8"/>
        <v>A3.08.02</v>
      </c>
      <c r="G312" s="34">
        <f t="shared" si="9"/>
        <v>0.91</v>
      </c>
    </row>
    <row r="313" spans="2:7" ht="13.8" customHeight="1" x14ac:dyDescent="0.25">
      <c r="B313" s="33" t="s">
        <v>7</v>
      </c>
      <c r="C313" s="33">
        <v>2770423</v>
      </c>
      <c r="D313" s="33">
        <v>2.2599999999999998</v>
      </c>
      <c r="E313" s="33" t="s">
        <v>277</v>
      </c>
      <c r="F313" s="31" t="str">
        <f t="shared" si="8"/>
        <v>A3.08.02</v>
      </c>
      <c r="G313" s="34">
        <f t="shared" si="9"/>
        <v>2.2599999999999998</v>
      </c>
    </row>
    <row r="314" spans="2:7" ht="13.8" customHeight="1" x14ac:dyDescent="0.25">
      <c r="B314" s="33" t="s">
        <v>7</v>
      </c>
      <c r="C314" s="33">
        <v>2770426</v>
      </c>
      <c r="D314" s="33">
        <v>1.25</v>
      </c>
      <c r="E314" s="33" t="s">
        <v>277</v>
      </c>
      <c r="F314" s="31" t="str">
        <f t="shared" si="8"/>
        <v>A3.08.02</v>
      </c>
      <c r="G314" s="34">
        <f t="shared" si="9"/>
        <v>1.25</v>
      </c>
    </row>
    <row r="315" spans="2:7" ht="13.8" customHeight="1" x14ac:dyDescent="0.25">
      <c r="B315" s="33" t="s">
        <v>7</v>
      </c>
      <c r="C315" s="33">
        <v>2770429</v>
      </c>
      <c r="D315" s="33">
        <v>1.25</v>
      </c>
      <c r="E315" s="33" t="s">
        <v>277</v>
      </c>
      <c r="F315" s="31" t="str">
        <f t="shared" si="8"/>
        <v>A3.08.02</v>
      </c>
      <c r="G315" s="34">
        <f t="shared" si="9"/>
        <v>1.25</v>
      </c>
    </row>
    <row r="316" spans="2:7" ht="13.8" customHeight="1" x14ac:dyDescent="0.25">
      <c r="B316" s="33" t="s">
        <v>7</v>
      </c>
      <c r="C316" s="33">
        <v>2770432</v>
      </c>
      <c r="D316" s="33">
        <v>1.25</v>
      </c>
      <c r="E316" s="33" t="s">
        <v>277</v>
      </c>
      <c r="F316" s="31" t="str">
        <f t="shared" si="8"/>
        <v>A3.08.02</v>
      </c>
      <c r="G316" s="34">
        <f t="shared" si="9"/>
        <v>1.25</v>
      </c>
    </row>
    <row r="317" spans="2:7" ht="13.8" customHeight="1" x14ac:dyDescent="0.25">
      <c r="B317" s="33" t="s">
        <v>7</v>
      </c>
      <c r="C317" s="33">
        <v>2770493</v>
      </c>
      <c r="D317" s="33">
        <v>1.47</v>
      </c>
      <c r="E317" s="33" t="s">
        <v>278</v>
      </c>
      <c r="F317" s="31" t="str">
        <f t="shared" si="8"/>
        <v>C1.14.05</v>
      </c>
      <c r="G317" s="34">
        <f t="shared" si="9"/>
        <v>1.47</v>
      </c>
    </row>
    <row r="318" spans="2:7" ht="13.8" customHeight="1" x14ac:dyDescent="0.25">
      <c r="B318" s="33" t="s">
        <v>7</v>
      </c>
      <c r="C318" s="33">
        <v>2770496</v>
      </c>
      <c r="D318" s="33">
        <v>1.47</v>
      </c>
      <c r="E318" s="33" t="s">
        <v>278</v>
      </c>
      <c r="F318" s="31" t="str">
        <f t="shared" si="8"/>
        <v>C1.14.05</v>
      </c>
      <c r="G318" s="34">
        <f t="shared" si="9"/>
        <v>1.47</v>
      </c>
    </row>
    <row r="319" spans="2:7" ht="13.8" customHeight="1" x14ac:dyDescent="0.25">
      <c r="B319" s="33" t="s">
        <v>7</v>
      </c>
      <c r="C319" s="33">
        <v>2770499</v>
      </c>
      <c r="D319" s="33">
        <v>1.7</v>
      </c>
      <c r="E319" s="33" t="s">
        <v>278</v>
      </c>
      <c r="F319" s="31" t="str">
        <f t="shared" si="8"/>
        <v>C1.14.05</v>
      </c>
      <c r="G319" s="34">
        <f t="shared" si="9"/>
        <v>1.7</v>
      </c>
    </row>
    <row r="320" spans="2:7" ht="13.8" customHeight="1" x14ac:dyDescent="0.25">
      <c r="B320" s="33" t="s">
        <v>7</v>
      </c>
      <c r="C320" s="33">
        <v>2770502</v>
      </c>
      <c r="D320" s="33">
        <v>1.1299999999999999</v>
      </c>
      <c r="E320" s="33" t="s">
        <v>278</v>
      </c>
      <c r="F320" s="31" t="str">
        <f t="shared" si="8"/>
        <v>C1.14.05</v>
      </c>
      <c r="G320" s="34">
        <f t="shared" si="9"/>
        <v>1.1299999999999999</v>
      </c>
    </row>
    <row r="321" spans="2:7" ht="13.8" customHeight="1" x14ac:dyDescent="0.25">
      <c r="B321" s="33" t="s">
        <v>7</v>
      </c>
      <c r="C321" s="33">
        <v>2770505</v>
      </c>
      <c r="D321" s="33">
        <v>2.15</v>
      </c>
      <c r="E321" s="33" t="s">
        <v>278</v>
      </c>
      <c r="F321" s="31" t="str">
        <f t="shared" si="8"/>
        <v>C1.14.05</v>
      </c>
      <c r="G321" s="34">
        <f t="shared" si="9"/>
        <v>2.15</v>
      </c>
    </row>
    <row r="322" spans="2:7" ht="13.8" customHeight="1" x14ac:dyDescent="0.25">
      <c r="B322" s="33" t="s">
        <v>7</v>
      </c>
      <c r="C322" s="33">
        <v>2770578</v>
      </c>
      <c r="D322" s="33">
        <v>1.47</v>
      </c>
      <c r="E322" s="33" t="s">
        <v>279</v>
      </c>
      <c r="F322" s="31" t="str">
        <f t="shared" si="8"/>
        <v>C1.14.06</v>
      </c>
      <c r="G322" s="34">
        <f t="shared" si="9"/>
        <v>1.47</v>
      </c>
    </row>
    <row r="323" spans="2:7" ht="13.8" customHeight="1" x14ac:dyDescent="0.25">
      <c r="B323" s="33" t="s">
        <v>7</v>
      </c>
      <c r="C323" s="33">
        <v>2770581</v>
      </c>
      <c r="D323" s="33">
        <v>1.47</v>
      </c>
      <c r="E323" s="33" t="s">
        <v>279</v>
      </c>
      <c r="F323" s="31" t="str">
        <f t="shared" si="8"/>
        <v>C1.14.06</v>
      </c>
      <c r="G323" s="34">
        <f t="shared" si="9"/>
        <v>1.47</v>
      </c>
    </row>
    <row r="324" spans="2:7" ht="13.8" customHeight="1" x14ac:dyDescent="0.25">
      <c r="B324" s="33" t="s">
        <v>7</v>
      </c>
      <c r="C324" s="33">
        <v>2770584</v>
      </c>
      <c r="D324" s="33">
        <v>2.15</v>
      </c>
      <c r="E324" s="33" t="s">
        <v>279</v>
      </c>
      <c r="F324" s="31" t="str">
        <f t="shared" si="8"/>
        <v>C1.14.06</v>
      </c>
      <c r="G324" s="34">
        <f t="shared" si="9"/>
        <v>2.15</v>
      </c>
    </row>
    <row r="325" spans="2:7" ht="13.8" customHeight="1" x14ac:dyDescent="0.25">
      <c r="B325" s="33" t="s">
        <v>7</v>
      </c>
      <c r="C325" s="33">
        <v>2770587</v>
      </c>
      <c r="D325" s="33">
        <v>1.1299999999999999</v>
      </c>
      <c r="E325" s="33" t="s">
        <v>279</v>
      </c>
      <c r="F325" s="31" t="str">
        <f t="shared" si="8"/>
        <v>C1.14.06</v>
      </c>
      <c r="G325" s="34">
        <f t="shared" si="9"/>
        <v>1.1299999999999999</v>
      </c>
    </row>
    <row r="326" spans="2:7" ht="13.8" customHeight="1" x14ac:dyDescent="0.25">
      <c r="B326" s="33" t="s">
        <v>7</v>
      </c>
      <c r="C326" s="33">
        <v>2770590</v>
      </c>
      <c r="D326" s="33">
        <v>1.47</v>
      </c>
      <c r="E326" s="33" t="s">
        <v>279</v>
      </c>
      <c r="F326" s="31" t="str">
        <f t="shared" si="8"/>
        <v>C1.14.06</v>
      </c>
      <c r="G326" s="34">
        <f t="shared" si="9"/>
        <v>1.47</v>
      </c>
    </row>
    <row r="327" spans="2:7" ht="13.8" customHeight="1" x14ac:dyDescent="0.25">
      <c r="B327" s="33" t="s">
        <v>7</v>
      </c>
      <c r="C327" s="33">
        <v>2770648</v>
      </c>
      <c r="D327" s="33">
        <v>1.47</v>
      </c>
      <c r="E327" s="33" t="s">
        <v>280</v>
      </c>
      <c r="F327" s="31" t="str">
        <f t="shared" ref="F327:F390" si="10">LEFT(E327,8)</f>
        <v>C1.14.01</v>
      </c>
      <c r="G327" s="34">
        <f t="shared" ref="G327:G390" si="11">D327</f>
        <v>1.47</v>
      </c>
    </row>
    <row r="328" spans="2:7" ht="13.8" customHeight="1" x14ac:dyDescent="0.25">
      <c r="B328" s="33" t="s">
        <v>7</v>
      </c>
      <c r="C328" s="33">
        <v>2770651</v>
      </c>
      <c r="D328" s="33">
        <v>1.47</v>
      </c>
      <c r="E328" s="33" t="s">
        <v>280</v>
      </c>
      <c r="F328" s="31" t="str">
        <f t="shared" si="10"/>
        <v>C1.14.01</v>
      </c>
      <c r="G328" s="34">
        <f t="shared" si="11"/>
        <v>1.47</v>
      </c>
    </row>
    <row r="329" spans="2:7" ht="13.8" customHeight="1" x14ac:dyDescent="0.25">
      <c r="B329" s="33" t="s">
        <v>7</v>
      </c>
      <c r="C329" s="33">
        <v>2770654</v>
      </c>
      <c r="D329" s="33">
        <v>2.15</v>
      </c>
      <c r="E329" s="33" t="s">
        <v>280</v>
      </c>
      <c r="F329" s="31" t="str">
        <f t="shared" si="10"/>
        <v>C1.14.01</v>
      </c>
      <c r="G329" s="34">
        <f t="shared" si="11"/>
        <v>2.15</v>
      </c>
    </row>
    <row r="330" spans="2:7" ht="13.8" customHeight="1" x14ac:dyDescent="0.25">
      <c r="B330" s="33" t="s">
        <v>7</v>
      </c>
      <c r="C330" s="33">
        <v>2770657</v>
      </c>
      <c r="D330" s="33">
        <v>1.1299999999999999</v>
      </c>
      <c r="E330" s="33" t="s">
        <v>280</v>
      </c>
      <c r="F330" s="31" t="str">
        <f t="shared" si="10"/>
        <v>C1.14.01</v>
      </c>
      <c r="G330" s="34">
        <f t="shared" si="11"/>
        <v>1.1299999999999999</v>
      </c>
    </row>
    <row r="331" spans="2:7" ht="13.8" customHeight="1" x14ac:dyDescent="0.25">
      <c r="B331" s="33" t="s">
        <v>7</v>
      </c>
      <c r="C331" s="33">
        <v>2770660</v>
      </c>
      <c r="D331" s="33">
        <v>1.7</v>
      </c>
      <c r="E331" s="33" t="s">
        <v>280</v>
      </c>
      <c r="F331" s="31" t="str">
        <f t="shared" si="10"/>
        <v>C1.14.01</v>
      </c>
      <c r="G331" s="34">
        <f t="shared" si="11"/>
        <v>1.7</v>
      </c>
    </row>
    <row r="332" spans="2:7" ht="13.8" customHeight="1" x14ac:dyDescent="0.25">
      <c r="B332" s="33" t="s">
        <v>7</v>
      </c>
      <c r="C332" s="33">
        <v>2770663</v>
      </c>
      <c r="D332" s="33">
        <v>1.7</v>
      </c>
      <c r="E332" s="33" t="s">
        <v>280</v>
      </c>
      <c r="F332" s="31" t="str">
        <f t="shared" si="10"/>
        <v>C1.14.01</v>
      </c>
      <c r="G332" s="34">
        <f t="shared" si="11"/>
        <v>1.7</v>
      </c>
    </row>
    <row r="333" spans="2:7" ht="13.8" customHeight="1" x14ac:dyDescent="0.25">
      <c r="B333" s="33" t="s">
        <v>7</v>
      </c>
      <c r="C333" s="33">
        <v>2770802</v>
      </c>
      <c r="D333" s="33">
        <v>2.15</v>
      </c>
      <c r="E333" s="33" t="s">
        <v>282</v>
      </c>
      <c r="F333" s="31" t="str">
        <f t="shared" si="10"/>
        <v>C1.14.03</v>
      </c>
      <c r="G333" s="34">
        <f t="shared" si="11"/>
        <v>2.15</v>
      </c>
    </row>
    <row r="334" spans="2:7" ht="13.8" customHeight="1" x14ac:dyDescent="0.25">
      <c r="B334" s="33" t="s">
        <v>7</v>
      </c>
      <c r="C334" s="33">
        <v>2770805</v>
      </c>
      <c r="D334" s="33">
        <v>1.7</v>
      </c>
      <c r="E334" s="33" t="s">
        <v>282</v>
      </c>
      <c r="F334" s="31" t="str">
        <f t="shared" si="10"/>
        <v>C1.14.03</v>
      </c>
      <c r="G334" s="34">
        <f t="shared" si="11"/>
        <v>1.7</v>
      </c>
    </row>
    <row r="335" spans="2:7" ht="13.8" customHeight="1" x14ac:dyDescent="0.25">
      <c r="B335" s="33" t="s">
        <v>7</v>
      </c>
      <c r="C335" s="33">
        <v>2770839</v>
      </c>
      <c r="D335" s="33">
        <v>1.7</v>
      </c>
      <c r="E335" s="33" t="s">
        <v>283</v>
      </c>
      <c r="F335" s="31" t="str">
        <f t="shared" si="10"/>
        <v>C1.14.04</v>
      </c>
      <c r="G335" s="34">
        <f t="shared" si="11"/>
        <v>1.7</v>
      </c>
    </row>
    <row r="336" spans="2:7" ht="13.8" customHeight="1" x14ac:dyDescent="0.25">
      <c r="B336" s="33" t="s">
        <v>7</v>
      </c>
      <c r="C336" s="33">
        <v>2770842</v>
      </c>
      <c r="D336" s="33">
        <v>2.15</v>
      </c>
      <c r="E336" s="33" t="s">
        <v>283</v>
      </c>
      <c r="F336" s="31" t="str">
        <f t="shared" si="10"/>
        <v>C1.14.04</v>
      </c>
      <c r="G336" s="34">
        <f t="shared" si="11"/>
        <v>2.15</v>
      </c>
    </row>
    <row r="337" spans="2:7" ht="13.8" customHeight="1" x14ac:dyDescent="0.25">
      <c r="B337" s="33" t="s">
        <v>7</v>
      </c>
      <c r="C337" s="33">
        <v>2770876</v>
      </c>
      <c r="D337" s="33">
        <v>1.47</v>
      </c>
      <c r="E337" s="33" t="s">
        <v>284</v>
      </c>
      <c r="F337" s="31" t="str">
        <f t="shared" si="10"/>
        <v>C1.08.05</v>
      </c>
      <c r="G337" s="34">
        <f t="shared" si="11"/>
        <v>1.47</v>
      </c>
    </row>
    <row r="338" spans="2:7" ht="13.8" customHeight="1" x14ac:dyDescent="0.25">
      <c r="B338" s="33" t="s">
        <v>7</v>
      </c>
      <c r="C338" s="33">
        <v>2770879</v>
      </c>
      <c r="D338" s="33">
        <v>1.47</v>
      </c>
      <c r="E338" s="33" t="s">
        <v>284</v>
      </c>
      <c r="F338" s="31" t="str">
        <f t="shared" si="10"/>
        <v>C1.08.05</v>
      </c>
      <c r="G338" s="34">
        <f t="shared" si="11"/>
        <v>1.47</v>
      </c>
    </row>
    <row r="339" spans="2:7" ht="13.8" customHeight="1" x14ac:dyDescent="0.25">
      <c r="B339" s="33" t="s">
        <v>7</v>
      </c>
      <c r="C339" s="33">
        <v>2770882</v>
      </c>
      <c r="D339" s="33">
        <v>1.7</v>
      </c>
      <c r="E339" s="33" t="s">
        <v>284</v>
      </c>
      <c r="F339" s="31" t="str">
        <f t="shared" si="10"/>
        <v>C1.08.05</v>
      </c>
      <c r="G339" s="34">
        <f t="shared" si="11"/>
        <v>1.7</v>
      </c>
    </row>
    <row r="340" spans="2:7" ht="13.8" customHeight="1" x14ac:dyDescent="0.25">
      <c r="B340" s="33" t="s">
        <v>7</v>
      </c>
      <c r="C340" s="33">
        <v>2770885</v>
      </c>
      <c r="D340" s="33">
        <v>1.1299999999999999</v>
      </c>
      <c r="E340" s="33" t="s">
        <v>284</v>
      </c>
      <c r="F340" s="31" t="str">
        <f t="shared" si="10"/>
        <v>C1.08.05</v>
      </c>
      <c r="G340" s="34">
        <f t="shared" si="11"/>
        <v>1.1299999999999999</v>
      </c>
    </row>
    <row r="341" spans="2:7" ht="13.8" customHeight="1" x14ac:dyDescent="0.25">
      <c r="B341" s="33" t="s">
        <v>7</v>
      </c>
      <c r="C341" s="33">
        <v>2770888</v>
      </c>
      <c r="D341" s="33">
        <v>2.15</v>
      </c>
      <c r="E341" s="33" t="s">
        <v>284</v>
      </c>
      <c r="F341" s="31" t="str">
        <f t="shared" si="10"/>
        <v>C1.08.05</v>
      </c>
      <c r="G341" s="34">
        <f t="shared" si="11"/>
        <v>2.15</v>
      </c>
    </row>
    <row r="342" spans="2:7" ht="13.8" customHeight="1" x14ac:dyDescent="0.25">
      <c r="B342" s="33" t="s">
        <v>7</v>
      </c>
      <c r="C342" s="33">
        <v>2770948</v>
      </c>
      <c r="D342" s="33">
        <v>1.47</v>
      </c>
      <c r="E342" s="33" t="s">
        <v>285</v>
      </c>
      <c r="F342" s="31" t="str">
        <f t="shared" si="10"/>
        <v>C1.08.06</v>
      </c>
      <c r="G342" s="34">
        <f t="shared" si="11"/>
        <v>1.47</v>
      </c>
    </row>
    <row r="343" spans="2:7" ht="13.8" customHeight="1" x14ac:dyDescent="0.25">
      <c r="B343" s="33" t="s">
        <v>7</v>
      </c>
      <c r="C343" s="33">
        <v>2770951</v>
      </c>
      <c r="D343" s="33">
        <v>1.47</v>
      </c>
      <c r="E343" s="33" t="s">
        <v>285</v>
      </c>
      <c r="F343" s="31" t="str">
        <f t="shared" si="10"/>
        <v>C1.08.06</v>
      </c>
      <c r="G343" s="34">
        <f t="shared" si="11"/>
        <v>1.47</v>
      </c>
    </row>
    <row r="344" spans="2:7" ht="13.8" customHeight="1" x14ac:dyDescent="0.25">
      <c r="B344" s="33" t="s">
        <v>7</v>
      </c>
      <c r="C344" s="33">
        <v>2770954</v>
      </c>
      <c r="D344" s="33">
        <v>2.15</v>
      </c>
      <c r="E344" s="33" t="s">
        <v>285</v>
      </c>
      <c r="F344" s="31" t="str">
        <f t="shared" si="10"/>
        <v>C1.08.06</v>
      </c>
      <c r="G344" s="34">
        <f t="shared" si="11"/>
        <v>2.15</v>
      </c>
    </row>
    <row r="345" spans="2:7" ht="13.8" customHeight="1" x14ac:dyDescent="0.25">
      <c r="B345" s="33" t="s">
        <v>7</v>
      </c>
      <c r="C345" s="33">
        <v>2770957</v>
      </c>
      <c r="D345" s="33">
        <v>1.1299999999999999</v>
      </c>
      <c r="E345" s="33" t="s">
        <v>285</v>
      </c>
      <c r="F345" s="31" t="str">
        <f t="shared" si="10"/>
        <v>C1.08.06</v>
      </c>
      <c r="G345" s="34">
        <f t="shared" si="11"/>
        <v>1.1299999999999999</v>
      </c>
    </row>
    <row r="346" spans="2:7" ht="13.8" customHeight="1" x14ac:dyDescent="0.25">
      <c r="B346" s="33" t="s">
        <v>7</v>
      </c>
      <c r="C346" s="33">
        <v>2770960</v>
      </c>
      <c r="D346" s="33">
        <v>1.47</v>
      </c>
      <c r="E346" s="33" t="s">
        <v>285</v>
      </c>
      <c r="F346" s="31" t="str">
        <f t="shared" si="10"/>
        <v>C1.08.06</v>
      </c>
      <c r="G346" s="34">
        <f t="shared" si="11"/>
        <v>1.47</v>
      </c>
    </row>
    <row r="347" spans="2:7" ht="13.8" customHeight="1" x14ac:dyDescent="0.25">
      <c r="B347" s="33" t="s">
        <v>7</v>
      </c>
      <c r="C347" s="33">
        <v>2771038</v>
      </c>
      <c r="D347" s="33">
        <v>2.15</v>
      </c>
      <c r="E347" s="33" t="s">
        <v>286</v>
      </c>
      <c r="F347" s="31" t="str">
        <f t="shared" si="10"/>
        <v>C1.08.02</v>
      </c>
      <c r="G347" s="34">
        <f t="shared" si="11"/>
        <v>2.15</v>
      </c>
    </row>
    <row r="348" spans="2:7" ht="13.8" customHeight="1" x14ac:dyDescent="0.25">
      <c r="B348" s="33" t="s">
        <v>7</v>
      </c>
      <c r="C348" s="33">
        <v>2771041</v>
      </c>
      <c r="D348" s="33">
        <v>1.1299999999999999</v>
      </c>
      <c r="E348" s="33" t="s">
        <v>286</v>
      </c>
      <c r="F348" s="31" t="str">
        <f t="shared" si="10"/>
        <v>C1.08.02</v>
      </c>
      <c r="G348" s="34">
        <f t="shared" si="11"/>
        <v>1.1299999999999999</v>
      </c>
    </row>
    <row r="349" spans="2:7" ht="13.8" customHeight="1" x14ac:dyDescent="0.25">
      <c r="B349" s="33" t="s">
        <v>7</v>
      </c>
      <c r="C349" s="33">
        <v>2771044</v>
      </c>
      <c r="D349" s="33">
        <v>1.7</v>
      </c>
      <c r="E349" s="33" t="s">
        <v>286</v>
      </c>
      <c r="F349" s="31" t="str">
        <f t="shared" si="10"/>
        <v>C1.08.02</v>
      </c>
      <c r="G349" s="34">
        <f t="shared" si="11"/>
        <v>1.7</v>
      </c>
    </row>
    <row r="350" spans="2:7" ht="13.8" customHeight="1" x14ac:dyDescent="0.25">
      <c r="B350" s="33" t="s">
        <v>7</v>
      </c>
      <c r="C350" s="33">
        <v>2771047</v>
      </c>
      <c r="D350" s="33">
        <v>1.7</v>
      </c>
      <c r="E350" s="33" t="s">
        <v>286</v>
      </c>
      <c r="F350" s="31" t="str">
        <f t="shared" si="10"/>
        <v>C1.08.02</v>
      </c>
      <c r="G350" s="34">
        <f t="shared" si="11"/>
        <v>1.7</v>
      </c>
    </row>
    <row r="351" spans="2:7" ht="13.8" customHeight="1" x14ac:dyDescent="0.25">
      <c r="B351" s="33" t="s">
        <v>7</v>
      </c>
      <c r="C351" s="33">
        <v>2771050</v>
      </c>
      <c r="D351" s="33">
        <v>1.7</v>
      </c>
      <c r="E351" s="33" t="s">
        <v>286</v>
      </c>
      <c r="F351" s="31" t="str">
        <f t="shared" si="10"/>
        <v>C1.08.02</v>
      </c>
      <c r="G351" s="34">
        <f t="shared" si="11"/>
        <v>1.7</v>
      </c>
    </row>
    <row r="352" spans="2:7" ht="13.8" customHeight="1" x14ac:dyDescent="0.25">
      <c r="B352" s="33" t="s">
        <v>7</v>
      </c>
      <c r="C352" s="33">
        <v>2771112</v>
      </c>
      <c r="D352" s="33">
        <v>2.15</v>
      </c>
      <c r="E352" s="33" t="s">
        <v>287</v>
      </c>
      <c r="F352" s="31" t="str">
        <f t="shared" si="10"/>
        <v>C1.08.03</v>
      </c>
      <c r="G352" s="34">
        <f t="shared" si="11"/>
        <v>2.15</v>
      </c>
    </row>
    <row r="353" spans="2:7" ht="13.8" customHeight="1" x14ac:dyDescent="0.25">
      <c r="B353" s="33" t="s">
        <v>7</v>
      </c>
      <c r="C353" s="33">
        <v>2771115</v>
      </c>
      <c r="D353" s="33">
        <v>1.7</v>
      </c>
      <c r="E353" s="33" t="s">
        <v>287</v>
      </c>
      <c r="F353" s="31" t="str">
        <f t="shared" si="10"/>
        <v>C1.08.03</v>
      </c>
      <c r="G353" s="34">
        <f t="shared" si="11"/>
        <v>1.7</v>
      </c>
    </row>
    <row r="354" spans="2:7" ht="13.8" customHeight="1" x14ac:dyDescent="0.25">
      <c r="B354" s="33" t="s">
        <v>7</v>
      </c>
      <c r="C354" s="33">
        <v>2771153</v>
      </c>
      <c r="D354" s="33">
        <v>1.7</v>
      </c>
      <c r="E354" s="33" t="s">
        <v>288</v>
      </c>
      <c r="F354" s="31" t="str">
        <f t="shared" si="10"/>
        <v>C1.08.04</v>
      </c>
      <c r="G354" s="34">
        <f t="shared" si="11"/>
        <v>1.7</v>
      </c>
    </row>
    <row r="355" spans="2:7" ht="13.8" customHeight="1" x14ac:dyDescent="0.25">
      <c r="B355" s="33" t="s">
        <v>7</v>
      </c>
      <c r="C355" s="33">
        <v>2771156</v>
      </c>
      <c r="D355" s="33">
        <v>2.15</v>
      </c>
      <c r="E355" s="33" t="s">
        <v>288</v>
      </c>
      <c r="F355" s="31" t="str">
        <f t="shared" si="10"/>
        <v>C1.08.04</v>
      </c>
      <c r="G355" s="34">
        <f t="shared" si="11"/>
        <v>2.15</v>
      </c>
    </row>
    <row r="356" spans="2:7" ht="13.8" customHeight="1" x14ac:dyDescent="0.25">
      <c r="B356" s="33" t="s">
        <v>7</v>
      </c>
      <c r="C356" s="33">
        <v>2771194</v>
      </c>
      <c r="D356" s="33">
        <v>1.47</v>
      </c>
      <c r="E356" s="33" t="s">
        <v>289</v>
      </c>
      <c r="F356" s="31" t="str">
        <f t="shared" si="10"/>
        <v>C1.08.01</v>
      </c>
      <c r="G356" s="34">
        <f t="shared" si="11"/>
        <v>1.47</v>
      </c>
    </row>
    <row r="357" spans="2:7" ht="13.8" customHeight="1" x14ac:dyDescent="0.25">
      <c r="B357" s="33" t="s">
        <v>7</v>
      </c>
      <c r="C357" s="33">
        <v>2771197</v>
      </c>
      <c r="D357" s="33">
        <v>2.15</v>
      </c>
      <c r="E357" s="33" t="s">
        <v>289</v>
      </c>
      <c r="F357" s="31" t="str">
        <f t="shared" si="10"/>
        <v>C1.08.01</v>
      </c>
      <c r="G357" s="34">
        <f t="shared" si="11"/>
        <v>2.15</v>
      </c>
    </row>
    <row r="358" spans="2:7" ht="13.8" customHeight="1" x14ac:dyDescent="0.25">
      <c r="B358" s="33" t="s">
        <v>7</v>
      </c>
      <c r="C358" s="33">
        <v>2771200</v>
      </c>
      <c r="D358" s="33">
        <v>1.1299999999999999</v>
      </c>
      <c r="E358" s="33" t="s">
        <v>289</v>
      </c>
      <c r="F358" s="31" t="str">
        <f t="shared" si="10"/>
        <v>C1.08.01</v>
      </c>
      <c r="G358" s="34">
        <f t="shared" si="11"/>
        <v>1.1299999999999999</v>
      </c>
    </row>
    <row r="359" spans="2:7" ht="13.8" customHeight="1" x14ac:dyDescent="0.25">
      <c r="B359" s="33" t="s">
        <v>7</v>
      </c>
      <c r="C359" s="33">
        <v>2771203</v>
      </c>
      <c r="D359" s="33">
        <v>1.7</v>
      </c>
      <c r="E359" s="33" t="s">
        <v>289</v>
      </c>
      <c r="F359" s="31" t="str">
        <f t="shared" si="10"/>
        <v>C1.08.01</v>
      </c>
      <c r="G359" s="34">
        <f t="shared" si="11"/>
        <v>1.7</v>
      </c>
    </row>
    <row r="360" spans="2:7" ht="13.8" customHeight="1" x14ac:dyDescent="0.25">
      <c r="B360" s="33" t="s">
        <v>7</v>
      </c>
      <c r="C360" s="33">
        <v>2771206</v>
      </c>
      <c r="D360" s="33">
        <v>1.7</v>
      </c>
      <c r="E360" s="33" t="s">
        <v>289</v>
      </c>
      <c r="F360" s="31" t="str">
        <f t="shared" si="10"/>
        <v>C1.08.01</v>
      </c>
      <c r="G360" s="34">
        <f t="shared" si="11"/>
        <v>1.7</v>
      </c>
    </row>
    <row r="361" spans="2:7" ht="13.8" customHeight="1" x14ac:dyDescent="0.25">
      <c r="B361" s="33" t="s">
        <v>7</v>
      </c>
      <c r="C361" s="33">
        <v>2771272</v>
      </c>
      <c r="D361" s="33">
        <v>1.47</v>
      </c>
      <c r="E361" s="33" t="s">
        <v>290</v>
      </c>
      <c r="F361" s="31" t="str">
        <f t="shared" si="10"/>
        <v>C1.09.08</v>
      </c>
      <c r="G361" s="34">
        <f t="shared" si="11"/>
        <v>1.47</v>
      </c>
    </row>
    <row r="362" spans="2:7" ht="13.8" customHeight="1" x14ac:dyDescent="0.25">
      <c r="B362" s="33" t="s">
        <v>7</v>
      </c>
      <c r="C362" s="33">
        <v>2771275</v>
      </c>
      <c r="D362" s="33">
        <v>1.47</v>
      </c>
      <c r="E362" s="33" t="s">
        <v>290</v>
      </c>
      <c r="F362" s="31" t="str">
        <f t="shared" si="10"/>
        <v>C1.09.08</v>
      </c>
      <c r="G362" s="34">
        <f t="shared" si="11"/>
        <v>1.47</v>
      </c>
    </row>
    <row r="363" spans="2:7" ht="13.8" customHeight="1" x14ac:dyDescent="0.25">
      <c r="B363" s="33" t="s">
        <v>7</v>
      </c>
      <c r="C363" s="33">
        <v>2771278</v>
      </c>
      <c r="D363" s="33">
        <v>1.47</v>
      </c>
      <c r="E363" s="33" t="s">
        <v>290</v>
      </c>
      <c r="F363" s="31" t="str">
        <f t="shared" si="10"/>
        <v>C1.09.08</v>
      </c>
      <c r="G363" s="34">
        <f t="shared" si="11"/>
        <v>1.47</v>
      </c>
    </row>
    <row r="364" spans="2:7" ht="13.8" customHeight="1" x14ac:dyDescent="0.25">
      <c r="B364" s="33" t="s">
        <v>7</v>
      </c>
      <c r="C364" s="33">
        <v>2771281</v>
      </c>
      <c r="D364" s="33">
        <v>1.47</v>
      </c>
      <c r="E364" s="33" t="s">
        <v>290</v>
      </c>
      <c r="F364" s="31" t="str">
        <f t="shared" si="10"/>
        <v>C1.09.08</v>
      </c>
      <c r="G364" s="34">
        <f t="shared" si="11"/>
        <v>1.47</v>
      </c>
    </row>
    <row r="365" spans="2:7" ht="13.8" customHeight="1" x14ac:dyDescent="0.25">
      <c r="B365" s="33" t="s">
        <v>7</v>
      </c>
      <c r="C365" s="33">
        <v>2771284</v>
      </c>
      <c r="D365" s="33">
        <v>1.92</v>
      </c>
      <c r="E365" s="33" t="s">
        <v>290</v>
      </c>
      <c r="F365" s="31" t="str">
        <f t="shared" si="10"/>
        <v>C1.09.08</v>
      </c>
      <c r="G365" s="34">
        <f t="shared" si="11"/>
        <v>1.92</v>
      </c>
    </row>
    <row r="366" spans="2:7" ht="13.8" customHeight="1" x14ac:dyDescent="0.25">
      <c r="B366" s="33" t="s">
        <v>7</v>
      </c>
      <c r="C366" s="33">
        <v>2771342</v>
      </c>
      <c r="D366" s="33">
        <v>1.47</v>
      </c>
      <c r="E366" s="33" t="s">
        <v>291</v>
      </c>
      <c r="F366" s="31" t="str">
        <f t="shared" si="10"/>
        <v>C1.09.07</v>
      </c>
      <c r="G366" s="34">
        <f t="shared" si="11"/>
        <v>1.47</v>
      </c>
    </row>
    <row r="367" spans="2:7" ht="13.8" customHeight="1" x14ac:dyDescent="0.25">
      <c r="B367" s="33" t="s">
        <v>7</v>
      </c>
      <c r="C367" s="33">
        <v>2771345</v>
      </c>
      <c r="D367" s="33">
        <v>1.47</v>
      </c>
      <c r="E367" s="33" t="s">
        <v>291</v>
      </c>
      <c r="F367" s="31" t="str">
        <f t="shared" si="10"/>
        <v>C1.09.07</v>
      </c>
      <c r="G367" s="34">
        <f t="shared" si="11"/>
        <v>1.47</v>
      </c>
    </row>
    <row r="368" spans="2:7" ht="13.8" customHeight="1" x14ac:dyDescent="0.25">
      <c r="B368" s="33" t="s">
        <v>7</v>
      </c>
      <c r="C368" s="33">
        <v>2771348</v>
      </c>
      <c r="D368" s="33">
        <v>1.47</v>
      </c>
      <c r="E368" s="33" t="s">
        <v>291</v>
      </c>
      <c r="F368" s="31" t="str">
        <f t="shared" si="10"/>
        <v>C1.09.07</v>
      </c>
      <c r="G368" s="34">
        <f t="shared" si="11"/>
        <v>1.47</v>
      </c>
    </row>
    <row r="369" spans="2:7" ht="13.8" customHeight="1" x14ac:dyDescent="0.25">
      <c r="B369" s="33" t="s">
        <v>7</v>
      </c>
      <c r="C369" s="33">
        <v>2771351</v>
      </c>
      <c r="D369" s="33">
        <v>1.47</v>
      </c>
      <c r="E369" s="33" t="s">
        <v>291</v>
      </c>
      <c r="F369" s="31" t="str">
        <f t="shared" si="10"/>
        <v>C1.09.07</v>
      </c>
      <c r="G369" s="34">
        <f t="shared" si="11"/>
        <v>1.47</v>
      </c>
    </row>
    <row r="370" spans="2:7" ht="13.8" customHeight="1" x14ac:dyDescent="0.25">
      <c r="B370" s="33" t="s">
        <v>7</v>
      </c>
      <c r="C370" s="33">
        <v>2771354</v>
      </c>
      <c r="D370" s="33">
        <v>1.92</v>
      </c>
      <c r="E370" s="33" t="s">
        <v>291</v>
      </c>
      <c r="F370" s="31" t="str">
        <f t="shared" si="10"/>
        <v>C1.09.07</v>
      </c>
      <c r="G370" s="34">
        <f t="shared" si="11"/>
        <v>1.92</v>
      </c>
    </row>
    <row r="371" spans="2:7" ht="13.8" customHeight="1" x14ac:dyDescent="0.25">
      <c r="B371" s="33" t="s">
        <v>7</v>
      </c>
      <c r="C371" s="33">
        <v>2771412</v>
      </c>
      <c r="D371" s="33">
        <v>1.92</v>
      </c>
      <c r="E371" s="33" t="s">
        <v>292</v>
      </c>
      <c r="F371" s="31" t="str">
        <f t="shared" si="10"/>
        <v>C1.08.08</v>
      </c>
      <c r="G371" s="34">
        <f t="shared" si="11"/>
        <v>1.92</v>
      </c>
    </row>
    <row r="372" spans="2:7" ht="13.8" customHeight="1" x14ac:dyDescent="0.25">
      <c r="B372" s="33" t="s">
        <v>7</v>
      </c>
      <c r="C372" s="33">
        <v>2771415</v>
      </c>
      <c r="D372" s="33">
        <v>1.47</v>
      </c>
      <c r="E372" s="33" t="s">
        <v>292</v>
      </c>
      <c r="F372" s="31" t="str">
        <f t="shared" si="10"/>
        <v>C1.08.08</v>
      </c>
      <c r="G372" s="34">
        <f t="shared" si="11"/>
        <v>1.47</v>
      </c>
    </row>
    <row r="373" spans="2:7" ht="13.8" customHeight="1" x14ac:dyDescent="0.25">
      <c r="B373" s="33" t="s">
        <v>7</v>
      </c>
      <c r="C373" s="33">
        <v>2771418</v>
      </c>
      <c r="D373" s="33">
        <v>1.47</v>
      </c>
      <c r="E373" s="33" t="s">
        <v>292</v>
      </c>
      <c r="F373" s="31" t="str">
        <f t="shared" si="10"/>
        <v>C1.08.08</v>
      </c>
      <c r="G373" s="34">
        <f t="shared" si="11"/>
        <v>1.47</v>
      </c>
    </row>
    <row r="374" spans="2:7" ht="13.8" customHeight="1" x14ac:dyDescent="0.25">
      <c r="B374" s="33" t="s">
        <v>7</v>
      </c>
      <c r="C374" s="33">
        <v>2771421</v>
      </c>
      <c r="D374" s="33">
        <v>1.47</v>
      </c>
      <c r="E374" s="33" t="s">
        <v>292</v>
      </c>
      <c r="F374" s="31" t="str">
        <f t="shared" si="10"/>
        <v>C1.08.08</v>
      </c>
      <c r="G374" s="34">
        <f t="shared" si="11"/>
        <v>1.47</v>
      </c>
    </row>
    <row r="375" spans="2:7" ht="13.8" customHeight="1" x14ac:dyDescent="0.25">
      <c r="B375" s="33" t="s">
        <v>7</v>
      </c>
      <c r="C375" s="33">
        <v>2771424</v>
      </c>
      <c r="D375" s="33">
        <v>1.47</v>
      </c>
      <c r="E375" s="33" t="s">
        <v>292</v>
      </c>
      <c r="F375" s="31" t="str">
        <f t="shared" si="10"/>
        <v>C1.08.08</v>
      </c>
      <c r="G375" s="34">
        <f t="shared" si="11"/>
        <v>1.47</v>
      </c>
    </row>
    <row r="376" spans="2:7" ht="13.8" customHeight="1" x14ac:dyDescent="0.25">
      <c r="B376" s="33" t="s">
        <v>7</v>
      </c>
      <c r="C376" s="33">
        <v>2771486</v>
      </c>
      <c r="D376" s="33">
        <v>1.47</v>
      </c>
      <c r="E376" s="33" t="s">
        <v>293</v>
      </c>
      <c r="F376" s="31" t="str">
        <f t="shared" si="10"/>
        <v>C1.08.07</v>
      </c>
      <c r="G376" s="34">
        <f t="shared" si="11"/>
        <v>1.47</v>
      </c>
    </row>
    <row r="377" spans="2:7" ht="13.8" customHeight="1" x14ac:dyDescent="0.25">
      <c r="B377" s="33" t="s">
        <v>7</v>
      </c>
      <c r="C377" s="33">
        <v>2771489</v>
      </c>
      <c r="D377" s="33">
        <v>1.47</v>
      </c>
      <c r="E377" s="33" t="s">
        <v>293</v>
      </c>
      <c r="F377" s="31" t="str">
        <f t="shared" si="10"/>
        <v>C1.08.07</v>
      </c>
      <c r="G377" s="34">
        <f t="shared" si="11"/>
        <v>1.47</v>
      </c>
    </row>
    <row r="378" spans="2:7" ht="13.8" customHeight="1" x14ac:dyDescent="0.25">
      <c r="B378" s="33" t="s">
        <v>7</v>
      </c>
      <c r="C378" s="33">
        <v>2771492</v>
      </c>
      <c r="D378" s="33">
        <v>1.47</v>
      </c>
      <c r="E378" s="33" t="s">
        <v>293</v>
      </c>
      <c r="F378" s="31" t="str">
        <f t="shared" si="10"/>
        <v>C1.08.07</v>
      </c>
      <c r="G378" s="34">
        <f t="shared" si="11"/>
        <v>1.47</v>
      </c>
    </row>
    <row r="379" spans="2:7" ht="13.8" customHeight="1" x14ac:dyDescent="0.25">
      <c r="B379" s="33" t="s">
        <v>7</v>
      </c>
      <c r="C379" s="33">
        <v>2771495</v>
      </c>
      <c r="D379" s="33">
        <v>1.47</v>
      </c>
      <c r="E379" s="33" t="s">
        <v>293</v>
      </c>
      <c r="F379" s="31" t="str">
        <f t="shared" si="10"/>
        <v>C1.08.07</v>
      </c>
      <c r="G379" s="34">
        <f t="shared" si="11"/>
        <v>1.47</v>
      </c>
    </row>
    <row r="380" spans="2:7" ht="13.8" customHeight="1" x14ac:dyDescent="0.25">
      <c r="B380" s="33" t="s">
        <v>7</v>
      </c>
      <c r="C380" s="33">
        <v>2771498</v>
      </c>
      <c r="D380" s="33">
        <v>1.92</v>
      </c>
      <c r="E380" s="33" t="s">
        <v>293</v>
      </c>
      <c r="F380" s="31" t="str">
        <f t="shared" si="10"/>
        <v>C1.08.07</v>
      </c>
      <c r="G380" s="34">
        <f t="shared" si="11"/>
        <v>1.92</v>
      </c>
    </row>
    <row r="381" spans="2:7" ht="13.8" customHeight="1" x14ac:dyDescent="0.25">
      <c r="B381" s="33" t="s">
        <v>7</v>
      </c>
      <c r="C381" s="33">
        <v>2771560</v>
      </c>
      <c r="D381" s="33">
        <v>2.15</v>
      </c>
      <c r="E381" s="33" t="s">
        <v>294</v>
      </c>
      <c r="F381" s="31" t="str">
        <f t="shared" si="10"/>
        <v>C1.01.02</v>
      </c>
      <c r="G381" s="34">
        <f t="shared" si="11"/>
        <v>2.15</v>
      </c>
    </row>
    <row r="382" spans="2:7" ht="13.8" customHeight="1" x14ac:dyDescent="0.25">
      <c r="B382" s="33" t="s">
        <v>7</v>
      </c>
      <c r="C382" s="33">
        <v>2771563</v>
      </c>
      <c r="D382" s="33">
        <v>1.1299999999999999</v>
      </c>
      <c r="E382" s="33" t="s">
        <v>294</v>
      </c>
      <c r="F382" s="31" t="str">
        <f t="shared" si="10"/>
        <v>C1.01.02</v>
      </c>
      <c r="G382" s="34">
        <f t="shared" si="11"/>
        <v>1.1299999999999999</v>
      </c>
    </row>
    <row r="383" spans="2:7" ht="13.8" customHeight="1" x14ac:dyDescent="0.25">
      <c r="B383" s="33" t="s">
        <v>7</v>
      </c>
      <c r="C383" s="33">
        <v>2771566</v>
      </c>
      <c r="D383" s="33">
        <v>1.7</v>
      </c>
      <c r="E383" s="33" t="s">
        <v>294</v>
      </c>
      <c r="F383" s="31" t="str">
        <f t="shared" si="10"/>
        <v>C1.01.02</v>
      </c>
      <c r="G383" s="34">
        <f t="shared" si="11"/>
        <v>1.7</v>
      </c>
    </row>
    <row r="384" spans="2:7" ht="13.8" customHeight="1" x14ac:dyDescent="0.25">
      <c r="B384" s="33" t="s">
        <v>7</v>
      </c>
      <c r="C384" s="33">
        <v>2771569</v>
      </c>
      <c r="D384" s="33">
        <v>1.7</v>
      </c>
      <c r="E384" s="33" t="s">
        <v>294</v>
      </c>
      <c r="F384" s="31" t="str">
        <f t="shared" si="10"/>
        <v>C1.01.02</v>
      </c>
      <c r="G384" s="34">
        <f t="shared" si="11"/>
        <v>1.7</v>
      </c>
    </row>
    <row r="385" spans="2:7" ht="13.8" customHeight="1" x14ac:dyDescent="0.25">
      <c r="B385" s="33" t="s">
        <v>7</v>
      </c>
      <c r="C385" s="33">
        <v>2771572</v>
      </c>
      <c r="D385" s="33">
        <v>1.7</v>
      </c>
      <c r="E385" s="33" t="s">
        <v>294</v>
      </c>
      <c r="F385" s="31" t="str">
        <f t="shared" si="10"/>
        <v>C1.01.02</v>
      </c>
      <c r="G385" s="34">
        <f t="shared" si="11"/>
        <v>1.7</v>
      </c>
    </row>
    <row r="386" spans="2:7" ht="13.8" customHeight="1" x14ac:dyDescent="0.25">
      <c r="B386" s="33" t="s">
        <v>7</v>
      </c>
      <c r="C386" s="33">
        <v>2771625</v>
      </c>
      <c r="D386" s="33">
        <v>2.15</v>
      </c>
      <c r="E386" s="33" t="s">
        <v>295</v>
      </c>
      <c r="F386" s="31" t="str">
        <f t="shared" si="10"/>
        <v>C1.01.03</v>
      </c>
      <c r="G386" s="34">
        <f t="shared" si="11"/>
        <v>2.15</v>
      </c>
    </row>
    <row r="387" spans="2:7" ht="13.8" customHeight="1" x14ac:dyDescent="0.25">
      <c r="B387" s="33" t="s">
        <v>7</v>
      </c>
      <c r="C387" s="33">
        <v>2771628</v>
      </c>
      <c r="D387" s="33">
        <v>1.7</v>
      </c>
      <c r="E387" s="33" t="s">
        <v>295</v>
      </c>
      <c r="F387" s="31" t="str">
        <f t="shared" si="10"/>
        <v>C1.01.03</v>
      </c>
      <c r="G387" s="34">
        <f t="shared" si="11"/>
        <v>1.7</v>
      </c>
    </row>
    <row r="388" spans="2:7" ht="13.8" customHeight="1" x14ac:dyDescent="0.25">
      <c r="B388" s="33" t="s">
        <v>7</v>
      </c>
      <c r="C388" s="33">
        <v>2771659</v>
      </c>
      <c r="D388" s="33">
        <v>1.7</v>
      </c>
      <c r="E388" s="33" t="s">
        <v>296</v>
      </c>
      <c r="F388" s="31" t="str">
        <f t="shared" si="10"/>
        <v>C1.01.04</v>
      </c>
      <c r="G388" s="34">
        <f t="shared" si="11"/>
        <v>1.7</v>
      </c>
    </row>
    <row r="389" spans="2:7" ht="13.8" customHeight="1" x14ac:dyDescent="0.25">
      <c r="B389" s="33" t="s">
        <v>7</v>
      </c>
      <c r="C389" s="33">
        <v>2771662</v>
      </c>
      <c r="D389" s="33">
        <v>2.15</v>
      </c>
      <c r="E389" s="33" t="s">
        <v>296</v>
      </c>
      <c r="F389" s="31" t="str">
        <f t="shared" si="10"/>
        <v>C1.01.04</v>
      </c>
      <c r="G389" s="34">
        <f t="shared" si="11"/>
        <v>2.15</v>
      </c>
    </row>
    <row r="390" spans="2:7" ht="13.8" customHeight="1" x14ac:dyDescent="0.25">
      <c r="B390" s="33" t="s">
        <v>7</v>
      </c>
      <c r="C390" s="33">
        <v>2771693</v>
      </c>
      <c r="D390" s="33">
        <v>1.7</v>
      </c>
      <c r="E390" s="33" t="s">
        <v>297</v>
      </c>
      <c r="F390" s="31" t="str">
        <f t="shared" si="10"/>
        <v>C1.01.05</v>
      </c>
      <c r="G390" s="34">
        <f t="shared" si="11"/>
        <v>1.7</v>
      </c>
    </row>
    <row r="391" spans="2:7" ht="13.8" customHeight="1" x14ac:dyDescent="0.25">
      <c r="B391" s="33" t="s">
        <v>7</v>
      </c>
      <c r="C391" s="33">
        <v>2771696</v>
      </c>
      <c r="D391" s="33">
        <v>1.1299999999999999</v>
      </c>
      <c r="E391" s="33" t="s">
        <v>297</v>
      </c>
      <c r="F391" s="31" t="str">
        <f t="shared" ref="F391:F454" si="12">LEFT(E391,8)</f>
        <v>C1.01.05</v>
      </c>
      <c r="G391" s="34">
        <f t="shared" ref="G391:G454" si="13">D391</f>
        <v>1.1299999999999999</v>
      </c>
    </row>
    <row r="392" spans="2:7" ht="13.8" customHeight="1" x14ac:dyDescent="0.25">
      <c r="B392" s="33" t="s">
        <v>7</v>
      </c>
      <c r="C392" s="33">
        <v>2771699</v>
      </c>
      <c r="D392" s="33">
        <v>2.15</v>
      </c>
      <c r="E392" s="33" t="s">
        <v>297</v>
      </c>
      <c r="F392" s="31" t="str">
        <f t="shared" si="12"/>
        <v>C1.01.05</v>
      </c>
      <c r="G392" s="34">
        <f t="shared" si="13"/>
        <v>2.15</v>
      </c>
    </row>
    <row r="393" spans="2:7" ht="13.8" customHeight="1" x14ac:dyDescent="0.25">
      <c r="B393" s="33" t="s">
        <v>7</v>
      </c>
      <c r="C393" s="33">
        <v>2771743</v>
      </c>
      <c r="D393" s="33">
        <v>2.15</v>
      </c>
      <c r="E393" s="33" t="s">
        <v>298</v>
      </c>
      <c r="F393" s="31" t="str">
        <f t="shared" si="12"/>
        <v>C1.01.06</v>
      </c>
      <c r="G393" s="34">
        <f t="shared" si="13"/>
        <v>2.15</v>
      </c>
    </row>
    <row r="394" spans="2:7" ht="13.8" customHeight="1" x14ac:dyDescent="0.25">
      <c r="B394" s="33" t="s">
        <v>7</v>
      </c>
      <c r="C394" s="33">
        <v>2771746</v>
      </c>
      <c r="D394" s="33">
        <v>1.1299999999999999</v>
      </c>
      <c r="E394" s="33" t="s">
        <v>298</v>
      </c>
      <c r="F394" s="31" t="str">
        <f t="shared" si="12"/>
        <v>C1.01.06</v>
      </c>
      <c r="G394" s="34">
        <f t="shared" si="13"/>
        <v>1.1299999999999999</v>
      </c>
    </row>
    <row r="395" spans="2:7" ht="13.8" customHeight="1" x14ac:dyDescent="0.25">
      <c r="B395" s="33" t="s">
        <v>7</v>
      </c>
      <c r="C395" s="33">
        <v>2771749</v>
      </c>
      <c r="D395" s="33">
        <v>1.47</v>
      </c>
      <c r="E395" s="33" t="s">
        <v>298</v>
      </c>
      <c r="F395" s="31" t="str">
        <f t="shared" si="12"/>
        <v>C1.01.06</v>
      </c>
      <c r="G395" s="34">
        <f t="shared" si="13"/>
        <v>1.47</v>
      </c>
    </row>
    <row r="396" spans="2:7" ht="13.8" customHeight="1" x14ac:dyDescent="0.25">
      <c r="B396" s="33" t="s">
        <v>7</v>
      </c>
      <c r="C396" s="33">
        <v>2771795</v>
      </c>
      <c r="D396" s="33">
        <v>1.47</v>
      </c>
      <c r="E396" s="33" t="s">
        <v>299</v>
      </c>
      <c r="F396" s="31" t="str">
        <f t="shared" si="12"/>
        <v>C1.01.01</v>
      </c>
      <c r="G396" s="34">
        <f t="shared" si="13"/>
        <v>1.47</v>
      </c>
    </row>
    <row r="397" spans="2:7" ht="13.8" customHeight="1" x14ac:dyDescent="0.25">
      <c r="B397" s="33" t="s">
        <v>7</v>
      </c>
      <c r="C397" s="33">
        <v>2771798</v>
      </c>
      <c r="D397" s="33">
        <v>2.15</v>
      </c>
      <c r="E397" s="33" t="s">
        <v>299</v>
      </c>
      <c r="F397" s="31" t="str">
        <f t="shared" si="12"/>
        <v>C1.01.01</v>
      </c>
      <c r="G397" s="34">
        <f t="shared" si="13"/>
        <v>2.15</v>
      </c>
    </row>
    <row r="398" spans="2:7" ht="13.8" customHeight="1" x14ac:dyDescent="0.25">
      <c r="B398" s="33" t="s">
        <v>7</v>
      </c>
      <c r="C398" s="33">
        <v>2771801</v>
      </c>
      <c r="D398" s="33">
        <v>1.1299999999999999</v>
      </c>
      <c r="E398" s="33" t="s">
        <v>299</v>
      </c>
      <c r="F398" s="31" t="str">
        <f t="shared" si="12"/>
        <v>C1.01.01</v>
      </c>
      <c r="G398" s="34">
        <f t="shared" si="13"/>
        <v>1.1299999999999999</v>
      </c>
    </row>
    <row r="399" spans="2:7" ht="13.8" customHeight="1" x14ac:dyDescent="0.25">
      <c r="B399" s="33" t="s">
        <v>7</v>
      </c>
      <c r="C399" s="33">
        <v>2771804</v>
      </c>
      <c r="D399" s="33">
        <v>1.7</v>
      </c>
      <c r="E399" s="33" t="s">
        <v>299</v>
      </c>
      <c r="F399" s="31" t="str">
        <f t="shared" si="12"/>
        <v>C1.01.01</v>
      </c>
      <c r="G399" s="34">
        <f t="shared" si="13"/>
        <v>1.7</v>
      </c>
    </row>
    <row r="400" spans="2:7" ht="13.8" customHeight="1" x14ac:dyDescent="0.25">
      <c r="B400" s="33" t="s">
        <v>7</v>
      </c>
      <c r="C400" s="33">
        <v>2771807</v>
      </c>
      <c r="D400" s="33">
        <v>1.7</v>
      </c>
      <c r="E400" s="33" t="s">
        <v>299</v>
      </c>
      <c r="F400" s="31" t="str">
        <f t="shared" si="12"/>
        <v>C1.01.01</v>
      </c>
      <c r="G400" s="34">
        <f t="shared" si="13"/>
        <v>1.7</v>
      </c>
    </row>
    <row r="401" spans="2:7" ht="13.8" customHeight="1" x14ac:dyDescent="0.25">
      <c r="B401" s="33" t="s">
        <v>7</v>
      </c>
      <c r="C401" s="33">
        <v>2770732</v>
      </c>
      <c r="D401" s="33">
        <v>2.15</v>
      </c>
      <c r="E401" s="33" t="s">
        <v>281</v>
      </c>
      <c r="F401" s="31" t="str">
        <f t="shared" si="12"/>
        <v>C1.14.02</v>
      </c>
      <c r="G401" s="34">
        <f t="shared" si="13"/>
        <v>2.15</v>
      </c>
    </row>
    <row r="402" spans="2:7" ht="13.8" customHeight="1" x14ac:dyDescent="0.25">
      <c r="B402" s="33" t="s">
        <v>7</v>
      </c>
      <c r="C402" s="33">
        <v>2770735</v>
      </c>
      <c r="D402" s="33">
        <v>1.1299999999999999</v>
      </c>
      <c r="E402" s="33" t="s">
        <v>281</v>
      </c>
      <c r="F402" s="31" t="str">
        <f t="shared" si="12"/>
        <v>C1.14.02</v>
      </c>
      <c r="G402" s="34">
        <f t="shared" si="13"/>
        <v>1.1299999999999999</v>
      </c>
    </row>
    <row r="403" spans="2:7" ht="13.8" customHeight="1" x14ac:dyDescent="0.25">
      <c r="B403" s="33" t="s">
        <v>7</v>
      </c>
      <c r="C403" s="33">
        <v>2770738</v>
      </c>
      <c r="D403" s="33">
        <v>1.7</v>
      </c>
      <c r="E403" s="33" t="s">
        <v>281</v>
      </c>
      <c r="F403" s="31" t="str">
        <f t="shared" si="12"/>
        <v>C1.14.02</v>
      </c>
      <c r="G403" s="34">
        <f t="shared" si="13"/>
        <v>1.7</v>
      </c>
    </row>
    <row r="404" spans="2:7" ht="13.8" customHeight="1" x14ac:dyDescent="0.25">
      <c r="B404" s="33" t="s">
        <v>7</v>
      </c>
      <c r="C404" s="33">
        <v>2770741</v>
      </c>
      <c r="D404" s="33">
        <v>1.7</v>
      </c>
      <c r="E404" s="33" t="s">
        <v>281</v>
      </c>
      <c r="F404" s="31" t="str">
        <f t="shared" si="12"/>
        <v>C1.14.02</v>
      </c>
      <c r="G404" s="34">
        <f t="shared" si="13"/>
        <v>1.7</v>
      </c>
    </row>
    <row r="405" spans="2:7" ht="13.8" customHeight="1" x14ac:dyDescent="0.25">
      <c r="B405" s="33" t="s">
        <v>7</v>
      </c>
      <c r="C405" s="33">
        <v>2770744</v>
      </c>
      <c r="D405" s="33">
        <v>1.7</v>
      </c>
      <c r="E405" s="33" t="s">
        <v>281</v>
      </c>
      <c r="F405" s="31" t="str">
        <f t="shared" si="12"/>
        <v>C1.14.02</v>
      </c>
      <c r="G405" s="34">
        <f t="shared" si="13"/>
        <v>1.7</v>
      </c>
    </row>
    <row r="406" spans="2:7" ht="13.8" customHeight="1" x14ac:dyDescent="0.25">
      <c r="B406" s="33" t="s">
        <v>0</v>
      </c>
      <c r="C406" s="33">
        <v>2765493</v>
      </c>
      <c r="D406" s="33">
        <v>2.4</v>
      </c>
      <c r="E406" s="33" t="s">
        <v>205</v>
      </c>
      <c r="F406" s="31" t="str">
        <f t="shared" si="12"/>
        <v>E2.01.04</v>
      </c>
      <c r="G406" s="34">
        <f t="shared" si="13"/>
        <v>2.4</v>
      </c>
    </row>
    <row r="407" spans="2:7" ht="13.8" customHeight="1" x14ac:dyDescent="0.25">
      <c r="B407" s="33" t="s">
        <v>0</v>
      </c>
      <c r="C407" s="33">
        <v>2765495</v>
      </c>
      <c r="D407" s="33">
        <v>2.4</v>
      </c>
      <c r="E407" s="33" t="s">
        <v>205</v>
      </c>
      <c r="F407" s="31" t="str">
        <f t="shared" si="12"/>
        <v>E2.01.04</v>
      </c>
      <c r="G407" s="34">
        <f t="shared" si="13"/>
        <v>2.4</v>
      </c>
    </row>
    <row r="408" spans="2:7" ht="13.8" customHeight="1" x14ac:dyDescent="0.25">
      <c r="B408" s="33" t="s">
        <v>0</v>
      </c>
      <c r="C408" s="33">
        <v>2765497</v>
      </c>
      <c r="D408" s="33">
        <v>1.8</v>
      </c>
      <c r="E408" s="33" t="s">
        <v>205</v>
      </c>
      <c r="F408" s="31" t="str">
        <f t="shared" si="12"/>
        <v>E2.01.04</v>
      </c>
      <c r="G408" s="34">
        <f t="shared" si="13"/>
        <v>1.8</v>
      </c>
    </row>
    <row r="409" spans="2:7" ht="13.8" customHeight="1" x14ac:dyDescent="0.25">
      <c r="B409" s="33" t="s">
        <v>0</v>
      </c>
      <c r="C409" s="33">
        <v>2765499</v>
      </c>
      <c r="D409" s="33">
        <v>1.8</v>
      </c>
      <c r="E409" s="33" t="s">
        <v>205</v>
      </c>
      <c r="F409" s="31" t="str">
        <f t="shared" si="12"/>
        <v>E2.01.04</v>
      </c>
      <c r="G409" s="34">
        <f t="shared" si="13"/>
        <v>1.8</v>
      </c>
    </row>
    <row r="410" spans="2:7" ht="13.8" customHeight="1" x14ac:dyDescent="0.25">
      <c r="B410" s="33" t="s">
        <v>0</v>
      </c>
      <c r="C410" s="33">
        <v>2765501</v>
      </c>
      <c r="D410" s="33">
        <v>1.8</v>
      </c>
      <c r="E410" s="33" t="s">
        <v>205</v>
      </c>
      <c r="F410" s="31" t="str">
        <f t="shared" si="12"/>
        <v>E2.01.04</v>
      </c>
      <c r="G410" s="34">
        <f t="shared" si="13"/>
        <v>1.8</v>
      </c>
    </row>
    <row r="411" spans="2:7" ht="13.8" customHeight="1" x14ac:dyDescent="0.25">
      <c r="B411" s="33" t="s">
        <v>0</v>
      </c>
      <c r="C411" s="33">
        <v>2765503</v>
      </c>
      <c r="D411" s="33">
        <v>1.8</v>
      </c>
      <c r="E411" s="33" t="s">
        <v>205</v>
      </c>
      <c r="F411" s="31" t="str">
        <f t="shared" si="12"/>
        <v>E2.01.04</v>
      </c>
      <c r="G411" s="34">
        <f t="shared" si="13"/>
        <v>1.8</v>
      </c>
    </row>
    <row r="412" spans="2:7" ht="13.8" customHeight="1" x14ac:dyDescent="0.25">
      <c r="B412" s="33" t="s">
        <v>0</v>
      </c>
      <c r="C412" s="33">
        <v>2765505</v>
      </c>
      <c r="D412" s="33">
        <v>1.8</v>
      </c>
      <c r="E412" s="33" t="s">
        <v>205</v>
      </c>
      <c r="F412" s="31" t="str">
        <f t="shared" si="12"/>
        <v>E2.01.04</v>
      </c>
      <c r="G412" s="34">
        <f t="shared" si="13"/>
        <v>1.8</v>
      </c>
    </row>
    <row r="413" spans="2:7" ht="13.8" customHeight="1" x14ac:dyDescent="0.25">
      <c r="B413" s="33" t="s">
        <v>0</v>
      </c>
      <c r="C413" s="33">
        <v>2765507</v>
      </c>
      <c r="D413" s="33">
        <v>1.8</v>
      </c>
      <c r="E413" s="33" t="s">
        <v>205</v>
      </c>
      <c r="F413" s="31" t="str">
        <f t="shared" si="12"/>
        <v>E2.01.04</v>
      </c>
      <c r="G413" s="34">
        <f t="shared" si="13"/>
        <v>1.8</v>
      </c>
    </row>
    <row r="414" spans="2:7" ht="13.8" customHeight="1" x14ac:dyDescent="0.25">
      <c r="B414" s="33" t="s">
        <v>0</v>
      </c>
      <c r="C414" s="33">
        <v>2765509</v>
      </c>
      <c r="D414" s="33">
        <v>1.8</v>
      </c>
      <c r="E414" s="33" t="s">
        <v>205</v>
      </c>
      <c r="F414" s="31" t="str">
        <f t="shared" si="12"/>
        <v>E2.01.04</v>
      </c>
      <c r="G414" s="34">
        <f t="shared" si="13"/>
        <v>1.8</v>
      </c>
    </row>
    <row r="415" spans="2:7" ht="13.8" customHeight="1" x14ac:dyDescent="0.25">
      <c r="B415" s="33" t="s">
        <v>0</v>
      </c>
      <c r="C415" s="33">
        <v>2765511</v>
      </c>
      <c r="D415" s="33">
        <v>1.8</v>
      </c>
      <c r="E415" s="33" t="s">
        <v>205</v>
      </c>
      <c r="F415" s="31" t="str">
        <f t="shared" si="12"/>
        <v>E2.01.04</v>
      </c>
      <c r="G415" s="34">
        <f t="shared" si="13"/>
        <v>1.8</v>
      </c>
    </row>
    <row r="416" spans="2:7" ht="13.8" customHeight="1" x14ac:dyDescent="0.25">
      <c r="B416" s="33" t="s">
        <v>0</v>
      </c>
      <c r="C416" s="33">
        <v>2765565</v>
      </c>
      <c r="D416" s="33">
        <v>1.8</v>
      </c>
      <c r="E416" s="33" t="s">
        <v>206</v>
      </c>
      <c r="F416" s="31" t="str">
        <f t="shared" si="12"/>
        <v>E2.01.03</v>
      </c>
      <c r="G416" s="34">
        <f t="shared" si="13"/>
        <v>1.8</v>
      </c>
    </row>
    <row r="417" spans="2:7" ht="13.8" customHeight="1" x14ac:dyDescent="0.25">
      <c r="B417" s="33" t="s">
        <v>0</v>
      </c>
      <c r="C417" s="33">
        <v>2765567</v>
      </c>
      <c r="D417" s="33">
        <v>1.8</v>
      </c>
      <c r="E417" s="33" t="s">
        <v>206</v>
      </c>
      <c r="F417" s="31" t="str">
        <f t="shared" si="12"/>
        <v>E2.01.03</v>
      </c>
      <c r="G417" s="34">
        <f t="shared" si="13"/>
        <v>1.8</v>
      </c>
    </row>
    <row r="418" spans="2:7" ht="13.8" customHeight="1" x14ac:dyDescent="0.25">
      <c r="B418" s="33" t="s">
        <v>0</v>
      </c>
      <c r="C418" s="33">
        <v>2765569</v>
      </c>
      <c r="D418" s="33">
        <v>2.4</v>
      </c>
      <c r="E418" s="33" t="s">
        <v>206</v>
      </c>
      <c r="F418" s="31" t="str">
        <f t="shared" si="12"/>
        <v>E2.01.03</v>
      </c>
      <c r="G418" s="34">
        <f t="shared" si="13"/>
        <v>2.4</v>
      </c>
    </row>
    <row r="419" spans="2:7" ht="13.8" customHeight="1" x14ac:dyDescent="0.25">
      <c r="B419" s="33" t="s">
        <v>0</v>
      </c>
      <c r="C419" s="33">
        <v>2765571</v>
      </c>
      <c r="D419" s="33">
        <v>2.4</v>
      </c>
      <c r="E419" s="33" t="s">
        <v>206</v>
      </c>
      <c r="F419" s="31" t="str">
        <f t="shared" si="12"/>
        <v>E2.01.03</v>
      </c>
      <c r="G419" s="34">
        <f t="shared" si="13"/>
        <v>2.4</v>
      </c>
    </row>
    <row r="420" spans="2:7" ht="13.8" customHeight="1" x14ac:dyDescent="0.25">
      <c r="B420" s="33" t="s">
        <v>0</v>
      </c>
      <c r="C420" s="33">
        <v>2765573</v>
      </c>
      <c r="D420" s="33">
        <v>1.8</v>
      </c>
      <c r="E420" s="33" t="s">
        <v>206</v>
      </c>
      <c r="F420" s="31" t="str">
        <f t="shared" si="12"/>
        <v>E2.01.03</v>
      </c>
      <c r="G420" s="34">
        <f t="shared" si="13"/>
        <v>1.8</v>
      </c>
    </row>
    <row r="421" spans="2:7" ht="13.8" customHeight="1" x14ac:dyDescent="0.25">
      <c r="B421" s="33" t="s">
        <v>0</v>
      </c>
      <c r="C421" s="33">
        <v>2765575</v>
      </c>
      <c r="D421" s="33">
        <v>1.8</v>
      </c>
      <c r="E421" s="33" t="s">
        <v>206</v>
      </c>
      <c r="F421" s="31" t="str">
        <f t="shared" si="12"/>
        <v>E2.01.03</v>
      </c>
      <c r="G421" s="34">
        <f t="shared" si="13"/>
        <v>1.8</v>
      </c>
    </row>
    <row r="422" spans="2:7" ht="13.8" customHeight="1" x14ac:dyDescent="0.25">
      <c r="B422" s="33" t="s">
        <v>0</v>
      </c>
      <c r="C422" s="33">
        <v>2765577</v>
      </c>
      <c r="D422" s="33">
        <v>1.8</v>
      </c>
      <c r="E422" s="33" t="s">
        <v>206</v>
      </c>
      <c r="F422" s="31" t="str">
        <f t="shared" si="12"/>
        <v>E2.01.03</v>
      </c>
      <c r="G422" s="34">
        <f t="shared" si="13"/>
        <v>1.8</v>
      </c>
    </row>
    <row r="423" spans="2:7" ht="13.8" customHeight="1" x14ac:dyDescent="0.25">
      <c r="B423" s="33" t="s">
        <v>0</v>
      </c>
      <c r="C423" s="33">
        <v>2765579</v>
      </c>
      <c r="D423" s="33">
        <v>1.8</v>
      </c>
      <c r="E423" s="33" t="s">
        <v>206</v>
      </c>
      <c r="F423" s="31" t="str">
        <f t="shared" si="12"/>
        <v>E2.01.03</v>
      </c>
      <c r="G423" s="34">
        <f t="shared" si="13"/>
        <v>1.8</v>
      </c>
    </row>
    <row r="424" spans="2:7" ht="13.8" customHeight="1" x14ac:dyDescent="0.25">
      <c r="B424" s="33" t="s">
        <v>0</v>
      </c>
      <c r="C424" s="33">
        <v>2765633</v>
      </c>
      <c r="D424" s="33">
        <v>1.8</v>
      </c>
      <c r="E424" s="33" t="s">
        <v>207</v>
      </c>
      <c r="F424" s="31" t="str">
        <f t="shared" si="12"/>
        <v>E2.01.01</v>
      </c>
      <c r="G424" s="34">
        <f t="shared" si="13"/>
        <v>1.8</v>
      </c>
    </row>
    <row r="425" spans="2:7" ht="13.8" customHeight="1" x14ac:dyDescent="0.25">
      <c r="B425" s="33" t="s">
        <v>0</v>
      </c>
      <c r="C425" s="33">
        <v>2765635</v>
      </c>
      <c r="D425" s="33">
        <v>1.8</v>
      </c>
      <c r="E425" s="33" t="s">
        <v>207</v>
      </c>
      <c r="F425" s="31" t="str">
        <f t="shared" si="12"/>
        <v>E2.01.01</v>
      </c>
      <c r="G425" s="34">
        <f t="shared" si="13"/>
        <v>1.8</v>
      </c>
    </row>
    <row r="426" spans="2:7" ht="13.8" customHeight="1" x14ac:dyDescent="0.25">
      <c r="B426" s="33" t="s">
        <v>0</v>
      </c>
      <c r="C426" s="33">
        <v>2765637</v>
      </c>
      <c r="D426" s="33">
        <v>1.8</v>
      </c>
      <c r="E426" s="33" t="s">
        <v>207</v>
      </c>
      <c r="F426" s="31" t="str">
        <f t="shared" si="12"/>
        <v>E2.01.01</v>
      </c>
      <c r="G426" s="34">
        <f t="shared" si="13"/>
        <v>1.8</v>
      </c>
    </row>
    <row r="427" spans="2:7" ht="13.8" customHeight="1" x14ac:dyDescent="0.25">
      <c r="B427" s="33" t="s">
        <v>0</v>
      </c>
      <c r="C427" s="33">
        <v>2765639</v>
      </c>
      <c r="D427" s="33">
        <v>1.8</v>
      </c>
      <c r="E427" s="33" t="s">
        <v>207</v>
      </c>
      <c r="F427" s="31" t="str">
        <f t="shared" si="12"/>
        <v>E2.01.01</v>
      </c>
      <c r="G427" s="34">
        <f t="shared" si="13"/>
        <v>1.8</v>
      </c>
    </row>
    <row r="428" spans="2:7" ht="13.8" customHeight="1" x14ac:dyDescent="0.25">
      <c r="B428" s="33" t="s">
        <v>0</v>
      </c>
      <c r="C428" s="33">
        <v>2765641</v>
      </c>
      <c r="D428" s="33">
        <v>2.4</v>
      </c>
      <c r="E428" s="33" t="s">
        <v>207</v>
      </c>
      <c r="F428" s="31" t="str">
        <f t="shared" si="12"/>
        <v>E2.01.01</v>
      </c>
      <c r="G428" s="34">
        <f t="shared" si="13"/>
        <v>2.4</v>
      </c>
    </row>
    <row r="429" spans="2:7" ht="13.8" customHeight="1" x14ac:dyDescent="0.25">
      <c r="B429" s="33" t="s">
        <v>0</v>
      </c>
      <c r="C429" s="33">
        <v>2765643</v>
      </c>
      <c r="D429" s="33">
        <v>2.4</v>
      </c>
      <c r="E429" s="33" t="s">
        <v>207</v>
      </c>
      <c r="F429" s="31" t="str">
        <f t="shared" si="12"/>
        <v>E2.01.01</v>
      </c>
      <c r="G429" s="34">
        <f t="shared" si="13"/>
        <v>2.4</v>
      </c>
    </row>
    <row r="430" spans="2:7" ht="13.8" customHeight="1" x14ac:dyDescent="0.25">
      <c r="B430" s="33" t="s">
        <v>0</v>
      </c>
      <c r="C430" s="33">
        <v>2765645</v>
      </c>
      <c r="D430" s="33">
        <v>1.8</v>
      </c>
      <c r="E430" s="33" t="s">
        <v>207</v>
      </c>
      <c r="F430" s="31" t="str">
        <f t="shared" si="12"/>
        <v>E2.01.01</v>
      </c>
      <c r="G430" s="34">
        <f t="shared" si="13"/>
        <v>1.8</v>
      </c>
    </row>
    <row r="431" spans="2:7" ht="13.8" customHeight="1" x14ac:dyDescent="0.25">
      <c r="B431" s="33" t="s">
        <v>0</v>
      </c>
      <c r="C431" s="33">
        <v>2765647</v>
      </c>
      <c r="D431" s="33">
        <v>1.8</v>
      </c>
      <c r="E431" s="33" t="s">
        <v>207</v>
      </c>
      <c r="F431" s="31" t="str">
        <f t="shared" si="12"/>
        <v>E2.01.01</v>
      </c>
      <c r="G431" s="34">
        <f t="shared" si="13"/>
        <v>1.8</v>
      </c>
    </row>
    <row r="432" spans="2:7" ht="13.8" customHeight="1" x14ac:dyDescent="0.25">
      <c r="B432" s="33" t="s">
        <v>0</v>
      </c>
      <c r="C432" s="33">
        <v>2765649</v>
      </c>
      <c r="D432" s="33">
        <v>1.8</v>
      </c>
      <c r="E432" s="33" t="s">
        <v>207</v>
      </c>
      <c r="F432" s="31" t="str">
        <f t="shared" si="12"/>
        <v>E2.01.01</v>
      </c>
      <c r="G432" s="34">
        <f t="shared" si="13"/>
        <v>1.8</v>
      </c>
    </row>
    <row r="433" spans="2:7" ht="13.8" customHeight="1" x14ac:dyDescent="0.25">
      <c r="B433" s="33" t="s">
        <v>0</v>
      </c>
      <c r="C433" s="33">
        <v>2765651</v>
      </c>
      <c r="D433" s="33">
        <v>1.8</v>
      </c>
      <c r="E433" s="33" t="s">
        <v>207</v>
      </c>
      <c r="F433" s="31" t="str">
        <f t="shared" si="12"/>
        <v>E2.01.01</v>
      </c>
      <c r="G433" s="34">
        <f t="shared" si="13"/>
        <v>1.8</v>
      </c>
    </row>
    <row r="434" spans="2:7" ht="13.8" customHeight="1" x14ac:dyDescent="0.25">
      <c r="B434" s="33" t="s">
        <v>0</v>
      </c>
      <c r="C434" s="33">
        <v>2765701</v>
      </c>
      <c r="D434" s="33">
        <v>1.8</v>
      </c>
      <c r="E434" s="33" t="s">
        <v>208</v>
      </c>
      <c r="F434" s="31" t="str">
        <f t="shared" si="12"/>
        <v>E2.01.02</v>
      </c>
      <c r="G434" s="34">
        <f t="shared" si="13"/>
        <v>1.8</v>
      </c>
    </row>
    <row r="435" spans="2:7" ht="13.8" customHeight="1" x14ac:dyDescent="0.25">
      <c r="B435" s="33" t="s">
        <v>0</v>
      </c>
      <c r="C435" s="33">
        <v>2765703</v>
      </c>
      <c r="D435" s="33">
        <v>1.8</v>
      </c>
      <c r="E435" s="33" t="s">
        <v>208</v>
      </c>
      <c r="F435" s="31" t="str">
        <f t="shared" si="12"/>
        <v>E2.01.02</v>
      </c>
      <c r="G435" s="34">
        <f t="shared" si="13"/>
        <v>1.8</v>
      </c>
    </row>
    <row r="436" spans="2:7" ht="13.8" customHeight="1" x14ac:dyDescent="0.25">
      <c r="B436" s="33" t="s">
        <v>0</v>
      </c>
      <c r="C436" s="33">
        <v>2765705</v>
      </c>
      <c r="D436" s="33">
        <v>1.8</v>
      </c>
      <c r="E436" s="33" t="s">
        <v>208</v>
      </c>
      <c r="F436" s="31" t="str">
        <f t="shared" si="12"/>
        <v>E2.01.02</v>
      </c>
      <c r="G436" s="34">
        <f t="shared" si="13"/>
        <v>1.8</v>
      </c>
    </row>
    <row r="437" spans="2:7" ht="13.8" customHeight="1" x14ac:dyDescent="0.25">
      <c r="B437" s="33" t="s">
        <v>0</v>
      </c>
      <c r="C437" s="33">
        <v>2765707</v>
      </c>
      <c r="D437" s="33">
        <v>1.8</v>
      </c>
      <c r="E437" s="33" t="s">
        <v>208</v>
      </c>
      <c r="F437" s="31" t="str">
        <f t="shared" si="12"/>
        <v>E2.01.02</v>
      </c>
      <c r="G437" s="34">
        <f t="shared" si="13"/>
        <v>1.8</v>
      </c>
    </row>
    <row r="438" spans="2:7" ht="13.8" customHeight="1" x14ac:dyDescent="0.25">
      <c r="B438" s="33" t="s">
        <v>0</v>
      </c>
      <c r="C438" s="33">
        <v>2765709</v>
      </c>
      <c r="D438" s="33">
        <v>2.4</v>
      </c>
      <c r="E438" s="33" t="s">
        <v>208</v>
      </c>
      <c r="F438" s="31" t="str">
        <f t="shared" si="12"/>
        <v>E2.01.02</v>
      </c>
      <c r="G438" s="34">
        <f t="shared" si="13"/>
        <v>2.4</v>
      </c>
    </row>
    <row r="439" spans="2:7" ht="13.8" customHeight="1" x14ac:dyDescent="0.25">
      <c r="B439" s="33" t="s">
        <v>0</v>
      </c>
      <c r="C439" s="33">
        <v>2765711</v>
      </c>
      <c r="D439" s="33">
        <v>2.4</v>
      </c>
      <c r="E439" s="33" t="s">
        <v>208</v>
      </c>
      <c r="F439" s="31" t="str">
        <f t="shared" si="12"/>
        <v>E2.01.02</v>
      </c>
      <c r="G439" s="34">
        <f t="shared" si="13"/>
        <v>2.4</v>
      </c>
    </row>
    <row r="440" spans="2:7" ht="13.8" customHeight="1" x14ac:dyDescent="0.25">
      <c r="B440" s="33" t="s">
        <v>0</v>
      </c>
      <c r="C440" s="33">
        <v>2765713</v>
      </c>
      <c r="D440" s="33">
        <v>1.8</v>
      </c>
      <c r="E440" s="33" t="s">
        <v>208</v>
      </c>
      <c r="F440" s="31" t="str">
        <f t="shared" si="12"/>
        <v>E2.01.02</v>
      </c>
      <c r="G440" s="34">
        <f t="shared" si="13"/>
        <v>1.8</v>
      </c>
    </row>
    <row r="441" spans="2:7" ht="13.8" customHeight="1" x14ac:dyDescent="0.25">
      <c r="B441" s="33" t="s">
        <v>0</v>
      </c>
      <c r="C441" s="33">
        <v>2765715</v>
      </c>
      <c r="D441" s="33">
        <v>1.8</v>
      </c>
      <c r="E441" s="33" t="s">
        <v>208</v>
      </c>
      <c r="F441" s="31" t="str">
        <f t="shared" si="12"/>
        <v>E2.01.02</v>
      </c>
      <c r="G441" s="34">
        <f t="shared" si="13"/>
        <v>1.8</v>
      </c>
    </row>
    <row r="442" spans="2:7" ht="13.8" customHeight="1" x14ac:dyDescent="0.25">
      <c r="B442" s="33" t="s">
        <v>0</v>
      </c>
      <c r="C442" s="33">
        <v>2765764</v>
      </c>
      <c r="D442" s="33">
        <v>1.8</v>
      </c>
      <c r="E442" s="33" t="s">
        <v>209</v>
      </c>
      <c r="F442" s="31" t="str">
        <f t="shared" si="12"/>
        <v>E2.15.02</v>
      </c>
      <c r="G442" s="34">
        <f t="shared" si="13"/>
        <v>1.8</v>
      </c>
    </row>
    <row r="443" spans="2:7" ht="13.8" customHeight="1" x14ac:dyDescent="0.25">
      <c r="B443" s="33" t="s">
        <v>0</v>
      </c>
      <c r="C443" s="33">
        <v>2765766</v>
      </c>
      <c r="D443" s="33">
        <v>1.8</v>
      </c>
      <c r="E443" s="33" t="s">
        <v>209</v>
      </c>
      <c r="F443" s="31" t="str">
        <f t="shared" si="12"/>
        <v>E2.15.02</v>
      </c>
      <c r="G443" s="34">
        <f t="shared" si="13"/>
        <v>1.8</v>
      </c>
    </row>
    <row r="444" spans="2:7" ht="13.8" customHeight="1" x14ac:dyDescent="0.25">
      <c r="B444" s="33" t="s">
        <v>0</v>
      </c>
      <c r="C444" s="33">
        <v>2765768</v>
      </c>
      <c r="D444" s="33">
        <v>1.8</v>
      </c>
      <c r="E444" s="33" t="s">
        <v>209</v>
      </c>
      <c r="F444" s="31" t="str">
        <f t="shared" si="12"/>
        <v>E2.15.02</v>
      </c>
      <c r="G444" s="34">
        <f t="shared" si="13"/>
        <v>1.8</v>
      </c>
    </row>
    <row r="445" spans="2:7" ht="13.8" customHeight="1" x14ac:dyDescent="0.25">
      <c r="B445" s="33" t="s">
        <v>0</v>
      </c>
      <c r="C445" s="33">
        <v>2765770</v>
      </c>
      <c r="D445" s="33">
        <v>1.8</v>
      </c>
      <c r="E445" s="33" t="s">
        <v>209</v>
      </c>
      <c r="F445" s="31" t="str">
        <f t="shared" si="12"/>
        <v>E2.15.02</v>
      </c>
      <c r="G445" s="34">
        <f t="shared" si="13"/>
        <v>1.8</v>
      </c>
    </row>
    <row r="446" spans="2:7" ht="13.8" customHeight="1" x14ac:dyDescent="0.25">
      <c r="B446" s="33" t="s">
        <v>0</v>
      </c>
      <c r="C446" s="33">
        <v>2765772</v>
      </c>
      <c r="D446" s="33">
        <v>1.8</v>
      </c>
      <c r="E446" s="33" t="s">
        <v>209</v>
      </c>
      <c r="F446" s="31" t="str">
        <f t="shared" si="12"/>
        <v>E2.15.02</v>
      </c>
      <c r="G446" s="34">
        <f t="shared" si="13"/>
        <v>1.8</v>
      </c>
    </row>
    <row r="447" spans="2:7" ht="13.8" customHeight="1" x14ac:dyDescent="0.25">
      <c r="B447" s="33" t="s">
        <v>0</v>
      </c>
      <c r="C447" s="33">
        <v>2765774</v>
      </c>
      <c r="D447" s="33">
        <v>1.8</v>
      </c>
      <c r="E447" s="33" t="s">
        <v>209</v>
      </c>
      <c r="F447" s="31" t="str">
        <f t="shared" si="12"/>
        <v>E2.15.02</v>
      </c>
      <c r="G447" s="34">
        <f t="shared" si="13"/>
        <v>1.8</v>
      </c>
    </row>
    <row r="448" spans="2:7" ht="13.8" customHeight="1" x14ac:dyDescent="0.25">
      <c r="B448" s="33" t="s">
        <v>0</v>
      </c>
      <c r="C448" s="33">
        <v>2765776</v>
      </c>
      <c r="D448" s="33">
        <v>2.4</v>
      </c>
      <c r="E448" s="33" t="s">
        <v>209</v>
      </c>
      <c r="F448" s="31" t="str">
        <f t="shared" si="12"/>
        <v>E2.15.02</v>
      </c>
      <c r="G448" s="34">
        <f t="shared" si="13"/>
        <v>2.4</v>
      </c>
    </row>
    <row r="449" spans="2:7" ht="13.8" customHeight="1" x14ac:dyDescent="0.25">
      <c r="B449" s="33" t="s">
        <v>0</v>
      </c>
      <c r="C449" s="33">
        <v>2765778</v>
      </c>
      <c r="D449" s="33">
        <v>2.4</v>
      </c>
      <c r="E449" s="33" t="s">
        <v>209</v>
      </c>
      <c r="F449" s="31" t="str">
        <f t="shared" si="12"/>
        <v>E2.15.02</v>
      </c>
      <c r="G449" s="34">
        <f t="shared" si="13"/>
        <v>2.4</v>
      </c>
    </row>
    <row r="450" spans="2:7" ht="13.8" customHeight="1" x14ac:dyDescent="0.25">
      <c r="B450" s="33" t="s">
        <v>0</v>
      </c>
      <c r="C450" s="33">
        <v>2765780</v>
      </c>
      <c r="D450" s="33">
        <v>1.8</v>
      </c>
      <c r="E450" s="33" t="s">
        <v>209</v>
      </c>
      <c r="F450" s="31" t="str">
        <f t="shared" si="12"/>
        <v>E2.15.02</v>
      </c>
      <c r="G450" s="34">
        <f t="shared" si="13"/>
        <v>1.8</v>
      </c>
    </row>
    <row r="451" spans="2:7" ht="13.8" customHeight="1" x14ac:dyDescent="0.25">
      <c r="B451" s="33" t="s">
        <v>0</v>
      </c>
      <c r="C451" s="33">
        <v>2765782</v>
      </c>
      <c r="D451" s="33">
        <v>1.8</v>
      </c>
      <c r="E451" s="33" t="s">
        <v>209</v>
      </c>
      <c r="F451" s="31" t="str">
        <f t="shared" si="12"/>
        <v>E2.15.02</v>
      </c>
      <c r="G451" s="34">
        <f t="shared" si="13"/>
        <v>1.8</v>
      </c>
    </row>
    <row r="452" spans="2:7" ht="13.8" customHeight="1" x14ac:dyDescent="0.25">
      <c r="B452" s="33" t="s">
        <v>0</v>
      </c>
      <c r="C452" s="33">
        <v>2765850</v>
      </c>
      <c r="D452" s="33">
        <v>1.8</v>
      </c>
      <c r="E452" s="33" t="s">
        <v>210</v>
      </c>
      <c r="F452" s="31" t="str">
        <f t="shared" si="12"/>
        <v>E2.15.03</v>
      </c>
      <c r="G452" s="34">
        <f t="shared" si="13"/>
        <v>1.8</v>
      </c>
    </row>
    <row r="453" spans="2:7" ht="13.8" customHeight="1" x14ac:dyDescent="0.25">
      <c r="B453" s="33" t="s">
        <v>0</v>
      </c>
      <c r="C453" s="33">
        <v>2765852</v>
      </c>
      <c r="D453" s="33">
        <v>1.8</v>
      </c>
      <c r="E453" s="33" t="s">
        <v>210</v>
      </c>
      <c r="F453" s="31" t="str">
        <f t="shared" si="12"/>
        <v>E2.15.03</v>
      </c>
      <c r="G453" s="34">
        <f t="shared" si="13"/>
        <v>1.8</v>
      </c>
    </row>
    <row r="454" spans="2:7" ht="13.8" customHeight="1" x14ac:dyDescent="0.25">
      <c r="B454" s="33" t="s">
        <v>0</v>
      </c>
      <c r="C454" s="33">
        <v>2765854</v>
      </c>
      <c r="D454" s="33">
        <v>1.8</v>
      </c>
      <c r="E454" s="33" t="s">
        <v>210</v>
      </c>
      <c r="F454" s="31" t="str">
        <f t="shared" si="12"/>
        <v>E2.15.03</v>
      </c>
      <c r="G454" s="34">
        <f t="shared" si="13"/>
        <v>1.8</v>
      </c>
    </row>
    <row r="455" spans="2:7" ht="13.8" customHeight="1" x14ac:dyDescent="0.25">
      <c r="B455" s="33" t="s">
        <v>0</v>
      </c>
      <c r="C455" s="33">
        <v>2765856</v>
      </c>
      <c r="D455" s="33">
        <v>1.8</v>
      </c>
      <c r="E455" s="33" t="s">
        <v>210</v>
      </c>
      <c r="F455" s="31" t="str">
        <f t="shared" ref="F455:F518" si="14">LEFT(E455,8)</f>
        <v>E2.15.03</v>
      </c>
      <c r="G455" s="34">
        <f t="shared" ref="G455:G518" si="15">D455</f>
        <v>1.8</v>
      </c>
    </row>
    <row r="456" spans="2:7" ht="13.8" customHeight="1" x14ac:dyDescent="0.25">
      <c r="B456" s="33" t="s">
        <v>0</v>
      </c>
      <c r="C456" s="33">
        <v>2765858</v>
      </c>
      <c r="D456" s="33">
        <v>2.4</v>
      </c>
      <c r="E456" s="33" t="s">
        <v>210</v>
      </c>
      <c r="F456" s="31" t="str">
        <f t="shared" si="14"/>
        <v>E2.15.03</v>
      </c>
      <c r="G456" s="34">
        <f t="shared" si="15"/>
        <v>2.4</v>
      </c>
    </row>
    <row r="457" spans="2:7" ht="13.8" customHeight="1" x14ac:dyDescent="0.25">
      <c r="B457" s="33" t="s">
        <v>0</v>
      </c>
      <c r="C457" s="33">
        <v>2765860</v>
      </c>
      <c r="D457" s="33">
        <v>2.4</v>
      </c>
      <c r="E457" s="33" t="s">
        <v>210</v>
      </c>
      <c r="F457" s="31" t="str">
        <f t="shared" si="14"/>
        <v>E2.15.03</v>
      </c>
      <c r="G457" s="34">
        <f t="shared" si="15"/>
        <v>2.4</v>
      </c>
    </row>
    <row r="458" spans="2:7" ht="13.8" customHeight="1" x14ac:dyDescent="0.25">
      <c r="B458" s="33" t="s">
        <v>0</v>
      </c>
      <c r="C458" s="33">
        <v>2765862</v>
      </c>
      <c r="D458" s="33">
        <v>1.8</v>
      </c>
      <c r="E458" s="33" t="s">
        <v>210</v>
      </c>
      <c r="F458" s="31" t="str">
        <f t="shared" si="14"/>
        <v>E2.15.03</v>
      </c>
      <c r="G458" s="34">
        <f t="shared" si="15"/>
        <v>1.8</v>
      </c>
    </row>
    <row r="459" spans="2:7" ht="13.8" customHeight="1" x14ac:dyDescent="0.25">
      <c r="B459" s="33" t="s">
        <v>0</v>
      </c>
      <c r="C459" s="33">
        <v>2765864</v>
      </c>
      <c r="D459" s="33">
        <v>1.8</v>
      </c>
      <c r="E459" s="33" t="s">
        <v>210</v>
      </c>
      <c r="F459" s="31" t="str">
        <f t="shared" si="14"/>
        <v>E2.15.03</v>
      </c>
      <c r="G459" s="34">
        <f t="shared" si="15"/>
        <v>1.8</v>
      </c>
    </row>
    <row r="460" spans="2:7" ht="13.8" customHeight="1" x14ac:dyDescent="0.25">
      <c r="B460" s="33" t="s">
        <v>0</v>
      </c>
      <c r="C460" s="33">
        <v>2765866</v>
      </c>
      <c r="D460" s="33">
        <v>1.8</v>
      </c>
      <c r="E460" s="33" t="s">
        <v>210</v>
      </c>
      <c r="F460" s="31" t="str">
        <f t="shared" si="14"/>
        <v>E2.15.03</v>
      </c>
      <c r="G460" s="34">
        <f t="shared" si="15"/>
        <v>1.8</v>
      </c>
    </row>
    <row r="461" spans="2:7" ht="13.8" customHeight="1" x14ac:dyDescent="0.25">
      <c r="B461" s="33" t="s">
        <v>0</v>
      </c>
      <c r="C461" s="33">
        <v>2765868</v>
      </c>
      <c r="D461" s="33">
        <v>1.8</v>
      </c>
      <c r="E461" s="33" t="s">
        <v>210</v>
      </c>
      <c r="F461" s="31" t="str">
        <f t="shared" si="14"/>
        <v>E2.15.03</v>
      </c>
      <c r="G461" s="34">
        <f t="shared" si="15"/>
        <v>1.8</v>
      </c>
    </row>
    <row r="462" spans="2:7" ht="13.8" customHeight="1" x14ac:dyDescent="0.25">
      <c r="B462" s="33" t="s">
        <v>0</v>
      </c>
      <c r="C462" s="33">
        <v>2765925</v>
      </c>
      <c r="D462" s="33">
        <v>1.8</v>
      </c>
      <c r="E462" s="33" t="s">
        <v>211</v>
      </c>
      <c r="F462" s="31" t="str">
        <f t="shared" si="14"/>
        <v>E2.15.01</v>
      </c>
      <c r="G462" s="34">
        <f t="shared" si="15"/>
        <v>1.8</v>
      </c>
    </row>
    <row r="463" spans="2:7" ht="13.8" customHeight="1" x14ac:dyDescent="0.25">
      <c r="B463" s="33" t="s">
        <v>0</v>
      </c>
      <c r="C463" s="33">
        <v>2765927</v>
      </c>
      <c r="D463" s="33">
        <v>1.8</v>
      </c>
      <c r="E463" s="33" t="s">
        <v>211</v>
      </c>
      <c r="F463" s="31" t="str">
        <f t="shared" si="14"/>
        <v>E2.15.01</v>
      </c>
      <c r="G463" s="34">
        <f t="shared" si="15"/>
        <v>1.8</v>
      </c>
    </row>
    <row r="464" spans="2:7" ht="13.8" customHeight="1" x14ac:dyDescent="0.25">
      <c r="B464" s="33" t="s">
        <v>0</v>
      </c>
      <c r="C464" s="33">
        <v>2765929</v>
      </c>
      <c r="D464" s="33">
        <v>1.8</v>
      </c>
      <c r="E464" s="33" t="s">
        <v>211</v>
      </c>
      <c r="F464" s="31" t="str">
        <f t="shared" si="14"/>
        <v>E2.15.01</v>
      </c>
      <c r="G464" s="34">
        <f t="shared" si="15"/>
        <v>1.8</v>
      </c>
    </row>
    <row r="465" spans="2:7" ht="13.8" customHeight="1" x14ac:dyDescent="0.25">
      <c r="B465" s="33" t="s">
        <v>0</v>
      </c>
      <c r="C465" s="33">
        <v>2765931</v>
      </c>
      <c r="D465" s="33">
        <v>1.8</v>
      </c>
      <c r="E465" s="33" t="s">
        <v>211</v>
      </c>
      <c r="F465" s="31" t="str">
        <f t="shared" si="14"/>
        <v>E2.15.01</v>
      </c>
      <c r="G465" s="34">
        <f t="shared" si="15"/>
        <v>1.8</v>
      </c>
    </row>
    <row r="466" spans="2:7" ht="13.8" customHeight="1" x14ac:dyDescent="0.25">
      <c r="B466" s="33" t="s">
        <v>0</v>
      </c>
      <c r="C466" s="33">
        <v>2765933</v>
      </c>
      <c r="D466" s="33">
        <v>2.4</v>
      </c>
      <c r="E466" s="33" t="s">
        <v>211</v>
      </c>
      <c r="F466" s="31" t="str">
        <f t="shared" si="14"/>
        <v>E2.15.01</v>
      </c>
      <c r="G466" s="34">
        <f t="shared" si="15"/>
        <v>2.4</v>
      </c>
    </row>
    <row r="467" spans="2:7" ht="13.8" customHeight="1" x14ac:dyDescent="0.25">
      <c r="B467" s="33" t="s">
        <v>0</v>
      </c>
      <c r="C467" s="33">
        <v>2765935</v>
      </c>
      <c r="D467" s="33">
        <v>2.4</v>
      </c>
      <c r="E467" s="33" t="s">
        <v>211</v>
      </c>
      <c r="F467" s="31" t="str">
        <f t="shared" si="14"/>
        <v>E2.15.01</v>
      </c>
      <c r="G467" s="34">
        <f t="shared" si="15"/>
        <v>2.4</v>
      </c>
    </row>
    <row r="468" spans="2:7" ht="13.8" customHeight="1" x14ac:dyDescent="0.25">
      <c r="B468" s="33" t="s">
        <v>0</v>
      </c>
      <c r="C468" s="33">
        <v>2765937</v>
      </c>
      <c r="D468" s="33">
        <v>1.8</v>
      </c>
      <c r="E468" s="33" t="s">
        <v>211</v>
      </c>
      <c r="F468" s="31" t="str">
        <f t="shared" si="14"/>
        <v>E2.15.01</v>
      </c>
      <c r="G468" s="34">
        <f t="shared" si="15"/>
        <v>1.8</v>
      </c>
    </row>
    <row r="469" spans="2:7" ht="13.8" customHeight="1" x14ac:dyDescent="0.25">
      <c r="B469" s="33" t="s">
        <v>0</v>
      </c>
      <c r="C469" s="33">
        <v>2765939</v>
      </c>
      <c r="D469" s="33">
        <v>1.8</v>
      </c>
      <c r="E469" s="33" t="s">
        <v>211</v>
      </c>
      <c r="F469" s="31" t="str">
        <f t="shared" si="14"/>
        <v>E2.15.01</v>
      </c>
      <c r="G469" s="34">
        <f t="shared" si="15"/>
        <v>1.8</v>
      </c>
    </row>
    <row r="470" spans="2:7" ht="13.8" customHeight="1" x14ac:dyDescent="0.25">
      <c r="B470" s="33" t="s">
        <v>0</v>
      </c>
      <c r="C470" s="33">
        <v>2766000</v>
      </c>
      <c r="D470" s="33">
        <v>2.4</v>
      </c>
      <c r="E470" s="33" t="s">
        <v>212</v>
      </c>
      <c r="F470" s="31" t="str">
        <f t="shared" si="14"/>
        <v>E2.15.06</v>
      </c>
      <c r="G470" s="34">
        <f t="shared" si="15"/>
        <v>2.4</v>
      </c>
    </row>
    <row r="471" spans="2:7" ht="13.8" customHeight="1" x14ac:dyDescent="0.25">
      <c r="B471" s="33" t="s">
        <v>0</v>
      </c>
      <c r="C471" s="33">
        <v>2766002</v>
      </c>
      <c r="D471" s="33">
        <v>2.4</v>
      </c>
      <c r="E471" s="33" t="s">
        <v>212</v>
      </c>
      <c r="F471" s="31" t="str">
        <f t="shared" si="14"/>
        <v>E2.15.06</v>
      </c>
      <c r="G471" s="34">
        <f t="shared" si="15"/>
        <v>2.4</v>
      </c>
    </row>
    <row r="472" spans="2:7" ht="13.8" customHeight="1" x14ac:dyDescent="0.25">
      <c r="B472" s="33" t="s">
        <v>0</v>
      </c>
      <c r="C472" s="33">
        <v>2766004</v>
      </c>
      <c r="D472" s="33">
        <v>1.8</v>
      </c>
      <c r="E472" s="33" t="s">
        <v>212</v>
      </c>
      <c r="F472" s="31" t="str">
        <f t="shared" si="14"/>
        <v>E2.15.06</v>
      </c>
      <c r="G472" s="34">
        <f t="shared" si="15"/>
        <v>1.8</v>
      </c>
    </row>
    <row r="473" spans="2:7" ht="13.8" customHeight="1" x14ac:dyDescent="0.25">
      <c r="B473" s="33" t="s">
        <v>0</v>
      </c>
      <c r="C473" s="33">
        <v>2766006</v>
      </c>
      <c r="D473" s="33">
        <v>1.8</v>
      </c>
      <c r="E473" s="33" t="s">
        <v>212</v>
      </c>
      <c r="F473" s="31" t="str">
        <f t="shared" si="14"/>
        <v>E2.15.06</v>
      </c>
      <c r="G473" s="34">
        <f t="shared" si="15"/>
        <v>1.8</v>
      </c>
    </row>
    <row r="474" spans="2:7" ht="13.8" customHeight="1" x14ac:dyDescent="0.25">
      <c r="B474" s="33" t="s">
        <v>0</v>
      </c>
      <c r="C474" s="33">
        <v>2766008</v>
      </c>
      <c r="D474" s="33">
        <v>1.8</v>
      </c>
      <c r="E474" s="33" t="s">
        <v>212</v>
      </c>
      <c r="F474" s="31" t="str">
        <f t="shared" si="14"/>
        <v>E2.15.06</v>
      </c>
      <c r="G474" s="34">
        <f t="shared" si="15"/>
        <v>1.8</v>
      </c>
    </row>
    <row r="475" spans="2:7" ht="13.8" customHeight="1" x14ac:dyDescent="0.25">
      <c r="B475" s="33" t="s">
        <v>0</v>
      </c>
      <c r="C475" s="33">
        <v>2766010</v>
      </c>
      <c r="D475" s="33">
        <v>1.8</v>
      </c>
      <c r="E475" s="33" t="s">
        <v>212</v>
      </c>
      <c r="F475" s="31" t="str">
        <f t="shared" si="14"/>
        <v>E2.15.06</v>
      </c>
      <c r="G475" s="34">
        <f t="shared" si="15"/>
        <v>1.8</v>
      </c>
    </row>
    <row r="476" spans="2:7" ht="13.8" customHeight="1" x14ac:dyDescent="0.25">
      <c r="B476" s="33" t="s">
        <v>0</v>
      </c>
      <c r="C476" s="33">
        <v>2766012</v>
      </c>
      <c r="D476" s="33">
        <v>1.8</v>
      </c>
      <c r="E476" s="33" t="s">
        <v>212</v>
      </c>
      <c r="F476" s="31" t="str">
        <f t="shared" si="14"/>
        <v>E2.15.06</v>
      </c>
      <c r="G476" s="34">
        <f t="shared" si="15"/>
        <v>1.8</v>
      </c>
    </row>
    <row r="477" spans="2:7" ht="13.8" customHeight="1" x14ac:dyDescent="0.25">
      <c r="B477" s="33" t="s">
        <v>0</v>
      </c>
      <c r="C477" s="33">
        <v>2766014</v>
      </c>
      <c r="D477" s="33">
        <v>1.8</v>
      </c>
      <c r="E477" s="33" t="s">
        <v>212</v>
      </c>
      <c r="F477" s="31" t="str">
        <f t="shared" si="14"/>
        <v>E2.15.06</v>
      </c>
      <c r="G477" s="34">
        <f t="shared" si="15"/>
        <v>1.8</v>
      </c>
    </row>
    <row r="478" spans="2:7" ht="13.8" customHeight="1" x14ac:dyDescent="0.25">
      <c r="B478" s="33" t="s">
        <v>0</v>
      </c>
      <c r="C478" s="33">
        <v>2766016</v>
      </c>
      <c r="D478" s="33">
        <v>1.8</v>
      </c>
      <c r="E478" s="33" t="s">
        <v>212</v>
      </c>
      <c r="F478" s="31" t="str">
        <f t="shared" si="14"/>
        <v>E2.15.06</v>
      </c>
      <c r="G478" s="34">
        <f t="shared" si="15"/>
        <v>1.8</v>
      </c>
    </row>
    <row r="479" spans="2:7" ht="13.8" customHeight="1" x14ac:dyDescent="0.25">
      <c r="B479" s="33" t="s">
        <v>0</v>
      </c>
      <c r="C479" s="33">
        <v>2766018</v>
      </c>
      <c r="D479" s="33">
        <v>1.8</v>
      </c>
      <c r="E479" s="33" t="s">
        <v>212</v>
      </c>
      <c r="F479" s="31" t="str">
        <f t="shared" si="14"/>
        <v>E2.15.06</v>
      </c>
      <c r="G479" s="34">
        <f t="shared" si="15"/>
        <v>1.8</v>
      </c>
    </row>
    <row r="480" spans="2:7" ht="13.8" customHeight="1" x14ac:dyDescent="0.25">
      <c r="B480" s="33" t="s">
        <v>0</v>
      </c>
      <c r="C480" s="33">
        <v>2766020</v>
      </c>
      <c r="D480" s="33">
        <v>1.8</v>
      </c>
      <c r="E480" s="33" t="s">
        <v>212</v>
      </c>
      <c r="F480" s="31" t="str">
        <f t="shared" si="14"/>
        <v>E2.15.06</v>
      </c>
      <c r="G480" s="34">
        <f t="shared" si="15"/>
        <v>1.8</v>
      </c>
    </row>
    <row r="481" spans="2:7" ht="13.8" customHeight="1" x14ac:dyDescent="0.25">
      <c r="B481" s="33" t="s">
        <v>0</v>
      </c>
      <c r="C481" s="33">
        <v>2766022</v>
      </c>
      <c r="D481" s="33">
        <v>1.8</v>
      </c>
      <c r="E481" s="33" t="s">
        <v>212</v>
      </c>
      <c r="F481" s="31" t="str">
        <f t="shared" si="14"/>
        <v>E2.15.06</v>
      </c>
      <c r="G481" s="34">
        <f t="shared" si="15"/>
        <v>1.8</v>
      </c>
    </row>
    <row r="482" spans="2:7" ht="13.8" customHeight="1" x14ac:dyDescent="0.25">
      <c r="B482" s="33" t="s">
        <v>0</v>
      </c>
      <c r="C482" s="33">
        <v>2766084</v>
      </c>
      <c r="D482" s="33">
        <v>1.8</v>
      </c>
      <c r="E482" s="33" t="s">
        <v>213</v>
      </c>
      <c r="F482" s="31" t="str">
        <f t="shared" si="14"/>
        <v>E2.15.05</v>
      </c>
      <c r="G482" s="34">
        <f t="shared" si="15"/>
        <v>1.8</v>
      </c>
    </row>
    <row r="483" spans="2:7" ht="13.8" customHeight="1" x14ac:dyDescent="0.25">
      <c r="B483" s="33" t="s">
        <v>0</v>
      </c>
      <c r="C483" s="33">
        <v>2766086</v>
      </c>
      <c r="D483" s="33">
        <v>1.8</v>
      </c>
      <c r="E483" s="33" t="s">
        <v>213</v>
      </c>
      <c r="F483" s="31" t="str">
        <f t="shared" si="14"/>
        <v>E2.15.05</v>
      </c>
      <c r="G483" s="34">
        <f t="shared" si="15"/>
        <v>1.8</v>
      </c>
    </row>
    <row r="484" spans="2:7" ht="13.8" customHeight="1" x14ac:dyDescent="0.25">
      <c r="B484" s="33" t="s">
        <v>0</v>
      </c>
      <c r="C484" s="33">
        <v>2766088</v>
      </c>
      <c r="D484" s="33">
        <v>2.4</v>
      </c>
      <c r="E484" s="33" t="s">
        <v>213</v>
      </c>
      <c r="F484" s="31" t="str">
        <f t="shared" si="14"/>
        <v>E2.15.05</v>
      </c>
      <c r="G484" s="34">
        <f t="shared" si="15"/>
        <v>2.4</v>
      </c>
    </row>
    <row r="485" spans="2:7" ht="13.8" customHeight="1" x14ac:dyDescent="0.25">
      <c r="B485" s="33" t="s">
        <v>0</v>
      </c>
      <c r="C485" s="33">
        <v>2766090</v>
      </c>
      <c r="D485" s="33">
        <v>2.4</v>
      </c>
      <c r="E485" s="33" t="s">
        <v>213</v>
      </c>
      <c r="F485" s="31" t="str">
        <f t="shared" si="14"/>
        <v>E2.15.05</v>
      </c>
      <c r="G485" s="34">
        <f t="shared" si="15"/>
        <v>2.4</v>
      </c>
    </row>
    <row r="486" spans="2:7" ht="13.8" customHeight="1" x14ac:dyDescent="0.25">
      <c r="B486" s="33" t="s">
        <v>0</v>
      </c>
      <c r="C486" s="33">
        <v>2766092</v>
      </c>
      <c r="D486" s="33">
        <v>1.8</v>
      </c>
      <c r="E486" s="33" t="s">
        <v>213</v>
      </c>
      <c r="F486" s="31" t="str">
        <f t="shared" si="14"/>
        <v>E2.15.05</v>
      </c>
      <c r="G486" s="34">
        <f t="shared" si="15"/>
        <v>1.8</v>
      </c>
    </row>
    <row r="487" spans="2:7" ht="13.8" customHeight="1" x14ac:dyDescent="0.25">
      <c r="B487" s="33" t="s">
        <v>0</v>
      </c>
      <c r="C487" s="33">
        <v>2766094</v>
      </c>
      <c r="D487" s="33">
        <v>1.8</v>
      </c>
      <c r="E487" s="33" t="s">
        <v>213</v>
      </c>
      <c r="F487" s="31" t="str">
        <f t="shared" si="14"/>
        <v>E2.15.05</v>
      </c>
      <c r="G487" s="34">
        <f t="shared" si="15"/>
        <v>1.8</v>
      </c>
    </row>
    <row r="488" spans="2:7" ht="13.8" customHeight="1" x14ac:dyDescent="0.25">
      <c r="B488" s="33" t="s">
        <v>0</v>
      </c>
      <c r="C488" s="33">
        <v>2766096</v>
      </c>
      <c r="D488" s="33">
        <v>1.8</v>
      </c>
      <c r="E488" s="33" t="s">
        <v>213</v>
      </c>
      <c r="F488" s="31" t="str">
        <f t="shared" si="14"/>
        <v>E2.15.05</v>
      </c>
      <c r="G488" s="34">
        <f t="shared" si="15"/>
        <v>1.8</v>
      </c>
    </row>
    <row r="489" spans="2:7" ht="13.8" customHeight="1" x14ac:dyDescent="0.25">
      <c r="B489" s="33" t="s">
        <v>0</v>
      </c>
      <c r="C489" s="33">
        <v>2766098</v>
      </c>
      <c r="D489" s="33">
        <v>1.8</v>
      </c>
      <c r="E489" s="33" t="s">
        <v>213</v>
      </c>
      <c r="F489" s="31" t="str">
        <f t="shared" si="14"/>
        <v>E2.15.05</v>
      </c>
      <c r="G489" s="34">
        <f t="shared" si="15"/>
        <v>1.8</v>
      </c>
    </row>
    <row r="490" spans="2:7" ht="13.8" customHeight="1" x14ac:dyDescent="0.25">
      <c r="B490" s="33" t="s">
        <v>0</v>
      </c>
      <c r="C490" s="33">
        <v>2766156</v>
      </c>
      <c r="D490" s="33">
        <v>1.8</v>
      </c>
      <c r="E490" s="33" t="s">
        <v>214</v>
      </c>
      <c r="F490" s="31" t="str">
        <f t="shared" si="14"/>
        <v>E2.15.07</v>
      </c>
      <c r="G490" s="34">
        <f t="shared" si="15"/>
        <v>1.8</v>
      </c>
    </row>
    <row r="491" spans="2:7" ht="13.8" customHeight="1" x14ac:dyDescent="0.25">
      <c r="B491" s="33" t="s">
        <v>0</v>
      </c>
      <c r="C491" s="33">
        <v>2766158</v>
      </c>
      <c r="D491" s="33">
        <v>1.8</v>
      </c>
      <c r="E491" s="33" t="s">
        <v>214</v>
      </c>
      <c r="F491" s="31" t="str">
        <f t="shared" si="14"/>
        <v>E2.15.07</v>
      </c>
      <c r="G491" s="34">
        <f t="shared" si="15"/>
        <v>1.8</v>
      </c>
    </row>
    <row r="492" spans="2:7" ht="13.8" customHeight="1" x14ac:dyDescent="0.25">
      <c r="B492" s="33" t="s">
        <v>0</v>
      </c>
      <c r="C492" s="33">
        <v>2766160</v>
      </c>
      <c r="D492" s="33">
        <v>2.4</v>
      </c>
      <c r="E492" s="33" t="s">
        <v>214</v>
      </c>
      <c r="F492" s="31" t="str">
        <f t="shared" si="14"/>
        <v>E2.15.07</v>
      </c>
      <c r="G492" s="34">
        <f t="shared" si="15"/>
        <v>2.4</v>
      </c>
    </row>
    <row r="493" spans="2:7" ht="13.8" customHeight="1" x14ac:dyDescent="0.25">
      <c r="B493" s="33" t="s">
        <v>0</v>
      </c>
      <c r="C493" s="33">
        <v>2766162</v>
      </c>
      <c r="D493" s="33">
        <v>2.4</v>
      </c>
      <c r="E493" s="33" t="s">
        <v>214</v>
      </c>
      <c r="F493" s="31" t="str">
        <f t="shared" si="14"/>
        <v>E2.15.07</v>
      </c>
      <c r="G493" s="34">
        <f t="shared" si="15"/>
        <v>2.4</v>
      </c>
    </row>
    <row r="494" spans="2:7" ht="13.8" customHeight="1" x14ac:dyDescent="0.25">
      <c r="B494" s="33" t="s">
        <v>0</v>
      </c>
      <c r="C494" s="33">
        <v>2766164</v>
      </c>
      <c r="D494" s="33">
        <v>1.8</v>
      </c>
      <c r="E494" s="33" t="s">
        <v>214</v>
      </c>
      <c r="F494" s="31" t="str">
        <f t="shared" si="14"/>
        <v>E2.15.07</v>
      </c>
      <c r="G494" s="34">
        <f t="shared" si="15"/>
        <v>1.8</v>
      </c>
    </row>
    <row r="495" spans="2:7" ht="13.8" customHeight="1" x14ac:dyDescent="0.25">
      <c r="B495" s="33" t="s">
        <v>0</v>
      </c>
      <c r="C495" s="33">
        <v>2766166</v>
      </c>
      <c r="D495" s="33">
        <v>1.8</v>
      </c>
      <c r="E495" s="33" t="s">
        <v>214</v>
      </c>
      <c r="F495" s="31" t="str">
        <f t="shared" si="14"/>
        <v>E2.15.07</v>
      </c>
      <c r="G495" s="34">
        <f t="shared" si="15"/>
        <v>1.8</v>
      </c>
    </row>
    <row r="496" spans="2:7" ht="13.8" customHeight="1" x14ac:dyDescent="0.25">
      <c r="B496" s="33" t="s">
        <v>0</v>
      </c>
      <c r="C496" s="33">
        <v>2766168</v>
      </c>
      <c r="D496" s="33">
        <v>1.8</v>
      </c>
      <c r="E496" s="33" t="s">
        <v>214</v>
      </c>
      <c r="F496" s="31" t="str">
        <f t="shared" si="14"/>
        <v>E2.15.07</v>
      </c>
      <c r="G496" s="34">
        <f t="shared" si="15"/>
        <v>1.8</v>
      </c>
    </row>
    <row r="497" spans="2:7" ht="13.8" customHeight="1" x14ac:dyDescent="0.25">
      <c r="B497" s="33" t="s">
        <v>0</v>
      </c>
      <c r="C497" s="33">
        <v>2766170</v>
      </c>
      <c r="D497" s="33">
        <v>1.8</v>
      </c>
      <c r="E497" s="33" t="s">
        <v>214</v>
      </c>
      <c r="F497" s="31" t="str">
        <f t="shared" si="14"/>
        <v>E2.15.07</v>
      </c>
      <c r="G497" s="34">
        <f t="shared" si="15"/>
        <v>1.8</v>
      </c>
    </row>
    <row r="498" spans="2:7" ht="13.8" customHeight="1" x14ac:dyDescent="0.25">
      <c r="B498" s="33" t="s">
        <v>0</v>
      </c>
      <c r="C498" s="33">
        <v>2766172</v>
      </c>
      <c r="D498" s="33">
        <v>1.8</v>
      </c>
      <c r="E498" s="33" t="s">
        <v>214</v>
      </c>
      <c r="F498" s="31" t="str">
        <f t="shared" si="14"/>
        <v>E2.15.07</v>
      </c>
      <c r="G498" s="34">
        <f t="shared" si="15"/>
        <v>1.8</v>
      </c>
    </row>
    <row r="499" spans="2:7" ht="13.8" customHeight="1" x14ac:dyDescent="0.25">
      <c r="B499" s="33" t="s">
        <v>0</v>
      </c>
      <c r="C499" s="33">
        <v>2766174</v>
      </c>
      <c r="D499" s="33">
        <v>1.8</v>
      </c>
      <c r="E499" s="33" t="s">
        <v>214</v>
      </c>
      <c r="F499" s="31" t="str">
        <f t="shared" si="14"/>
        <v>E2.15.07</v>
      </c>
      <c r="G499" s="34">
        <f t="shared" si="15"/>
        <v>1.8</v>
      </c>
    </row>
    <row r="500" spans="2:7" ht="13.8" customHeight="1" x14ac:dyDescent="0.25">
      <c r="B500" s="33" t="s">
        <v>0</v>
      </c>
      <c r="C500" s="33">
        <v>2766227</v>
      </c>
      <c r="D500" s="33">
        <v>1.8</v>
      </c>
      <c r="E500" s="33" t="s">
        <v>215</v>
      </c>
      <c r="F500" s="31" t="str">
        <f t="shared" si="14"/>
        <v>E2.15.04</v>
      </c>
      <c r="G500" s="34">
        <f t="shared" si="15"/>
        <v>1.8</v>
      </c>
    </row>
    <row r="501" spans="2:7" ht="13.8" customHeight="1" x14ac:dyDescent="0.25">
      <c r="B501" s="33" t="s">
        <v>0</v>
      </c>
      <c r="C501" s="33">
        <v>2766229</v>
      </c>
      <c r="D501" s="33">
        <v>1.8</v>
      </c>
      <c r="E501" s="33" t="s">
        <v>215</v>
      </c>
      <c r="F501" s="31" t="str">
        <f t="shared" si="14"/>
        <v>E2.15.04</v>
      </c>
      <c r="G501" s="34">
        <f t="shared" si="15"/>
        <v>1.8</v>
      </c>
    </row>
    <row r="502" spans="2:7" ht="13.8" customHeight="1" x14ac:dyDescent="0.25">
      <c r="B502" s="33" t="s">
        <v>0</v>
      </c>
      <c r="C502" s="33">
        <v>2766231</v>
      </c>
      <c r="D502" s="33">
        <v>1.8</v>
      </c>
      <c r="E502" s="33" t="s">
        <v>215</v>
      </c>
      <c r="F502" s="31" t="str">
        <f t="shared" si="14"/>
        <v>E2.15.04</v>
      </c>
      <c r="G502" s="34">
        <f t="shared" si="15"/>
        <v>1.8</v>
      </c>
    </row>
    <row r="503" spans="2:7" ht="13.8" customHeight="1" x14ac:dyDescent="0.25">
      <c r="B503" s="33" t="s">
        <v>0</v>
      </c>
      <c r="C503" s="33">
        <v>2766233</v>
      </c>
      <c r="D503" s="33">
        <v>1.8</v>
      </c>
      <c r="E503" s="33" t="s">
        <v>215</v>
      </c>
      <c r="F503" s="31" t="str">
        <f t="shared" si="14"/>
        <v>E2.15.04</v>
      </c>
      <c r="G503" s="34">
        <f t="shared" si="15"/>
        <v>1.8</v>
      </c>
    </row>
    <row r="504" spans="2:7" ht="13.8" customHeight="1" x14ac:dyDescent="0.25">
      <c r="B504" s="33" t="s">
        <v>0</v>
      </c>
      <c r="C504" s="33">
        <v>2766235</v>
      </c>
      <c r="D504" s="33">
        <v>2.4</v>
      </c>
      <c r="E504" s="33" t="s">
        <v>215</v>
      </c>
      <c r="F504" s="31" t="str">
        <f t="shared" si="14"/>
        <v>E2.15.04</v>
      </c>
      <c r="G504" s="34">
        <f t="shared" si="15"/>
        <v>2.4</v>
      </c>
    </row>
    <row r="505" spans="2:7" ht="13.8" customHeight="1" x14ac:dyDescent="0.25">
      <c r="B505" s="33" t="s">
        <v>0</v>
      </c>
      <c r="C505" s="33">
        <v>2766237</v>
      </c>
      <c r="D505" s="33">
        <v>2.4</v>
      </c>
      <c r="E505" s="33" t="s">
        <v>215</v>
      </c>
      <c r="F505" s="31" t="str">
        <f t="shared" si="14"/>
        <v>E2.15.04</v>
      </c>
      <c r="G505" s="34">
        <f t="shared" si="15"/>
        <v>2.4</v>
      </c>
    </row>
    <row r="506" spans="2:7" ht="13.8" customHeight="1" x14ac:dyDescent="0.25">
      <c r="B506" s="33" t="s">
        <v>0</v>
      </c>
      <c r="C506" s="33">
        <v>2766239</v>
      </c>
      <c r="D506" s="33">
        <v>1.8</v>
      </c>
      <c r="E506" s="33" t="s">
        <v>215</v>
      </c>
      <c r="F506" s="31" t="str">
        <f t="shared" si="14"/>
        <v>E2.15.04</v>
      </c>
      <c r="G506" s="34">
        <f t="shared" si="15"/>
        <v>1.8</v>
      </c>
    </row>
    <row r="507" spans="2:7" ht="13.8" customHeight="1" x14ac:dyDescent="0.25">
      <c r="B507" s="33" t="s">
        <v>0</v>
      </c>
      <c r="C507" s="33">
        <v>2766241</v>
      </c>
      <c r="D507" s="33">
        <v>1.8</v>
      </c>
      <c r="E507" s="33" t="s">
        <v>215</v>
      </c>
      <c r="F507" s="31" t="str">
        <f t="shared" si="14"/>
        <v>E2.15.04</v>
      </c>
      <c r="G507" s="34">
        <f t="shared" si="15"/>
        <v>1.8</v>
      </c>
    </row>
    <row r="508" spans="2:7" ht="13.8" customHeight="1" x14ac:dyDescent="0.25">
      <c r="B508" s="33" t="s">
        <v>0</v>
      </c>
      <c r="C508" s="33">
        <v>2766302</v>
      </c>
      <c r="D508" s="33">
        <v>2.4</v>
      </c>
      <c r="E508" s="33" t="s">
        <v>216</v>
      </c>
      <c r="F508" s="31" t="str">
        <f t="shared" si="14"/>
        <v>E2.34.05</v>
      </c>
      <c r="G508" s="34">
        <f t="shared" si="15"/>
        <v>2.4</v>
      </c>
    </row>
    <row r="509" spans="2:7" ht="13.8" customHeight="1" x14ac:dyDescent="0.25">
      <c r="B509" s="33" t="s">
        <v>0</v>
      </c>
      <c r="C509" s="33">
        <v>2766304</v>
      </c>
      <c r="D509" s="33">
        <v>2.4</v>
      </c>
      <c r="E509" s="33" t="s">
        <v>216</v>
      </c>
      <c r="F509" s="31" t="str">
        <f t="shared" si="14"/>
        <v>E2.34.05</v>
      </c>
      <c r="G509" s="34">
        <f t="shared" si="15"/>
        <v>2.4</v>
      </c>
    </row>
    <row r="510" spans="2:7" ht="13.8" customHeight="1" x14ac:dyDescent="0.25">
      <c r="B510" s="33" t="s">
        <v>0</v>
      </c>
      <c r="C510" s="33">
        <v>2766306</v>
      </c>
      <c r="D510" s="33">
        <v>1.8</v>
      </c>
      <c r="E510" s="33" t="s">
        <v>216</v>
      </c>
      <c r="F510" s="31" t="str">
        <f t="shared" si="14"/>
        <v>E2.34.05</v>
      </c>
      <c r="G510" s="34">
        <f t="shared" si="15"/>
        <v>1.8</v>
      </c>
    </row>
    <row r="511" spans="2:7" ht="13.8" customHeight="1" x14ac:dyDescent="0.25">
      <c r="B511" s="33" t="s">
        <v>0</v>
      </c>
      <c r="C511" s="33">
        <v>2766308</v>
      </c>
      <c r="D511" s="33">
        <v>1.8</v>
      </c>
      <c r="E511" s="33" t="s">
        <v>216</v>
      </c>
      <c r="F511" s="31" t="str">
        <f t="shared" si="14"/>
        <v>E2.34.05</v>
      </c>
      <c r="G511" s="34">
        <f t="shared" si="15"/>
        <v>1.8</v>
      </c>
    </row>
    <row r="512" spans="2:7" ht="13.8" customHeight="1" x14ac:dyDescent="0.25">
      <c r="B512" s="33" t="s">
        <v>0</v>
      </c>
      <c r="C512" s="33">
        <v>2766312</v>
      </c>
      <c r="D512" s="33">
        <v>2.4</v>
      </c>
      <c r="E512" s="33" t="s">
        <v>216</v>
      </c>
      <c r="F512" s="31" t="str">
        <f t="shared" si="14"/>
        <v>E2.34.05</v>
      </c>
      <c r="G512" s="34">
        <f t="shared" si="15"/>
        <v>2.4</v>
      </c>
    </row>
    <row r="513" spans="2:7" ht="13.8" customHeight="1" x14ac:dyDescent="0.25">
      <c r="B513" s="33" t="s">
        <v>0</v>
      </c>
      <c r="C513" s="33">
        <v>2766314</v>
      </c>
      <c r="D513" s="33">
        <v>2.4</v>
      </c>
      <c r="E513" s="33" t="s">
        <v>216</v>
      </c>
      <c r="F513" s="31" t="str">
        <f t="shared" si="14"/>
        <v>E2.34.05</v>
      </c>
      <c r="G513" s="34">
        <f t="shared" si="15"/>
        <v>2.4</v>
      </c>
    </row>
    <row r="514" spans="2:7" ht="13.8" customHeight="1" x14ac:dyDescent="0.25">
      <c r="B514" s="33" t="s">
        <v>0</v>
      </c>
      <c r="C514" s="33">
        <v>2766317</v>
      </c>
      <c r="D514" s="33">
        <v>2.4</v>
      </c>
      <c r="E514" s="33" t="s">
        <v>216</v>
      </c>
      <c r="F514" s="31" t="str">
        <f t="shared" si="14"/>
        <v>E2.34.05</v>
      </c>
      <c r="G514" s="34">
        <f t="shared" si="15"/>
        <v>2.4</v>
      </c>
    </row>
    <row r="515" spans="2:7" ht="13.8" customHeight="1" x14ac:dyDescent="0.25">
      <c r="B515" s="33" t="s">
        <v>0</v>
      </c>
      <c r="C515" s="33">
        <v>2766319</v>
      </c>
      <c r="D515" s="33">
        <v>2.4</v>
      </c>
      <c r="E515" s="33" t="s">
        <v>216</v>
      </c>
      <c r="F515" s="31" t="str">
        <f t="shared" si="14"/>
        <v>E2.34.05</v>
      </c>
      <c r="G515" s="34">
        <f t="shared" si="15"/>
        <v>2.4</v>
      </c>
    </row>
    <row r="516" spans="2:7" ht="13.8" customHeight="1" x14ac:dyDescent="0.25">
      <c r="B516" s="33" t="s">
        <v>0</v>
      </c>
      <c r="C516" s="33">
        <v>2766321</v>
      </c>
      <c r="D516" s="33">
        <v>2.4</v>
      </c>
      <c r="E516" s="33" t="s">
        <v>216</v>
      </c>
      <c r="F516" s="31" t="str">
        <f t="shared" si="14"/>
        <v>E2.34.05</v>
      </c>
      <c r="G516" s="34">
        <f t="shared" si="15"/>
        <v>2.4</v>
      </c>
    </row>
    <row r="517" spans="2:7" ht="13.8" customHeight="1" x14ac:dyDescent="0.25">
      <c r="B517" s="33" t="s">
        <v>0</v>
      </c>
      <c r="C517" s="33">
        <v>2766323</v>
      </c>
      <c r="D517" s="33">
        <v>2.4</v>
      </c>
      <c r="E517" s="33" t="s">
        <v>216</v>
      </c>
      <c r="F517" s="31" t="str">
        <f t="shared" si="14"/>
        <v>E2.34.05</v>
      </c>
      <c r="G517" s="34">
        <f t="shared" si="15"/>
        <v>2.4</v>
      </c>
    </row>
    <row r="518" spans="2:7" ht="13.8" customHeight="1" x14ac:dyDescent="0.25">
      <c r="B518" s="33" t="s">
        <v>0</v>
      </c>
      <c r="C518" s="33">
        <v>2766325</v>
      </c>
      <c r="D518" s="33">
        <v>2.4</v>
      </c>
      <c r="E518" s="33" t="s">
        <v>216</v>
      </c>
      <c r="F518" s="31" t="str">
        <f t="shared" si="14"/>
        <v>E2.34.05</v>
      </c>
      <c r="G518" s="34">
        <f t="shared" si="15"/>
        <v>2.4</v>
      </c>
    </row>
    <row r="519" spans="2:7" ht="13.8" customHeight="1" x14ac:dyDescent="0.25">
      <c r="B519" s="33" t="s">
        <v>0</v>
      </c>
      <c r="C519" s="33">
        <v>2766327</v>
      </c>
      <c r="D519" s="33">
        <v>2.4</v>
      </c>
      <c r="E519" s="33" t="s">
        <v>216</v>
      </c>
      <c r="F519" s="31" t="str">
        <f t="shared" ref="F519:F582" si="16">LEFT(E519,8)</f>
        <v>E2.34.05</v>
      </c>
      <c r="G519" s="34">
        <f t="shared" ref="G519:G582" si="17">D519</f>
        <v>2.4</v>
      </c>
    </row>
    <row r="520" spans="2:7" ht="13.8" customHeight="1" x14ac:dyDescent="0.25">
      <c r="B520" s="33" t="s">
        <v>0</v>
      </c>
      <c r="C520" s="33">
        <v>2766388</v>
      </c>
      <c r="D520" s="33">
        <v>1.8</v>
      </c>
      <c r="E520" s="33" t="s">
        <v>217</v>
      </c>
      <c r="F520" s="31" t="str">
        <f t="shared" si="16"/>
        <v>E2.34.06</v>
      </c>
      <c r="G520" s="34">
        <f t="shared" si="17"/>
        <v>1.8</v>
      </c>
    </row>
    <row r="521" spans="2:7" ht="13.8" customHeight="1" x14ac:dyDescent="0.25">
      <c r="B521" s="33" t="s">
        <v>0</v>
      </c>
      <c r="C521" s="33">
        <v>2766390</v>
      </c>
      <c r="D521" s="33">
        <v>1.8</v>
      </c>
      <c r="E521" s="33" t="s">
        <v>217</v>
      </c>
      <c r="F521" s="31" t="str">
        <f t="shared" si="16"/>
        <v>E2.34.06</v>
      </c>
      <c r="G521" s="34">
        <f t="shared" si="17"/>
        <v>1.8</v>
      </c>
    </row>
    <row r="522" spans="2:7" ht="13.8" customHeight="1" x14ac:dyDescent="0.25">
      <c r="B522" s="33" t="s">
        <v>0</v>
      </c>
      <c r="C522" s="33">
        <v>2766392</v>
      </c>
      <c r="D522" s="33">
        <v>2.4</v>
      </c>
      <c r="E522" s="33" t="s">
        <v>217</v>
      </c>
      <c r="F522" s="31" t="str">
        <f t="shared" si="16"/>
        <v>E2.34.06</v>
      </c>
      <c r="G522" s="34">
        <f t="shared" si="17"/>
        <v>2.4</v>
      </c>
    </row>
    <row r="523" spans="2:7" ht="13.8" customHeight="1" x14ac:dyDescent="0.25">
      <c r="B523" s="33" t="s">
        <v>0</v>
      </c>
      <c r="C523" s="33">
        <v>2766394</v>
      </c>
      <c r="D523" s="33">
        <v>2.4</v>
      </c>
      <c r="E523" s="33" t="s">
        <v>217</v>
      </c>
      <c r="F523" s="31" t="str">
        <f t="shared" si="16"/>
        <v>E2.34.06</v>
      </c>
      <c r="G523" s="34">
        <f t="shared" si="17"/>
        <v>2.4</v>
      </c>
    </row>
    <row r="524" spans="2:7" ht="13.8" customHeight="1" x14ac:dyDescent="0.25">
      <c r="B524" s="33" t="s">
        <v>0</v>
      </c>
      <c r="C524" s="33">
        <v>2766396</v>
      </c>
      <c r="D524" s="33">
        <v>2.4</v>
      </c>
      <c r="E524" s="33" t="s">
        <v>217</v>
      </c>
      <c r="F524" s="31" t="str">
        <f t="shared" si="16"/>
        <v>E2.34.06</v>
      </c>
      <c r="G524" s="34">
        <f t="shared" si="17"/>
        <v>2.4</v>
      </c>
    </row>
    <row r="525" spans="2:7" ht="13.8" customHeight="1" x14ac:dyDescent="0.25">
      <c r="B525" s="33" t="s">
        <v>0</v>
      </c>
      <c r="C525" s="33">
        <v>2766398</v>
      </c>
      <c r="D525" s="33">
        <v>2.4</v>
      </c>
      <c r="E525" s="33" t="s">
        <v>217</v>
      </c>
      <c r="F525" s="31" t="str">
        <f t="shared" si="16"/>
        <v>E2.34.06</v>
      </c>
      <c r="G525" s="34">
        <f t="shared" si="17"/>
        <v>2.4</v>
      </c>
    </row>
    <row r="526" spans="2:7" ht="13.8" customHeight="1" x14ac:dyDescent="0.25">
      <c r="B526" s="33" t="s">
        <v>0</v>
      </c>
      <c r="C526" s="33">
        <v>2766400</v>
      </c>
      <c r="D526" s="33">
        <v>2.4</v>
      </c>
      <c r="E526" s="33" t="s">
        <v>217</v>
      </c>
      <c r="F526" s="31" t="str">
        <f t="shared" si="16"/>
        <v>E2.34.06</v>
      </c>
      <c r="G526" s="34">
        <f t="shared" si="17"/>
        <v>2.4</v>
      </c>
    </row>
    <row r="527" spans="2:7" ht="13.8" customHeight="1" x14ac:dyDescent="0.25">
      <c r="B527" s="33" t="s">
        <v>0</v>
      </c>
      <c r="C527" s="33">
        <v>2766402</v>
      </c>
      <c r="D527" s="33">
        <v>2.4</v>
      </c>
      <c r="E527" s="33" t="s">
        <v>217</v>
      </c>
      <c r="F527" s="31" t="str">
        <f t="shared" si="16"/>
        <v>E2.34.06</v>
      </c>
      <c r="G527" s="34">
        <f t="shared" si="17"/>
        <v>2.4</v>
      </c>
    </row>
    <row r="528" spans="2:7" ht="13.8" customHeight="1" x14ac:dyDescent="0.25">
      <c r="B528" s="33" t="s">
        <v>0</v>
      </c>
      <c r="C528" s="33">
        <v>2766404</v>
      </c>
      <c r="D528" s="33">
        <v>2.4</v>
      </c>
      <c r="E528" s="33" t="s">
        <v>217</v>
      </c>
      <c r="F528" s="31" t="str">
        <f t="shared" si="16"/>
        <v>E2.34.06</v>
      </c>
      <c r="G528" s="34">
        <f t="shared" si="17"/>
        <v>2.4</v>
      </c>
    </row>
    <row r="529" spans="2:7" ht="13.8" customHeight="1" x14ac:dyDescent="0.25">
      <c r="B529" s="33" t="s">
        <v>0</v>
      </c>
      <c r="C529" s="33">
        <v>2766406</v>
      </c>
      <c r="D529" s="33">
        <v>2.4</v>
      </c>
      <c r="E529" s="33" t="s">
        <v>217</v>
      </c>
      <c r="F529" s="31" t="str">
        <f t="shared" si="16"/>
        <v>E2.34.06</v>
      </c>
      <c r="G529" s="34">
        <f t="shared" si="17"/>
        <v>2.4</v>
      </c>
    </row>
    <row r="530" spans="2:7" ht="13.8" customHeight="1" x14ac:dyDescent="0.25">
      <c r="B530" s="33" t="s">
        <v>0</v>
      </c>
      <c r="C530" s="33">
        <v>2766456</v>
      </c>
      <c r="D530" s="33">
        <v>1.8</v>
      </c>
      <c r="E530" s="33" t="s">
        <v>218</v>
      </c>
      <c r="F530" s="31" t="str">
        <f t="shared" si="16"/>
        <v>E2.34.04</v>
      </c>
      <c r="G530" s="34">
        <f t="shared" si="17"/>
        <v>1.8</v>
      </c>
    </row>
    <row r="531" spans="2:7" ht="13.8" customHeight="1" x14ac:dyDescent="0.25">
      <c r="B531" s="33" t="s">
        <v>0</v>
      </c>
      <c r="C531" s="33">
        <v>2766458</v>
      </c>
      <c r="D531" s="33">
        <v>1.8</v>
      </c>
      <c r="E531" s="33" t="s">
        <v>218</v>
      </c>
      <c r="F531" s="31" t="str">
        <f t="shared" si="16"/>
        <v>E2.34.04</v>
      </c>
      <c r="G531" s="34">
        <f t="shared" si="17"/>
        <v>1.8</v>
      </c>
    </row>
    <row r="532" spans="2:7" ht="13.8" customHeight="1" x14ac:dyDescent="0.25">
      <c r="B532" s="33" t="s">
        <v>0</v>
      </c>
      <c r="C532" s="33">
        <v>2766460</v>
      </c>
      <c r="D532" s="33">
        <v>2.4</v>
      </c>
      <c r="E532" s="33" t="s">
        <v>218</v>
      </c>
      <c r="F532" s="31" t="str">
        <f t="shared" si="16"/>
        <v>E2.34.04</v>
      </c>
      <c r="G532" s="34">
        <f t="shared" si="17"/>
        <v>2.4</v>
      </c>
    </row>
    <row r="533" spans="2:7" ht="13.8" customHeight="1" x14ac:dyDescent="0.25">
      <c r="B533" s="33" t="s">
        <v>0</v>
      </c>
      <c r="C533" s="33">
        <v>2766462</v>
      </c>
      <c r="D533" s="33">
        <v>2.4</v>
      </c>
      <c r="E533" s="33" t="s">
        <v>218</v>
      </c>
      <c r="F533" s="31" t="str">
        <f t="shared" si="16"/>
        <v>E2.34.04</v>
      </c>
      <c r="G533" s="34">
        <f t="shared" si="17"/>
        <v>2.4</v>
      </c>
    </row>
    <row r="534" spans="2:7" ht="13.8" customHeight="1" x14ac:dyDescent="0.25">
      <c r="B534" s="33" t="s">
        <v>0</v>
      </c>
      <c r="C534" s="33">
        <v>2766464</v>
      </c>
      <c r="D534" s="33">
        <v>2.4</v>
      </c>
      <c r="E534" s="33" t="s">
        <v>218</v>
      </c>
      <c r="F534" s="31" t="str">
        <f t="shared" si="16"/>
        <v>E2.34.04</v>
      </c>
      <c r="G534" s="34">
        <f t="shared" si="17"/>
        <v>2.4</v>
      </c>
    </row>
    <row r="535" spans="2:7" ht="13.8" customHeight="1" x14ac:dyDescent="0.25">
      <c r="B535" s="33" t="s">
        <v>0</v>
      </c>
      <c r="C535" s="33">
        <v>2766466</v>
      </c>
      <c r="D535" s="33">
        <v>2.4</v>
      </c>
      <c r="E535" s="33" t="s">
        <v>218</v>
      </c>
      <c r="F535" s="31" t="str">
        <f t="shared" si="16"/>
        <v>E2.34.04</v>
      </c>
      <c r="G535" s="34">
        <f t="shared" si="17"/>
        <v>2.4</v>
      </c>
    </row>
    <row r="536" spans="2:7" ht="13.8" customHeight="1" x14ac:dyDescent="0.25">
      <c r="B536" s="33" t="s">
        <v>0</v>
      </c>
      <c r="C536" s="33">
        <v>2766470</v>
      </c>
      <c r="D536" s="33">
        <v>2.4</v>
      </c>
      <c r="E536" s="33" t="s">
        <v>218</v>
      </c>
      <c r="F536" s="31" t="str">
        <f t="shared" si="16"/>
        <v>E2.34.04</v>
      </c>
      <c r="G536" s="34">
        <f t="shared" si="17"/>
        <v>2.4</v>
      </c>
    </row>
    <row r="537" spans="2:7" ht="13.8" customHeight="1" x14ac:dyDescent="0.25">
      <c r="B537" s="33" t="s">
        <v>0</v>
      </c>
      <c r="C537" s="33">
        <v>2766472</v>
      </c>
      <c r="D537" s="33">
        <v>2.4</v>
      </c>
      <c r="E537" s="33" t="s">
        <v>218</v>
      </c>
      <c r="F537" s="31" t="str">
        <f t="shared" si="16"/>
        <v>E2.34.04</v>
      </c>
      <c r="G537" s="34">
        <f t="shared" si="17"/>
        <v>2.4</v>
      </c>
    </row>
    <row r="538" spans="2:7" ht="13.8" customHeight="1" x14ac:dyDescent="0.25">
      <c r="B538" s="33" t="s">
        <v>0</v>
      </c>
      <c r="C538" s="33">
        <v>2766527</v>
      </c>
      <c r="D538" s="33">
        <v>2.4</v>
      </c>
      <c r="E538" s="33" t="s">
        <v>219</v>
      </c>
      <c r="F538" s="31" t="str">
        <f t="shared" si="16"/>
        <v>E2.34.01</v>
      </c>
      <c r="G538" s="34">
        <f t="shared" si="17"/>
        <v>2.4</v>
      </c>
    </row>
    <row r="539" spans="2:7" ht="13.8" customHeight="1" x14ac:dyDescent="0.25">
      <c r="B539" s="33" t="s">
        <v>0</v>
      </c>
      <c r="C539" s="33">
        <v>2766532</v>
      </c>
      <c r="D539" s="33">
        <v>2.4</v>
      </c>
      <c r="E539" s="33" t="s">
        <v>219</v>
      </c>
      <c r="F539" s="31" t="str">
        <f t="shared" si="16"/>
        <v>E2.34.01</v>
      </c>
      <c r="G539" s="34">
        <f t="shared" si="17"/>
        <v>2.4</v>
      </c>
    </row>
    <row r="540" spans="2:7" ht="13.8" customHeight="1" x14ac:dyDescent="0.25">
      <c r="B540" s="33" t="s">
        <v>0</v>
      </c>
      <c r="C540" s="33">
        <v>2766534</v>
      </c>
      <c r="D540" s="33">
        <v>2.4</v>
      </c>
      <c r="E540" s="33" t="s">
        <v>219</v>
      </c>
      <c r="F540" s="31" t="str">
        <f t="shared" si="16"/>
        <v>E2.34.01</v>
      </c>
      <c r="G540" s="34">
        <f t="shared" si="17"/>
        <v>2.4</v>
      </c>
    </row>
    <row r="541" spans="2:7" ht="13.8" customHeight="1" x14ac:dyDescent="0.25">
      <c r="B541" s="33" t="s">
        <v>0</v>
      </c>
      <c r="C541" s="33">
        <v>2766536</v>
      </c>
      <c r="D541" s="33">
        <v>2.4</v>
      </c>
      <c r="E541" s="33" t="s">
        <v>219</v>
      </c>
      <c r="F541" s="31" t="str">
        <f t="shared" si="16"/>
        <v>E2.34.01</v>
      </c>
      <c r="G541" s="34">
        <f t="shared" si="17"/>
        <v>2.4</v>
      </c>
    </row>
    <row r="542" spans="2:7" ht="13.8" customHeight="1" x14ac:dyDescent="0.25">
      <c r="B542" s="33" t="s">
        <v>0</v>
      </c>
      <c r="C542" s="33">
        <v>2766538</v>
      </c>
      <c r="D542" s="33">
        <v>2.4</v>
      </c>
      <c r="E542" s="33" t="s">
        <v>219</v>
      </c>
      <c r="F542" s="31" t="str">
        <f t="shared" si="16"/>
        <v>E2.34.01</v>
      </c>
      <c r="G542" s="34">
        <f t="shared" si="17"/>
        <v>2.4</v>
      </c>
    </row>
    <row r="543" spans="2:7" ht="13.8" customHeight="1" x14ac:dyDescent="0.25">
      <c r="B543" s="33" t="s">
        <v>0</v>
      </c>
      <c r="C543" s="33">
        <v>2766540</v>
      </c>
      <c r="D543" s="33">
        <v>2.4</v>
      </c>
      <c r="E543" s="33" t="s">
        <v>219</v>
      </c>
      <c r="F543" s="31" t="str">
        <f t="shared" si="16"/>
        <v>E2.34.01</v>
      </c>
      <c r="G543" s="34">
        <f t="shared" si="17"/>
        <v>2.4</v>
      </c>
    </row>
    <row r="544" spans="2:7" ht="13.8" customHeight="1" x14ac:dyDescent="0.25">
      <c r="B544" s="33" t="s">
        <v>0</v>
      </c>
      <c r="C544" s="33">
        <v>2766542</v>
      </c>
      <c r="D544" s="33">
        <v>1.8</v>
      </c>
      <c r="E544" s="33" t="s">
        <v>219</v>
      </c>
      <c r="F544" s="31" t="str">
        <f t="shared" si="16"/>
        <v>E2.34.01</v>
      </c>
      <c r="G544" s="34">
        <f t="shared" si="17"/>
        <v>1.8</v>
      </c>
    </row>
    <row r="545" spans="2:7" ht="13.8" customHeight="1" x14ac:dyDescent="0.25">
      <c r="B545" s="33" t="s">
        <v>0</v>
      </c>
      <c r="C545" s="33">
        <v>2766544</v>
      </c>
      <c r="D545" s="33">
        <v>1.8</v>
      </c>
      <c r="E545" s="33" t="s">
        <v>219</v>
      </c>
      <c r="F545" s="31" t="str">
        <f t="shared" si="16"/>
        <v>E2.34.01</v>
      </c>
      <c r="G545" s="34">
        <f t="shared" si="17"/>
        <v>1.8</v>
      </c>
    </row>
    <row r="546" spans="2:7" ht="13.8" customHeight="1" x14ac:dyDescent="0.25">
      <c r="B546" s="33" t="s">
        <v>0</v>
      </c>
      <c r="C546" s="33">
        <v>2766605</v>
      </c>
      <c r="D546" s="33">
        <v>2.4</v>
      </c>
      <c r="E546" s="33" t="s">
        <v>220</v>
      </c>
      <c r="F546" s="31" t="str">
        <f t="shared" si="16"/>
        <v>E2.34.02</v>
      </c>
      <c r="G546" s="34">
        <f t="shared" si="17"/>
        <v>2.4</v>
      </c>
    </row>
    <row r="547" spans="2:7" ht="13.8" customHeight="1" x14ac:dyDescent="0.25">
      <c r="B547" s="33" t="s">
        <v>0</v>
      </c>
      <c r="C547" s="33">
        <v>2766610</v>
      </c>
      <c r="D547" s="33">
        <v>2.4</v>
      </c>
      <c r="E547" s="33" t="s">
        <v>220</v>
      </c>
      <c r="F547" s="31" t="str">
        <f t="shared" si="16"/>
        <v>E2.34.02</v>
      </c>
      <c r="G547" s="34">
        <f t="shared" si="17"/>
        <v>2.4</v>
      </c>
    </row>
    <row r="548" spans="2:7" ht="13.8" customHeight="1" x14ac:dyDescent="0.25">
      <c r="B548" s="33" t="s">
        <v>0</v>
      </c>
      <c r="C548" s="33">
        <v>2766612</v>
      </c>
      <c r="D548" s="33">
        <v>2.4</v>
      </c>
      <c r="E548" s="33" t="s">
        <v>220</v>
      </c>
      <c r="F548" s="31" t="str">
        <f t="shared" si="16"/>
        <v>E2.34.02</v>
      </c>
      <c r="G548" s="34">
        <f t="shared" si="17"/>
        <v>2.4</v>
      </c>
    </row>
    <row r="549" spans="2:7" ht="13.8" customHeight="1" x14ac:dyDescent="0.25">
      <c r="B549" s="33" t="s">
        <v>0</v>
      </c>
      <c r="C549" s="33">
        <v>2766617</v>
      </c>
      <c r="D549" s="33">
        <v>2.4</v>
      </c>
      <c r="E549" s="33" t="s">
        <v>220</v>
      </c>
      <c r="F549" s="31" t="str">
        <f t="shared" si="16"/>
        <v>E2.34.02</v>
      </c>
      <c r="G549" s="34">
        <f t="shared" si="17"/>
        <v>2.4</v>
      </c>
    </row>
    <row r="550" spans="2:7" ht="13.8" customHeight="1" x14ac:dyDescent="0.25">
      <c r="B550" s="33" t="s">
        <v>0</v>
      </c>
      <c r="C550" s="33">
        <v>2766619</v>
      </c>
      <c r="D550" s="33">
        <v>2.4</v>
      </c>
      <c r="E550" s="33" t="s">
        <v>220</v>
      </c>
      <c r="F550" s="31" t="str">
        <f t="shared" si="16"/>
        <v>E2.34.02</v>
      </c>
      <c r="G550" s="34">
        <f t="shared" si="17"/>
        <v>2.4</v>
      </c>
    </row>
    <row r="551" spans="2:7" ht="13.8" customHeight="1" x14ac:dyDescent="0.25">
      <c r="B551" s="33" t="s">
        <v>0</v>
      </c>
      <c r="C551" s="33">
        <v>2766621</v>
      </c>
      <c r="D551" s="33">
        <v>2.4</v>
      </c>
      <c r="E551" s="33" t="s">
        <v>220</v>
      </c>
      <c r="F551" s="31" t="str">
        <f t="shared" si="16"/>
        <v>E2.34.02</v>
      </c>
      <c r="G551" s="34">
        <f t="shared" si="17"/>
        <v>2.4</v>
      </c>
    </row>
    <row r="552" spans="2:7" ht="13.8" customHeight="1" x14ac:dyDescent="0.25">
      <c r="B552" s="33" t="s">
        <v>0</v>
      </c>
      <c r="C552" s="33">
        <v>2766623</v>
      </c>
      <c r="D552" s="33">
        <v>2.4</v>
      </c>
      <c r="E552" s="33" t="s">
        <v>220</v>
      </c>
      <c r="F552" s="31" t="str">
        <f t="shared" si="16"/>
        <v>E2.34.02</v>
      </c>
      <c r="G552" s="34">
        <f t="shared" si="17"/>
        <v>2.4</v>
      </c>
    </row>
    <row r="553" spans="2:7" ht="13.8" customHeight="1" x14ac:dyDescent="0.25">
      <c r="B553" s="33" t="s">
        <v>0</v>
      </c>
      <c r="C553" s="33">
        <v>2766625</v>
      </c>
      <c r="D553" s="33">
        <v>2.4</v>
      </c>
      <c r="E553" s="33" t="s">
        <v>220</v>
      </c>
      <c r="F553" s="31" t="str">
        <f t="shared" si="16"/>
        <v>E2.34.02</v>
      </c>
      <c r="G553" s="34">
        <f t="shared" si="17"/>
        <v>2.4</v>
      </c>
    </row>
    <row r="554" spans="2:7" ht="13.8" customHeight="1" x14ac:dyDescent="0.25">
      <c r="B554" s="33" t="s">
        <v>0</v>
      </c>
      <c r="C554" s="33">
        <v>2766627</v>
      </c>
      <c r="D554" s="33">
        <v>2.4</v>
      </c>
      <c r="E554" s="33" t="s">
        <v>220</v>
      </c>
      <c r="F554" s="31" t="str">
        <f t="shared" si="16"/>
        <v>E2.34.02</v>
      </c>
      <c r="G554" s="34">
        <f t="shared" si="17"/>
        <v>2.4</v>
      </c>
    </row>
    <row r="555" spans="2:7" ht="13.8" customHeight="1" x14ac:dyDescent="0.25">
      <c r="B555" s="33" t="s">
        <v>0</v>
      </c>
      <c r="C555" s="33">
        <v>2766629</v>
      </c>
      <c r="D555" s="33">
        <v>2.4</v>
      </c>
      <c r="E555" s="33" t="s">
        <v>220</v>
      </c>
      <c r="F555" s="31" t="str">
        <f t="shared" si="16"/>
        <v>E2.34.02</v>
      </c>
      <c r="G555" s="34">
        <f t="shared" si="17"/>
        <v>2.4</v>
      </c>
    </row>
    <row r="556" spans="2:7" ht="13.8" customHeight="1" x14ac:dyDescent="0.25">
      <c r="B556" s="33" t="s">
        <v>0</v>
      </c>
      <c r="C556" s="33">
        <v>2766631</v>
      </c>
      <c r="D556" s="33">
        <v>1.8</v>
      </c>
      <c r="E556" s="33" t="s">
        <v>220</v>
      </c>
      <c r="F556" s="31" t="str">
        <f t="shared" si="16"/>
        <v>E2.34.02</v>
      </c>
      <c r="G556" s="34">
        <f t="shared" si="17"/>
        <v>1.8</v>
      </c>
    </row>
    <row r="557" spans="2:7" ht="13.8" customHeight="1" x14ac:dyDescent="0.25">
      <c r="B557" s="33" t="s">
        <v>0</v>
      </c>
      <c r="C557" s="33">
        <v>2766633</v>
      </c>
      <c r="D557" s="33">
        <v>1.8</v>
      </c>
      <c r="E557" s="33" t="s">
        <v>220</v>
      </c>
      <c r="F557" s="31" t="str">
        <f t="shared" si="16"/>
        <v>E2.34.02</v>
      </c>
      <c r="G557" s="34">
        <f t="shared" si="17"/>
        <v>1.8</v>
      </c>
    </row>
    <row r="558" spans="2:7" ht="13.8" customHeight="1" x14ac:dyDescent="0.25">
      <c r="B558" s="33" t="s">
        <v>0</v>
      </c>
      <c r="C558" s="33">
        <v>2766696</v>
      </c>
      <c r="D558" s="33">
        <v>2.4</v>
      </c>
      <c r="E558" s="33" t="s">
        <v>221</v>
      </c>
      <c r="F558" s="31" t="str">
        <f t="shared" si="16"/>
        <v>E2.34.03</v>
      </c>
      <c r="G558" s="34">
        <f t="shared" si="17"/>
        <v>2.4</v>
      </c>
    </row>
    <row r="559" spans="2:7" ht="13.8" customHeight="1" x14ac:dyDescent="0.25">
      <c r="B559" s="33" t="s">
        <v>0</v>
      </c>
      <c r="C559" s="33">
        <v>2766698</v>
      </c>
      <c r="D559" s="33">
        <v>2.4</v>
      </c>
      <c r="E559" s="33" t="s">
        <v>221</v>
      </c>
      <c r="F559" s="31" t="str">
        <f t="shared" si="16"/>
        <v>E2.34.03</v>
      </c>
      <c r="G559" s="34">
        <f t="shared" si="17"/>
        <v>2.4</v>
      </c>
    </row>
    <row r="560" spans="2:7" ht="13.8" customHeight="1" x14ac:dyDescent="0.25">
      <c r="B560" s="33" t="s">
        <v>0</v>
      </c>
      <c r="C560" s="33">
        <v>2766700</v>
      </c>
      <c r="D560" s="33">
        <v>2.4</v>
      </c>
      <c r="E560" s="33" t="s">
        <v>221</v>
      </c>
      <c r="F560" s="31" t="str">
        <f t="shared" si="16"/>
        <v>E2.34.03</v>
      </c>
      <c r="G560" s="34">
        <f t="shared" si="17"/>
        <v>2.4</v>
      </c>
    </row>
    <row r="561" spans="2:7" ht="13.8" customHeight="1" x14ac:dyDescent="0.25">
      <c r="B561" s="33" t="s">
        <v>0</v>
      </c>
      <c r="C561" s="33">
        <v>2766702</v>
      </c>
      <c r="D561" s="33">
        <v>2.4</v>
      </c>
      <c r="E561" s="33" t="s">
        <v>221</v>
      </c>
      <c r="F561" s="31" t="str">
        <f t="shared" si="16"/>
        <v>E2.34.03</v>
      </c>
      <c r="G561" s="34">
        <f t="shared" si="17"/>
        <v>2.4</v>
      </c>
    </row>
    <row r="562" spans="2:7" ht="13.8" customHeight="1" x14ac:dyDescent="0.25">
      <c r="B562" s="33" t="s">
        <v>0</v>
      </c>
      <c r="C562" s="33">
        <v>2766704</v>
      </c>
      <c r="D562" s="33">
        <v>2.4</v>
      </c>
      <c r="E562" s="33" t="s">
        <v>221</v>
      </c>
      <c r="F562" s="31" t="str">
        <f t="shared" si="16"/>
        <v>E2.34.03</v>
      </c>
      <c r="G562" s="34">
        <f t="shared" si="17"/>
        <v>2.4</v>
      </c>
    </row>
    <row r="563" spans="2:7" ht="13.8" customHeight="1" x14ac:dyDescent="0.25">
      <c r="B563" s="33" t="s">
        <v>0</v>
      </c>
      <c r="C563" s="33">
        <v>2766706</v>
      </c>
      <c r="D563" s="33">
        <v>2.4</v>
      </c>
      <c r="E563" s="33" t="s">
        <v>221</v>
      </c>
      <c r="F563" s="31" t="str">
        <f t="shared" si="16"/>
        <v>E2.34.03</v>
      </c>
      <c r="G563" s="34">
        <f t="shared" si="17"/>
        <v>2.4</v>
      </c>
    </row>
    <row r="564" spans="2:7" ht="13.8" customHeight="1" x14ac:dyDescent="0.25">
      <c r="B564" s="33" t="s">
        <v>0</v>
      </c>
      <c r="C564" s="33">
        <v>2766708</v>
      </c>
      <c r="D564" s="33">
        <v>2.4</v>
      </c>
      <c r="E564" s="33" t="s">
        <v>221</v>
      </c>
      <c r="F564" s="31" t="str">
        <f t="shared" si="16"/>
        <v>E2.34.03</v>
      </c>
      <c r="G564" s="34">
        <f t="shared" si="17"/>
        <v>2.4</v>
      </c>
    </row>
    <row r="565" spans="2:7" ht="13.8" customHeight="1" x14ac:dyDescent="0.25">
      <c r="B565" s="33" t="s">
        <v>0</v>
      </c>
      <c r="C565" s="33">
        <v>2766710</v>
      </c>
      <c r="D565" s="33">
        <v>2.4</v>
      </c>
      <c r="E565" s="33" t="s">
        <v>221</v>
      </c>
      <c r="F565" s="31" t="str">
        <f t="shared" si="16"/>
        <v>E2.34.03</v>
      </c>
      <c r="G565" s="34">
        <f t="shared" si="17"/>
        <v>2.4</v>
      </c>
    </row>
    <row r="566" spans="2:7" ht="13.8" customHeight="1" x14ac:dyDescent="0.25">
      <c r="B566" s="33" t="s">
        <v>0</v>
      </c>
      <c r="C566" s="33">
        <v>2766713</v>
      </c>
      <c r="D566" s="33">
        <v>1.8</v>
      </c>
      <c r="E566" s="33" t="s">
        <v>221</v>
      </c>
      <c r="F566" s="31" t="str">
        <f t="shared" si="16"/>
        <v>E2.34.03</v>
      </c>
      <c r="G566" s="34">
        <f t="shared" si="17"/>
        <v>1.8</v>
      </c>
    </row>
    <row r="567" spans="2:7" ht="13.8" customHeight="1" x14ac:dyDescent="0.25">
      <c r="B567" s="33" t="s">
        <v>0</v>
      </c>
      <c r="C567" s="33">
        <v>2766715</v>
      </c>
      <c r="D567" s="33">
        <v>1.8</v>
      </c>
      <c r="E567" s="33" t="s">
        <v>221</v>
      </c>
      <c r="F567" s="31" t="str">
        <f t="shared" si="16"/>
        <v>E2.34.03</v>
      </c>
      <c r="G567" s="34">
        <f t="shared" si="17"/>
        <v>1.8</v>
      </c>
    </row>
    <row r="568" spans="2:7" ht="13.8" customHeight="1" x14ac:dyDescent="0.25">
      <c r="B568" s="33" t="s">
        <v>0</v>
      </c>
      <c r="C568" s="33">
        <v>2766770</v>
      </c>
      <c r="D568" s="33">
        <v>2.4</v>
      </c>
      <c r="E568" s="33" t="s">
        <v>222</v>
      </c>
      <c r="F568" s="31" t="str">
        <f t="shared" si="16"/>
        <v>D1.09.02</v>
      </c>
      <c r="G568" s="34">
        <f t="shared" si="17"/>
        <v>2.4</v>
      </c>
    </row>
    <row r="569" spans="2:7" ht="13.8" customHeight="1" x14ac:dyDescent="0.25">
      <c r="B569" s="33" t="s">
        <v>0</v>
      </c>
      <c r="C569" s="33">
        <v>2766772</v>
      </c>
      <c r="D569" s="33">
        <v>2.4</v>
      </c>
      <c r="E569" s="33" t="s">
        <v>222</v>
      </c>
      <c r="F569" s="31" t="str">
        <f t="shared" si="16"/>
        <v>D1.09.02</v>
      </c>
      <c r="G569" s="34">
        <f t="shared" si="17"/>
        <v>2.4</v>
      </c>
    </row>
    <row r="570" spans="2:7" ht="13.8" customHeight="1" x14ac:dyDescent="0.25">
      <c r="B570" s="33" t="s">
        <v>0</v>
      </c>
      <c r="C570" s="33">
        <v>2766774</v>
      </c>
      <c r="D570" s="33">
        <v>1.8</v>
      </c>
      <c r="E570" s="33" t="s">
        <v>222</v>
      </c>
      <c r="F570" s="31" t="str">
        <f t="shared" si="16"/>
        <v>D1.09.02</v>
      </c>
      <c r="G570" s="34">
        <f t="shared" si="17"/>
        <v>1.8</v>
      </c>
    </row>
    <row r="571" spans="2:7" ht="13.8" customHeight="1" x14ac:dyDescent="0.25">
      <c r="B571" s="33" t="s">
        <v>0</v>
      </c>
      <c r="C571" s="33">
        <v>2766776</v>
      </c>
      <c r="D571" s="33">
        <v>1.8</v>
      </c>
      <c r="E571" s="33" t="s">
        <v>222</v>
      </c>
      <c r="F571" s="31" t="str">
        <f t="shared" si="16"/>
        <v>D1.09.02</v>
      </c>
      <c r="G571" s="34">
        <f t="shared" si="17"/>
        <v>1.8</v>
      </c>
    </row>
    <row r="572" spans="2:7" ht="13.8" customHeight="1" x14ac:dyDescent="0.25">
      <c r="B572" s="33" t="s">
        <v>0</v>
      </c>
      <c r="C572" s="33">
        <v>2766778</v>
      </c>
      <c r="D572" s="33">
        <v>1.8</v>
      </c>
      <c r="E572" s="33" t="s">
        <v>222</v>
      </c>
      <c r="F572" s="31" t="str">
        <f t="shared" si="16"/>
        <v>D1.09.02</v>
      </c>
      <c r="G572" s="34">
        <f t="shared" si="17"/>
        <v>1.8</v>
      </c>
    </row>
    <row r="573" spans="2:7" ht="13.8" customHeight="1" x14ac:dyDescent="0.25">
      <c r="B573" s="33" t="s">
        <v>0</v>
      </c>
      <c r="C573" s="33">
        <v>2766780</v>
      </c>
      <c r="D573" s="33">
        <v>1.8</v>
      </c>
      <c r="E573" s="33" t="s">
        <v>222</v>
      </c>
      <c r="F573" s="31" t="str">
        <f t="shared" si="16"/>
        <v>D1.09.02</v>
      </c>
      <c r="G573" s="34">
        <f t="shared" si="17"/>
        <v>1.8</v>
      </c>
    </row>
    <row r="574" spans="2:7" ht="13.8" customHeight="1" x14ac:dyDescent="0.25">
      <c r="B574" s="33" t="s">
        <v>0</v>
      </c>
      <c r="C574" s="33">
        <v>2766782</v>
      </c>
      <c r="D574" s="33">
        <v>1.8</v>
      </c>
      <c r="E574" s="33" t="s">
        <v>222</v>
      </c>
      <c r="F574" s="31" t="str">
        <f t="shared" si="16"/>
        <v>D1.09.02</v>
      </c>
      <c r="G574" s="34">
        <f t="shared" si="17"/>
        <v>1.8</v>
      </c>
    </row>
    <row r="575" spans="2:7" ht="13.8" customHeight="1" x14ac:dyDescent="0.25">
      <c r="B575" s="33" t="s">
        <v>0</v>
      </c>
      <c r="C575" s="33">
        <v>2766784</v>
      </c>
      <c r="D575" s="33">
        <v>1.8</v>
      </c>
      <c r="E575" s="33" t="s">
        <v>222</v>
      </c>
      <c r="F575" s="31" t="str">
        <f t="shared" si="16"/>
        <v>D1.09.02</v>
      </c>
      <c r="G575" s="34">
        <f t="shared" si="17"/>
        <v>1.8</v>
      </c>
    </row>
    <row r="576" spans="2:7" ht="13.8" customHeight="1" x14ac:dyDescent="0.25">
      <c r="B576" s="33" t="s">
        <v>0</v>
      </c>
      <c r="C576" s="33">
        <v>2766786</v>
      </c>
      <c r="D576" s="33">
        <v>1.8</v>
      </c>
      <c r="E576" s="33" t="s">
        <v>222</v>
      </c>
      <c r="F576" s="31" t="str">
        <f t="shared" si="16"/>
        <v>D1.09.02</v>
      </c>
      <c r="G576" s="34">
        <f t="shared" si="17"/>
        <v>1.8</v>
      </c>
    </row>
    <row r="577" spans="2:7" ht="13.8" customHeight="1" x14ac:dyDescent="0.25">
      <c r="B577" s="33" t="s">
        <v>0</v>
      </c>
      <c r="C577" s="33">
        <v>2766788</v>
      </c>
      <c r="D577" s="33">
        <v>1.8</v>
      </c>
      <c r="E577" s="33" t="s">
        <v>222</v>
      </c>
      <c r="F577" s="31" t="str">
        <f t="shared" si="16"/>
        <v>D1.09.02</v>
      </c>
      <c r="G577" s="34">
        <f t="shared" si="17"/>
        <v>1.8</v>
      </c>
    </row>
    <row r="578" spans="2:7" ht="13.8" customHeight="1" x14ac:dyDescent="0.25">
      <c r="B578" s="33" t="s">
        <v>0</v>
      </c>
      <c r="C578" s="33">
        <v>2766839</v>
      </c>
      <c r="D578" s="33">
        <v>1.8</v>
      </c>
      <c r="E578" s="33" t="s">
        <v>223</v>
      </c>
      <c r="F578" s="31" t="str">
        <f t="shared" si="16"/>
        <v>D1.09.03</v>
      </c>
      <c r="G578" s="34">
        <f t="shared" si="17"/>
        <v>1.8</v>
      </c>
    </row>
    <row r="579" spans="2:7" ht="13.8" customHeight="1" x14ac:dyDescent="0.25">
      <c r="B579" s="33" t="s">
        <v>0</v>
      </c>
      <c r="C579" s="33">
        <v>2766841</v>
      </c>
      <c r="D579" s="33">
        <v>1.8</v>
      </c>
      <c r="E579" s="33" t="s">
        <v>223</v>
      </c>
      <c r="F579" s="31" t="str">
        <f t="shared" si="16"/>
        <v>D1.09.03</v>
      </c>
      <c r="G579" s="34">
        <f t="shared" si="17"/>
        <v>1.8</v>
      </c>
    </row>
    <row r="580" spans="2:7" ht="13.8" customHeight="1" x14ac:dyDescent="0.25">
      <c r="B580" s="33" t="s">
        <v>0</v>
      </c>
      <c r="C580" s="33">
        <v>2766843</v>
      </c>
      <c r="D580" s="33">
        <v>2.4</v>
      </c>
      <c r="E580" s="33" t="s">
        <v>223</v>
      </c>
      <c r="F580" s="31" t="str">
        <f t="shared" si="16"/>
        <v>D1.09.03</v>
      </c>
      <c r="G580" s="34">
        <f t="shared" si="17"/>
        <v>2.4</v>
      </c>
    </row>
    <row r="581" spans="2:7" ht="13.8" customHeight="1" x14ac:dyDescent="0.25">
      <c r="B581" s="33" t="s">
        <v>0</v>
      </c>
      <c r="C581" s="33">
        <v>2766845</v>
      </c>
      <c r="D581" s="33">
        <v>2.4</v>
      </c>
      <c r="E581" s="33" t="s">
        <v>223</v>
      </c>
      <c r="F581" s="31" t="str">
        <f t="shared" si="16"/>
        <v>D1.09.03</v>
      </c>
      <c r="G581" s="34">
        <f t="shared" si="17"/>
        <v>2.4</v>
      </c>
    </row>
    <row r="582" spans="2:7" ht="13.8" customHeight="1" x14ac:dyDescent="0.25">
      <c r="B582" s="33" t="s">
        <v>0</v>
      </c>
      <c r="C582" s="33">
        <v>2766847</v>
      </c>
      <c r="D582" s="33">
        <v>1.8</v>
      </c>
      <c r="E582" s="33" t="s">
        <v>223</v>
      </c>
      <c r="F582" s="31" t="str">
        <f t="shared" si="16"/>
        <v>D1.09.03</v>
      </c>
      <c r="G582" s="34">
        <f t="shared" si="17"/>
        <v>1.8</v>
      </c>
    </row>
    <row r="583" spans="2:7" ht="13.8" customHeight="1" x14ac:dyDescent="0.25">
      <c r="B583" s="33" t="s">
        <v>0</v>
      </c>
      <c r="C583" s="33">
        <v>2766849</v>
      </c>
      <c r="D583" s="33">
        <v>1.8</v>
      </c>
      <c r="E583" s="33" t="s">
        <v>223</v>
      </c>
      <c r="F583" s="31" t="str">
        <f t="shared" ref="F583:F646" si="18">LEFT(E583,8)</f>
        <v>D1.09.03</v>
      </c>
      <c r="G583" s="34">
        <f t="shared" ref="G583:G646" si="19">D583</f>
        <v>1.8</v>
      </c>
    </row>
    <row r="584" spans="2:7" ht="13.8" customHeight="1" x14ac:dyDescent="0.25">
      <c r="B584" s="33" t="s">
        <v>0</v>
      </c>
      <c r="C584" s="33">
        <v>2766851</v>
      </c>
      <c r="D584" s="33">
        <v>1.8</v>
      </c>
      <c r="E584" s="33" t="s">
        <v>223</v>
      </c>
      <c r="F584" s="31" t="str">
        <f t="shared" si="18"/>
        <v>D1.09.03</v>
      </c>
      <c r="G584" s="34">
        <f t="shared" si="19"/>
        <v>1.8</v>
      </c>
    </row>
    <row r="585" spans="2:7" ht="13.8" customHeight="1" x14ac:dyDescent="0.25">
      <c r="B585" s="33" t="s">
        <v>0</v>
      </c>
      <c r="C585" s="33">
        <v>2766853</v>
      </c>
      <c r="D585" s="33">
        <v>1.8</v>
      </c>
      <c r="E585" s="33" t="s">
        <v>223</v>
      </c>
      <c r="F585" s="31" t="str">
        <f t="shared" si="18"/>
        <v>D1.09.03</v>
      </c>
      <c r="G585" s="34">
        <f t="shared" si="19"/>
        <v>1.8</v>
      </c>
    </row>
    <row r="586" spans="2:7" ht="13.8" customHeight="1" x14ac:dyDescent="0.25">
      <c r="B586" s="33" t="s">
        <v>0</v>
      </c>
      <c r="C586" s="33">
        <v>2766904</v>
      </c>
      <c r="D586" s="33">
        <v>1.8</v>
      </c>
      <c r="E586" s="33" t="s">
        <v>224</v>
      </c>
      <c r="F586" s="31" t="str">
        <f t="shared" si="18"/>
        <v>D1.12.01</v>
      </c>
      <c r="G586" s="34">
        <f t="shared" si="19"/>
        <v>1.8</v>
      </c>
    </row>
    <row r="587" spans="2:7" ht="13.8" customHeight="1" x14ac:dyDescent="0.25">
      <c r="B587" s="33" t="s">
        <v>0</v>
      </c>
      <c r="C587" s="33">
        <v>2766906</v>
      </c>
      <c r="D587" s="33">
        <v>1.8</v>
      </c>
      <c r="E587" s="33" t="s">
        <v>224</v>
      </c>
      <c r="F587" s="31" t="str">
        <f t="shared" si="18"/>
        <v>D1.12.01</v>
      </c>
      <c r="G587" s="34">
        <f t="shared" si="19"/>
        <v>1.8</v>
      </c>
    </row>
    <row r="588" spans="2:7" ht="13.8" customHeight="1" x14ac:dyDescent="0.25">
      <c r="B588" s="33" t="s">
        <v>0</v>
      </c>
      <c r="C588" s="33">
        <v>2766908</v>
      </c>
      <c r="D588" s="33">
        <v>2.4</v>
      </c>
      <c r="E588" s="33" t="s">
        <v>224</v>
      </c>
      <c r="F588" s="31" t="str">
        <f t="shared" si="18"/>
        <v>D1.12.01</v>
      </c>
      <c r="G588" s="34">
        <f t="shared" si="19"/>
        <v>2.4</v>
      </c>
    </row>
    <row r="589" spans="2:7" ht="13.8" customHeight="1" x14ac:dyDescent="0.25">
      <c r="B589" s="33" t="s">
        <v>0</v>
      </c>
      <c r="C589" s="33">
        <v>2766910</v>
      </c>
      <c r="D589" s="33">
        <v>2.4</v>
      </c>
      <c r="E589" s="33" t="s">
        <v>224</v>
      </c>
      <c r="F589" s="31" t="str">
        <f t="shared" si="18"/>
        <v>D1.12.01</v>
      </c>
      <c r="G589" s="34">
        <f t="shared" si="19"/>
        <v>2.4</v>
      </c>
    </row>
    <row r="590" spans="2:7" ht="13.8" customHeight="1" x14ac:dyDescent="0.25">
      <c r="B590" s="33" t="s">
        <v>0</v>
      </c>
      <c r="C590" s="33">
        <v>2766912</v>
      </c>
      <c r="D590" s="33">
        <v>1.8</v>
      </c>
      <c r="E590" s="33" t="s">
        <v>224</v>
      </c>
      <c r="F590" s="31" t="str">
        <f t="shared" si="18"/>
        <v>D1.12.01</v>
      </c>
      <c r="G590" s="34">
        <f t="shared" si="19"/>
        <v>1.8</v>
      </c>
    </row>
    <row r="591" spans="2:7" ht="13.8" customHeight="1" x14ac:dyDescent="0.25">
      <c r="B591" s="33" t="s">
        <v>0</v>
      </c>
      <c r="C591" s="33">
        <v>2766914</v>
      </c>
      <c r="D591" s="33">
        <v>1.8</v>
      </c>
      <c r="E591" s="33" t="s">
        <v>224</v>
      </c>
      <c r="F591" s="31" t="str">
        <f t="shared" si="18"/>
        <v>D1.12.01</v>
      </c>
      <c r="G591" s="34">
        <f t="shared" si="19"/>
        <v>1.8</v>
      </c>
    </row>
    <row r="592" spans="2:7" ht="13.8" customHeight="1" x14ac:dyDescent="0.25">
      <c r="B592" s="33" t="s">
        <v>0</v>
      </c>
      <c r="C592" s="33">
        <v>2766916</v>
      </c>
      <c r="D592" s="33">
        <v>1.8</v>
      </c>
      <c r="E592" s="33" t="s">
        <v>224</v>
      </c>
      <c r="F592" s="31" t="str">
        <f t="shared" si="18"/>
        <v>D1.12.01</v>
      </c>
      <c r="G592" s="34">
        <f t="shared" si="19"/>
        <v>1.8</v>
      </c>
    </row>
    <row r="593" spans="2:7" ht="13.8" customHeight="1" x14ac:dyDescent="0.25">
      <c r="B593" s="33" t="s">
        <v>0</v>
      </c>
      <c r="C593" s="33">
        <v>2766918</v>
      </c>
      <c r="D593" s="33">
        <v>1.8</v>
      </c>
      <c r="E593" s="33" t="s">
        <v>224</v>
      </c>
      <c r="F593" s="31" t="str">
        <f t="shared" si="18"/>
        <v>D1.12.01</v>
      </c>
      <c r="G593" s="34">
        <f t="shared" si="19"/>
        <v>1.8</v>
      </c>
    </row>
    <row r="594" spans="2:7" ht="13.8" customHeight="1" x14ac:dyDescent="0.25">
      <c r="B594" s="33" t="s">
        <v>0</v>
      </c>
      <c r="C594" s="33">
        <v>2766969</v>
      </c>
      <c r="D594" s="33">
        <v>2.4</v>
      </c>
      <c r="E594" s="33" t="s">
        <v>225</v>
      </c>
      <c r="F594" s="31" t="str">
        <f t="shared" si="18"/>
        <v>D1.12.02</v>
      </c>
      <c r="G594" s="34">
        <f t="shared" si="19"/>
        <v>2.4</v>
      </c>
    </row>
    <row r="595" spans="2:7" ht="13.8" customHeight="1" x14ac:dyDescent="0.25">
      <c r="B595" s="33" t="s">
        <v>0</v>
      </c>
      <c r="C595" s="33">
        <v>2766971</v>
      </c>
      <c r="D595" s="33">
        <v>2.4</v>
      </c>
      <c r="E595" s="33" t="s">
        <v>225</v>
      </c>
      <c r="F595" s="31" t="str">
        <f t="shared" si="18"/>
        <v>D1.12.02</v>
      </c>
      <c r="G595" s="34">
        <f t="shared" si="19"/>
        <v>2.4</v>
      </c>
    </row>
    <row r="596" spans="2:7" ht="13.8" customHeight="1" x14ac:dyDescent="0.25">
      <c r="B596" s="33" t="s">
        <v>0</v>
      </c>
      <c r="C596" s="33">
        <v>2766973</v>
      </c>
      <c r="D596" s="33">
        <v>1.8</v>
      </c>
      <c r="E596" s="33" t="s">
        <v>225</v>
      </c>
      <c r="F596" s="31" t="str">
        <f t="shared" si="18"/>
        <v>D1.12.02</v>
      </c>
      <c r="G596" s="34">
        <f t="shared" si="19"/>
        <v>1.8</v>
      </c>
    </row>
    <row r="597" spans="2:7" ht="13.8" customHeight="1" x14ac:dyDescent="0.25">
      <c r="B597" s="33" t="s">
        <v>0</v>
      </c>
      <c r="C597" s="33">
        <v>2766975</v>
      </c>
      <c r="D597" s="33">
        <v>1.8</v>
      </c>
      <c r="E597" s="33" t="s">
        <v>225</v>
      </c>
      <c r="F597" s="31" t="str">
        <f t="shared" si="18"/>
        <v>D1.12.02</v>
      </c>
      <c r="G597" s="34">
        <f t="shared" si="19"/>
        <v>1.8</v>
      </c>
    </row>
    <row r="598" spans="2:7" ht="13.8" customHeight="1" x14ac:dyDescent="0.25">
      <c r="B598" s="33" t="s">
        <v>0</v>
      </c>
      <c r="C598" s="33">
        <v>2767007</v>
      </c>
      <c r="D598" s="33">
        <v>2.4</v>
      </c>
      <c r="E598" s="33" t="s">
        <v>226</v>
      </c>
      <c r="F598" s="31" t="str">
        <f t="shared" si="18"/>
        <v>D1.08.04</v>
      </c>
      <c r="G598" s="34">
        <f t="shared" si="19"/>
        <v>2.4</v>
      </c>
    </row>
    <row r="599" spans="2:7" ht="13.8" customHeight="1" x14ac:dyDescent="0.25">
      <c r="B599" s="33" t="s">
        <v>0</v>
      </c>
      <c r="C599" s="33">
        <v>2767009</v>
      </c>
      <c r="D599" s="33">
        <v>2.4</v>
      </c>
      <c r="E599" s="33" t="s">
        <v>226</v>
      </c>
      <c r="F599" s="31" t="str">
        <f t="shared" si="18"/>
        <v>D1.08.04</v>
      </c>
      <c r="G599" s="34">
        <f t="shared" si="19"/>
        <v>2.4</v>
      </c>
    </row>
    <row r="600" spans="2:7" ht="13.8" customHeight="1" x14ac:dyDescent="0.25">
      <c r="B600" s="33" t="s">
        <v>0</v>
      </c>
      <c r="C600" s="33">
        <v>2767011</v>
      </c>
      <c r="D600" s="33">
        <v>1.8</v>
      </c>
      <c r="E600" s="33" t="s">
        <v>226</v>
      </c>
      <c r="F600" s="31" t="str">
        <f t="shared" si="18"/>
        <v>D1.08.04</v>
      </c>
      <c r="G600" s="34">
        <f t="shared" si="19"/>
        <v>1.8</v>
      </c>
    </row>
    <row r="601" spans="2:7" ht="13.8" customHeight="1" x14ac:dyDescent="0.25">
      <c r="B601" s="33" t="s">
        <v>0</v>
      </c>
      <c r="C601" s="33">
        <v>2767013</v>
      </c>
      <c r="D601" s="33">
        <v>1.8</v>
      </c>
      <c r="E601" s="33" t="s">
        <v>226</v>
      </c>
      <c r="F601" s="31" t="str">
        <f t="shared" si="18"/>
        <v>D1.08.04</v>
      </c>
      <c r="G601" s="34">
        <f t="shared" si="19"/>
        <v>1.8</v>
      </c>
    </row>
    <row r="602" spans="2:7" ht="13.8" customHeight="1" x14ac:dyDescent="0.25">
      <c r="B602" s="33" t="s">
        <v>0</v>
      </c>
      <c r="C602" s="33">
        <v>2767015</v>
      </c>
      <c r="D602" s="33">
        <v>1.8</v>
      </c>
      <c r="E602" s="33" t="s">
        <v>226</v>
      </c>
      <c r="F602" s="31" t="str">
        <f t="shared" si="18"/>
        <v>D1.08.04</v>
      </c>
      <c r="G602" s="34">
        <f t="shared" si="19"/>
        <v>1.8</v>
      </c>
    </row>
    <row r="603" spans="2:7" ht="13.8" customHeight="1" x14ac:dyDescent="0.25">
      <c r="B603" s="33" t="s">
        <v>0</v>
      </c>
      <c r="C603" s="33">
        <v>2767017</v>
      </c>
      <c r="D603" s="33">
        <v>1.8</v>
      </c>
      <c r="E603" s="33" t="s">
        <v>226</v>
      </c>
      <c r="F603" s="31" t="str">
        <f t="shared" si="18"/>
        <v>D1.08.04</v>
      </c>
      <c r="G603" s="34">
        <f t="shared" si="19"/>
        <v>1.8</v>
      </c>
    </row>
    <row r="604" spans="2:7" ht="13.8" customHeight="1" x14ac:dyDescent="0.25">
      <c r="B604" s="33" t="s">
        <v>0</v>
      </c>
      <c r="C604" s="33">
        <v>2767068</v>
      </c>
      <c r="D604" s="33">
        <v>2.4</v>
      </c>
      <c r="E604" s="33" t="s">
        <v>227</v>
      </c>
      <c r="F604" s="31" t="str">
        <f t="shared" si="18"/>
        <v>D1.08.05</v>
      </c>
      <c r="G604" s="34">
        <f t="shared" si="19"/>
        <v>2.4</v>
      </c>
    </row>
    <row r="605" spans="2:7" ht="13.8" customHeight="1" x14ac:dyDescent="0.25">
      <c r="B605" s="33" t="s">
        <v>0</v>
      </c>
      <c r="C605" s="33">
        <v>2767070</v>
      </c>
      <c r="D605" s="33">
        <v>2.4</v>
      </c>
      <c r="E605" s="33" t="s">
        <v>227</v>
      </c>
      <c r="F605" s="31" t="str">
        <f t="shared" si="18"/>
        <v>D1.08.05</v>
      </c>
      <c r="G605" s="34">
        <f t="shared" si="19"/>
        <v>2.4</v>
      </c>
    </row>
    <row r="606" spans="2:7" ht="13.8" customHeight="1" x14ac:dyDescent="0.25">
      <c r="B606" s="33" t="s">
        <v>0</v>
      </c>
      <c r="C606" s="33">
        <v>2767072</v>
      </c>
      <c r="D606" s="33">
        <v>1.8</v>
      </c>
      <c r="E606" s="33" t="s">
        <v>227</v>
      </c>
      <c r="F606" s="31" t="str">
        <f t="shared" si="18"/>
        <v>D1.08.05</v>
      </c>
      <c r="G606" s="34">
        <f t="shared" si="19"/>
        <v>1.8</v>
      </c>
    </row>
    <row r="607" spans="2:7" ht="13.8" customHeight="1" x14ac:dyDescent="0.25">
      <c r="B607" s="33" t="s">
        <v>0</v>
      </c>
      <c r="C607" s="33">
        <v>2767074</v>
      </c>
      <c r="D607" s="33">
        <v>1.8</v>
      </c>
      <c r="E607" s="33" t="s">
        <v>227</v>
      </c>
      <c r="F607" s="31" t="str">
        <f t="shared" si="18"/>
        <v>D1.08.05</v>
      </c>
      <c r="G607" s="34">
        <f t="shared" si="19"/>
        <v>1.8</v>
      </c>
    </row>
    <row r="608" spans="2:7" ht="13.8" customHeight="1" x14ac:dyDescent="0.25">
      <c r="B608" s="33" t="s">
        <v>0</v>
      </c>
      <c r="C608" s="33">
        <v>2767076</v>
      </c>
      <c r="D608" s="33">
        <v>1.8</v>
      </c>
      <c r="E608" s="33" t="s">
        <v>227</v>
      </c>
      <c r="F608" s="31" t="str">
        <f t="shared" si="18"/>
        <v>D1.08.05</v>
      </c>
      <c r="G608" s="34">
        <f t="shared" si="19"/>
        <v>1.8</v>
      </c>
    </row>
    <row r="609" spans="2:7" ht="13.8" customHeight="1" x14ac:dyDescent="0.25">
      <c r="B609" s="33" t="s">
        <v>0</v>
      </c>
      <c r="C609" s="33">
        <v>2767078</v>
      </c>
      <c r="D609" s="33">
        <v>1.8</v>
      </c>
      <c r="E609" s="33" t="s">
        <v>227</v>
      </c>
      <c r="F609" s="31" t="str">
        <f t="shared" si="18"/>
        <v>D1.08.05</v>
      </c>
      <c r="G609" s="34">
        <f t="shared" si="19"/>
        <v>1.8</v>
      </c>
    </row>
    <row r="610" spans="2:7" ht="13.8" customHeight="1" x14ac:dyDescent="0.25">
      <c r="B610" s="33" t="s">
        <v>0</v>
      </c>
      <c r="C610" s="33">
        <v>2767119</v>
      </c>
      <c r="D610" s="33">
        <v>2.4</v>
      </c>
      <c r="E610" s="33" t="s">
        <v>228</v>
      </c>
      <c r="F610" s="31" t="str">
        <f t="shared" si="18"/>
        <v>D1.08.02</v>
      </c>
      <c r="G610" s="34">
        <f t="shared" si="19"/>
        <v>2.4</v>
      </c>
    </row>
    <row r="611" spans="2:7" ht="13.8" customHeight="1" x14ac:dyDescent="0.25">
      <c r="B611" s="33" t="s">
        <v>0</v>
      </c>
      <c r="C611" s="33">
        <v>2767121</v>
      </c>
      <c r="D611" s="33">
        <v>2.4</v>
      </c>
      <c r="E611" s="33" t="s">
        <v>228</v>
      </c>
      <c r="F611" s="31" t="str">
        <f t="shared" si="18"/>
        <v>D1.08.02</v>
      </c>
      <c r="G611" s="34">
        <f t="shared" si="19"/>
        <v>2.4</v>
      </c>
    </row>
    <row r="612" spans="2:7" ht="13.8" customHeight="1" x14ac:dyDescent="0.25">
      <c r="B612" s="33" t="s">
        <v>0</v>
      </c>
      <c r="C612" s="33">
        <v>2767123</v>
      </c>
      <c r="D612" s="33">
        <v>1.8</v>
      </c>
      <c r="E612" s="33" t="s">
        <v>228</v>
      </c>
      <c r="F612" s="31" t="str">
        <f t="shared" si="18"/>
        <v>D1.08.02</v>
      </c>
      <c r="G612" s="34">
        <f t="shared" si="19"/>
        <v>1.8</v>
      </c>
    </row>
    <row r="613" spans="2:7" ht="13.8" customHeight="1" x14ac:dyDescent="0.25">
      <c r="B613" s="33" t="s">
        <v>0</v>
      </c>
      <c r="C613" s="33">
        <v>2767125</v>
      </c>
      <c r="D613" s="33">
        <v>1.8</v>
      </c>
      <c r="E613" s="33" t="s">
        <v>228</v>
      </c>
      <c r="F613" s="31" t="str">
        <f t="shared" si="18"/>
        <v>D1.08.02</v>
      </c>
      <c r="G613" s="34">
        <f t="shared" si="19"/>
        <v>1.8</v>
      </c>
    </row>
    <row r="614" spans="2:7" ht="13.8" customHeight="1" x14ac:dyDescent="0.25">
      <c r="B614" s="33" t="s">
        <v>0</v>
      </c>
      <c r="C614" s="33">
        <v>2767127</v>
      </c>
      <c r="D614" s="33">
        <v>1.8</v>
      </c>
      <c r="E614" s="33" t="s">
        <v>228</v>
      </c>
      <c r="F614" s="31" t="str">
        <f t="shared" si="18"/>
        <v>D1.08.02</v>
      </c>
      <c r="G614" s="34">
        <f t="shared" si="19"/>
        <v>1.8</v>
      </c>
    </row>
    <row r="615" spans="2:7" ht="13.8" customHeight="1" x14ac:dyDescent="0.25">
      <c r="B615" s="33" t="s">
        <v>0</v>
      </c>
      <c r="C615" s="33">
        <v>2767129</v>
      </c>
      <c r="D615" s="33">
        <v>1.8</v>
      </c>
      <c r="E615" s="33" t="s">
        <v>228</v>
      </c>
      <c r="F615" s="31" t="str">
        <f t="shared" si="18"/>
        <v>D1.08.02</v>
      </c>
      <c r="G615" s="34">
        <f t="shared" si="19"/>
        <v>1.8</v>
      </c>
    </row>
    <row r="616" spans="2:7" ht="13.8" customHeight="1" x14ac:dyDescent="0.25">
      <c r="B616" s="33" t="s">
        <v>0</v>
      </c>
      <c r="C616" s="33">
        <v>2767131</v>
      </c>
      <c r="D616" s="33">
        <v>1.8</v>
      </c>
      <c r="E616" s="33" t="s">
        <v>228</v>
      </c>
      <c r="F616" s="31" t="str">
        <f t="shared" si="18"/>
        <v>D1.08.02</v>
      </c>
      <c r="G616" s="34">
        <f t="shared" si="19"/>
        <v>1.8</v>
      </c>
    </row>
    <row r="617" spans="2:7" ht="13.8" customHeight="1" x14ac:dyDescent="0.25">
      <c r="B617" s="33" t="s">
        <v>0</v>
      </c>
      <c r="C617" s="33">
        <v>2767133</v>
      </c>
      <c r="D617" s="33">
        <v>1.8</v>
      </c>
      <c r="E617" s="33" t="s">
        <v>228</v>
      </c>
      <c r="F617" s="31" t="str">
        <f t="shared" si="18"/>
        <v>D1.08.02</v>
      </c>
      <c r="G617" s="34">
        <f t="shared" si="19"/>
        <v>1.8</v>
      </c>
    </row>
    <row r="618" spans="2:7" ht="13.8" customHeight="1" x14ac:dyDescent="0.25">
      <c r="B618" s="33" t="s">
        <v>0</v>
      </c>
      <c r="C618" s="33">
        <v>2767135</v>
      </c>
      <c r="D618" s="33">
        <v>1.8</v>
      </c>
      <c r="E618" s="33" t="s">
        <v>228</v>
      </c>
      <c r="F618" s="31" t="str">
        <f t="shared" si="18"/>
        <v>D1.08.02</v>
      </c>
      <c r="G618" s="34">
        <f t="shared" si="19"/>
        <v>1.8</v>
      </c>
    </row>
    <row r="619" spans="2:7" ht="13.8" customHeight="1" x14ac:dyDescent="0.25">
      <c r="B619" s="33" t="s">
        <v>0</v>
      </c>
      <c r="C619" s="33">
        <v>2767137</v>
      </c>
      <c r="D619" s="33">
        <v>1.8</v>
      </c>
      <c r="E619" s="33" t="s">
        <v>228</v>
      </c>
      <c r="F619" s="31" t="str">
        <f t="shared" si="18"/>
        <v>D1.08.02</v>
      </c>
      <c r="G619" s="34">
        <f t="shared" si="19"/>
        <v>1.8</v>
      </c>
    </row>
    <row r="620" spans="2:7" ht="13.8" customHeight="1" x14ac:dyDescent="0.25">
      <c r="B620" s="33" t="s">
        <v>0</v>
      </c>
      <c r="C620" s="33">
        <v>2767188</v>
      </c>
      <c r="D620" s="33">
        <v>2.4</v>
      </c>
      <c r="E620" s="33" t="s">
        <v>229</v>
      </c>
      <c r="F620" s="31" t="str">
        <f t="shared" si="18"/>
        <v>D1.08.01</v>
      </c>
      <c r="G620" s="34">
        <f t="shared" si="19"/>
        <v>2.4</v>
      </c>
    </row>
    <row r="621" spans="2:7" ht="13.8" customHeight="1" x14ac:dyDescent="0.25">
      <c r="B621" s="33" t="s">
        <v>0</v>
      </c>
      <c r="C621" s="33">
        <v>2767190</v>
      </c>
      <c r="D621" s="33">
        <v>2.4</v>
      </c>
      <c r="E621" s="33" t="s">
        <v>229</v>
      </c>
      <c r="F621" s="31" t="str">
        <f t="shared" si="18"/>
        <v>D1.08.01</v>
      </c>
      <c r="G621" s="34">
        <f t="shared" si="19"/>
        <v>2.4</v>
      </c>
    </row>
    <row r="622" spans="2:7" ht="13.8" customHeight="1" x14ac:dyDescent="0.25">
      <c r="B622" s="33" t="s">
        <v>0</v>
      </c>
      <c r="C622" s="33">
        <v>2767192</v>
      </c>
      <c r="D622" s="33">
        <v>1.8</v>
      </c>
      <c r="E622" s="33" t="s">
        <v>229</v>
      </c>
      <c r="F622" s="31" t="str">
        <f t="shared" si="18"/>
        <v>D1.08.01</v>
      </c>
      <c r="G622" s="34">
        <f t="shared" si="19"/>
        <v>1.8</v>
      </c>
    </row>
    <row r="623" spans="2:7" ht="13.8" customHeight="1" x14ac:dyDescent="0.25">
      <c r="B623" s="33" t="s">
        <v>0</v>
      </c>
      <c r="C623" s="33">
        <v>2767194</v>
      </c>
      <c r="D623" s="33">
        <v>1.8</v>
      </c>
      <c r="E623" s="33" t="s">
        <v>229</v>
      </c>
      <c r="F623" s="31" t="str">
        <f t="shared" si="18"/>
        <v>D1.08.01</v>
      </c>
      <c r="G623" s="34">
        <f t="shared" si="19"/>
        <v>1.8</v>
      </c>
    </row>
    <row r="624" spans="2:7" ht="13.8" customHeight="1" x14ac:dyDescent="0.25">
      <c r="B624" s="33" t="s">
        <v>0</v>
      </c>
      <c r="C624" s="33">
        <v>2767232</v>
      </c>
      <c r="D624" s="33">
        <v>1.8</v>
      </c>
      <c r="E624" s="33" t="s">
        <v>230</v>
      </c>
      <c r="F624" s="31" t="str">
        <f t="shared" si="18"/>
        <v>D1.08.03</v>
      </c>
      <c r="G624" s="34">
        <f t="shared" si="19"/>
        <v>1.8</v>
      </c>
    </row>
    <row r="625" spans="2:7" ht="13.8" customHeight="1" x14ac:dyDescent="0.25">
      <c r="B625" s="33" t="s">
        <v>0</v>
      </c>
      <c r="C625" s="33">
        <v>2767234</v>
      </c>
      <c r="D625" s="33">
        <v>1.8</v>
      </c>
      <c r="E625" s="33" t="s">
        <v>230</v>
      </c>
      <c r="F625" s="31" t="str">
        <f t="shared" si="18"/>
        <v>D1.08.03</v>
      </c>
      <c r="G625" s="34">
        <f t="shared" si="19"/>
        <v>1.8</v>
      </c>
    </row>
    <row r="626" spans="2:7" ht="13.8" customHeight="1" x14ac:dyDescent="0.25">
      <c r="B626" s="33" t="s">
        <v>0</v>
      </c>
      <c r="C626" s="33">
        <v>2767236</v>
      </c>
      <c r="D626" s="33">
        <v>2.4</v>
      </c>
      <c r="E626" s="33" t="s">
        <v>230</v>
      </c>
      <c r="F626" s="31" t="str">
        <f t="shared" si="18"/>
        <v>D1.08.03</v>
      </c>
      <c r="G626" s="34">
        <f t="shared" si="19"/>
        <v>2.4</v>
      </c>
    </row>
    <row r="627" spans="2:7" ht="13.8" customHeight="1" x14ac:dyDescent="0.25">
      <c r="B627" s="33" t="s">
        <v>0</v>
      </c>
      <c r="C627" s="33">
        <v>2767238</v>
      </c>
      <c r="D627" s="33">
        <v>2.4</v>
      </c>
      <c r="E627" s="33" t="s">
        <v>230</v>
      </c>
      <c r="F627" s="31" t="str">
        <f t="shared" si="18"/>
        <v>D1.08.03</v>
      </c>
      <c r="G627" s="34">
        <f t="shared" si="19"/>
        <v>2.4</v>
      </c>
    </row>
    <row r="628" spans="2:7" ht="13.8" customHeight="1" x14ac:dyDescent="0.25">
      <c r="B628" s="33" t="s">
        <v>0</v>
      </c>
      <c r="C628" s="33">
        <v>2767240</v>
      </c>
      <c r="D628" s="33">
        <v>1.8</v>
      </c>
      <c r="E628" s="33" t="s">
        <v>230</v>
      </c>
      <c r="F628" s="31" t="str">
        <f t="shared" si="18"/>
        <v>D1.08.03</v>
      </c>
      <c r="G628" s="34">
        <f t="shared" si="19"/>
        <v>1.8</v>
      </c>
    </row>
    <row r="629" spans="2:7" ht="13.8" customHeight="1" x14ac:dyDescent="0.25">
      <c r="B629" s="33" t="s">
        <v>0</v>
      </c>
      <c r="C629" s="33">
        <v>2767242</v>
      </c>
      <c r="D629" s="33">
        <v>1.8</v>
      </c>
      <c r="E629" s="33" t="s">
        <v>230</v>
      </c>
      <c r="F629" s="31" t="str">
        <f t="shared" si="18"/>
        <v>D1.08.03</v>
      </c>
      <c r="G629" s="34">
        <f t="shared" si="19"/>
        <v>1.8</v>
      </c>
    </row>
    <row r="630" spans="2:7" ht="13.8" customHeight="1" x14ac:dyDescent="0.25">
      <c r="B630" s="33" t="s">
        <v>0</v>
      </c>
      <c r="C630" s="33">
        <v>2767244</v>
      </c>
      <c r="D630" s="33">
        <v>1.8</v>
      </c>
      <c r="E630" s="33" t="s">
        <v>230</v>
      </c>
      <c r="F630" s="31" t="str">
        <f t="shared" si="18"/>
        <v>D1.08.03</v>
      </c>
      <c r="G630" s="34">
        <f t="shared" si="19"/>
        <v>1.8</v>
      </c>
    </row>
    <row r="631" spans="2:7" ht="13.8" customHeight="1" x14ac:dyDescent="0.25">
      <c r="B631" s="33" t="s">
        <v>0</v>
      </c>
      <c r="C631" s="33">
        <v>2767246</v>
      </c>
      <c r="D631" s="33">
        <v>1.8</v>
      </c>
      <c r="E631" s="33" t="s">
        <v>230</v>
      </c>
      <c r="F631" s="31" t="str">
        <f t="shared" si="18"/>
        <v>D1.08.03</v>
      </c>
      <c r="G631" s="34">
        <f t="shared" si="19"/>
        <v>1.8</v>
      </c>
    </row>
    <row r="632" spans="2:7" ht="13.8" customHeight="1" x14ac:dyDescent="0.25">
      <c r="B632" s="33" t="s">
        <v>0</v>
      </c>
      <c r="C632" s="33">
        <v>2767305</v>
      </c>
      <c r="D632" s="33">
        <v>1.8</v>
      </c>
      <c r="E632" s="33" t="s">
        <v>231</v>
      </c>
      <c r="F632" s="31" t="str">
        <f t="shared" si="18"/>
        <v>B1.11.01</v>
      </c>
      <c r="G632" s="34">
        <f t="shared" si="19"/>
        <v>1.8</v>
      </c>
    </row>
    <row r="633" spans="2:7" ht="13.8" customHeight="1" x14ac:dyDescent="0.25">
      <c r="B633" s="33" t="s">
        <v>0</v>
      </c>
      <c r="C633" s="33">
        <v>2767307</v>
      </c>
      <c r="D633" s="33">
        <v>1.8</v>
      </c>
      <c r="E633" s="33" t="s">
        <v>231</v>
      </c>
      <c r="F633" s="31" t="str">
        <f t="shared" si="18"/>
        <v>B1.11.01</v>
      </c>
      <c r="G633" s="34">
        <f t="shared" si="19"/>
        <v>1.8</v>
      </c>
    </row>
    <row r="634" spans="2:7" ht="13.8" customHeight="1" x14ac:dyDescent="0.25">
      <c r="B634" s="33" t="s">
        <v>0</v>
      </c>
      <c r="C634" s="33">
        <v>2767309</v>
      </c>
      <c r="D634" s="33">
        <v>2.4</v>
      </c>
      <c r="E634" s="33" t="s">
        <v>231</v>
      </c>
      <c r="F634" s="31" t="str">
        <f t="shared" si="18"/>
        <v>B1.11.01</v>
      </c>
      <c r="G634" s="34">
        <f t="shared" si="19"/>
        <v>2.4</v>
      </c>
    </row>
    <row r="635" spans="2:7" ht="13.8" customHeight="1" x14ac:dyDescent="0.25">
      <c r="B635" s="33" t="s">
        <v>0</v>
      </c>
      <c r="C635" s="33">
        <v>2767311</v>
      </c>
      <c r="D635" s="33">
        <v>2.4</v>
      </c>
      <c r="E635" s="33" t="s">
        <v>231</v>
      </c>
      <c r="F635" s="31" t="str">
        <f t="shared" si="18"/>
        <v>B1.11.01</v>
      </c>
      <c r="G635" s="34">
        <f t="shared" si="19"/>
        <v>2.4</v>
      </c>
    </row>
    <row r="636" spans="2:7" ht="13.8" customHeight="1" x14ac:dyDescent="0.25">
      <c r="B636" s="33" t="s">
        <v>0</v>
      </c>
      <c r="C636" s="33">
        <v>2767313</v>
      </c>
      <c r="D636" s="33">
        <v>1.8</v>
      </c>
      <c r="E636" s="33" t="s">
        <v>231</v>
      </c>
      <c r="F636" s="31" t="str">
        <f t="shared" si="18"/>
        <v>B1.11.01</v>
      </c>
      <c r="G636" s="34">
        <f t="shared" si="19"/>
        <v>1.8</v>
      </c>
    </row>
    <row r="637" spans="2:7" ht="13.8" customHeight="1" x14ac:dyDescent="0.25">
      <c r="B637" s="33" t="s">
        <v>0</v>
      </c>
      <c r="C637" s="33">
        <v>2767315</v>
      </c>
      <c r="D637" s="33">
        <v>1.8</v>
      </c>
      <c r="E637" s="33" t="s">
        <v>231</v>
      </c>
      <c r="F637" s="31" t="str">
        <f t="shared" si="18"/>
        <v>B1.11.01</v>
      </c>
      <c r="G637" s="34">
        <f t="shared" si="19"/>
        <v>1.8</v>
      </c>
    </row>
    <row r="638" spans="2:7" ht="13.8" customHeight="1" x14ac:dyDescent="0.25">
      <c r="B638" s="33" t="s">
        <v>0</v>
      </c>
      <c r="C638" s="33">
        <v>2767317</v>
      </c>
      <c r="D638" s="33">
        <v>1.8</v>
      </c>
      <c r="E638" s="33" t="s">
        <v>231</v>
      </c>
      <c r="F638" s="31" t="str">
        <f t="shared" si="18"/>
        <v>B1.11.01</v>
      </c>
      <c r="G638" s="34">
        <f t="shared" si="19"/>
        <v>1.8</v>
      </c>
    </row>
    <row r="639" spans="2:7" ht="13.8" customHeight="1" x14ac:dyDescent="0.25">
      <c r="B639" s="33" t="s">
        <v>0</v>
      </c>
      <c r="C639" s="33">
        <v>2767319</v>
      </c>
      <c r="D639" s="33">
        <v>1.8</v>
      </c>
      <c r="E639" s="33" t="s">
        <v>231</v>
      </c>
      <c r="F639" s="31" t="str">
        <f t="shared" si="18"/>
        <v>B1.11.01</v>
      </c>
      <c r="G639" s="34">
        <f t="shared" si="19"/>
        <v>1.8</v>
      </c>
    </row>
    <row r="640" spans="2:7" ht="13.8" customHeight="1" x14ac:dyDescent="0.25">
      <c r="B640" s="33" t="s">
        <v>0</v>
      </c>
      <c r="C640" s="33">
        <v>2767355</v>
      </c>
      <c r="D640" s="33">
        <v>1.8</v>
      </c>
      <c r="E640" s="33" t="s">
        <v>232</v>
      </c>
      <c r="F640" s="31" t="str">
        <f t="shared" si="18"/>
        <v>B1.11.02</v>
      </c>
      <c r="G640" s="34">
        <f t="shared" si="19"/>
        <v>1.8</v>
      </c>
    </row>
    <row r="641" spans="2:7" ht="13.8" customHeight="1" x14ac:dyDescent="0.25">
      <c r="B641" s="33" t="s">
        <v>0</v>
      </c>
      <c r="C641" s="33">
        <v>2767357</v>
      </c>
      <c r="D641" s="33">
        <v>1.8</v>
      </c>
      <c r="E641" s="33" t="s">
        <v>232</v>
      </c>
      <c r="F641" s="31" t="str">
        <f t="shared" si="18"/>
        <v>B1.11.02</v>
      </c>
      <c r="G641" s="34">
        <f t="shared" si="19"/>
        <v>1.8</v>
      </c>
    </row>
    <row r="642" spans="2:7" ht="13.8" customHeight="1" x14ac:dyDescent="0.25">
      <c r="B642" s="33" t="s">
        <v>0</v>
      </c>
      <c r="C642" s="33">
        <v>2767359</v>
      </c>
      <c r="D642" s="33">
        <v>2.4</v>
      </c>
      <c r="E642" s="33" t="s">
        <v>232</v>
      </c>
      <c r="F642" s="31" t="str">
        <f t="shared" si="18"/>
        <v>B1.11.02</v>
      </c>
      <c r="G642" s="34">
        <f t="shared" si="19"/>
        <v>2.4</v>
      </c>
    </row>
    <row r="643" spans="2:7" ht="13.8" customHeight="1" x14ac:dyDescent="0.25">
      <c r="B643" s="33" t="s">
        <v>0</v>
      </c>
      <c r="C643" s="33">
        <v>2767361</v>
      </c>
      <c r="D643" s="33">
        <v>2.4</v>
      </c>
      <c r="E643" s="33" t="s">
        <v>232</v>
      </c>
      <c r="F643" s="31" t="str">
        <f t="shared" si="18"/>
        <v>B1.11.02</v>
      </c>
      <c r="G643" s="34">
        <f t="shared" si="19"/>
        <v>2.4</v>
      </c>
    </row>
    <row r="644" spans="2:7" ht="13.8" customHeight="1" x14ac:dyDescent="0.25">
      <c r="B644" s="33" t="s">
        <v>0</v>
      </c>
      <c r="C644" s="33">
        <v>2767390</v>
      </c>
      <c r="D644" s="33">
        <v>1.8</v>
      </c>
      <c r="E644" s="33" t="s">
        <v>233</v>
      </c>
      <c r="F644" s="31" t="str">
        <f t="shared" si="18"/>
        <v>B1.07.01</v>
      </c>
      <c r="G644" s="34">
        <f t="shared" si="19"/>
        <v>1.8</v>
      </c>
    </row>
    <row r="645" spans="2:7" ht="13.8" customHeight="1" x14ac:dyDescent="0.25">
      <c r="B645" s="33" t="s">
        <v>0</v>
      </c>
      <c r="C645" s="33">
        <v>2767392</v>
      </c>
      <c r="D645" s="33">
        <v>1.8</v>
      </c>
      <c r="E645" s="33" t="s">
        <v>233</v>
      </c>
      <c r="F645" s="31" t="str">
        <f t="shared" si="18"/>
        <v>B1.07.01</v>
      </c>
      <c r="G645" s="34">
        <f t="shared" si="19"/>
        <v>1.8</v>
      </c>
    </row>
    <row r="646" spans="2:7" ht="13.8" customHeight="1" x14ac:dyDescent="0.25">
      <c r="B646" s="33" t="s">
        <v>0</v>
      </c>
      <c r="C646" s="33">
        <v>2767394</v>
      </c>
      <c r="D646" s="33">
        <v>2.4</v>
      </c>
      <c r="E646" s="33" t="s">
        <v>233</v>
      </c>
      <c r="F646" s="31" t="str">
        <f t="shared" si="18"/>
        <v>B1.07.01</v>
      </c>
      <c r="G646" s="34">
        <f t="shared" si="19"/>
        <v>2.4</v>
      </c>
    </row>
    <row r="647" spans="2:7" ht="13.8" customHeight="1" x14ac:dyDescent="0.25">
      <c r="B647" s="33" t="s">
        <v>0</v>
      </c>
      <c r="C647" s="33">
        <v>2767396</v>
      </c>
      <c r="D647" s="33">
        <v>2.4</v>
      </c>
      <c r="E647" s="33" t="s">
        <v>233</v>
      </c>
      <c r="F647" s="31" t="str">
        <f t="shared" ref="F647:F710" si="20">LEFT(E647,8)</f>
        <v>B1.07.01</v>
      </c>
      <c r="G647" s="34">
        <f t="shared" ref="G647:G710" si="21">D647</f>
        <v>2.4</v>
      </c>
    </row>
    <row r="648" spans="2:7" ht="13.8" customHeight="1" x14ac:dyDescent="0.25">
      <c r="B648" s="33" t="s">
        <v>0</v>
      </c>
      <c r="C648" s="33">
        <v>2767441</v>
      </c>
      <c r="D648" s="33">
        <v>1.8</v>
      </c>
      <c r="E648" s="33" t="s">
        <v>234</v>
      </c>
      <c r="F648" s="31" t="str">
        <f t="shared" si="20"/>
        <v>B1.07.02</v>
      </c>
      <c r="G648" s="34">
        <f t="shared" si="21"/>
        <v>1.8</v>
      </c>
    </row>
    <row r="649" spans="2:7" ht="13.8" customHeight="1" x14ac:dyDescent="0.25">
      <c r="B649" s="33" t="s">
        <v>0</v>
      </c>
      <c r="C649" s="33">
        <v>2767443</v>
      </c>
      <c r="D649" s="33">
        <v>1.8</v>
      </c>
      <c r="E649" s="33" t="s">
        <v>234</v>
      </c>
      <c r="F649" s="31" t="str">
        <f t="shared" si="20"/>
        <v>B1.07.02</v>
      </c>
      <c r="G649" s="34">
        <f t="shared" si="21"/>
        <v>1.8</v>
      </c>
    </row>
    <row r="650" spans="2:7" ht="13.8" customHeight="1" x14ac:dyDescent="0.25">
      <c r="B650" s="33" t="s">
        <v>0</v>
      </c>
      <c r="C650" s="33">
        <v>2767445</v>
      </c>
      <c r="D650" s="33">
        <v>1.8</v>
      </c>
      <c r="E650" s="33" t="s">
        <v>234</v>
      </c>
      <c r="F650" s="31" t="str">
        <f t="shared" si="20"/>
        <v>B1.07.02</v>
      </c>
      <c r="G650" s="34">
        <f t="shared" si="21"/>
        <v>1.8</v>
      </c>
    </row>
    <row r="651" spans="2:7" ht="13.8" customHeight="1" x14ac:dyDescent="0.25">
      <c r="B651" s="33" t="s">
        <v>0</v>
      </c>
      <c r="C651" s="33">
        <v>2767447</v>
      </c>
      <c r="D651" s="33">
        <v>1.8</v>
      </c>
      <c r="E651" s="33" t="s">
        <v>234</v>
      </c>
      <c r="F651" s="31" t="str">
        <f t="shared" si="20"/>
        <v>B1.07.02</v>
      </c>
      <c r="G651" s="34">
        <f t="shared" si="21"/>
        <v>1.8</v>
      </c>
    </row>
    <row r="652" spans="2:7" ht="13.8" customHeight="1" x14ac:dyDescent="0.25">
      <c r="B652" s="33" t="s">
        <v>0</v>
      </c>
      <c r="C652" s="33">
        <v>2767449</v>
      </c>
      <c r="D652" s="33">
        <v>2.4</v>
      </c>
      <c r="E652" s="33" t="s">
        <v>234</v>
      </c>
      <c r="F652" s="31" t="str">
        <f t="shared" si="20"/>
        <v>B1.07.02</v>
      </c>
      <c r="G652" s="34">
        <f t="shared" si="21"/>
        <v>2.4</v>
      </c>
    </row>
    <row r="653" spans="2:7" ht="13.8" customHeight="1" x14ac:dyDescent="0.25">
      <c r="B653" s="33" t="s">
        <v>0</v>
      </c>
      <c r="C653" s="33">
        <v>2767451</v>
      </c>
      <c r="D653" s="33">
        <v>2.4</v>
      </c>
      <c r="E653" s="33" t="s">
        <v>234</v>
      </c>
      <c r="F653" s="31" t="str">
        <f t="shared" si="20"/>
        <v>B1.07.02</v>
      </c>
      <c r="G653" s="34">
        <f t="shared" si="21"/>
        <v>2.4</v>
      </c>
    </row>
    <row r="654" spans="2:7" ht="13.8" customHeight="1" x14ac:dyDescent="0.25">
      <c r="B654" s="33" t="s">
        <v>0</v>
      </c>
      <c r="C654" s="33">
        <v>2767453</v>
      </c>
      <c r="D654" s="33">
        <v>1.8</v>
      </c>
      <c r="E654" s="33" t="s">
        <v>234</v>
      </c>
      <c r="F654" s="31" t="str">
        <f t="shared" si="20"/>
        <v>B1.07.02</v>
      </c>
      <c r="G654" s="34">
        <f t="shared" si="21"/>
        <v>1.8</v>
      </c>
    </row>
    <row r="655" spans="2:7" ht="13.8" customHeight="1" x14ac:dyDescent="0.25">
      <c r="B655" s="33" t="s">
        <v>0</v>
      </c>
      <c r="C655" s="33">
        <v>2767455</v>
      </c>
      <c r="D655" s="33">
        <v>1.8</v>
      </c>
      <c r="E655" s="33" t="s">
        <v>234</v>
      </c>
      <c r="F655" s="31" t="str">
        <f t="shared" si="20"/>
        <v>B1.07.02</v>
      </c>
      <c r="G655" s="34">
        <f t="shared" si="21"/>
        <v>1.8</v>
      </c>
    </row>
    <row r="656" spans="2:7" ht="13.8" customHeight="1" x14ac:dyDescent="0.25">
      <c r="B656" s="33" t="s">
        <v>0</v>
      </c>
      <c r="C656" s="33">
        <v>2767457</v>
      </c>
      <c r="D656" s="33">
        <v>1.8</v>
      </c>
      <c r="E656" s="33" t="s">
        <v>234</v>
      </c>
      <c r="F656" s="31" t="str">
        <f t="shared" si="20"/>
        <v>B1.07.02</v>
      </c>
      <c r="G656" s="34">
        <f t="shared" si="21"/>
        <v>1.8</v>
      </c>
    </row>
    <row r="657" spans="2:7" ht="13.8" customHeight="1" x14ac:dyDescent="0.25">
      <c r="B657" s="33" t="s">
        <v>0</v>
      </c>
      <c r="C657" s="33">
        <v>2767459</v>
      </c>
      <c r="D657" s="33">
        <v>1.8</v>
      </c>
      <c r="E657" s="33" t="s">
        <v>234</v>
      </c>
      <c r="F657" s="31" t="str">
        <f t="shared" si="20"/>
        <v>B1.07.02</v>
      </c>
      <c r="G657" s="34">
        <f t="shared" si="21"/>
        <v>1.8</v>
      </c>
    </row>
    <row r="658" spans="2:7" ht="13.8" customHeight="1" x14ac:dyDescent="0.25">
      <c r="B658" s="33" t="s">
        <v>0</v>
      </c>
      <c r="C658" s="33">
        <v>2767508</v>
      </c>
      <c r="D658" s="33">
        <v>1.8</v>
      </c>
      <c r="E658" s="33" t="s">
        <v>235</v>
      </c>
      <c r="F658" s="31" t="str">
        <f t="shared" si="20"/>
        <v>B1.07.03</v>
      </c>
      <c r="G658" s="34">
        <f t="shared" si="21"/>
        <v>1.8</v>
      </c>
    </row>
    <row r="659" spans="2:7" ht="13.8" customHeight="1" x14ac:dyDescent="0.25">
      <c r="B659" s="33" t="s">
        <v>0</v>
      </c>
      <c r="C659" s="33">
        <v>2767510</v>
      </c>
      <c r="D659" s="33">
        <v>1.8</v>
      </c>
      <c r="E659" s="33" t="s">
        <v>235</v>
      </c>
      <c r="F659" s="31" t="str">
        <f t="shared" si="20"/>
        <v>B1.07.03</v>
      </c>
      <c r="G659" s="34">
        <f t="shared" si="21"/>
        <v>1.8</v>
      </c>
    </row>
    <row r="660" spans="2:7" ht="13.8" customHeight="1" x14ac:dyDescent="0.25">
      <c r="B660" s="33" t="s">
        <v>0</v>
      </c>
      <c r="C660" s="33">
        <v>2767512</v>
      </c>
      <c r="D660" s="33">
        <v>2.4</v>
      </c>
      <c r="E660" s="33" t="s">
        <v>235</v>
      </c>
      <c r="F660" s="31" t="str">
        <f t="shared" si="20"/>
        <v>B1.07.03</v>
      </c>
      <c r="G660" s="34">
        <f t="shared" si="21"/>
        <v>2.4</v>
      </c>
    </row>
    <row r="661" spans="2:7" ht="13.8" customHeight="1" x14ac:dyDescent="0.25">
      <c r="B661" s="33" t="s">
        <v>0</v>
      </c>
      <c r="C661" s="33">
        <v>2767514</v>
      </c>
      <c r="D661" s="33">
        <v>2.4</v>
      </c>
      <c r="E661" s="33" t="s">
        <v>235</v>
      </c>
      <c r="F661" s="31" t="str">
        <f t="shared" si="20"/>
        <v>B1.07.03</v>
      </c>
      <c r="G661" s="34">
        <f t="shared" si="21"/>
        <v>2.4</v>
      </c>
    </row>
    <row r="662" spans="2:7" ht="13.8" customHeight="1" x14ac:dyDescent="0.25">
      <c r="B662" s="33" t="s">
        <v>0</v>
      </c>
      <c r="C662" s="33">
        <v>2767516</v>
      </c>
      <c r="D662" s="33">
        <v>1.8</v>
      </c>
      <c r="E662" s="33" t="s">
        <v>235</v>
      </c>
      <c r="F662" s="31" t="str">
        <f t="shared" si="20"/>
        <v>B1.07.03</v>
      </c>
      <c r="G662" s="34">
        <f t="shared" si="21"/>
        <v>1.8</v>
      </c>
    </row>
    <row r="663" spans="2:7" ht="13.8" customHeight="1" x14ac:dyDescent="0.25">
      <c r="B663" s="33" t="s">
        <v>0</v>
      </c>
      <c r="C663" s="33">
        <v>2767518</v>
      </c>
      <c r="D663" s="33">
        <v>1.8</v>
      </c>
      <c r="E663" s="33" t="s">
        <v>235</v>
      </c>
      <c r="F663" s="31" t="str">
        <f t="shared" si="20"/>
        <v>B1.07.03</v>
      </c>
      <c r="G663" s="34">
        <f t="shared" si="21"/>
        <v>1.8</v>
      </c>
    </row>
    <row r="664" spans="2:7" ht="13.8" customHeight="1" x14ac:dyDescent="0.25">
      <c r="B664" s="33" t="s">
        <v>0</v>
      </c>
      <c r="C664" s="33">
        <v>2767520</v>
      </c>
      <c r="D664" s="33">
        <v>1.8</v>
      </c>
      <c r="E664" s="33" t="s">
        <v>235</v>
      </c>
      <c r="F664" s="31" t="str">
        <f t="shared" si="20"/>
        <v>B1.07.03</v>
      </c>
      <c r="G664" s="34">
        <f t="shared" si="21"/>
        <v>1.8</v>
      </c>
    </row>
    <row r="665" spans="2:7" ht="13.8" customHeight="1" x14ac:dyDescent="0.25">
      <c r="B665" s="33" t="s">
        <v>0</v>
      </c>
      <c r="C665" s="33">
        <v>2767522</v>
      </c>
      <c r="D665" s="33">
        <v>1.8</v>
      </c>
      <c r="E665" s="33" t="s">
        <v>235</v>
      </c>
      <c r="F665" s="31" t="str">
        <f t="shared" si="20"/>
        <v>B1.07.03</v>
      </c>
      <c r="G665" s="34">
        <f t="shared" si="21"/>
        <v>1.8</v>
      </c>
    </row>
    <row r="666" spans="2:7" ht="13.8" customHeight="1" x14ac:dyDescent="0.25">
      <c r="B666" s="33" t="s">
        <v>0</v>
      </c>
      <c r="C666" s="33">
        <v>2767556</v>
      </c>
      <c r="D666" s="33">
        <v>1.8</v>
      </c>
      <c r="E666" s="33" t="s">
        <v>236</v>
      </c>
      <c r="F666" s="31" t="str">
        <f t="shared" si="20"/>
        <v>B1.07.04</v>
      </c>
      <c r="G666" s="34">
        <f t="shared" si="21"/>
        <v>1.8</v>
      </c>
    </row>
    <row r="667" spans="2:7" ht="13.8" customHeight="1" x14ac:dyDescent="0.25">
      <c r="B667" s="33" t="s">
        <v>0</v>
      </c>
      <c r="C667" s="33">
        <v>2767558</v>
      </c>
      <c r="D667" s="33">
        <v>1.8</v>
      </c>
      <c r="E667" s="33" t="s">
        <v>236</v>
      </c>
      <c r="F667" s="31" t="str">
        <f t="shared" si="20"/>
        <v>B1.07.04</v>
      </c>
      <c r="G667" s="34">
        <f t="shared" si="21"/>
        <v>1.8</v>
      </c>
    </row>
    <row r="668" spans="2:7" ht="13.8" customHeight="1" x14ac:dyDescent="0.25">
      <c r="B668" s="33" t="s">
        <v>0</v>
      </c>
      <c r="C668" s="33">
        <v>2767560</v>
      </c>
      <c r="D668" s="33">
        <v>2.4</v>
      </c>
      <c r="E668" s="33" t="s">
        <v>236</v>
      </c>
      <c r="F668" s="31" t="str">
        <f t="shared" si="20"/>
        <v>B1.07.04</v>
      </c>
      <c r="G668" s="34">
        <f t="shared" si="21"/>
        <v>2.4</v>
      </c>
    </row>
    <row r="669" spans="2:7" ht="13.8" customHeight="1" x14ac:dyDescent="0.25">
      <c r="B669" s="33" t="s">
        <v>0</v>
      </c>
      <c r="C669" s="33">
        <v>2767562</v>
      </c>
      <c r="D669" s="33">
        <v>2.4</v>
      </c>
      <c r="E669" s="33" t="s">
        <v>236</v>
      </c>
      <c r="F669" s="31" t="str">
        <f t="shared" si="20"/>
        <v>B1.07.04</v>
      </c>
      <c r="G669" s="34">
        <f t="shared" si="21"/>
        <v>2.4</v>
      </c>
    </row>
    <row r="670" spans="2:7" ht="13.8" customHeight="1" x14ac:dyDescent="0.25">
      <c r="B670" s="33" t="s">
        <v>0</v>
      </c>
      <c r="C670" s="33">
        <v>2767597</v>
      </c>
      <c r="D670" s="33">
        <v>1.8</v>
      </c>
      <c r="E670" s="33" t="s">
        <v>237</v>
      </c>
      <c r="F670" s="31" t="str">
        <f t="shared" si="20"/>
        <v>B1.07.05</v>
      </c>
      <c r="G670" s="34">
        <f t="shared" si="21"/>
        <v>1.8</v>
      </c>
    </row>
    <row r="671" spans="2:7" ht="13.8" customHeight="1" x14ac:dyDescent="0.25">
      <c r="B671" s="33" t="s">
        <v>0</v>
      </c>
      <c r="C671" s="33">
        <v>2767599</v>
      </c>
      <c r="D671" s="33">
        <v>1.8</v>
      </c>
      <c r="E671" s="33" t="s">
        <v>237</v>
      </c>
      <c r="F671" s="31" t="str">
        <f t="shared" si="20"/>
        <v>B1.07.05</v>
      </c>
      <c r="G671" s="34">
        <f t="shared" si="21"/>
        <v>1.8</v>
      </c>
    </row>
    <row r="672" spans="2:7" ht="13.8" customHeight="1" x14ac:dyDescent="0.25">
      <c r="B672" s="33" t="s">
        <v>0</v>
      </c>
      <c r="C672" s="33">
        <v>2767601</v>
      </c>
      <c r="D672" s="33">
        <v>2.4</v>
      </c>
      <c r="E672" s="33" t="s">
        <v>237</v>
      </c>
      <c r="F672" s="31" t="str">
        <f t="shared" si="20"/>
        <v>B1.07.05</v>
      </c>
      <c r="G672" s="34">
        <f t="shared" si="21"/>
        <v>2.4</v>
      </c>
    </row>
    <row r="673" spans="2:7" ht="13.8" customHeight="1" x14ac:dyDescent="0.25">
      <c r="B673" s="33" t="s">
        <v>0</v>
      </c>
      <c r="C673" s="33">
        <v>2767603</v>
      </c>
      <c r="D673" s="33">
        <v>2.4</v>
      </c>
      <c r="E673" s="33" t="s">
        <v>237</v>
      </c>
      <c r="F673" s="31" t="str">
        <f t="shared" si="20"/>
        <v>B1.07.05</v>
      </c>
      <c r="G673" s="34">
        <f t="shared" si="21"/>
        <v>2.4</v>
      </c>
    </row>
    <row r="674" spans="2:7" ht="13.8" customHeight="1" x14ac:dyDescent="0.25">
      <c r="B674" s="33" t="s">
        <v>0</v>
      </c>
      <c r="C674" s="33">
        <v>2767648</v>
      </c>
      <c r="D674" s="33">
        <v>1.8</v>
      </c>
      <c r="E674" s="33" t="s">
        <v>238</v>
      </c>
      <c r="F674" s="31" t="str">
        <f t="shared" si="20"/>
        <v>B1.08.02</v>
      </c>
      <c r="G674" s="34">
        <f t="shared" si="21"/>
        <v>1.8</v>
      </c>
    </row>
    <row r="675" spans="2:7" ht="13.8" customHeight="1" x14ac:dyDescent="0.25">
      <c r="B675" s="33" t="s">
        <v>0</v>
      </c>
      <c r="C675" s="33">
        <v>2767650</v>
      </c>
      <c r="D675" s="33">
        <v>1.8</v>
      </c>
      <c r="E675" s="33" t="s">
        <v>238</v>
      </c>
      <c r="F675" s="31" t="str">
        <f t="shared" si="20"/>
        <v>B1.08.02</v>
      </c>
      <c r="G675" s="34">
        <f t="shared" si="21"/>
        <v>1.8</v>
      </c>
    </row>
    <row r="676" spans="2:7" ht="13.8" customHeight="1" x14ac:dyDescent="0.25">
      <c r="B676" s="33" t="s">
        <v>0</v>
      </c>
      <c r="C676" s="33">
        <v>2767652</v>
      </c>
      <c r="D676" s="33">
        <v>1.8</v>
      </c>
      <c r="E676" s="33" t="s">
        <v>238</v>
      </c>
      <c r="F676" s="31" t="str">
        <f t="shared" si="20"/>
        <v>B1.08.02</v>
      </c>
      <c r="G676" s="34">
        <f t="shared" si="21"/>
        <v>1.8</v>
      </c>
    </row>
    <row r="677" spans="2:7" ht="13.8" customHeight="1" x14ac:dyDescent="0.25">
      <c r="B677" s="33" t="s">
        <v>0</v>
      </c>
      <c r="C677" s="33">
        <v>2767654</v>
      </c>
      <c r="D677" s="33">
        <v>1.8</v>
      </c>
      <c r="E677" s="33" t="s">
        <v>238</v>
      </c>
      <c r="F677" s="31" t="str">
        <f t="shared" si="20"/>
        <v>B1.08.02</v>
      </c>
      <c r="G677" s="34">
        <f t="shared" si="21"/>
        <v>1.8</v>
      </c>
    </row>
    <row r="678" spans="2:7" ht="13.8" customHeight="1" x14ac:dyDescent="0.25">
      <c r="B678" s="33" t="s">
        <v>0</v>
      </c>
      <c r="C678" s="33">
        <v>2767656</v>
      </c>
      <c r="D678" s="33">
        <v>2.4</v>
      </c>
      <c r="E678" s="33" t="s">
        <v>238</v>
      </c>
      <c r="F678" s="31" t="str">
        <f t="shared" si="20"/>
        <v>B1.08.02</v>
      </c>
      <c r="G678" s="34">
        <f t="shared" si="21"/>
        <v>2.4</v>
      </c>
    </row>
    <row r="679" spans="2:7" ht="13.8" customHeight="1" x14ac:dyDescent="0.25">
      <c r="B679" s="33" t="s">
        <v>0</v>
      </c>
      <c r="C679" s="33">
        <v>2767658</v>
      </c>
      <c r="D679" s="33">
        <v>2.4</v>
      </c>
      <c r="E679" s="33" t="s">
        <v>238</v>
      </c>
      <c r="F679" s="31" t="str">
        <f t="shared" si="20"/>
        <v>B1.08.02</v>
      </c>
      <c r="G679" s="34">
        <f t="shared" si="21"/>
        <v>2.4</v>
      </c>
    </row>
    <row r="680" spans="2:7" ht="13.8" customHeight="1" x14ac:dyDescent="0.25">
      <c r="B680" s="33" t="s">
        <v>0</v>
      </c>
      <c r="C680" s="33">
        <v>2767660</v>
      </c>
      <c r="D680" s="33">
        <v>1.8</v>
      </c>
      <c r="E680" s="33" t="s">
        <v>238</v>
      </c>
      <c r="F680" s="31" t="str">
        <f t="shared" si="20"/>
        <v>B1.08.02</v>
      </c>
      <c r="G680" s="34">
        <f t="shared" si="21"/>
        <v>1.8</v>
      </c>
    </row>
    <row r="681" spans="2:7" ht="13.8" customHeight="1" x14ac:dyDescent="0.25">
      <c r="B681" s="33" t="s">
        <v>0</v>
      </c>
      <c r="C681" s="33">
        <v>2767662</v>
      </c>
      <c r="D681" s="33">
        <v>1.8</v>
      </c>
      <c r="E681" s="33" t="s">
        <v>238</v>
      </c>
      <c r="F681" s="31" t="str">
        <f t="shared" si="20"/>
        <v>B1.08.02</v>
      </c>
      <c r="G681" s="34">
        <f t="shared" si="21"/>
        <v>1.8</v>
      </c>
    </row>
    <row r="682" spans="2:7" ht="13.8" customHeight="1" x14ac:dyDescent="0.25">
      <c r="B682" s="33" t="s">
        <v>0</v>
      </c>
      <c r="C682" s="33">
        <v>2767664</v>
      </c>
      <c r="D682" s="33">
        <v>1.8</v>
      </c>
      <c r="E682" s="33" t="s">
        <v>238</v>
      </c>
      <c r="F682" s="31" t="str">
        <f t="shared" si="20"/>
        <v>B1.08.02</v>
      </c>
      <c r="G682" s="34">
        <f t="shared" si="21"/>
        <v>1.8</v>
      </c>
    </row>
    <row r="683" spans="2:7" ht="13.8" customHeight="1" x14ac:dyDescent="0.25">
      <c r="B683" s="33" t="s">
        <v>0</v>
      </c>
      <c r="C683" s="33">
        <v>2767666</v>
      </c>
      <c r="D683" s="33">
        <v>1.8</v>
      </c>
      <c r="E683" s="33" t="s">
        <v>238</v>
      </c>
      <c r="F683" s="31" t="str">
        <f t="shared" si="20"/>
        <v>B1.08.02</v>
      </c>
      <c r="G683" s="34">
        <f t="shared" si="21"/>
        <v>1.8</v>
      </c>
    </row>
    <row r="684" spans="2:7" ht="13.8" customHeight="1" x14ac:dyDescent="0.25">
      <c r="B684" s="33" t="s">
        <v>0</v>
      </c>
      <c r="C684" s="33">
        <v>2767713</v>
      </c>
      <c r="D684" s="33">
        <v>1.8</v>
      </c>
      <c r="E684" s="33" t="s">
        <v>239</v>
      </c>
      <c r="F684" s="31" t="str">
        <f t="shared" si="20"/>
        <v>B1.08.03</v>
      </c>
      <c r="G684" s="34">
        <f t="shared" si="21"/>
        <v>1.8</v>
      </c>
    </row>
    <row r="685" spans="2:7" ht="13.8" customHeight="1" x14ac:dyDescent="0.25">
      <c r="B685" s="33" t="s">
        <v>0</v>
      </c>
      <c r="C685" s="33">
        <v>2767715</v>
      </c>
      <c r="D685" s="33">
        <v>1.8</v>
      </c>
      <c r="E685" s="33" t="s">
        <v>239</v>
      </c>
      <c r="F685" s="31" t="str">
        <f t="shared" si="20"/>
        <v>B1.08.03</v>
      </c>
      <c r="G685" s="34">
        <f t="shared" si="21"/>
        <v>1.8</v>
      </c>
    </row>
    <row r="686" spans="2:7" ht="13.8" customHeight="1" x14ac:dyDescent="0.25">
      <c r="B686" s="33" t="s">
        <v>0</v>
      </c>
      <c r="C686" s="33">
        <v>2767717</v>
      </c>
      <c r="D686" s="33">
        <v>2.4</v>
      </c>
      <c r="E686" s="33" t="s">
        <v>239</v>
      </c>
      <c r="F686" s="31" t="str">
        <f t="shared" si="20"/>
        <v>B1.08.03</v>
      </c>
      <c r="G686" s="34">
        <f t="shared" si="21"/>
        <v>2.4</v>
      </c>
    </row>
    <row r="687" spans="2:7" ht="13.8" customHeight="1" x14ac:dyDescent="0.25">
      <c r="B687" s="33" t="s">
        <v>0</v>
      </c>
      <c r="C687" s="33">
        <v>2767719</v>
      </c>
      <c r="D687" s="33">
        <v>2.4</v>
      </c>
      <c r="E687" s="33" t="s">
        <v>239</v>
      </c>
      <c r="F687" s="31" t="str">
        <f t="shared" si="20"/>
        <v>B1.08.03</v>
      </c>
      <c r="G687" s="34">
        <f t="shared" si="21"/>
        <v>2.4</v>
      </c>
    </row>
    <row r="688" spans="2:7" ht="13.8" customHeight="1" x14ac:dyDescent="0.25">
      <c r="B688" s="33" t="s">
        <v>0</v>
      </c>
      <c r="C688" s="33">
        <v>2767721</v>
      </c>
      <c r="D688" s="33">
        <v>1.8</v>
      </c>
      <c r="E688" s="33" t="s">
        <v>239</v>
      </c>
      <c r="F688" s="31" t="str">
        <f t="shared" si="20"/>
        <v>B1.08.03</v>
      </c>
      <c r="G688" s="34">
        <f t="shared" si="21"/>
        <v>1.8</v>
      </c>
    </row>
    <row r="689" spans="2:7" ht="13.8" customHeight="1" x14ac:dyDescent="0.25">
      <c r="B689" s="33" t="s">
        <v>0</v>
      </c>
      <c r="C689" s="33">
        <v>2767723</v>
      </c>
      <c r="D689" s="33">
        <v>1.8</v>
      </c>
      <c r="E689" s="33" t="s">
        <v>239</v>
      </c>
      <c r="F689" s="31" t="str">
        <f t="shared" si="20"/>
        <v>B1.08.03</v>
      </c>
      <c r="G689" s="34">
        <f t="shared" si="21"/>
        <v>1.8</v>
      </c>
    </row>
    <row r="690" spans="2:7" ht="13.8" customHeight="1" x14ac:dyDescent="0.25">
      <c r="B690" s="33" t="s">
        <v>0</v>
      </c>
      <c r="C690" s="33">
        <v>2767725</v>
      </c>
      <c r="D690" s="33">
        <v>1.8</v>
      </c>
      <c r="E690" s="33" t="s">
        <v>239</v>
      </c>
      <c r="F690" s="31" t="str">
        <f t="shared" si="20"/>
        <v>B1.08.03</v>
      </c>
      <c r="G690" s="34">
        <f t="shared" si="21"/>
        <v>1.8</v>
      </c>
    </row>
    <row r="691" spans="2:7" ht="13.8" customHeight="1" x14ac:dyDescent="0.25">
      <c r="B691" s="33" t="s">
        <v>0</v>
      </c>
      <c r="C691" s="33">
        <v>2767727</v>
      </c>
      <c r="D691" s="33">
        <v>1.8</v>
      </c>
      <c r="E691" s="33" t="s">
        <v>239</v>
      </c>
      <c r="F691" s="31" t="str">
        <f t="shared" si="20"/>
        <v>B1.08.03</v>
      </c>
      <c r="G691" s="34">
        <f t="shared" si="21"/>
        <v>1.8</v>
      </c>
    </row>
    <row r="692" spans="2:7" ht="13.8" customHeight="1" x14ac:dyDescent="0.25">
      <c r="B692" s="33" t="s">
        <v>0</v>
      </c>
      <c r="C692" s="33">
        <v>2767765</v>
      </c>
      <c r="D692" s="33">
        <v>1.8</v>
      </c>
      <c r="E692" s="33" t="s">
        <v>240</v>
      </c>
      <c r="F692" s="31" t="str">
        <f t="shared" si="20"/>
        <v>A3.10.01</v>
      </c>
      <c r="G692" s="34">
        <f t="shared" si="21"/>
        <v>1.8</v>
      </c>
    </row>
    <row r="693" spans="2:7" ht="13.8" customHeight="1" x14ac:dyDescent="0.25">
      <c r="B693" s="33" t="s">
        <v>0</v>
      </c>
      <c r="C693" s="33">
        <v>2767767</v>
      </c>
      <c r="D693" s="33">
        <v>1.8</v>
      </c>
      <c r="E693" s="33" t="s">
        <v>240</v>
      </c>
      <c r="F693" s="31" t="str">
        <f t="shared" si="20"/>
        <v>A3.10.01</v>
      </c>
      <c r="G693" s="34">
        <f t="shared" si="21"/>
        <v>1.8</v>
      </c>
    </row>
    <row r="694" spans="2:7" ht="13.8" customHeight="1" x14ac:dyDescent="0.25">
      <c r="B694" s="33" t="s">
        <v>0</v>
      </c>
      <c r="C694" s="33">
        <v>2767769</v>
      </c>
      <c r="D694" s="33">
        <v>1.8</v>
      </c>
      <c r="E694" s="33" t="s">
        <v>240</v>
      </c>
      <c r="F694" s="31" t="str">
        <f t="shared" si="20"/>
        <v>A3.10.01</v>
      </c>
      <c r="G694" s="34">
        <f t="shared" si="21"/>
        <v>1.8</v>
      </c>
    </row>
    <row r="695" spans="2:7" ht="13.8" customHeight="1" x14ac:dyDescent="0.25">
      <c r="B695" s="33" t="s">
        <v>0</v>
      </c>
      <c r="C695" s="33">
        <v>2767771</v>
      </c>
      <c r="D695" s="33">
        <v>1.8</v>
      </c>
      <c r="E695" s="33" t="s">
        <v>240</v>
      </c>
      <c r="F695" s="31" t="str">
        <f t="shared" si="20"/>
        <v>A3.10.01</v>
      </c>
      <c r="G695" s="34">
        <f t="shared" si="21"/>
        <v>1.8</v>
      </c>
    </row>
    <row r="696" spans="2:7" ht="13.8" customHeight="1" x14ac:dyDescent="0.25">
      <c r="B696" s="33" t="s">
        <v>0</v>
      </c>
      <c r="C696" s="33">
        <v>2767773</v>
      </c>
      <c r="D696" s="33">
        <v>2.4</v>
      </c>
      <c r="E696" s="33" t="s">
        <v>240</v>
      </c>
      <c r="F696" s="31" t="str">
        <f t="shared" si="20"/>
        <v>A3.10.01</v>
      </c>
      <c r="G696" s="34">
        <f t="shared" si="21"/>
        <v>2.4</v>
      </c>
    </row>
    <row r="697" spans="2:7" ht="13.8" customHeight="1" x14ac:dyDescent="0.25">
      <c r="B697" s="33" t="s">
        <v>0</v>
      </c>
      <c r="C697" s="33">
        <v>2767775</v>
      </c>
      <c r="D697" s="33">
        <v>2.4</v>
      </c>
      <c r="E697" s="33" t="s">
        <v>240</v>
      </c>
      <c r="F697" s="31" t="str">
        <f t="shared" si="20"/>
        <v>A3.10.01</v>
      </c>
      <c r="G697" s="34">
        <f t="shared" si="21"/>
        <v>2.4</v>
      </c>
    </row>
    <row r="698" spans="2:7" ht="13.8" customHeight="1" x14ac:dyDescent="0.25">
      <c r="B698" s="33" t="s">
        <v>0</v>
      </c>
      <c r="C698" s="33">
        <v>2767777</v>
      </c>
      <c r="D698" s="33">
        <v>1.8</v>
      </c>
      <c r="E698" s="33" t="s">
        <v>240</v>
      </c>
      <c r="F698" s="31" t="str">
        <f t="shared" si="20"/>
        <v>A3.10.01</v>
      </c>
      <c r="G698" s="34">
        <f t="shared" si="21"/>
        <v>1.8</v>
      </c>
    </row>
    <row r="699" spans="2:7" ht="13.8" customHeight="1" x14ac:dyDescent="0.25">
      <c r="B699" s="33" t="s">
        <v>0</v>
      </c>
      <c r="C699" s="33">
        <v>2767779</v>
      </c>
      <c r="D699" s="33">
        <v>1.8</v>
      </c>
      <c r="E699" s="33" t="s">
        <v>240</v>
      </c>
      <c r="F699" s="31" t="str">
        <f t="shared" si="20"/>
        <v>A3.10.01</v>
      </c>
      <c r="G699" s="34">
        <f t="shared" si="21"/>
        <v>1.8</v>
      </c>
    </row>
    <row r="700" spans="2:7" ht="13.8" customHeight="1" x14ac:dyDescent="0.25">
      <c r="B700" s="33" t="s">
        <v>0</v>
      </c>
      <c r="C700" s="33">
        <v>2767835</v>
      </c>
      <c r="D700" s="33">
        <v>1.8</v>
      </c>
      <c r="E700" s="33" t="s">
        <v>241</v>
      </c>
      <c r="F700" s="31" t="str">
        <f t="shared" si="20"/>
        <v>A3.10.05</v>
      </c>
      <c r="G700" s="34">
        <f t="shared" si="21"/>
        <v>1.8</v>
      </c>
    </row>
    <row r="701" spans="2:7" ht="13.8" customHeight="1" x14ac:dyDescent="0.25">
      <c r="B701" s="33" t="s">
        <v>0</v>
      </c>
      <c r="C701" s="33">
        <v>2767837</v>
      </c>
      <c r="D701" s="33">
        <v>1.8</v>
      </c>
      <c r="E701" s="33" t="s">
        <v>241</v>
      </c>
      <c r="F701" s="31" t="str">
        <f t="shared" si="20"/>
        <v>A3.10.05</v>
      </c>
      <c r="G701" s="34">
        <f t="shared" si="21"/>
        <v>1.8</v>
      </c>
    </row>
    <row r="702" spans="2:7" ht="13.8" customHeight="1" x14ac:dyDescent="0.25">
      <c r="B702" s="33" t="s">
        <v>0</v>
      </c>
      <c r="C702" s="33">
        <v>2767839</v>
      </c>
      <c r="D702" s="33">
        <v>1.8</v>
      </c>
      <c r="E702" s="33" t="s">
        <v>241</v>
      </c>
      <c r="F702" s="31" t="str">
        <f t="shared" si="20"/>
        <v>A3.10.05</v>
      </c>
      <c r="G702" s="34">
        <f t="shared" si="21"/>
        <v>1.8</v>
      </c>
    </row>
    <row r="703" spans="2:7" ht="13.8" customHeight="1" x14ac:dyDescent="0.25">
      <c r="B703" s="33" t="s">
        <v>0</v>
      </c>
      <c r="C703" s="33">
        <v>2767841</v>
      </c>
      <c r="D703" s="33">
        <v>1.8</v>
      </c>
      <c r="E703" s="33" t="s">
        <v>241</v>
      </c>
      <c r="F703" s="31" t="str">
        <f t="shared" si="20"/>
        <v>A3.10.05</v>
      </c>
      <c r="G703" s="34">
        <f t="shared" si="21"/>
        <v>1.8</v>
      </c>
    </row>
    <row r="704" spans="2:7" ht="13.8" customHeight="1" x14ac:dyDescent="0.25">
      <c r="B704" s="33" t="s">
        <v>0</v>
      </c>
      <c r="C704" s="33">
        <v>2767843</v>
      </c>
      <c r="D704" s="33">
        <v>2.4</v>
      </c>
      <c r="E704" s="33" t="s">
        <v>241</v>
      </c>
      <c r="F704" s="31" t="str">
        <f t="shared" si="20"/>
        <v>A3.10.05</v>
      </c>
      <c r="G704" s="34">
        <f t="shared" si="21"/>
        <v>2.4</v>
      </c>
    </row>
    <row r="705" spans="2:7" ht="13.8" customHeight="1" x14ac:dyDescent="0.25">
      <c r="B705" s="33" t="s">
        <v>0</v>
      </c>
      <c r="C705" s="33">
        <v>2767845</v>
      </c>
      <c r="D705" s="33">
        <v>2.4</v>
      </c>
      <c r="E705" s="33" t="s">
        <v>241</v>
      </c>
      <c r="F705" s="31" t="str">
        <f t="shared" si="20"/>
        <v>A3.10.05</v>
      </c>
      <c r="G705" s="34">
        <f t="shared" si="21"/>
        <v>2.4</v>
      </c>
    </row>
    <row r="706" spans="2:7" ht="13.8" customHeight="1" x14ac:dyDescent="0.25">
      <c r="B706" s="33" t="s">
        <v>0</v>
      </c>
      <c r="C706" s="33">
        <v>2767847</v>
      </c>
      <c r="D706" s="33">
        <v>1.8</v>
      </c>
      <c r="E706" s="33" t="s">
        <v>241</v>
      </c>
      <c r="F706" s="31" t="str">
        <f t="shared" si="20"/>
        <v>A3.10.05</v>
      </c>
      <c r="G706" s="34">
        <f t="shared" si="21"/>
        <v>1.8</v>
      </c>
    </row>
    <row r="707" spans="2:7" ht="13.8" customHeight="1" x14ac:dyDescent="0.25">
      <c r="B707" s="33" t="s">
        <v>0</v>
      </c>
      <c r="C707" s="33">
        <v>2767849</v>
      </c>
      <c r="D707" s="33">
        <v>1.8</v>
      </c>
      <c r="E707" s="33" t="s">
        <v>241</v>
      </c>
      <c r="F707" s="31" t="str">
        <f t="shared" si="20"/>
        <v>A3.10.05</v>
      </c>
      <c r="G707" s="34">
        <f t="shared" si="21"/>
        <v>1.8</v>
      </c>
    </row>
    <row r="708" spans="2:7" ht="13.8" customHeight="1" x14ac:dyDescent="0.25">
      <c r="B708" s="33" t="s">
        <v>0</v>
      </c>
      <c r="C708" s="33">
        <v>2767902</v>
      </c>
      <c r="D708" s="33">
        <v>1.8</v>
      </c>
      <c r="E708" s="33" t="s">
        <v>242</v>
      </c>
      <c r="F708" s="31" t="str">
        <f t="shared" si="20"/>
        <v>A3.10.04</v>
      </c>
      <c r="G708" s="34">
        <f t="shared" si="21"/>
        <v>1.8</v>
      </c>
    </row>
    <row r="709" spans="2:7" ht="13.8" customHeight="1" x14ac:dyDescent="0.25">
      <c r="B709" s="33" t="s">
        <v>0</v>
      </c>
      <c r="C709" s="33">
        <v>2767904</v>
      </c>
      <c r="D709" s="33">
        <v>1.8</v>
      </c>
      <c r="E709" s="33" t="s">
        <v>242</v>
      </c>
      <c r="F709" s="31" t="str">
        <f t="shared" si="20"/>
        <v>A3.10.04</v>
      </c>
      <c r="G709" s="34">
        <f t="shared" si="21"/>
        <v>1.8</v>
      </c>
    </row>
    <row r="710" spans="2:7" ht="13.8" customHeight="1" x14ac:dyDescent="0.25">
      <c r="B710" s="33" t="s">
        <v>0</v>
      </c>
      <c r="C710" s="33">
        <v>2767906</v>
      </c>
      <c r="D710" s="33">
        <v>2.4</v>
      </c>
      <c r="E710" s="33" t="s">
        <v>242</v>
      </c>
      <c r="F710" s="31" t="str">
        <f t="shared" si="20"/>
        <v>A3.10.04</v>
      </c>
      <c r="G710" s="34">
        <f t="shared" si="21"/>
        <v>2.4</v>
      </c>
    </row>
    <row r="711" spans="2:7" ht="13.8" customHeight="1" x14ac:dyDescent="0.25">
      <c r="B711" s="33" t="s">
        <v>0</v>
      </c>
      <c r="C711" s="33">
        <v>2767908</v>
      </c>
      <c r="D711" s="33">
        <v>2.4</v>
      </c>
      <c r="E711" s="33" t="s">
        <v>242</v>
      </c>
      <c r="F711" s="31" t="str">
        <f t="shared" ref="F711:F774" si="22">LEFT(E711,8)</f>
        <v>A3.10.04</v>
      </c>
      <c r="G711" s="34">
        <f t="shared" ref="G711:G774" si="23">D711</f>
        <v>2.4</v>
      </c>
    </row>
    <row r="712" spans="2:7" ht="13.8" customHeight="1" x14ac:dyDescent="0.25">
      <c r="B712" s="33" t="s">
        <v>0</v>
      </c>
      <c r="C712" s="33">
        <v>2767910</v>
      </c>
      <c r="D712" s="33">
        <v>1.8</v>
      </c>
      <c r="E712" s="33" t="s">
        <v>242</v>
      </c>
      <c r="F712" s="31" t="str">
        <f t="shared" si="22"/>
        <v>A3.10.04</v>
      </c>
      <c r="G712" s="34">
        <f t="shared" si="23"/>
        <v>1.8</v>
      </c>
    </row>
    <row r="713" spans="2:7" ht="13.8" customHeight="1" x14ac:dyDescent="0.25">
      <c r="B713" s="33" t="s">
        <v>0</v>
      </c>
      <c r="C713" s="33">
        <v>2767912</v>
      </c>
      <c r="D713" s="33">
        <v>1.8</v>
      </c>
      <c r="E713" s="33" t="s">
        <v>242</v>
      </c>
      <c r="F713" s="31" t="str">
        <f t="shared" si="22"/>
        <v>A3.10.04</v>
      </c>
      <c r="G713" s="34">
        <f t="shared" si="23"/>
        <v>1.8</v>
      </c>
    </row>
    <row r="714" spans="2:7" ht="13.8" customHeight="1" x14ac:dyDescent="0.25">
      <c r="B714" s="33" t="s">
        <v>0</v>
      </c>
      <c r="C714" s="33">
        <v>2767948</v>
      </c>
      <c r="D714" s="33">
        <v>1.8</v>
      </c>
      <c r="E714" s="33" t="s">
        <v>243</v>
      </c>
      <c r="F714" s="31" t="str">
        <f t="shared" si="22"/>
        <v>A3.10.03</v>
      </c>
      <c r="G714" s="34">
        <f t="shared" si="23"/>
        <v>1.8</v>
      </c>
    </row>
    <row r="715" spans="2:7" ht="13.8" customHeight="1" x14ac:dyDescent="0.25">
      <c r="B715" s="33" t="s">
        <v>0</v>
      </c>
      <c r="C715" s="33">
        <v>2767950</v>
      </c>
      <c r="D715" s="33">
        <v>1.8</v>
      </c>
      <c r="E715" s="33" t="s">
        <v>243</v>
      </c>
      <c r="F715" s="31" t="str">
        <f t="shared" si="22"/>
        <v>A3.10.03</v>
      </c>
      <c r="G715" s="34">
        <f t="shared" si="23"/>
        <v>1.8</v>
      </c>
    </row>
    <row r="716" spans="2:7" ht="13.8" customHeight="1" x14ac:dyDescent="0.25">
      <c r="B716" s="33" t="s">
        <v>0</v>
      </c>
      <c r="C716" s="33">
        <v>2767952</v>
      </c>
      <c r="D716" s="33">
        <v>1.8</v>
      </c>
      <c r="E716" s="33" t="s">
        <v>243</v>
      </c>
      <c r="F716" s="31" t="str">
        <f t="shared" si="22"/>
        <v>A3.10.03</v>
      </c>
      <c r="G716" s="34">
        <f t="shared" si="23"/>
        <v>1.8</v>
      </c>
    </row>
    <row r="717" spans="2:7" ht="13.8" customHeight="1" x14ac:dyDescent="0.25">
      <c r="B717" s="33" t="s">
        <v>0</v>
      </c>
      <c r="C717" s="33">
        <v>2767954</v>
      </c>
      <c r="D717" s="33">
        <v>1.8</v>
      </c>
      <c r="E717" s="33" t="s">
        <v>243</v>
      </c>
      <c r="F717" s="31" t="str">
        <f t="shared" si="22"/>
        <v>A3.10.03</v>
      </c>
      <c r="G717" s="34">
        <f t="shared" si="23"/>
        <v>1.8</v>
      </c>
    </row>
    <row r="718" spans="2:7" ht="13.8" customHeight="1" x14ac:dyDescent="0.25">
      <c r="B718" s="33" t="s">
        <v>0</v>
      </c>
      <c r="C718" s="33">
        <v>2767956</v>
      </c>
      <c r="D718" s="33">
        <v>1.8</v>
      </c>
      <c r="E718" s="33" t="s">
        <v>243</v>
      </c>
      <c r="F718" s="31" t="str">
        <f t="shared" si="22"/>
        <v>A3.10.03</v>
      </c>
      <c r="G718" s="34">
        <f t="shared" si="23"/>
        <v>1.8</v>
      </c>
    </row>
    <row r="719" spans="2:7" ht="13.8" customHeight="1" x14ac:dyDescent="0.25">
      <c r="B719" s="33" t="s">
        <v>0</v>
      </c>
      <c r="C719" s="33">
        <v>2767958</v>
      </c>
      <c r="D719" s="33">
        <v>1.8</v>
      </c>
      <c r="E719" s="33" t="s">
        <v>243</v>
      </c>
      <c r="F719" s="31" t="str">
        <f t="shared" si="22"/>
        <v>A3.10.03</v>
      </c>
      <c r="G719" s="34">
        <f t="shared" si="23"/>
        <v>1.8</v>
      </c>
    </row>
    <row r="720" spans="2:7" ht="13.8" customHeight="1" x14ac:dyDescent="0.25">
      <c r="B720" s="33" t="s">
        <v>0</v>
      </c>
      <c r="C720" s="33">
        <v>2767960</v>
      </c>
      <c r="D720" s="33">
        <v>2.4</v>
      </c>
      <c r="E720" s="33" t="s">
        <v>243</v>
      </c>
      <c r="F720" s="31" t="str">
        <f t="shared" si="22"/>
        <v>A3.10.03</v>
      </c>
      <c r="G720" s="34">
        <f t="shared" si="23"/>
        <v>2.4</v>
      </c>
    </row>
    <row r="721" spans="2:7" ht="13.8" customHeight="1" x14ac:dyDescent="0.25">
      <c r="B721" s="33" t="s">
        <v>0</v>
      </c>
      <c r="C721" s="33">
        <v>2767962</v>
      </c>
      <c r="D721" s="33">
        <v>2.4</v>
      </c>
      <c r="E721" s="33" t="s">
        <v>243</v>
      </c>
      <c r="F721" s="31" t="str">
        <f t="shared" si="22"/>
        <v>A3.10.03</v>
      </c>
      <c r="G721" s="34">
        <f t="shared" si="23"/>
        <v>2.4</v>
      </c>
    </row>
    <row r="722" spans="2:7" ht="13.8" customHeight="1" x14ac:dyDescent="0.25">
      <c r="B722" s="33" t="s">
        <v>0</v>
      </c>
      <c r="C722" s="33">
        <v>2768022</v>
      </c>
      <c r="D722" s="33">
        <v>1.8</v>
      </c>
      <c r="E722" s="33" t="s">
        <v>244</v>
      </c>
      <c r="F722" s="31" t="str">
        <f t="shared" si="22"/>
        <v>A3.10.02</v>
      </c>
      <c r="G722" s="34">
        <f t="shared" si="23"/>
        <v>1.8</v>
      </c>
    </row>
    <row r="723" spans="2:7" ht="13.8" customHeight="1" x14ac:dyDescent="0.25">
      <c r="B723" s="33" t="s">
        <v>0</v>
      </c>
      <c r="C723" s="33">
        <v>2768024</v>
      </c>
      <c r="D723" s="33">
        <v>1.8</v>
      </c>
      <c r="E723" s="33" t="s">
        <v>244</v>
      </c>
      <c r="F723" s="31" t="str">
        <f t="shared" si="22"/>
        <v>A3.10.02</v>
      </c>
      <c r="G723" s="34">
        <f t="shared" si="23"/>
        <v>1.8</v>
      </c>
    </row>
    <row r="724" spans="2:7" ht="13.8" customHeight="1" x14ac:dyDescent="0.25">
      <c r="B724" s="33" t="s">
        <v>0</v>
      </c>
      <c r="C724" s="33">
        <v>2768026</v>
      </c>
      <c r="D724" s="33">
        <v>2.4</v>
      </c>
      <c r="E724" s="33" t="s">
        <v>244</v>
      </c>
      <c r="F724" s="31" t="str">
        <f t="shared" si="22"/>
        <v>A3.10.02</v>
      </c>
      <c r="G724" s="34">
        <f t="shared" si="23"/>
        <v>2.4</v>
      </c>
    </row>
    <row r="725" spans="2:7" ht="13.8" customHeight="1" x14ac:dyDescent="0.25">
      <c r="B725" s="33" t="s">
        <v>0</v>
      </c>
      <c r="C725" s="33">
        <v>2768028</v>
      </c>
      <c r="D725" s="33">
        <v>2.4</v>
      </c>
      <c r="E725" s="33" t="s">
        <v>244</v>
      </c>
      <c r="F725" s="31" t="str">
        <f t="shared" si="22"/>
        <v>A3.10.02</v>
      </c>
      <c r="G725" s="34">
        <f t="shared" si="23"/>
        <v>2.4</v>
      </c>
    </row>
    <row r="726" spans="2:7" ht="13.8" customHeight="1" x14ac:dyDescent="0.25">
      <c r="B726" s="33" t="s">
        <v>0</v>
      </c>
      <c r="C726" s="33">
        <v>2768030</v>
      </c>
      <c r="D726" s="33">
        <v>1.8</v>
      </c>
      <c r="E726" s="33" t="s">
        <v>244</v>
      </c>
      <c r="F726" s="31" t="str">
        <f t="shared" si="22"/>
        <v>A3.10.02</v>
      </c>
      <c r="G726" s="34">
        <f t="shared" si="23"/>
        <v>1.8</v>
      </c>
    </row>
    <row r="727" spans="2:7" ht="13.8" customHeight="1" x14ac:dyDescent="0.25">
      <c r="B727" s="33" t="s">
        <v>0</v>
      </c>
      <c r="C727" s="33">
        <v>2768032</v>
      </c>
      <c r="D727" s="33">
        <v>1.8</v>
      </c>
      <c r="E727" s="33" t="s">
        <v>244</v>
      </c>
      <c r="F727" s="31" t="str">
        <f t="shared" si="22"/>
        <v>A3.10.02</v>
      </c>
      <c r="G727" s="34">
        <f t="shared" si="23"/>
        <v>1.8</v>
      </c>
    </row>
    <row r="728" spans="2:7" ht="13.8" customHeight="1" x14ac:dyDescent="0.25">
      <c r="B728" s="33" t="s">
        <v>0</v>
      </c>
      <c r="C728" s="33">
        <v>2768034</v>
      </c>
      <c r="D728" s="33">
        <v>1.8</v>
      </c>
      <c r="E728" s="33" t="s">
        <v>244</v>
      </c>
      <c r="F728" s="31" t="str">
        <f t="shared" si="22"/>
        <v>A3.10.02</v>
      </c>
      <c r="G728" s="34">
        <f t="shared" si="23"/>
        <v>1.8</v>
      </c>
    </row>
    <row r="729" spans="2:7" ht="13.8" customHeight="1" x14ac:dyDescent="0.25">
      <c r="B729" s="33" t="s">
        <v>0</v>
      </c>
      <c r="C729" s="33">
        <v>2768036</v>
      </c>
      <c r="D729" s="33">
        <v>1.8</v>
      </c>
      <c r="E729" s="33" t="s">
        <v>244</v>
      </c>
      <c r="F729" s="31" t="str">
        <f t="shared" si="22"/>
        <v>A3.10.02</v>
      </c>
      <c r="G729" s="34">
        <f t="shared" si="23"/>
        <v>1.8</v>
      </c>
    </row>
    <row r="730" spans="2:7" ht="13.8" customHeight="1" x14ac:dyDescent="0.25">
      <c r="B730" s="33" t="s">
        <v>0</v>
      </c>
      <c r="C730" s="33">
        <v>2768090</v>
      </c>
      <c r="D730" s="33">
        <v>1.8</v>
      </c>
      <c r="E730" s="33" t="s">
        <v>245</v>
      </c>
      <c r="F730" s="31" t="str">
        <f t="shared" si="22"/>
        <v>A3.07.05</v>
      </c>
      <c r="G730" s="34">
        <f t="shared" si="23"/>
        <v>1.8</v>
      </c>
    </row>
    <row r="731" spans="2:7" ht="13.8" customHeight="1" x14ac:dyDescent="0.25">
      <c r="B731" s="33" t="s">
        <v>0</v>
      </c>
      <c r="C731" s="33">
        <v>2768092</v>
      </c>
      <c r="D731" s="33">
        <v>1.8</v>
      </c>
      <c r="E731" s="33" t="s">
        <v>245</v>
      </c>
      <c r="F731" s="31" t="str">
        <f t="shared" si="22"/>
        <v>A3.07.05</v>
      </c>
      <c r="G731" s="34">
        <f t="shared" si="23"/>
        <v>1.8</v>
      </c>
    </row>
    <row r="732" spans="2:7" ht="13.8" customHeight="1" x14ac:dyDescent="0.25">
      <c r="B732" s="33" t="s">
        <v>0</v>
      </c>
      <c r="C732" s="33">
        <v>2768094</v>
      </c>
      <c r="D732" s="33">
        <v>1.8</v>
      </c>
      <c r="E732" s="33" t="s">
        <v>245</v>
      </c>
      <c r="F732" s="31" t="str">
        <f t="shared" si="22"/>
        <v>A3.07.05</v>
      </c>
      <c r="G732" s="34">
        <f t="shared" si="23"/>
        <v>1.8</v>
      </c>
    </row>
    <row r="733" spans="2:7" ht="13.8" customHeight="1" x14ac:dyDescent="0.25">
      <c r="B733" s="33" t="s">
        <v>0</v>
      </c>
      <c r="C733" s="33">
        <v>2768096</v>
      </c>
      <c r="D733" s="33">
        <v>1.8</v>
      </c>
      <c r="E733" s="33" t="s">
        <v>245</v>
      </c>
      <c r="F733" s="31" t="str">
        <f t="shared" si="22"/>
        <v>A3.07.05</v>
      </c>
      <c r="G733" s="34">
        <f t="shared" si="23"/>
        <v>1.8</v>
      </c>
    </row>
    <row r="734" spans="2:7" ht="13.8" customHeight="1" x14ac:dyDescent="0.25">
      <c r="B734" s="33" t="s">
        <v>0</v>
      </c>
      <c r="C734" s="33">
        <v>2768098</v>
      </c>
      <c r="D734" s="33">
        <v>2.4</v>
      </c>
      <c r="E734" s="33" t="s">
        <v>245</v>
      </c>
      <c r="F734" s="31" t="str">
        <f t="shared" si="22"/>
        <v>A3.07.05</v>
      </c>
      <c r="G734" s="34">
        <f t="shared" si="23"/>
        <v>2.4</v>
      </c>
    </row>
    <row r="735" spans="2:7" ht="13.8" customHeight="1" x14ac:dyDescent="0.25">
      <c r="B735" s="33" t="s">
        <v>0</v>
      </c>
      <c r="C735" s="33">
        <v>2768100</v>
      </c>
      <c r="D735" s="33">
        <v>2.4</v>
      </c>
      <c r="E735" s="33" t="s">
        <v>245</v>
      </c>
      <c r="F735" s="31" t="str">
        <f t="shared" si="22"/>
        <v>A3.07.05</v>
      </c>
      <c r="G735" s="34">
        <f t="shared" si="23"/>
        <v>2.4</v>
      </c>
    </row>
    <row r="736" spans="2:7" ht="13.8" customHeight="1" x14ac:dyDescent="0.25">
      <c r="B736" s="33" t="s">
        <v>0</v>
      </c>
      <c r="C736" s="33">
        <v>2768102</v>
      </c>
      <c r="D736" s="33">
        <v>1.8</v>
      </c>
      <c r="E736" s="33" t="s">
        <v>245</v>
      </c>
      <c r="F736" s="31" t="str">
        <f t="shared" si="22"/>
        <v>A3.07.05</v>
      </c>
      <c r="G736" s="34">
        <f t="shared" si="23"/>
        <v>1.8</v>
      </c>
    </row>
    <row r="737" spans="2:7" ht="13.8" customHeight="1" x14ac:dyDescent="0.25">
      <c r="B737" s="33" t="s">
        <v>0</v>
      </c>
      <c r="C737" s="33">
        <v>2768104</v>
      </c>
      <c r="D737" s="33">
        <v>1.8</v>
      </c>
      <c r="E737" s="33" t="s">
        <v>245</v>
      </c>
      <c r="F737" s="31" t="str">
        <f t="shared" si="22"/>
        <v>A3.07.05</v>
      </c>
      <c r="G737" s="34">
        <f t="shared" si="23"/>
        <v>1.8</v>
      </c>
    </row>
    <row r="738" spans="2:7" ht="13.8" customHeight="1" x14ac:dyDescent="0.25">
      <c r="B738" s="33" t="s">
        <v>0</v>
      </c>
      <c r="C738" s="33">
        <v>2768170</v>
      </c>
      <c r="D738" s="33">
        <v>1.8</v>
      </c>
      <c r="E738" s="33" t="s">
        <v>246</v>
      </c>
      <c r="F738" s="31" t="str">
        <f t="shared" si="22"/>
        <v>A3.07.04</v>
      </c>
      <c r="G738" s="34">
        <f t="shared" si="23"/>
        <v>1.8</v>
      </c>
    </row>
    <row r="739" spans="2:7" ht="13.8" customHeight="1" x14ac:dyDescent="0.25">
      <c r="B739" s="33" t="s">
        <v>0</v>
      </c>
      <c r="C739" s="33">
        <v>2768172</v>
      </c>
      <c r="D739" s="33">
        <v>1.8</v>
      </c>
      <c r="E739" s="33" t="s">
        <v>246</v>
      </c>
      <c r="F739" s="31" t="str">
        <f t="shared" si="22"/>
        <v>A3.07.04</v>
      </c>
      <c r="G739" s="34">
        <f t="shared" si="23"/>
        <v>1.8</v>
      </c>
    </row>
    <row r="740" spans="2:7" ht="13.8" customHeight="1" x14ac:dyDescent="0.25">
      <c r="B740" s="33" t="s">
        <v>0</v>
      </c>
      <c r="C740" s="33">
        <v>2768174</v>
      </c>
      <c r="D740" s="33">
        <v>2.4</v>
      </c>
      <c r="E740" s="33" t="s">
        <v>246</v>
      </c>
      <c r="F740" s="31" t="str">
        <f t="shared" si="22"/>
        <v>A3.07.04</v>
      </c>
      <c r="G740" s="34">
        <f t="shared" si="23"/>
        <v>2.4</v>
      </c>
    </row>
    <row r="741" spans="2:7" ht="13.8" customHeight="1" x14ac:dyDescent="0.25">
      <c r="B741" s="33" t="s">
        <v>0</v>
      </c>
      <c r="C741" s="33">
        <v>2768176</v>
      </c>
      <c r="D741" s="33">
        <v>2.4</v>
      </c>
      <c r="E741" s="33" t="s">
        <v>246</v>
      </c>
      <c r="F741" s="31" t="str">
        <f t="shared" si="22"/>
        <v>A3.07.04</v>
      </c>
      <c r="G741" s="34">
        <f t="shared" si="23"/>
        <v>2.4</v>
      </c>
    </row>
    <row r="742" spans="2:7" ht="13.8" customHeight="1" x14ac:dyDescent="0.25">
      <c r="B742" s="33" t="s">
        <v>0</v>
      </c>
      <c r="C742" s="33">
        <v>2768178</v>
      </c>
      <c r="D742" s="33">
        <v>1.8</v>
      </c>
      <c r="E742" s="33" t="s">
        <v>246</v>
      </c>
      <c r="F742" s="31" t="str">
        <f t="shared" si="22"/>
        <v>A3.07.04</v>
      </c>
      <c r="G742" s="34">
        <f t="shared" si="23"/>
        <v>1.8</v>
      </c>
    </row>
    <row r="743" spans="2:7" ht="13.8" customHeight="1" x14ac:dyDescent="0.25">
      <c r="B743" s="33" t="s">
        <v>0</v>
      </c>
      <c r="C743" s="33">
        <v>2768180</v>
      </c>
      <c r="D743" s="33">
        <v>1.8</v>
      </c>
      <c r="E743" s="33" t="s">
        <v>246</v>
      </c>
      <c r="F743" s="31" t="str">
        <f t="shared" si="22"/>
        <v>A3.07.04</v>
      </c>
      <c r="G743" s="34">
        <f t="shared" si="23"/>
        <v>1.8</v>
      </c>
    </row>
    <row r="744" spans="2:7" ht="13.8" customHeight="1" x14ac:dyDescent="0.25">
      <c r="B744" s="33" t="s">
        <v>0</v>
      </c>
      <c r="C744" s="33">
        <v>2768182</v>
      </c>
      <c r="D744" s="33">
        <v>1.8</v>
      </c>
      <c r="E744" s="33" t="s">
        <v>246</v>
      </c>
      <c r="F744" s="31" t="str">
        <f t="shared" si="22"/>
        <v>A3.07.04</v>
      </c>
      <c r="G744" s="34">
        <f t="shared" si="23"/>
        <v>1.8</v>
      </c>
    </row>
    <row r="745" spans="2:7" ht="13.8" customHeight="1" x14ac:dyDescent="0.25">
      <c r="B745" s="33" t="s">
        <v>0</v>
      </c>
      <c r="C745" s="33">
        <v>2768184</v>
      </c>
      <c r="D745" s="33">
        <v>1.8</v>
      </c>
      <c r="E745" s="33" t="s">
        <v>246</v>
      </c>
      <c r="F745" s="31" t="str">
        <f t="shared" si="22"/>
        <v>A3.07.04</v>
      </c>
      <c r="G745" s="34">
        <f t="shared" si="23"/>
        <v>1.8</v>
      </c>
    </row>
    <row r="746" spans="2:7" ht="13.8" customHeight="1" x14ac:dyDescent="0.25">
      <c r="B746" s="33" t="s">
        <v>0</v>
      </c>
      <c r="C746" s="33">
        <v>2768242</v>
      </c>
      <c r="D746" s="33">
        <v>1.8</v>
      </c>
      <c r="E746" s="33" t="s">
        <v>247</v>
      </c>
      <c r="F746" s="31" t="str">
        <f t="shared" si="22"/>
        <v>A3.07.08</v>
      </c>
      <c r="G746" s="34">
        <f t="shared" si="23"/>
        <v>1.8</v>
      </c>
    </row>
    <row r="747" spans="2:7" ht="13.8" customHeight="1" x14ac:dyDescent="0.25">
      <c r="B747" s="33" t="s">
        <v>0</v>
      </c>
      <c r="C747" s="33">
        <v>2768244</v>
      </c>
      <c r="D747" s="33">
        <v>1.8</v>
      </c>
      <c r="E747" s="33" t="s">
        <v>247</v>
      </c>
      <c r="F747" s="31" t="str">
        <f t="shared" si="22"/>
        <v>A3.07.08</v>
      </c>
      <c r="G747" s="34">
        <f t="shared" si="23"/>
        <v>1.8</v>
      </c>
    </row>
    <row r="748" spans="2:7" ht="13.8" customHeight="1" x14ac:dyDescent="0.25">
      <c r="B748" s="33" t="s">
        <v>0</v>
      </c>
      <c r="C748" s="33">
        <v>2768246</v>
      </c>
      <c r="D748" s="33">
        <v>1.8</v>
      </c>
      <c r="E748" s="33" t="s">
        <v>247</v>
      </c>
      <c r="F748" s="31" t="str">
        <f t="shared" si="22"/>
        <v>A3.07.08</v>
      </c>
      <c r="G748" s="34">
        <f t="shared" si="23"/>
        <v>1.8</v>
      </c>
    </row>
    <row r="749" spans="2:7" ht="13.8" customHeight="1" x14ac:dyDescent="0.25">
      <c r="B749" s="33" t="s">
        <v>0</v>
      </c>
      <c r="C749" s="33">
        <v>2768248</v>
      </c>
      <c r="D749" s="33">
        <v>1.8</v>
      </c>
      <c r="E749" s="33" t="s">
        <v>247</v>
      </c>
      <c r="F749" s="31" t="str">
        <f t="shared" si="22"/>
        <v>A3.07.08</v>
      </c>
      <c r="G749" s="34">
        <f t="shared" si="23"/>
        <v>1.8</v>
      </c>
    </row>
    <row r="750" spans="2:7" ht="13.8" customHeight="1" x14ac:dyDescent="0.25">
      <c r="B750" s="33" t="s">
        <v>0</v>
      </c>
      <c r="C750" s="33">
        <v>2768250</v>
      </c>
      <c r="D750" s="33">
        <v>2.4</v>
      </c>
      <c r="E750" s="33" t="s">
        <v>247</v>
      </c>
      <c r="F750" s="31" t="str">
        <f t="shared" si="22"/>
        <v>A3.07.08</v>
      </c>
      <c r="G750" s="34">
        <f t="shared" si="23"/>
        <v>2.4</v>
      </c>
    </row>
    <row r="751" spans="2:7" ht="13.8" customHeight="1" x14ac:dyDescent="0.25">
      <c r="B751" s="33" t="s">
        <v>0</v>
      </c>
      <c r="C751" s="33">
        <v>2768252</v>
      </c>
      <c r="D751" s="33">
        <v>2.4</v>
      </c>
      <c r="E751" s="33" t="s">
        <v>247</v>
      </c>
      <c r="F751" s="31" t="str">
        <f t="shared" si="22"/>
        <v>A3.07.08</v>
      </c>
      <c r="G751" s="34">
        <f t="shared" si="23"/>
        <v>2.4</v>
      </c>
    </row>
    <row r="752" spans="2:7" ht="13.8" customHeight="1" x14ac:dyDescent="0.25">
      <c r="B752" s="33" t="s">
        <v>0</v>
      </c>
      <c r="C752" s="33">
        <v>2768254</v>
      </c>
      <c r="D752" s="33">
        <v>1.8</v>
      </c>
      <c r="E752" s="33" t="s">
        <v>247</v>
      </c>
      <c r="F752" s="31" t="str">
        <f t="shared" si="22"/>
        <v>A3.07.08</v>
      </c>
      <c r="G752" s="34">
        <f t="shared" si="23"/>
        <v>1.8</v>
      </c>
    </row>
    <row r="753" spans="2:7" ht="13.8" customHeight="1" x14ac:dyDescent="0.25">
      <c r="B753" s="33" t="s">
        <v>0</v>
      </c>
      <c r="C753" s="33">
        <v>2768256</v>
      </c>
      <c r="D753" s="33">
        <v>1.8</v>
      </c>
      <c r="E753" s="33" t="s">
        <v>247</v>
      </c>
      <c r="F753" s="31" t="str">
        <f t="shared" si="22"/>
        <v>A3.07.08</v>
      </c>
      <c r="G753" s="34">
        <f t="shared" si="23"/>
        <v>1.8</v>
      </c>
    </row>
    <row r="754" spans="2:7" ht="13.8" customHeight="1" x14ac:dyDescent="0.25">
      <c r="B754" s="33" t="s">
        <v>0</v>
      </c>
      <c r="C754" s="33">
        <v>2768322</v>
      </c>
      <c r="D754" s="33">
        <v>1.8</v>
      </c>
      <c r="E754" s="33" t="s">
        <v>248</v>
      </c>
      <c r="F754" s="31" t="str">
        <f t="shared" si="22"/>
        <v>A3.07.01</v>
      </c>
      <c r="G754" s="34">
        <f t="shared" si="23"/>
        <v>1.8</v>
      </c>
    </row>
    <row r="755" spans="2:7" ht="13.8" customHeight="1" x14ac:dyDescent="0.25">
      <c r="B755" s="33" t="s">
        <v>0</v>
      </c>
      <c r="C755" s="33">
        <v>2768324</v>
      </c>
      <c r="D755" s="33">
        <v>1.8</v>
      </c>
      <c r="E755" s="33" t="s">
        <v>248</v>
      </c>
      <c r="F755" s="31" t="str">
        <f t="shared" si="22"/>
        <v>A3.07.01</v>
      </c>
      <c r="G755" s="34">
        <f t="shared" si="23"/>
        <v>1.8</v>
      </c>
    </row>
    <row r="756" spans="2:7" ht="13.8" customHeight="1" x14ac:dyDescent="0.25">
      <c r="B756" s="33" t="s">
        <v>0</v>
      </c>
      <c r="C756" s="33">
        <v>2768326</v>
      </c>
      <c r="D756" s="33">
        <v>1.8</v>
      </c>
      <c r="E756" s="33" t="s">
        <v>248</v>
      </c>
      <c r="F756" s="31" t="str">
        <f t="shared" si="22"/>
        <v>A3.07.01</v>
      </c>
      <c r="G756" s="34">
        <f t="shared" si="23"/>
        <v>1.8</v>
      </c>
    </row>
    <row r="757" spans="2:7" ht="13.8" customHeight="1" x14ac:dyDescent="0.25">
      <c r="B757" s="33" t="s">
        <v>0</v>
      </c>
      <c r="C757" s="33">
        <v>2768328</v>
      </c>
      <c r="D757" s="33">
        <v>1.8</v>
      </c>
      <c r="E757" s="33" t="s">
        <v>248</v>
      </c>
      <c r="F757" s="31" t="str">
        <f t="shared" si="22"/>
        <v>A3.07.01</v>
      </c>
      <c r="G757" s="34">
        <f t="shared" si="23"/>
        <v>1.8</v>
      </c>
    </row>
    <row r="758" spans="2:7" ht="13.8" customHeight="1" x14ac:dyDescent="0.25">
      <c r="B758" s="33" t="s">
        <v>0</v>
      </c>
      <c r="C758" s="33">
        <v>2768330</v>
      </c>
      <c r="D758" s="33">
        <v>2.4</v>
      </c>
      <c r="E758" s="33" t="s">
        <v>248</v>
      </c>
      <c r="F758" s="31" t="str">
        <f t="shared" si="22"/>
        <v>A3.07.01</v>
      </c>
      <c r="G758" s="34">
        <f t="shared" si="23"/>
        <v>2.4</v>
      </c>
    </row>
    <row r="759" spans="2:7" ht="13.8" customHeight="1" x14ac:dyDescent="0.25">
      <c r="B759" s="33" t="s">
        <v>0</v>
      </c>
      <c r="C759" s="33">
        <v>2768332</v>
      </c>
      <c r="D759" s="33">
        <v>2.4</v>
      </c>
      <c r="E759" s="33" t="s">
        <v>248</v>
      </c>
      <c r="F759" s="31" t="str">
        <f t="shared" si="22"/>
        <v>A3.07.01</v>
      </c>
      <c r="G759" s="34">
        <f t="shared" si="23"/>
        <v>2.4</v>
      </c>
    </row>
    <row r="760" spans="2:7" ht="13.8" customHeight="1" x14ac:dyDescent="0.25">
      <c r="B760" s="33" t="s">
        <v>0</v>
      </c>
      <c r="C760" s="33">
        <v>2768334</v>
      </c>
      <c r="D760" s="33">
        <v>1.8</v>
      </c>
      <c r="E760" s="33" t="s">
        <v>248</v>
      </c>
      <c r="F760" s="31" t="str">
        <f t="shared" si="22"/>
        <v>A3.07.01</v>
      </c>
      <c r="G760" s="34">
        <f t="shared" si="23"/>
        <v>1.8</v>
      </c>
    </row>
    <row r="761" spans="2:7" ht="13.8" customHeight="1" x14ac:dyDescent="0.25">
      <c r="B761" s="33" t="s">
        <v>0</v>
      </c>
      <c r="C761" s="33">
        <v>2768336</v>
      </c>
      <c r="D761" s="33">
        <v>1.8</v>
      </c>
      <c r="E761" s="33" t="s">
        <v>248</v>
      </c>
      <c r="F761" s="31" t="str">
        <f t="shared" si="22"/>
        <v>A3.07.01</v>
      </c>
      <c r="G761" s="34">
        <f t="shared" si="23"/>
        <v>1.8</v>
      </c>
    </row>
    <row r="762" spans="2:7" ht="13.8" customHeight="1" x14ac:dyDescent="0.25">
      <c r="B762" s="33" t="s">
        <v>0</v>
      </c>
      <c r="C762" s="33">
        <v>2768402</v>
      </c>
      <c r="D762" s="33">
        <v>1.8</v>
      </c>
      <c r="E762" s="33" t="s">
        <v>249</v>
      </c>
      <c r="F762" s="31" t="str">
        <f t="shared" si="22"/>
        <v>A3.07.02</v>
      </c>
      <c r="G762" s="34">
        <f t="shared" si="23"/>
        <v>1.8</v>
      </c>
    </row>
    <row r="763" spans="2:7" ht="13.8" customHeight="1" x14ac:dyDescent="0.25">
      <c r="B763" s="33" t="s">
        <v>0</v>
      </c>
      <c r="C763" s="33">
        <v>2768404</v>
      </c>
      <c r="D763" s="33">
        <v>1.8</v>
      </c>
      <c r="E763" s="33" t="s">
        <v>249</v>
      </c>
      <c r="F763" s="31" t="str">
        <f t="shared" si="22"/>
        <v>A3.07.02</v>
      </c>
      <c r="G763" s="34">
        <f t="shared" si="23"/>
        <v>1.8</v>
      </c>
    </row>
    <row r="764" spans="2:7" ht="13.8" customHeight="1" x14ac:dyDescent="0.25">
      <c r="B764" s="33" t="s">
        <v>0</v>
      </c>
      <c r="C764" s="33">
        <v>2768406</v>
      </c>
      <c r="D764" s="33">
        <v>1.8</v>
      </c>
      <c r="E764" s="33" t="s">
        <v>249</v>
      </c>
      <c r="F764" s="31" t="str">
        <f t="shared" si="22"/>
        <v>A3.07.02</v>
      </c>
      <c r="G764" s="34">
        <f t="shared" si="23"/>
        <v>1.8</v>
      </c>
    </row>
    <row r="765" spans="2:7" ht="13.8" customHeight="1" x14ac:dyDescent="0.25">
      <c r="B765" s="33" t="s">
        <v>0</v>
      </c>
      <c r="C765" s="33">
        <v>2768408</v>
      </c>
      <c r="D765" s="33">
        <v>1.8</v>
      </c>
      <c r="E765" s="33" t="s">
        <v>249</v>
      </c>
      <c r="F765" s="31" t="str">
        <f t="shared" si="22"/>
        <v>A3.07.02</v>
      </c>
      <c r="G765" s="34">
        <f t="shared" si="23"/>
        <v>1.8</v>
      </c>
    </row>
    <row r="766" spans="2:7" ht="13.8" customHeight="1" x14ac:dyDescent="0.25">
      <c r="B766" s="33" t="s">
        <v>0</v>
      </c>
      <c r="C766" s="33">
        <v>2768410</v>
      </c>
      <c r="D766" s="33">
        <v>1.8</v>
      </c>
      <c r="E766" s="33" t="s">
        <v>249</v>
      </c>
      <c r="F766" s="31" t="str">
        <f t="shared" si="22"/>
        <v>A3.07.02</v>
      </c>
      <c r="G766" s="34">
        <f t="shared" si="23"/>
        <v>1.8</v>
      </c>
    </row>
    <row r="767" spans="2:7" ht="13.8" customHeight="1" x14ac:dyDescent="0.25">
      <c r="B767" s="33" t="s">
        <v>0</v>
      </c>
      <c r="C767" s="33">
        <v>2768412</v>
      </c>
      <c r="D767" s="33">
        <v>1.8</v>
      </c>
      <c r="E767" s="33" t="s">
        <v>249</v>
      </c>
      <c r="F767" s="31" t="str">
        <f t="shared" si="22"/>
        <v>A3.07.02</v>
      </c>
      <c r="G767" s="34">
        <f t="shared" si="23"/>
        <v>1.8</v>
      </c>
    </row>
    <row r="768" spans="2:7" ht="13.8" customHeight="1" x14ac:dyDescent="0.25">
      <c r="B768" s="33" t="s">
        <v>0</v>
      </c>
      <c r="C768" s="33">
        <v>2768414</v>
      </c>
      <c r="D768" s="33">
        <v>2.4</v>
      </c>
      <c r="E768" s="33" t="s">
        <v>249</v>
      </c>
      <c r="F768" s="31" t="str">
        <f t="shared" si="22"/>
        <v>A3.07.02</v>
      </c>
      <c r="G768" s="34">
        <f t="shared" si="23"/>
        <v>2.4</v>
      </c>
    </row>
    <row r="769" spans="2:7" ht="13.8" customHeight="1" x14ac:dyDescent="0.25">
      <c r="B769" s="33" t="s">
        <v>0</v>
      </c>
      <c r="C769" s="33">
        <v>2768416</v>
      </c>
      <c r="D769" s="33">
        <v>2.4</v>
      </c>
      <c r="E769" s="33" t="s">
        <v>249</v>
      </c>
      <c r="F769" s="31" t="str">
        <f t="shared" si="22"/>
        <v>A3.07.02</v>
      </c>
      <c r="G769" s="34">
        <f t="shared" si="23"/>
        <v>2.4</v>
      </c>
    </row>
    <row r="770" spans="2:7" ht="13.8" customHeight="1" x14ac:dyDescent="0.25">
      <c r="B770" s="33" t="s">
        <v>0</v>
      </c>
      <c r="C770" s="33">
        <v>2768418</v>
      </c>
      <c r="D770" s="33">
        <v>1.8</v>
      </c>
      <c r="E770" s="33" t="s">
        <v>249</v>
      </c>
      <c r="F770" s="31" t="str">
        <f t="shared" si="22"/>
        <v>A3.07.02</v>
      </c>
      <c r="G770" s="34">
        <f t="shared" si="23"/>
        <v>1.8</v>
      </c>
    </row>
    <row r="771" spans="2:7" ht="13.8" customHeight="1" x14ac:dyDescent="0.25">
      <c r="B771" s="33" t="s">
        <v>0</v>
      </c>
      <c r="C771" s="33">
        <v>2768420</v>
      </c>
      <c r="D771" s="33">
        <v>1.8</v>
      </c>
      <c r="E771" s="33" t="s">
        <v>249</v>
      </c>
      <c r="F771" s="31" t="str">
        <f t="shared" si="22"/>
        <v>A3.07.02</v>
      </c>
      <c r="G771" s="34">
        <f t="shared" si="23"/>
        <v>1.8</v>
      </c>
    </row>
    <row r="772" spans="2:7" ht="13.8" customHeight="1" x14ac:dyDescent="0.25">
      <c r="B772" s="33" t="s">
        <v>0</v>
      </c>
      <c r="C772" s="33">
        <v>2768422</v>
      </c>
      <c r="D772" s="33">
        <v>1.8</v>
      </c>
      <c r="E772" s="33" t="s">
        <v>249</v>
      </c>
      <c r="F772" s="31" t="str">
        <f t="shared" si="22"/>
        <v>A3.07.02</v>
      </c>
      <c r="G772" s="34">
        <f t="shared" si="23"/>
        <v>1.8</v>
      </c>
    </row>
    <row r="773" spans="2:7" ht="13.8" customHeight="1" x14ac:dyDescent="0.25">
      <c r="B773" s="33" t="s">
        <v>0</v>
      </c>
      <c r="C773" s="33">
        <v>2768424</v>
      </c>
      <c r="D773" s="33">
        <v>1.8</v>
      </c>
      <c r="E773" s="33" t="s">
        <v>249</v>
      </c>
      <c r="F773" s="31" t="str">
        <f t="shared" si="22"/>
        <v>A3.07.02</v>
      </c>
      <c r="G773" s="34">
        <f t="shared" si="23"/>
        <v>1.8</v>
      </c>
    </row>
    <row r="774" spans="2:7" ht="13.8" customHeight="1" x14ac:dyDescent="0.25">
      <c r="B774" s="33" t="s">
        <v>0</v>
      </c>
      <c r="C774" s="33">
        <v>2768476</v>
      </c>
      <c r="D774" s="33">
        <v>1.8</v>
      </c>
      <c r="E774" s="33" t="s">
        <v>250</v>
      </c>
      <c r="F774" s="31" t="str">
        <f t="shared" si="22"/>
        <v>A3.07.07</v>
      </c>
      <c r="G774" s="34">
        <f t="shared" si="23"/>
        <v>1.8</v>
      </c>
    </row>
    <row r="775" spans="2:7" ht="13.8" customHeight="1" x14ac:dyDescent="0.25">
      <c r="B775" s="33" t="s">
        <v>0</v>
      </c>
      <c r="C775" s="33">
        <v>2768478</v>
      </c>
      <c r="D775" s="33">
        <v>1.8</v>
      </c>
      <c r="E775" s="33" t="s">
        <v>250</v>
      </c>
      <c r="F775" s="31" t="str">
        <f t="shared" ref="F775:F838" si="24">LEFT(E775,8)</f>
        <v>A3.07.07</v>
      </c>
      <c r="G775" s="34">
        <f t="shared" ref="G775:G838" si="25">D775</f>
        <v>1.8</v>
      </c>
    </row>
    <row r="776" spans="2:7" ht="13.8" customHeight="1" x14ac:dyDescent="0.25">
      <c r="B776" s="33" t="s">
        <v>0</v>
      </c>
      <c r="C776" s="33">
        <v>2768480</v>
      </c>
      <c r="D776" s="33">
        <v>2.4</v>
      </c>
      <c r="E776" s="33" t="s">
        <v>250</v>
      </c>
      <c r="F776" s="31" t="str">
        <f t="shared" si="24"/>
        <v>A3.07.07</v>
      </c>
      <c r="G776" s="34">
        <f t="shared" si="25"/>
        <v>2.4</v>
      </c>
    </row>
    <row r="777" spans="2:7" ht="13.8" customHeight="1" x14ac:dyDescent="0.25">
      <c r="B777" s="33" t="s">
        <v>0</v>
      </c>
      <c r="C777" s="33">
        <v>2768482</v>
      </c>
      <c r="D777" s="33">
        <v>2.4</v>
      </c>
      <c r="E777" s="33" t="s">
        <v>250</v>
      </c>
      <c r="F777" s="31" t="str">
        <f t="shared" si="24"/>
        <v>A3.07.07</v>
      </c>
      <c r="G777" s="34">
        <f t="shared" si="25"/>
        <v>2.4</v>
      </c>
    </row>
    <row r="778" spans="2:7" ht="13.8" customHeight="1" x14ac:dyDescent="0.25">
      <c r="B778" s="33" t="s">
        <v>0</v>
      </c>
      <c r="C778" s="33">
        <v>2768535</v>
      </c>
      <c r="D778" s="33">
        <v>1.8</v>
      </c>
      <c r="E778" s="33" t="s">
        <v>251</v>
      </c>
      <c r="F778" s="31" t="str">
        <f t="shared" si="24"/>
        <v>A3.07.03</v>
      </c>
      <c r="G778" s="34">
        <f t="shared" si="25"/>
        <v>1.8</v>
      </c>
    </row>
    <row r="779" spans="2:7" ht="13.8" customHeight="1" x14ac:dyDescent="0.25">
      <c r="B779" s="33" t="s">
        <v>0</v>
      </c>
      <c r="C779" s="33">
        <v>2768537</v>
      </c>
      <c r="D779" s="33">
        <v>1.8</v>
      </c>
      <c r="E779" s="33" t="s">
        <v>251</v>
      </c>
      <c r="F779" s="31" t="str">
        <f t="shared" si="24"/>
        <v>A3.07.03</v>
      </c>
      <c r="G779" s="34">
        <f t="shared" si="25"/>
        <v>1.8</v>
      </c>
    </row>
    <row r="780" spans="2:7" ht="13.8" customHeight="1" x14ac:dyDescent="0.25">
      <c r="B780" s="33" t="s">
        <v>0</v>
      </c>
      <c r="C780" s="33">
        <v>2768539</v>
      </c>
      <c r="D780" s="33">
        <v>1.8</v>
      </c>
      <c r="E780" s="33" t="s">
        <v>251</v>
      </c>
      <c r="F780" s="31" t="str">
        <f t="shared" si="24"/>
        <v>A3.07.03</v>
      </c>
      <c r="G780" s="34">
        <f t="shared" si="25"/>
        <v>1.8</v>
      </c>
    </row>
    <row r="781" spans="2:7" ht="13.8" customHeight="1" x14ac:dyDescent="0.25">
      <c r="B781" s="33" t="s">
        <v>0</v>
      </c>
      <c r="C781" s="33">
        <v>2768541</v>
      </c>
      <c r="D781" s="33">
        <v>1.8</v>
      </c>
      <c r="E781" s="33" t="s">
        <v>251</v>
      </c>
      <c r="F781" s="31" t="str">
        <f t="shared" si="24"/>
        <v>A3.07.03</v>
      </c>
      <c r="G781" s="34">
        <f t="shared" si="25"/>
        <v>1.8</v>
      </c>
    </row>
    <row r="782" spans="2:7" ht="13.8" customHeight="1" x14ac:dyDescent="0.25">
      <c r="B782" s="33" t="s">
        <v>0</v>
      </c>
      <c r="C782" s="33">
        <v>2768543</v>
      </c>
      <c r="D782" s="33">
        <v>2.4</v>
      </c>
      <c r="E782" s="33" t="s">
        <v>251</v>
      </c>
      <c r="F782" s="31" t="str">
        <f t="shared" si="24"/>
        <v>A3.07.03</v>
      </c>
      <c r="G782" s="34">
        <f t="shared" si="25"/>
        <v>2.4</v>
      </c>
    </row>
    <row r="783" spans="2:7" ht="13.8" customHeight="1" x14ac:dyDescent="0.25">
      <c r="B783" s="33" t="s">
        <v>0</v>
      </c>
      <c r="C783" s="33">
        <v>2768545</v>
      </c>
      <c r="D783" s="33">
        <v>2.4</v>
      </c>
      <c r="E783" s="33" t="s">
        <v>251</v>
      </c>
      <c r="F783" s="31" t="str">
        <f t="shared" si="24"/>
        <v>A3.07.03</v>
      </c>
      <c r="G783" s="34">
        <f t="shared" si="25"/>
        <v>2.4</v>
      </c>
    </row>
    <row r="784" spans="2:7" ht="13.8" customHeight="1" x14ac:dyDescent="0.25">
      <c r="B784" s="33" t="s">
        <v>0</v>
      </c>
      <c r="C784" s="33">
        <v>2768547</v>
      </c>
      <c r="D784" s="33">
        <v>1.8</v>
      </c>
      <c r="E784" s="33" t="s">
        <v>251</v>
      </c>
      <c r="F784" s="31" t="str">
        <f t="shared" si="24"/>
        <v>A3.07.03</v>
      </c>
      <c r="G784" s="34">
        <f t="shared" si="25"/>
        <v>1.8</v>
      </c>
    </row>
    <row r="785" spans="2:7" ht="13.8" customHeight="1" x14ac:dyDescent="0.25">
      <c r="B785" s="33" t="s">
        <v>0</v>
      </c>
      <c r="C785" s="33">
        <v>2768549</v>
      </c>
      <c r="D785" s="33">
        <v>1.8</v>
      </c>
      <c r="E785" s="33" t="s">
        <v>251</v>
      </c>
      <c r="F785" s="31" t="str">
        <f t="shared" si="24"/>
        <v>A3.07.03</v>
      </c>
      <c r="G785" s="34">
        <f t="shared" si="25"/>
        <v>1.8</v>
      </c>
    </row>
    <row r="786" spans="2:7" ht="13.8" customHeight="1" x14ac:dyDescent="0.25">
      <c r="B786" s="33" t="s">
        <v>0</v>
      </c>
      <c r="C786" s="33">
        <v>2768551</v>
      </c>
      <c r="D786" s="33">
        <v>1.8</v>
      </c>
      <c r="E786" s="33" t="s">
        <v>251</v>
      </c>
      <c r="F786" s="31" t="str">
        <f t="shared" si="24"/>
        <v>A3.07.03</v>
      </c>
      <c r="G786" s="34">
        <f t="shared" si="25"/>
        <v>1.8</v>
      </c>
    </row>
    <row r="787" spans="2:7" ht="13.8" customHeight="1" x14ac:dyDescent="0.25">
      <c r="B787" s="33" t="s">
        <v>0</v>
      </c>
      <c r="C787" s="33">
        <v>2768553</v>
      </c>
      <c r="D787" s="33">
        <v>1.8</v>
      </c>
      <c r="E787" s="33" t="s">
        <v>251</v>
      </c>
      <c r="F787" s="31" t="str">
        <f t="shared" si="24"/>
        <v>A3.07.03</v>
      </c>
      <c r="G787" s="34">
        <f t="shared" si="25"/>
        <v>1.8</v>
      </c>
    </row>
    <row r="788" spans="2:7" ht="13.8" customHeight="1" x14ac:dyDescent="0.25">
      <c r="B788" s="33" t="s">
        <v>0</v>
      </c>
      <c r="C788" s="33">
        <v>2768555</v>
      </c>
      <c r="D788" s="33">
        <v>1.8</v>
      </c>
      <c r="E788" s="33" t="s">
        <v>251</v>
      </c>
      <c r="F788" s="31" t="str">
        <f t="shared" si="24"/>
        <v>A3.07.03</v>
      </c>
      <c r="G788" s="34">
        <f t="shared" si="25"/>
        <v>1.8</v>
      </c>
    </row>
    <row r="789" spans="2:7" ht="13.8" customHeight="1" x14ac:dyDescent="0.25">
      <c r="B789" s="33" t="s">
        <v>0</v>
      </c>
      <c r="C789" s="33">
        <v>2768557</v>
      </c>
      <c r="D789" s="33">
        <v>1.8</v>
      </c>
      <c r="E789" s="33" t="s">
        <v>251</v>
      </c>
      <c r="F789" s="31" t="str">
        <f t="shared" si="24"/>
        <v>A3.07.03</v>
      </c>
      <c r="G789" s="34">
        <f t="shared" si="25"/>
        <v>1.8</v>
      </c>
    </row>
    <row r="790" spans="2:7" ht="13.8" customHeight="1" x14ac:dyDescent="0.25">
      <c r="B790" s="33" t="s">
        <v>0</v>
      </c>
      <c r="C790" s="33">
        <v>2768605</v>
      </c>
      <c r="D790" s="33">
        <v>2.4</v>
      </c>
      <c r="E790" s="33" t="s">
        <v>252</v>
      </c>
      <c r="F790" s="31" t="str">
        <f t="shared" si="24"/>
        <v>A3.07.06</v>
      </c>
      <c r="G790" s="34">
        <f t="shared" si="25"/>
        <v>2.4</v>
      </c>
    </row>
    <row r="791" spans="2:7" ht="13.8" customHeight="1" x14ac:dyDescent="0.25">
      <c r="B791" s="33" t="s">
        <v>0</v>
      </c>
      <c r="C791" s="33">
        <v>2768607</v>
      </c>
      <c r="D791" s="33">
        <v>2.4</v>
      </c>
      <c r="E791" s="33" t="s">
        <v>252</v>
      </c>
      <c r="F791" s="31" t="str">
        <f t="shared" si="24"/>
        <v>A3.07.06</v>
      </c>
      <c r="G791" s="34">
        <f t="shared" si="25"/>
        <v>2.4</v>
      </c>
    </row>
    <row r="792" spans="2:7" ht="13.8" customHeight="1" x14ac:dyDescent="0.25">
      <c r="B792" s="33" t="s">
        <v>0</v>
      </c>
      <c r="C792" s="33">
        <v>2768609</v>
      </c>
      <c r="D792" s="33">
        <v>1.8</v>
      </c>
      <c r="E792" s="33" t="s">
        <v>252</v>
      </c>
      <c r="F792" s="31" t="str">
        <f t="shared" si="24"/>
        <v>A3.07.06</v>
      </c>
      <c r="G792" s="34">
        <f t="shared" si="25"/>
        <v>1.8</v>
      </c>
    </row>
    <row r="793" spans="2:7" ht="13.8" customHeight="1" x14ac:dyDescent="0.25">
      <c r="B793" s="33" t="s">
        <v>0</v>
      </c>
      <c r="C793" s="33">
        <v>2768611</v>
      </c>
      <c r="D793" s="33">
        <v>1.8</v>
      </c>
      <c r="E793" s="33" t="s">
        <v>252</v>
      </c>
      <c r="F793" s="31" t="str">
        <f t="shared" si="24"/>
        <v>A3.07.06</v>
      </c>
      <c r="G793" s="34">
        <f t="shared" si="25"/>
        <v>1.8</v>
      </c>
    </row>
    <row r="794" spans="2:7" ht="13.8" customHeight="1" x14ac:dyDescent="0.25">
      <c r="B794" s="33" t="s">
        <v>0</v>
      </c>
      <c r="C794" s="33">
        <v>2768673</v>
      </c>
      <c r="D794" s="33">
        <v>1.8</v>
      </c>
      <c r="E794" s="33" t="s">
        <v>253</v>
      </c>
      <c r="F794" s="31" t="str">
        <f t="shared" si="24"/>
        <v>A6.10.04</v>
      </c>
      <c r="G794" s="34">
        <f t="shared" si="25"/>
        <v>1.8</v>
      </c>
    </row>
    <row r="795" spans="2:7" ht="13.8" customHeight="1" x14ac:dyDescent="0.25">
      <c r="B795" s="33" t="s">
        <v>0</v>
      </c>
      <c r="C795" s="33">
        <v>2768675</v>
      </c>
      <c r="D795" s="33">
        <v>1.8</v>
      </c>
      <c r="E795" s="33" t="s">
        <v>253</v>
      </c>
      <c r="F795" s="31" t="str">
        <f t="shared" si="24"/>
        <v>A6.10.04</v>
      </c>
      <c r="G795" s="34">
        <f t="shared" si="25"/>
        <v>1.8</v>
      </c>
    </row>
    <row r="796" spans="2:7" ht="13.8" customHeight="1" x14ac:dyDescent="0.25">
      <c r="B796" s="33" t="s">
        <v>0</v>
      </c>
      <c r="C796" s="33">
        <v>2768677</v>
      </c>
      <c r="D796" s="33">
        <v>1.8</v>
      </c>
      <c r="E796" s="33" t="s">
        <v>253</v>
      </c>
      <c r="F796" s="31" t="str">
        <f t="shared" si="24"/>
        <v>A6.10.04</v>
      </c>
      <c r="G796" s="34">
        <f t="shared" si="25"/>
        <v>1.8</v>
      </c>
    </row>
    <row r="797" spans="2:7" ht="13.8" customHeight="1" x14ac:dyDescent="0.25">
      <c r="B797" s="33" t="s">
        <v>0</v>
      </c>
      <c r="C797" s="33">
        <v>2768679</v>
      </c>
      <c r="D797" s="33">
        <v>1.8</v>
      </c>
      <c r="E797" s="33" t="s">
        <v>253</v>
      </c>
      <c r="F797" s="31" t="str">
        <f t="shared" si="24"/>
        <v>A6.10.04</v>
      </c>
      <c r="G797" s="34">
        <f t="shared" si="25"/>
        <v>1.8</v>
      </c>
    </row>
    <row r="798" spans="2:7" ht="13.8" customHeight="1" x14ac:dyDescent="0.25">
      <c r="B798" s="33" t="s">
        <v>0</v>
      </c>
      <c r="C798" s="33">
        <v>2768681</v>
      </c>
      <c r="D798" s="33">
        <v>2.4</v>
      </c>
      <c r="E798" s="33" t="s">
        <v>253</v>
      </c>
      <c r="F798" s="31" t="str">
        <f t="shared" si="24"/>
        <v>A6.10.04</v>
      </c>
      <c r="G798" s="34">
        <f t="shared" si="25"/>
        <v>2.4</v>
      </c>
    </row>
    <row r="799" spans="2:7" ht="13.8" customHeight="1" x14ac:dyDescent="0.25">
      <c r="B799" s="33" t="s">
        <v>0</v>
      </c>
      <c r="C799" s="33">
        <v>2768683</v>
      </c>
      <c r="D799" s="33">
        <v>2.4</v>
      </c>
      <c r="E799" s="33" t="s">
        <v>253</v>
      </c>
      <c r="F799" s="31" t="str">
        <f t="shared" si="24"/>
        <v>A6.10.04</v>
      </c>
      <c r="G799" s="34">
        <f t="shared" si="25"/>
        <v>2.4</v>
      </c>
    </row>
    <row r="800" spans="2:7" ht="13.8" customHeight="1" x14ac:dyDescent="0.25">
      <c r="B800" s="33" t="s">
        <v>0</v>
      </c>
      <c r="C800" s="33">
        <v>2768685</v>
      </c>
      <c r="D800" s="33">
        <v>1.27</v>
      </c>
      <c r="E800" s="33" t="s">
        <v>253</v>
      </c>
      <c r="F800" s="31" t="str">
        <f t="shared" si="24"/>
        <v>A6.10.04</v>
      </c>
      <c r="G800" s="34">
        <f t="shared" si="25"/>
        <v>1.27</v>
      </c>
    </row>
    <row r="801" spans="2:7" ht="13.8" customHeight="1" x14ac:dyDescent="0.25">
      <c r="B801" s="33" t="s">
        <v>0</v>
      </c>
      <c r="C801" s="33">
        <v>2768687</v>
      </c>
      <c r="D801" s="33">
        <v>1.27</v>
      </c>
      <c r="E801" s="33" t="s">
        <v>253</v>
      </c>
      <c r="F801" s="31" t="str">
        <f t="shared" si="24"/>
        <v>A6.10.04</v>
      </c>
      <c r="G801" s="34">
        <f t="shared" si="25"/>
        <v>1.27</v>
      </c>
    </row>
    <row r="802" spans="2:7" ht="13.8" customHeight="1" x14ac:dyDescent="0.25">
      <c r="B802" s="33" t="s">
        <v>0</v>
      </c>
      <c r="C802" s="33">
        <v>2768689</v>
      </c>
      <c r="D802" s="33">
        <v>1.27</v>
      </c>
      <c r="E802" s="33" t="s">
        <v>253</v>
      </c>
      <c r="F802" s="31" t="str">
        <f t="shared" si="24"/>
        <v>A6.10.04</v>
      </c>
      <c r="G802" s="34">
        <f t="shared" si="25"/>
        <v>1.27</v>
      </c>
    </row>
    <row r="803" spans="2:7" ht="13.8" customHeight="1" x14ac:dyDescent="0.25">
      <c r="B803" s="33" t="s">
        <v>0</v>
      </c>
      <c r="C803" s="33">
        <v>2768691</v>
      </c>
      <c r="D803" s="33">
        <v>1.27</v>
      </c>
      <c r="E803" s="33" t="s">
        <v>253</v>
      </c>
      <c r="F803" s="31" t="str">
        <f t="shared" si="24"/>
        <v>A6.10.04</v>
      </c>
      <c r="G803" s="34">
        <f t="shared" si="25"/>
        <v>1.27</v>
      </c>
    </row>
    <row r="804" spans="2:7" ht="13.8" customHeight="1" x14ac:dyDescent="0.25">
      <c r="B804" s="33" t="s">
        <v>0</v>
      </c>
      <c r="C804" s="33">
        <v>2768693</v>
      </c>
      <c r="D804" s="33">
        <v>1.8</v>
      </c>
      <c r="E804" s="33" t="s">
        <v>253</v>
      </c>
      <c r="F804" s="31" t="str">
        <f t="shared" si="24"/>
        <v>A6.10.04</v>
      </c>
      <c r="G804" s="34">
        <f t="shared" si="25"/>
        <v>1.8</v>
      </c>
    </row>
    <row r="805" spans="2:7" ht="13.8" customHeight="1" x14ac:dyDescent="0.25">
      <c r="B805" s="33" t="s">
        <v>0</v>
      </c>
      <c r="C805" s="33">
        <v>2768695</v>
      </c>
      <c r="D805" s="33">
        <v>1.8</v>
      </c>
      <c r="E805" s="33" t="s">
        <v>253</v>
      </c>
      <c r="F805" s="31" t="str">
        <f t="shared" si="24"/>
        <v>A6.10.04</v>
      </c>
      <c r="G805" s="34">
        <f t="shared" si="25"/>
        <v>1.8</v>
      </c>
    </row>
    <row r="806" spans="2:7" ht="13.8" customHeight="1" x14ac:dyDescent="0.25">
      <c r="B806" s="33" t="s">
        <v>0</v>
      </c>
      <c r="C806" s="33">
        <v>2768697</v>
      </c>
      <c r="D806" s="33">
        <v>1.8</v>
      </c>
      <c r="E806" s="33" t="s">
        <v>253</v>
      </c>
      <c r="F806" s="31" t="str">
        <f t="shared" si="24"/>
        <v>A6.10.04</v>
      </c>
      <c r="G806" s="34">
        <f t="shared" si="25"/>
        <v>1.8</v>
      </c>
    </row>
    <row r="807" spans="2:7" ht="13.8" customHeight="1" x14ac:dyDescent="0.25">
      <c r="B807" s="33" t="s">
        <v>0</v>
      </c>
      <c r="C807" s="33">
        <v>2768699</v>
      </c>
      <c r="D807" s="33">
        <v>1.8</v>
      </c>
      <c r="E807" s="33" t="s">
        <v>253</v>
      </c>
      <c r="F807" s="31" t="str">
        <f t="shared" si="24"/>
        <v>A6.10.04</v>
      </c>
      <c r="G807" s="34">
        <f t="shared" si="25"/>
        <v>1.8</v>
      </c>
    </row>
    <row r="808" spans="2:7" ht="13.8" customHeight="1" x14ac:dyDescent="0.25">
      <c r="B808" s="33" t="s">
        <v>0</v>
      </c>
      <c r="C808" s="33">
        <v>2768701</v>
      </c>
      <c r="D808" s="33">
        <v>1.8</v>
      </c>
      <c r="E808" s="33" t="s">
        <v>253</v>
      </c>
      <c r="F808" s="31" t="str">
        <f t="shared" si="24"/>
        <v>A6.10.04</v>
      </c>
      <c r="G808" s="34">
        <f t="shared" si="25"/>
        <v>1.8</v>
      </c>
    </row>
    <row r="809" spans="2:7" ht="13.8" customHeight="1" x14ac:dyDescent="0.25">
      <c r="B809" s="33" t="s">
        <v>0</v>
      </c>
      <c r="C809" s="33">
        <v>2768703</v>
      </c>
      <c r="D809" s="33">
        <v>1.8</v>
      </c>
      <c r="E809" s="33" t="s">
        <v>253</v>
      </c>
      <c r="F809" s="31" t="str">
        <f t="shared" si="24"/>
        <v>A6.10.04</v>
      </c>
      <c r="G809" s="34">
        <f t="shared" si="25"/>
        <v>1.8</v>
      </c>
    </row>
    <row r="810" spans="2:7" ht="13.8" customHeight="1" x14ac:dyDescent="0.25">
      <c r="B810" s="33" t="s">
        <v>0</v>
      </c>
      <c r="C810" s="33">
        <v>2768705</v>
      </c>
      <c r="D810" s="33">
        <v>1.8</v>
      </c>
      <c r="E810" s="33" t="s">
        <v>253</v>
      </c>
      <c r="F810" s="31" t="str">
        <f t="shared" si="24"/>
        <v>A6.10.04</v>
      </c>
      <c r="G810" s="34">
        <f t="shared" si="25"/>
        <v>1.8</v>
      </c>
    </row>
    <row r="811" spans="2:7" ht="13.8" customHeight="1" x14ac:dyDescent="0.25">
      <c r="B811" s="33" t="s">
        <v>0</v>
      </c>
      <c r="C811" s="33">
        <v>2768707</v>
      </c>
      <c r="D811" s="33">
        <v>1.8</v>
      </c>
      <c r="E811" s="33" t="s">
        <v>253</v>
      </c>
      <c r="F811" s="31" t="str">
        <f t="shared" si="24"/>
        <v>A6.10.04</v>
      </c>
      <c r="G811" s="34">
        <f t="shared" si="25"/>
        <v>1.8</v>
      </c>
    </row>
    <row r="812" spans="2:7" ht="13.8" customHeight="1" x14ac:dyDescent="0.25">
      <c r="B812" s="33" t="s">
        <v>0</v>
      </c>
      <c r="C812" s="33">
        <v>2768775</v>
      </c>
      <c r="D812" s="33">
        <v>1.8</v>
      </c>
      <c r="E812" s="33" t="s">
        <v>254</v>
      </c>
      <c r="F812" s="31" t="str">
        <f t="shared" si="24"/>
        <v>A6.13.01</v>
      </c>
      <c r="G812" s="34">
        <f t="shared" si="25"/>
        <v>1.8</v>
      </c>
    </row>
    <row r="813" spans="2:7" ht="13.8" customHeight="1" x14ac:dyDescent="0.25">
      <c r="B813" s="33" t="s">
        <v>0</v>
      </c>
      <c r="C813" s="33">
        <v>2768777</v>
      </c>
      <c r="D813" s="33">
        <v>1.8</v>
      </c>
      <c r="E813" s="33" t="s">
        <v>254</v>
      </c>
      <c r="F813" s="31" t="str">
        <f t="shared" si="24"/>
        <v>A6.13.01</v>
      </c>
      <c r="G813" s="34">
        <f t="shared" si="25"/>
        <v>1.8</v>
      </c>
    </row>
    <row r="814" spans="2:7" ht="13.8" customHeight="1" x14ac:dyDescent="0.25">
      <c r="B814" s="33" t="s">
        <v>0</v>
      </c>
      <c r="C814" s="33">
        <v>2768779</v>
      </c>
      <c r="D814" s="33">
        <v>1.8</v>
      </c>
      <c r="E814" s="33" t="s">
        <v>254</v>
      </c>
      <c r="F814" s="31" t="str">
        <f t="shared" si="24"/>
        <v>A6.13.01</v>
      </c>
      <c r="G814" s="34">
        <f t="shared" si="25"/>
        <v>1.8</v>
      </c>
    </row>
    <row r="815" spans="2:7" ht="13.8" customHeight="1" x14ac:dyDescent="0.25">
      <c r="B815" s="33" t="s">
        <v>0</v>
      </c>
      <c r="C815" s="33">
        <v>2768781</v>
      </c>
      <c r="D815" s="33">
        <v>1.8</v>
      </c>
      <c r="E815" s="33" t="s">
        <v>254</v>
      </c>
      <c r="F815" s="31" t="str">
        <f t="shared" si="24"/>
        <v>A6.13.01</v>
      </c>
      <c r="G815" s="34">
        <f t="shared" si="25"/>
        <v>1.8</v>
      </c>
    </row>
    <row r="816" spans="2:7" ht="13.8" customHeight="1" x14ac:dyDescent="0.25">
      <c r="B816" s="33" t="s">
        <v>0</v>
      </c>
      <c r="C816" s="33">
        <v>2768783</v>
      </c>
      <c r="D816" s="33">
        <v>1.8</v>
      </c>
      <c r="E816" s="33" t="s">
        <v>254</v>
      </c>
      <c r="F816" s="31" t="str">
        <f t="shared" si="24"/>
        <v>A6.13.01</v>
      </c>
      <c r="G816" s="34">
        <f t="shared" si="25"/>
        <v>1.8</v>
      </c>
    </row>
    <row r="817" spans="2:7" ht="13.8" customHeight="1" x14ac:dyDescent="0.25">
      <c r="B817" s="33" t="s">
        <v>0</v>
      </c>
      <c r="C817" s="33">
        <v>2768785</v>
      </c>
      <c r="D817" s="33">
        <v>1.8</v>
      </c>
      <c r="E817" s="33" t="s">
        <v>254</v>
      </c>
      <c r="F817" s="31" t="str">
        <f t="shared" si="24"/>
        <v>A6.13.01</v>
      </c>
      <c r="G817" s="34">
        <f t="shared" si="25"/>
        <v>1.8</v>
      </c>
    </row>
    <row r="818" spans="2:7" ht="13.8" customHeight="1" x14ac:dyDescent="0.25">
      <c r="B818" s="33" t="s">
        <v>0</v>
      </c>
      <c r="C818" s="33">
        <v>2768787</v>
      </c>
      <c r="D818" s="33">
        <v>2.4</v>
      </c>
      <c r="E818" s="33" t="s">
        <v>254</v>
      </c>
      <c r="F818" s="31" t="str">
        <f t="shared" si="24"/>
        <v>A6.13.01</v>
      </c>
      <c r="G818" s="34">
        <f t="shared" si="25"/>
        <v>2.4</v>
      </c>
    </row>
    <row r="819" spans="2:7" ht="13.8" customHeight="1" x14ac:dyDescent="0.25">
      <c r="B819" s="33" t="s">
        <v>0</v>
      </c>
      <c r="C819" s="33">
        <v>2768789</v>
      </c>
      <c r="D819" s="33">
        <v>2.4</v>
      </c>
      <c r="E819" s="33" t="s">
        <v>254</v>
      </c>
      <c r="F819" s="31" t="str">
        <f t="shared" si="24"/>
        <v>A6.13.01</v>
      </c>
      <c r="G819" s="34">
        <f t="shared" si="25"/>
        <v>2.4</v>
      </c>
    </row>
    <row r="820" spans="2:7" ht="13.8" customHeight="1" x14ac:dyDescent="0.25">
      <c r="B820" s="33" t="s">
        <v>0</v>
      </c>
      <c r="C820" s="33">
        <v>2768791</v>
      </c>
      <c r="D820" s="33">
        <v>1.8</v>
      </c>
      <c r="E820" s="33" t="s">
        <v>254</v>
      </c>
      <c r="F820" s="31" t="str">
        <f t="shared" si="24"/>
        <v>A6.13.01</v>
      </c>
      <c r="G820" s="34">
        <f t="shared" si="25"/>
        <v>1.8</v>
      </c>
    </row>
    <row r="821" spans="2:7" ht="13.8" customHeight="1" x14ac:dyDescent="0.25">
      <c r="B821" s="33" t="s">
        <v>0</v>
      </c>
      <c r="C821" s="33">
        <v>2768793</v>
      </c>
      <c r="D821" s="33">
        <v>1.8</v>
      </c>
      <c r="E821" s="33" t="s">
        <v>254</v>
      </c>
      <c r="F821" s="31" t="str">
        <f t="shared" si="24"/>
        <v>A6.13.01</v>
      </c>
      <c r="G821" s="34">
        <f t="shared" si="25"/>
        <v>1.8</v>
      </c>
    </row>
    <row r="822" spans="2:7" ht="13.8" customHeight="1" x14ac:dyDescent="0.25">
      <c r="B822" s="33" t="s">
        <v>0</v>
      </c>
      <c r="C822" s="33">
        <v>2768795</v>
      </c>
      <c r="D822" s="33">
        <v>1.8</v>
      </c>
      <c r="E822" s="33" t="s">
        <v>254</v>
      </c>
      <c r="F822" s="31" t="str">
        <f t="shared" si="24"/>
        <v>A6.13.01</v>
      </c>
      <c r="G822" s="34">
        <f t="shared" si="25"/>
        <v>1.8</v>
      </c>
    </row>
    <row r="823" spans="2:7" ht="13.8" customHeight="1" x14ac:dyDescent="0.25">
      <c r="B823" s="33" t="s">
        <v>0</v>
      </c>
      <c r="C823" s="33">
        <v>2768797</v>
      </c>
      <c r="D823" s="33">
        <v>1.8</v>
      </c>
      <c r="E823" s="33" t="s">
        <v>254</v>
      </c>
      <c r="F823" s="31" t="str">
        <f t="shared" si="24"/>
        <v>A6.13.01</v>
      </c>
      <c r="G823" s="34">
        <f t="shared" si="25"/>
        <v>1.8</v>
      </c>
    </row>
    <row r="824" spans="2:7" ht="13.8" customHeight="1" x14ac:dyDescent="0.25">
      <c r="B824" s="33" t="s">
        <v>0</v>
      </c>
      <c r="C824" s="33">
        <v>2768861</v>
      </c>
      <c r="D824" s="33">
        <v>1.8</v>
      </c>
      <c r="E824" s="33" t="s">
        <v>255</v>
      </c>
      <c r="F824" s="31" t="str">
        <f t="shared" si="24"/>
        <v>A6.13.02</v>
      </c>
      <c r="G824" s="34">
        <f t="shared" si="25"/>
        <v>1.8</v>
      </c>
    </row>
    <row r="825" spans="2:7" ht="13.8" customHeight="1" x14ac:dyDescent="0.25">
      <c r="B825" s="33" t="s">
        <v>0</v>
      </c>
      <c r="C825" s="33">
        <v>2768863</v>
      </c>
      <c r="D825" s="33">
        <v>1.8</v>
      </c>
      <c r="E825" s="33" t="s">
        <v>255</v>
      </c>
      <c r="F825" s="31" t="str">
        <f t="shared" si="24"/>
        <v>A6.13.02</v>
      </c>
      <c r="G825" s="34">
        <f t="shared" si="25"/>
        <v>1.8</v>
      </c>
    </row>
    <row r="826" spans="2:7" ht="13.8" customHeight="1" x14ac:dyDescent="0.25">
      <c r="B826" s="33" t="s">
        <v>0</v>
      </c>
      <c r="C826" s="33">
        <v>2768865</v>
      </c>
      <c r="D826" s="33">
        <v>1.8</v>
      </c>
      <c r="E826" s="33" t="s">
        <v>255</v>
      </c>
      <c r="F826" s="31" t="str">
        <f t="shared" si="24"/>
        <v>A6.13.02</v>
      </c>
      <c r="G826" s="34">
        <f t="shared" si="25"/>
        <v>1.8</v>
      </c>
    </row>
    <row r="827" spans="2:7" ht="13.8" customHeight="1" x14ac:dyDescent="0.25">
      <c r="B827" s="33" t="s">
        <v>0</v>
      </c>
      <c r="C827" s="33">
        <v>2768867</v>
      </c>
      <c r="D827" s="33">
        <v>1.8</v>
      </c>
      <c r="E827" s="33" t="s">
        <v>255</v>
      </c>
      <c r="F827" s="31" t="str">
        <f t="shared" si="24"/>
        <v>A6.13.02</v>
      </c>
      <c r="G827" s="34">
        <f t="shared" si="25"/>
        <v>1.8</v>
      </c>
    </row>
    <row r="828" spans="2:7" ht="13.8" customHeight="1" x14ac:dyDescent="0.25">
      <c r="B828" s="33" t="s">
        <v>0</v>
      </c>
      <c r="C828" s="33">
        <v>2768869</v>
      </c>
      <c r="D828" s="33">
        <v>1.8</v>
      </c>
      <c r="E828" s="33" t="s">
        <v>255</v>
      </c>
      <c r="F828" s="31" t="str">
        <f t="shared" si="24"/>
        <v>A6.13.02</v>
      </c>
      <c r="G828" s="34">
        <f t="shared" si="25"/>
        <v>1.8</v>
      </c>
    </row>
    <row r="829" spans="2:7" ht="13.8" customHeight="1" x14ac:dyDescent="0.25">
      <c r="B829" s="33" t="s">
        <v>0</v>
      </c>
      <c r="C829" s="33">
        <v>2768871</v>
      </c>
      <c r="D829" s="33">
        <v>1.8</v>
      </c>
      <c r="E829" s="33" t="s">
        <v>255</v>
      </c>
      <c r="F829" s="31" t="str">
        <f t="shared" si="24"/>
        <v>A6.13.02</v>
      </c>
      <c r="G829" s="34">
        <f t="shared" si="25"/>
        <v>1.8</v>
      </c>
    </row>
    <row r="830" spans="2:7" ht="13.8" customHeight="1" x14ac:dyDescent="0.25">
      <c r="B830" s="33" t="s">
        <v>0</v>
      </c>
      <c r="C830" s="33">
        <v>2768873</v>
      </c>
      <c r="D830" s="33">
        <v>2.4</v>
      </c>
      <c r="E830" s="33" t="s">
        <v>255</v>
      </c>
      <c r="F830" s="31" t="str">
        <f t="shared" si="24"/>
        <v>A6.13.02</v>
      </c>
      <c r="G830" s="34">
        <f t="shared" si="25"/>
        <v>2.4</v>
      </c>
    </row>
    <row r="831" spans="2:7" ht="13.8" customHeight="1" x14ac:dyDescent="0.25">
      <c r="B831" s="33" t="s">
        <v>0</v>
      </c>
      <c r="C831" s="33">
        <v>2768875</v>
      </c>
      <c r="D831" s="33">
        <v>2.4</v>
      </c>
      <c r="E831" s="33" t="s">
        <v>255</v>
      </c>
      <c r="F831" s="31" t="str">
        <f t="shared" si="24"/>
        <v>A6.13.02</v>
      </c>
      <c r="G831" s="34">
        <f t="shared" si="25"/>
        <v>2.4</v>
      </c>
    </row>
    <row r="832" spans="2:7" ht="13.8" customHeight="1" x14ac:dyDescent="0.25">
      <c r="B832" s="33" t="s">
        <v>0</v>
      </c>
      <c r="C832" s="33">
        <v>2768931</v>
      </c>
      <c r="D832" s="33">
        <v>1.8</v>
      </c>
      <c r="E832" s="33" t="s">
        <v>256</v>
      </c>
      <c r="F832" s="31" t="str">
        <f t="shared" si="24"/>
        <v>A6.13.03</v>
      </c>
      <c r="G832" s="34">
        <f t="shared" si="25"/>
        <v>1.8</v>
      </c>
    </row>
    <row r="833" spans="2:7" ht="13.8" customHeight="1" x14ac:dyDescent="0.25">
      <c r="B833" s="33" t="s">
        <v>0</v>
      </c>
      <c r="C833" s="33">
        <v>2768933</v>
      </c>
      <c r="D833" s="33">
        <v>1.8</v>
      </c>
      <c r="E833" s="33" t="s">
        <v>256</v>
      </c>
      <c r="F833" s="31" t="str">
        <f t="shared" si="24"/>
        <v>A6.13.03</v>
      </c>
      <c r="G833" s="34">
        <f t="shared" si="25"/>
        <v>1.8</v>
      </c>
    </row>
    <row r="834" spans="2:7" ht="13.8" customHeight="1" x14ac:dyDescent="0.25">
      <c r="B834" s="33" t="s">
        <v>0</v>
      </c>
      <c r="C834" s="33">
        <v>2768935</v>
      </c>
      <c r="D834" s="33">
        <v>2.4</v>
      </c>
      <c r="E834" s="33" t="s">
        <v>256</v>
      </c>
      <c r="F834" s="31" t="str">
        <f t="shared" si="24"/>
        <v>A6.13.03</v>
      </c>
      <c r="G834" s="34">
        <f t="shared" si="25"/>
        <v>2.4</v>
      </c>
    </row>
    <row r="835" spans="2:7" ht="13.8" customHeight="1" x14ac:dyDescent="0.25">
      <c r="B835" s="33" t="s">
        <v>0</v>
      </c>
      <c r="C835" s="33">
        <v>2768937</v>
      </c>
      <c r="D835" s="33">
        <v>2.4</v>
      </c>
      <c r="E835" s="33" t="s">
        <v>256</v>
      </c>
      <c r="F835" s="31" t="str">
        <f t="shared" si="24"/>
        <v>A6.13.03</v>
      </c>
      <c r="G835" s="34">
        <f t="shared" si="25"/>
        <v>2.4</v>
      </c>
    </row>
    <row r="836" spans="2:7" ht="13.8" customHeight="1" x14ac:dyDescent="0.25">
      <c r="B836" s="33" t="s">
        <v>0</v>
      </c>
      <c r="C836" s="33">
        <v>2768939</v>
      </c>
      <c r="D836" s="33">
        <v>1.8</v>
      </c>
      <c r="E836" s="33" t="s">
        <v>256</v>
      </c>
      <c r="F836" s="31" t="str">
        <f t="shared" si="24"/>
        <v>A6.13.03</v>
      </c>
      <c r="G836" s="34">
        <f t="shared" si="25"/>
        <v>1.8</v>
      </c>
    </row>
    <row r="837" spans="2:7" ht="13.8" customHeight="1" x14ac:dyDescent="0.25">
      <c r="B837" s="33" t="s">
        <v>0</v>
      </c>
      <c r="C837" s="33">
        <v>2768941</v>
      </c>
      <c r="D837" s="33">
        <v>1.8</v>
      </c>
      <c r="E837" s="33" t="s">
        <v>256</v>
      </c>
      <c r="F837" s="31" t="str">
        <f t="shared" si="24"/>
        <v>A6.13.03</v>
      </c>
      <c r="G837" s="34">
        <f t="shared" si="25"/>
        <v>1.8</v>
      </c>
    </row>
    <row r="838" spans="2:7" ht="13.8" customHeight="1" x14ac:dyDescent="0.25">
      <c r="B838" s="33" t="s">
        <v>0</v>
      </c>
      <c r="C838" s="33">
        <v>2768943</v>
      </c>
      <c r="D838" s="33">
        <v>1.8</v>
      </c>
      <c r="E838" s="33" t="s">
        <v>256</v>
      </c>
      <c r="F838" s="31" t="str">
        <f t="shared" si="24"/>
        <v>A6.13.03</v>
      </c>
      <c r="G838" s="34">
        <f t="shared" si="25"/>
        <v>1.8</v>
      </c>
    </row>
    <row r="839" spans="2:7" ht="13.8" customHeight="1" x14ac:dyDescent="0.25">
      <c r="B839" s="33" t="s">
        <v>0</v>
      </c>
      <c r="C839" s="33">
        <v>2768945</v>
      </c>
      <c r="D839" s="33">
        <v>1.8</v>
      </c>
      <c r="E839" s="33" t="s">
        <v>256</v>
      </c>
      <c r="F839" s="31" t="str">
        <f t="shared" ref="F839:F902" si="26">LEFT(E839,8)</f>
        <v>A6.13.03</v>
      </c>
      <c r="G839" s="34">
        <f t="shared" ref="G839:G902" si="27">D839</f>
        <v>1.8</v>
      </c>
    </row>
    <row r="840" spans="2:7" ht="13.8" customHeight="1" x14ac:dyDescent="0.25">
      <c r="B840" s="33" t="s">
        <v>0</v>
      </c>
      <c r="C840" s="33">
        <v>2769011</v>
      </c>
      <c r="D840" s="33">
        <v>1.8</v>
      </c>
      <c r="E840" s="33" t="s">
        <v>257</v>
      </c>
      <c r="F840" s="31" t="str">
        <f t="shared" si="26"/>
        <v>A6.13.04</v>
      </c>
      <c r="G840" s="34">
        <f t="shared" si="27"/>
        <v>1.8</v>
      </c>
    </row>
    <row r="841" spans="2:7" ht="13.8" customHeight="1" x14ac:dyDescent="0.25">
      <c r="B841" s="33" t="s">
        <v>0</v>
      </c>
      <c r="C841" s="33">
        <v>2769013</v>
      </c>
      <c r="D841" s="33">
        <v>1.8</v>
      </c>
      <c r="E841" s="33" t="s">
        <v>257</v>
      </c>
      <c r="F841" s="31" t="str">
        <f t="shared" si="26"/>
        <v>A6.13.04</v>
      </c>
      <c r="G841" s="34">
        <f t="shared" si="27"/>
        <v>1.8</v>
      </c>
    </row>
    <row r="842" spans="2:7" ht="13.8" customHeight="1" x14ac:dyDescent="0.25">
      <c r="B842" s="33" t="s">
        <v>0</v>
      </c>
      <c r="C842" s="33">
        <v>2769015</v>
      </c>
      <c r="D842" s="33">
        <v>1.8</v>
      </c>
      <c r="E842" s="33" t="s">
        <v>257</v>
      </c>
      <c r="F842" s="31" t="str">
        <f t="shared" si="26"/>
        <v>A6.13.04</v>
      </c>
      <c r="G842" s="34">
        <f t="shared" si="27"/>
        <v>1.8</v>
      </c>
    </row>
    <row r="843" spans="2:7" ht="13.8" customHeight="1" x14ac:dyDescent="0.25">
      <c r="B843" s="33" t="s">
        <v>0</v>
      </c>
      <c r="C843" s="33">
        <v>2769017</v>
      </c>
      <c r="D843" s="33">
        <v>1.8</v>
      </c>
      <c r="E843" s="33" t="s">
        <v>257</v>
      </c>
      <c r="F843" s="31" t="str">
        <f t="shared" si="26"/>
        <v>A6.13.04</v>
      </c>
      <c r="G843" s="34">
        <f t="shared" si="27"/>
        <v>1.8</v>
      </c>
    </row>
    <row r="844" spans="2:7" ht="13.8" customHeight="1" x14ac:dyDescent="0.25">
      <c r="B844" s="33" t="s">
        <v>0</v>
      </c>
      <c r="C844" s="33">
        <v>2769019</v>
      </c>
      <c r="D844" s="33">
        <v>2.4</v>
      </c>
      <c r="E844" s="33" t="s">
        <v>257</v>
      </c>
      <c r="F844" s="31" t="str">
        <f t="shared" si="26"/>
        <v>A6.13.04</v>
      </c>
      <c r="G844" s="34">
        <f t="shared" si="27"/>
        <v>2.4</v>
      </c>
    </row>
    <row r="845" spans="2:7" ht="13.8" customHeight="1" x14ac:dyDescent="0.25">
      <c r="B845" s="33" t="s">
        <v>0</v>
      </c>
      <c r="C845" s="33">
        <v>2769021</v>
      </c>
      <c r="D845" s="33">
        <v>2.4</v>
      </c>
      <c r="E845" s="33" t="s">
        <v>257</v>
      </c>
      <c r="F845" s="31" t="str">
        <f t="shared" si="26"/>
        <v>A6.13.04</v>
      </c>
      <c r="G845" s="34">
        <f t="shared" si="27"/>
        <v>2.4</v>
      </c>
    </row>
    <row r="846" spans="2:7" ht="13.8" customHeight="1" x14ac:dyDescent="0.25">
      <c r="B846" s="33" t="s">
        <v>0</v>
      </c>
      <c r="C846" s="33">
        <v>2769023</v>
      </c>
      <c r="D846" s="33">
        <v>1.8</v>
      </c>
      <c r="E846" s="33" t="s">
        <v>257</v>
      </c>
      <c r="F846" s="31" t="str">
        <f t="shared" si="26"/>
        <v>A6.13.04</v>
      </c>
      <c r="G846" s="34">
        <f t="shared" si="27"/>
        <v>1.8</v>
      </c>
    </row>
    <row r="847" spans="2:7" ht="13.8" customHeight="1" x14ac:dyDescent="0.25">
      <c r="B847" s="33" t="s">
        <v>0</v>
      </c>
      <c r="C847" s="33">
        <v>2769025</v>
      </c>
      <c r="D847" s="33">
        <v>1.8</v>
      </c>
      <c r="E847" s="33" t="s">
        <v>257</v>
      </c>
      <c r="F847" s="31" t="str">
        <f t="shared" si="26"/>
        <v>A6.13.04</v>
      </c>
      <c r="G847" s="34">
        <f t="shared" si="27"/>
        <v>1.8</v>
      </c>
    </row>
    <row r="848" spans="2:7" ht="13.8" customHeight="1" x14ac:dyDescent="0.25">
      <c r="B848" s="33" t="s">
        <v>0</v>
      </c>
      <c r="C848" s="33">
        <v>2769027</v>
      </c>
      <c r="D848" s="33">
        <v>1.8</v>
      </c>
      <c r="E848" s="33" t="s">
        <v>257</v>
      </c>
      <c r="F848" s="31" t="str">
        <f t="shared" si="26"/>
        <v>A6.13.04</v>
      </c>
      <c r="G848" s="34">
        <f t="shared" si="27"/>
        <v>1.8</v>
      </c>
    </row>
    <row r="849" spans="2:7" ht="13.8" customHeight="1" x14ac:dyDescent="0.25">
      <c r="B849" s="33" t="s">
        <v>0</v>
      </c>
      <c r="C849" s="33">
        <v>2769029</v>
      </c>
      <c r="D849" s="33">
        <v>1.8</v>
      </c>
      <c r="E849" s="33" t="s">
        <v>257</v>
      </c>
      <c r="F849" s="31" t="str">
        <f t="shared" si="26"/>
        <v>A6.13.04</v>
      </c>
      <c r="G849" s="34">
        <f t="shared" si="27"/>
        <v>1.8</v>
      </c>
    </row>
    <row r="850" spans="2:7" ht="13.8" customHeight="1" x14ac:dyDescent="0.25">
      <c r="B850" s="33" t="s">
        <v>0</v>
      </c>
      <c r="C850" s="33">
        <v>2769031</v>
      </c>
      <c r="D850" s="33">
        <v>1.8</v>
      </c>
      <c r="E850" s="33" t="s">
        <v>257</v>
      </c>
      <c r="F850" s="31" t="str">
        <f t="shared" si="26"/>
        <v>A6.13.04</v>
      </c>
      <c r="G850" s="34">
        <f t="shared" si="27"/>
        <v>1.8</v>
      </c>
    </row>
    <row r="851" spans="2:7" ht="13.8" customHeight="1" x14ac:dyDescent="0.25">
      <c r="B851" s="33" t="s">
        <v>0</v>
      </c>
      <c r="C851" s="33">
        <v>2769033</v>
      </c>
      <c r="D851" s="33">
        <v>1.8</v>
      </c>
      <c r="E851" s="33" t="s">
        <v>257</v>
      </c>
      <c r="F851" s="31" t="str">
        <f t="shared" si="26"/>
        <v>A6.13.04</v>
      </c>
      <c r="G851" s="34">
        <f t="shared" si="27"/>
        <v>1.8</v>
      </c>
    </row>
    <row r="852" spans="2:7" ht="13.8" customHeight="1" x14ac:dyDescent="0.25">
      <c r="B852" s="33" t="s">
        <v>0</v>
      </c>
      <c r="C852" s="33">
        <v>2769105</v>
      </c>
      <c r="D852" s="33">
        <v>1.8</v>
      </c>
      <c r="E852" s="33" t="s">
        <v>258</v>
      </c>
      <c r="F852" s="31" t="str">
        <f t="shared" si="26"/>
        <v>A6.09.06</v>
      </c>
      <c r="G852" s="34">
        <f t="shared" si="27"/>
        <v>1.8</v>
      </c>
    </row>
    <row r="853" spans="2:7" ht="13.8" customHeight="1" x14ac:dyDescent="0.25">
      <c r="B853" s="33" t="s">
        <v>0</v>
      </c>
      <c r="C853" s="33">
        <v>2769107</v>
      </c>
      <c r="D853" s="33">
        <v>1.8</v>
      </c>
      <c r="E853" s="33" t="s">
        <v>258</v>
      </c>
      <c r="F853" s="31" t="str">
        <f t="shared" si="26"/>
        <v>A6.09.06</v>
      </c>
      <c r="G853" s="34">
        <f t="shared" si="27"/>
        <v>1.8</v>
      </c>
    </row>
    <row r="854" spans="2:7" ht="13.8" customHeight="1" x14ac:dyDescent="0.25">
      <c r="B854" s="33" t="s">
        <v>0</v>
      </c>
      <c r="C854" s="33">
        <v>2769109</v>
      </c>
      <c r="D854" s="33">
        <v>2.4</v>
      </c>
      <c r="E854" s="33" t="s">
        <v>258</v>
      </c>
      <c r="F854" s="31" t="str">
        <f t="shared" si="26"/>
        <v>A6.09.06</v>
      </c>
      <c r="G854" s="34">
        <f t="shared" si="27"/>
        <v>2.4</v>
      </c>
    </row>
    <row r="855" spans="2:7" ht="13.8" customHeight="1" x14ac:dyDescent="0.25">
      <c r="B855" s="33" t="s">
        <v>0</v>
      </c>
      <c r="C855" s="33">
        <v>2769111</v>
      </c>
      <c r="D855" s="33">
        <v>2.4</v>
      </c>
      <c r="E855" s="33" t="s">
        <v>258</v>
      </c>
      <c r="F855" s="31" t="str">
        <f t="shared" si="26"/>
        <v>A6.09.06</v>
      </c>
      <c r="G855" s="34">
        <f t="shared" si="27"/>
        <v>2.4</v>
      </c>
    </row>
    <row r="856" spans="2:7" ht="13.8" customHeight="1" x14ac:dyDescent="0.25">
      <c r="B856" s="33" t="s">
        <v>0</v>
      </c>
      <c r="C856" s="33">
        <v>2769113</v>
      </c>
      <c r="D856" s="33">
        <v>1.8</v>
      </c>
      <c r="E856" s="33" t="s">
        <v>258</v>
      </c>
      <c r="F856" s="31" t="str">
        <f t="shared" si="26"/>
        <v>A6.09.06</v>
      </c>
      <c r="G856" s="34">
        <f t="shared" si="27"/>
        <v>1.8</v>
      </c>
    </row>
    <row r="857" spans="2:7" ht="13.8" customHeight="1" x14ac:dyDescent="0.25">
      <c r="B857" s="33" t="s">
        <v>0</v>
      </c>
      <c r="C857" s="33">
        <v>2769115</v>
      </c>
      <c r="D857" s="33">
        <v>1.8</v>
      </c>
      <c r="E857" s="33" t="s">
        <v>258</v>
      </c>
      <c r="F857" s="31" t="str">
        <f t="shared" si="26"/>
        <v>A6.09.06</v>
      </c>
      <c r="G857" s="34">
        <f t="shared" si="27"/>
        <v>1.8</v>
      </c>
    </row>
    <row r="858" spans="2:7" ht="13.8" customHeight="1" x14ac:dyDescent="0.25">
      <c r="B858" s="33" t="s">
        <v>0</v>
      </c>
      <c r="C858" s="33">
        <v>2769117</v>
      </c>
      <c r="D858" s="33">
        <v>1.8</v>
      </c>
      <c r="E858" s="33" t="s">
        <v>258</v>
      </c>
      <c r="F858" s="31" t="str">
        <f t="shared" si="26"/>
        <v>A6.09.06</v>
      </c>
      <c r="G858" s="34">
        <f t="shared" si="27"/>
        <v>1.8</v>
      </c>
    </row>
    <row r="859" spans="2:7" ht="13.8" customHeight="1" x14ac:dyDescent="0.25">
      <c r="B859" s="33" t="s">
        <v>0</v>
      </c>
      <c r="C859" s="33">
        <v>2769119</v>
      </c>
      <c r="D859" s="33">
        <v>1.8</v>
      </c>
      <c r="E859" s="33" t="s">
        <v>258</v>
      </c>
      <c r="F859" s="31" t="str">
        <f t="shared" si="26"/>
        <v>A6.09.06</v>
      </c>
      <c r="G859" s="34">
        <f t="shared" si="27"/>
        <v>1.8</v>
      </c>
    </row>
    <row r="860" spans="2:7" ht="13.8" customHeight="1" x14ac:dyDescent="0.25">
      <c r="B860" s="33" t="s">
        <v>0</v>
      </c>
      <c r="C860" s="33">
        <v>2769200</v>
      </c>
      <c r="D860" s="33">
        <v>1.8</v>
      </c>
      <c r="E860" s="33" t="s">
        <v>259</v>
      </c>
      <c r="F860" s="31" t="str">
        <f t="shared" si="26"/>
        <v>A6.09.07</v>
      </c>
      <c r="G860" s="34">
        <f t="shared" si="27"/>
        <v>1.8</v>
      </c>
    </row>
    <row r="861" spans="2:7" ht="13.8" customHeight="1" x14ac:dyDescent="0.25">
      <c r="B861" s="33" t="s">
        <v>0</v>
      </c>
      <c r="C861" s="33">
        <v>2769202</v>
      </c>
      <c r="D861" s="33">
        <v>1.8</v>
      </c>
      <c r="E861" s="33" t="s">
        <v>259</v>
      </c>
      <c r="F861" s="31" t="str">
        <f t="shared" si="26"/>
        <v>A6.09.07</v>
      </c>
      <c r="G861" s="34">
        <f t="shared" si="27"/>
        <v>1.8</v>
      </c>
    </row>
    <row r="862" spans="2:7" ht="13.8" customHeight="1" x14ac:dyDescent="0.25">
      <c r="B862" s="33" t="s">
        <v>0</v>
      </c>
      <c r="C862" s="33">
        <v>2769204</v>
      </c>
      <c r="D862" s="33">
        <v>1.8</v>
      </c>
      <c r="E862" s="33" t="s">
        <v>259</v>
      </c>
      <c r="F862" s="31" t="str">
        <f t="shared" si="26"/>
        <v>A6.09.07</v>
      </c>
      <c r="G862" s="34">
        <f t="shared" si="27"/>
        <v>1.8</v>
      </c>
    </row>
    <row r="863" spans="2:7" ht="13.8" customHeight="1" x14ac:dyDescent="0.25">
      <c r="B863" s="33" t="s">
        <v>0</v>
      </c>
      <c r="C863" s="33">
        <v>2769206</v>
      </c>
      <c r="D863" s="33">
        <v>1.8</v>
      </c>
      <c r="E863" s="33" t="s">
        <v>259</v>
      </c>
      <c r="F863" s="31" t="str">
        <f t="shared" si="26"/>
        <v>A6.09.07</v>
      </c>
      <c r="G863" s="34">
        <f t="shared" si="27"/>
        <v>1.8</v>
      </c>
    </row>
    <row r="864" spans="2:7" ht="13.8" customHeight="1" x14ac:dyDescent="0.25">
      <c r="B864" s="33" t="s">
        <v>0</v>
      </c>
      <c r="C864" s="33">
        <v>2769208</v>
      </c>
      <c r="D864" s="33">
        <v>2.4</v>
      </c>
      <c r="E864" s="33" t="s">
        <v>259</v>
      </c>
      <c r="F864" s="31" t="str">
        <f t="shared" si="26"/>
        <v>A6.09.07</v>
      </c>
      <c r="G864" s="34">
        <f t="shared" si="27"/>
        <v>2.4</v>
      </c>
    </row>
    <row r="865" spans="2:7" ht="13.8" customHeight="1" x14ac:dyDescent="0.25">
      <c r="B865" s="33" t="s">
        <v>0</v>
      </c>
      <c r="C865" s="33">
        <v>2769210</v>
      </c>
      <c r="D865" s="33">
        <v>2.4</v>
      </c>
      <c r="E865" s="33" t="s">
        <v>259</v>
      </c>
      <c r="F865" s="31" t="str">
        <f t="shared" si="26"/>
        <v>A6.09.07</v>
      </c>
      <c r="G865" s="34">
        <f t="shared" si="27"/>
        <v>2.4</v>
      </c>
    </row>
    <row r="866" spans="2:7" ht="13.8" customHeight="1" x14ac:dyDescent="0.25">
      <c r="B866" s="33" t="s">
        <v>0</v>
      </c>
      <c r="C866" s="33">
        <v>2769212</v>
      </c>
      <c r="D866" s="33">
        <v>1.8</v>
      </c>
      <c r="E866" s="33" t="s">
        <v>259</v>
      </c>
      <c r="F866" s="31" t="str">
        <f t="shared" si="26"/>
        <v>A6.09.07</v>
      </c>
      <c r="G866" s="34">
        <f t="shared" si="27"/>
        <v>1.8</v>
      </c>
    </row>
    <row r="867" spans="2:7" ht="13.8" customHeight="1" x14ac:dyDescent="0.25">
      <c r="B867" s="33" t="s">
        <v>0</v>
      </c>
      <c r="C867" s="33">
        <v>2769214</v>
      </c>
      <c r="D867" s="33">
        <v>1.8</v>
      </c>
      <c r="E867" s="33" t="s">
        <v>259</v>
      </c>
      <c r="F867" s="31" t="str">
        <f t="shared" si="26"/>
        <v>A6.09.07</v>
      </c>
      <c r="G867" s="34">
        <f t="shared" si="27"/>
        <v>1.8</v>
      </c>
    </row>
    <row r="868" spans="2:7" ht="13.8" customHeight="1" x14ac:dyDescent="0.25">
      <c r="B868" s="33" t="s">
        <v>0</v>
      </c>
      <c r="C868" s="33">
        <v>2769216</v>
      </c>
      <c r="D868" s="33">
        <v>1.8</v>
      </c>
      <c r="E868" s="33" t="s">
        <v>259</v>
      </c>
      <c r="F868" s="31" t="str">
        <f t="shared" si="26"/>
        <v>A6.09.07</v>
      </c>
      <c r="G868" s="34">
        <f t="shared" si="27"/>
        <v>1.8</v>
      </c>
    </row>
    <row r="869" spans="2:7" ht="13.8" customHeight="1" x14ac:dyDescent="0.25">
      <c r="B869" s="33" t="s">
        <v>0</v>
      </c>
      <c r="C869" s="33">
        <v>2769218</v>
      </c>
      <c r="D869" s="33">
        <v>1.8</v>
      </c>
      <c r="E869" s="33" t="s">
        <v>259</v>
      </c>
      <c r="F869" s="31" t="str">
        <f t="shared" si="26"/>
        <v>A6.09.07</v>
      </c>
      <c r="G869" s="34">
        <f t="shared" si="27"/>
        <v>1.8</v>
      </c>
    </row>
    <row r="870" spans="2:7" ht="13.8" customHeight="1" x14ac:dyDescent="0.25">
      <c r="B870" s="33" t="s">
        <v>0</v>
      </c>
      <c r="C870" s="33">
        <v>2769220</v>
      </c>
      <c r="D870" s="33">
        <v>1.8</v>
      </c>
      <c r="E870" s="33" t="s">
        <v>259</v>
      </c>
      <c r="F870" s="31" t="str">
        <f t="shared" si="26"/>
        <v>A6.09.07</v>
      </c>
      <c r="G870" s="34">
        <f t="shared" si="27"/>
        <v>1.8</v>
      </c>
    </row>
    <row r="871" spans="2:7" ht="13.8" customHeight="1" x14ac:dyDescent="0.25">
      <c r="B871" s="33" t="s">
        <v>0</v>
      </c>
      <c r="C871" s="33">
        <v>2769222</v>
      </c>
      <c r="D871" s="33">
        <v>1.8</v>
      </c>
      <c r="E871" s="33" t="s">
        <v>259</v>
      </c>
      <c r="F871" s="31" t="str">
        <f t="shared" si="26"/>
        <v>A6.09.07</v>
      </c>
      <c r="G871" s="34">
        <f t="shared" si="27"/>
        <v>1.8</v>
      </c>
    </row>
    <row r="872" spans="2:7" ht="13.8" customHeight="1" x14ac:dyDescent="0.25">
      <c r="B872" s="33" t="s">
        <v>0</v>
      </c>
      <c r="C872" s="33">
        <v>2769298</v>
      </c>
      <c r="D872" s="33">
        <v>1.8</v>
      </c>
      <c r="E872" s="33" t="s">
        <v>260</v>
      </c>
      <c r="F872" s="31" t="str">
        <f t="shared" si="26"/>
        <v>A6.09.02</v>
      </c>
      <c r="G872" s="34">
        <f t="shared" si="27"/>
        <v>1.8</v>
      </c>
    </row>
    <row r="873" spans="2:7" ht="13.8" customHeight="1" x14ac:dyDescent="0.25">
      <c r="B873" s="33" t="s">
        <v>0</v>
      </c>
      <c r="C873" s="33">
        <v>2769300</v>
      </c>
      <c r="D873" s="33">
        <v>1.8</v>
      </c>
      <c r="E873" s="33" t="s">
        <v>260</v>
      </c>
      <c r="F873" s="31" t="str">
        <f t="shared" si="26"/>
        <v>A6.09.02</v>
      </c>
      <c r="G873" s="34">
        <f t="shared" si="27"/>
        <v>1.8</v>
      </c>
    </row>
    <row r="874" spans="2:7" ht="13.8" customHeight="1" x14ac:dyDescent="0.25">
      <c r="B874" s="33" t="s">
        <v>0</v>
      </c>
      <c r="C874" s="33">
        <v>2769302</v>
      </c>
      <c r="D874" s="33">
        <v>1.8</v>
      </c>
      <c r="E874" s="33" t="s">
        <v>260</v>
      </c>
      <c r="F874" s="31" t="str">
        <f t="shared" si="26"/>
        <v>A6.09.02</v>
      </c>
      <c r="G874" s="34">
        <f t="shared" si="27"/>
        <v>1.8</v>
      </c>
    </row>
    <row r="875" spans="2:7" ht="13.8" customHeight="1" x14ac:dyDescent="0.25">
      <c r="B875" s="33" t="s">
        <v>0</v>
      </c>
      <c r="C875" s="33">
        <v>2769304</v>
      </c>
      <c r="D875" s="33">
        <v>1.8</v>
      </c>
      <c r="E875" s="33" t="s">
        <v>260</v>
      </c>
      <c r="F875" s="31" t="str">
        <f t="shared" si="26"/>
        <v>A6.09.02</v>
      </c>
      <c r="G875" s="34">
        <f t="shared" si="27"/>
        <v>1.8</v>
      </c>
    </row>
    <row r="876" spans="2:7" ht="13.8" customHeight="1" x14ac:dyDescent="0.25">
      <c r="B876" s="33" t="s">
        <v>0</v>
      </c>
      <c r="C876" s="33">
        <v>2769306</v>
      </c>
      <c r="D876" s="33">
        <v>2.4</v>
      </c>
      <c r="E876" s="33" t="s">
        <v>260</v>
      </c>
      <c r="F876" s="31" t="str">
        <f t="shared" si="26"/>
        <v>A6.09.02</v>
      </c>
      <c r="G876" s="34">
        <f t="shared" si="27"/>
        <v>2.4</v>
      </c>
    </row>
    <row r="877" spans="2:7" ht="13.8" customHeight="1" x14ac:dyDescent="0.25">
      <c r="B877" s="33" t="s">
        <v>0</v>
      </c>
      <c r="C877" s="33">
        <v>2769308</v>
      </c>
      <c r="D877" s="33">
        <v>2.4</v>
      </c>
      <c r="E877" s="33" t="s">
        <v>260</v>
      </c>
      <c r="F877" s="31" t="str">
        <f t="shared" si="26"/>
        <v>A6.09.02</v>
      </c>
      <c r="G877" s="34">
        <f t="shared" si="27"/>
        <v>2.4</v>
      </c>
    </row>
    <row r="878" spans="2:7" ht="13.8" customHeight="1" x14ac:dyDescent="0.25">
      <c r="B878" s="33" t="s">
        <v>0</v>
      </c>
      <c r="C878" s="33">
        <v>2769310</v>
      </c>
      <c r="D878" s="33">
        <v>1.8</v>
      </c>
      <c r="E878" s="33" t="s">
        <v>260</v>
      </c>
      <c r="F878" s="31" t="str">
        <f t="shared" si="26"/>
        <v>A6.09.02</v>
      </c>
      <c r="G878" s="34">
        <f t="shared" si="27"/>
        <v>1.8</v>
      </c>
    </row>
    <row r="879" spans="2:7" ht="13.8" customHeight="1" x14ac:dyDescent="0.25">
      <c r="B879" s="33" t="s">
        <v>0</v>
      </c>
      <c r="C879" s="33">
        <v>2769312</v>
      </c>
      <c r="D879" s="33">
        <v>1.8</v>
      </c>
      <c r="E879" s="33" t="s">
        <v>260</v>
      </c>
      <c r="F879" s="31" t="str">
        <f t="shared" si="26"/>
        <v>A6.09.02</v>
      </c>
      <c r="G879" s="34">
        <f t="shared" si="27"/>
        <v>1.8</v>
      </c>
    </row>
    <row r="880" spans="2:7" ht="13.8" customHeight="1" x14ac:dyDescent="0.25">
      <c r="B880" s="33" t="s">
        <v>0</v>
      </c>
      <c r="C880" s="33">
        <v>2769394</v>
      </c>
      <c r="D880" s="33">
        <v>2.4</v>
      </c>
      <c r="E880" s="33" t="s">
        <v>261</v>
      </c>
      <c r="F880" s="31" t="str">
        <f t="shared" si="26"/>
        <v>A6.09.03</v>
      </c>
      <c r="G880" s="34">
        <f t="shared" si="27"/>
        <v>2.4</v>
      </c>
    </row>
    <row r="881" spans="2:7" ht="13.8" customHeight="1" x14ac:dyDescent="0.25">
      <c r="B881" s="33" t="s">
        <v>0</v>
      </c>
      <c r="C881" s="33">
        <v>2769396</v>
      </c>
      <c r="D881" s="33">
        <v>2.4</v>
      </c>
      <c r="E881" s="33" t="s">
        <v>261</v>
      </c>
      <c r="F881" s="31" t="str">
        <f t="shared" si="26"/>
        <v>A6.09.03</v>
      </c>
      <c r="G881" s="34">
        <f t="shared" si="27"/>
        <v>2.4</v>
      </c>
    </row>
    <row r="882" spans="2:7" ht="13.8" customHeight="1" x14ac:dyDescent="0.25">
      <c r="B882" s="33" t="s">
        <v>0</v>
      </c>
      <c r="C882" s="33">
        <v>2769398</v>
      </c>
      <c r="D882" s="33">
        <v>1.8</v>
      </c>
      <c r="E882" s="33" t="s">
        <v>261</v>
      </c>
      <c r="F882" s="31" t="str">
        <f t="shared" si="26"/>
        <v>A6.09.03</v>
      </c>
      <c r="G882" s="34">
        <f t="shared" si="27"/>
        <v>1.8</v>
      </c>
    </row>
    <row r="883" spans="2:7" ht="13.8" customHeight="1" x14ac:dyDescent="0.25">
      <c r="B883" s="33" t="s">
        <v>0</v>
      </c>
      <c r="C883" s="33">
        <v>2769400</v>
      </c>
      <c r="D883" s="33">
        <v>1.8</v>
      </c>
      <c r="E883" s="33" t="s">
        <v>261</v>
      </c>
      <c r="F883" s="31" t="str">
        <f t="shared" si="26"/>
        <v>A6.09.03</v>
      </c>
      <c r="G883" s="34">
        <f t="shared" si="27"/>
        <v>1.8</v>
      </c>
    </row>
    <row r="884" spans="2:7" ht="13.8" customHeight="1" x14ac:dyDescent="0.25">
      <c r="B884" s="33" t="s">
        <v>0</v>
      </c>
      <c r="C884" s="33">
        <v>2769402</v>
      </c>
      <c r="D884" s="33">
        <v>1.8</v>
      </c>
      <c r="E884" s="33" t="s">
        <v>261</v>
      </c>
      <c r="F884" s="31" t="str">
        <f t="shared" si="26"/>
        <v>A6.09.03</v>
      </c>
      <c r="G884" s="34">
        <f t="shared" si="27"/>
        <v>1.8</v>
      </c>
    </row>
    <row r="885" spans="2:7" ht="13.8" customHeight="1" x14ac:dyDescent="0.25">
      <c r="B885" s="33" t="s">
        <v>0</v>
      </c>
      <c r="C885" s="33">
        <v>2769404</v>
      </c>
      <c r="D885" s="33">
        <v>1.8</v>
      </c>
      <c r="E885" s="33" t="s">
        <v>261</v>
      </c>
      <c r="F885" s="31" t="str">
        <f t="shared" si="26"/>
        <v>A6.09.03</v>
      </c>
      <c r="G885" s="34">
        <f t="shared" si="27"/>
        <v>1.8</v>
      </c>
    </row>
    <row r="886" spans="2:7" ht="13.8" customHeight="1" x14ac:dyDescent="0.25">
      <c r="B886" s="33" t="s">
        <v>0</v>
      </c>
      <c r="C886" s="33">
        <v>2769467</v>
      </c>
      <c r="D886" s="33">
        <v>1.8</v>
      </c>
      <c r="E886" s="33" t="s">
        <v>262</v>
      </c>
      <c r="F886" s="31" t="str">
        <f t="shared" si="26"/>
        <v>A6.09.04</v>
      </c>
      <c r="G886" s="34">
        <f t="shared" si="27"/>
        <v>1.8</v>
      </c>
    </row>
    <row r="887" spans="2:7" ht="13.8" customHeight="1" x14ac:dyDescent="0.25">
      <c r="B887" s="33" t="s">
        <v>0</v>
      </c>
      <c r="C887" s="33">
        <v>2769469</v>
      </c>
      <c r="D887" s="33">
        <v>1.8</v>
      </c>
      <c r="E887" s="33" t="s">
        <v>262</v>
      </c>
      <c r="F887" s="31" t="str">
        <f t="shared" si="26"/>
        <v>A6.09.04</v>
      </c>
      <c r="G887" s="34">
        <f t="shared" si="27"/>
        <v>1.8</v>
      </c>
    </row>
    <row r="888" spans="2:7" ht="13.8" customHeight="1" x14ac:dyDescent="0.25">
      <c r="B888" s="33" t="s">
        <v>0</v>
      </c>
      <c r="C888" s="33">
        <v>2769471</v>
      </c>
      <c r="D888" s="33">
        <v>1.8</v>
      </c>
      <c r="E888" s="33" t="s">
        <v>262</v>
      </c>
      <c r="F888" s="31" t="str">
        <f t="shared" si="26"/>
        <v>A6.09.04</v>
      </c>
      <c r="G888" s="34">
        <f t="shared" si="27"/>
        <v>1.8</v>
      </c>
    </row>
    <row r="889" spans="2:7" ht="13.8" customHeight="1" x14ac:dyDescent="0.25">
      <c r="B889" s="33" t="s">
        <v>0</v>
      </c>
      <c r="C889" s="33">
        <v>2769473</v>
      </c>
      <c r="D889" s="33">
        <v>1.8</v>
      </c>
      <c r="E889" s="33" t="s">
        <v>262</v>
      </c>
      <c r="F889" s="31" t="str">
        <f t="shared" si="26"/>
        <v>A6.09.04</v>
      </c>
      <c r="G889" s="34">
        <f t="shared" si="27"/>
        <v>1.8</v>
      </c>
    </row>
    <row r="890" spans="2:7" ht="13.8" customHeight="1" x14ac:dyDescent="0.25">
      <c r="B890" s="33" t="s">
        <v>0</v>
      </c>
      <c r="C890" s="33">
        <v>2769475</v>
      </c>
      <c r="D890" s="33">
        <v>2.4</v>
      </c>
      <c r="E890" s="33" t="s">
        <v>262</v>
      </c>
      <c r="F890" s="31" t="str">
        <f t="shared" si="26"/>
        <v>A6.09.04</v>
      </c>
      <c r="G890" s="34">
        <f t="shared" si="27"/>
        <v>2.4</v>
      </c>
    </row>
    <row r="891" spans="2:7" ht="13.8" customHeight="1" x14ac:dyDescent="0.25">
      <c r="B891" s="33" t="s">
        <v>0</v>
      </c>
      <c r="C891" s="33">
        <v>2769477</v>
      </c>
      <c r="D891" s="33">
        <v>2.4</v>
      </c>
      <c r="E891" s="33" t="s">
        <v>262</v>
      </c>
      <c r="F891" s="31" t="str">
        <f t="shared" si="26"/>
        <v>A6.09.04</v>
      </c>
      <c r="G891" s="34">
        <f t="shared" si="27"/>
        <v>2.4</v>
      </c>
    </row>
    <row r="892" spans="2:7" ht="13.8" customHeight="1" x14ac:dyDescent="0.25">
      <c r="B892" s="33" t="s">
        <v>0</v>
      </c>
      <c r="C892" s="33">
        <v>2769479</v>
      </c>
      <c r="D892" s="33">
        <v>1.27</v>
      </c>
      <c r="E892" s="33" t="s">
        <v>262</v>
      </c>
      <c r="F892" s="31" t="str">
        <f t="shared" si="26"/>
        <v>A6.09.04</v>
      </c>
      <c r="G892" s="34">
        <f t="shared" si="27"/>
        <v>1.27</v>
      </c>
    </row>
    <row r="893" spans="2:7" ht="13.8" customHeight="1" x14ac:dyDescent="0.25">
      <c r="B893" s="33" t="s">
        <v>0</v>
      </c>
      <c r="C893" s="33">
        <v>2769481</v>
      </c>
      <c r="D893" s="33">
        <v>1.27</v>
      </c>
      <c r="E893" s="33" t="s">
        <v>262</v>
      </c>
      <c r="F893" s="31" t="str">
        <f t="shared" si="26"/>
        <v>A6.09.04</v>
      </c>
      <c r="G893" s="34">
        <f t="shared" si="27"/>
        <v>1.27</v>
      </c>
    </row>
    <row r="894" spans="2:7" ht="13.8" customHeight="1" x14ac:dyDescent="0.25">
      <c r="B894" s="33" t="s">
        <v>0</v>
      </c>
      <c r="C894" s="33">
        <v>2769483</v>
      </c>
      <c r="D894" s="33">
        <v>1.27</v>
      </c>
      <c r="E894" s="33" t="s">
        <v>262</v>
      </c>
      <c r="F894" s="31" t="str">
        <f t="shared" si="26"/>
        <v>A6.09.04</v>
      </c>
      <c r="G894" s="34">
        <f t="shared" si="27"/>
        <v>1.27</v>
      </c>
    </row>
    <row r="895" spans="2:7" ht="13.8" customHeight="1" x14ac:dyDescent="0.25">
      <c r="B895" s="33" t="s">
        <v>0</v>
      </c>
      <c r="C895" s="33">
        <v>2769485</v>
      </c>
      <c r="D895" s="33">
        <v>1.27</v>
      </c>
      <c r="E895" s="33" t="s">
        <v>262</v>
      </c>
      <c r="F895" s="31" t="str">
        <f t="shared" si="26"/>
        <v>A6.09.04</v>
      </c>
      <c r="G895" s="34">
        <f t="shared" si="27"/>
        <v>1.27</v>
      </c>
    </row>
    <row r="896" spans="2:7" ht="13.8" customHeight="1" x14ac:dyDescent="0.25">
      <c r="B896" s="33" t="s">
        <v>0</v>
      </c>
      <c r="C896" s="33">
        <v>2769487</v>
      </c>
      <c r="D896" s="33">
        <v>1.8</v>
      </c>
      <c r="E896" s="33" t="s">
        <v>262</v>
      </c>
      <c r="F896" s="31" t="str">
        <f t="shared" si="26"/>
        <v>A6.09.04</v>
      </c>
      <c r="G896" s="34">
        <f t="shared" si="27"/>
        <v>1.8</v>
      </c>
    </row>
    <row r="897" spans="2:7" ht="13.8" customHeight="1" x14ac:dyDescent="0.25">
      <c r="B897" s="33" t="s">
        <v>0</v>
      </c>
      <c r="C897" s="33">
        <v>2769489</v>
      </c>
      <c r="D897" s="33">
        <v>1.8</v>
      </c>
      <c r="E897" s="33" t="s">
        <v>262</v>
      </c>
      <c r="F897" s="31" t="str">
        <f t="shared" si="26"/>
        <v>A6.09.04</v>
      </c>
      <c r="G897" s="34">
        <f t="shared" si="27"/>
        <v>1.8</v>
      </c>
    </row>
    <row r="898" spans="2:7" ht="13.8" customHeight="1" x14ac:dyDescent="0.25">
      <c r="B898" s="33" t="s">
        <v>0</v>
      </c>
      <c r="C898" s="33">
        <v>2769491</v>
      </c>
      <c r="D898" s="33">
        <v>1.8</v>
      </c>
      <c r="E898" s="33" t="s">
        <v>262</v>
      </c>
      <c r="F898" s="31" t="str">
        <f t="shared" si="26"/>
        <v>A6.09.04</v>
      </c>
      <c r="G898" s="34">
        <f t="shared" si="27"/>
        <v>1.8</v>
      </c>
    </row>
    <row r="899" spans="2:7" ht="13.8" customHeight="1" x14ac:dyDescent="0.25">
      <c r="B899" s="33" t="s">
        <v>0</v>
      </c>
      <c r="C899" s="33">
        <v>2769493</v>
      </c>
      <c r="D899" s="33">
        <v>1.8</v>
      </c>
      <c r="E899" s="33" t="s">
        <v>262</v>
      </c>
      <c r="F899" s="31" t="str">
        <f t="shared" si="26"/>
        <v>A6.09.04</v>
      </c>
      <c r="G899" s="34">
        <f t="shared" si="27"/>
        <v>1.8</v>
      </c>
    </row>
    <row r="900" spans="2:7" ht="13.8" customHeight="1" x14ac:dyDescent="0.25">
      <c r="B900" s="33" t="s">
        <v>0</v>
      </c>
      <c r="C900" s="33">
        <v>2769495</v>
      </c>
      <c r="D900" s="33">
        <v>1.8</v>
      </c>
      <c r="E900" s="33" t="s">
        <v>262</v>
      </c>
      <c r="F900" s="31" t="str">
        <f t="shared" si="26"/>
        <v>A6.09.04</v>
      </c>
      <c r="G900" s="34">
        <f t="shared" si="27"/>
        <v>1.8</v>
      </c>
    </row>
    <row r="901" spans="2:7" ht="13.8" customHeight="1" x14ac:dyDescent="0.25">
      <c r="B901" s="33" t="s">
        <v>0</v>
      </c>
      <c r="C901" s="33">
        <v>2769497</v>
      </c>
      <c r="D901" s="33">
        <v>1.8</v>
      </c>
      <c r="E901" s="33" t="s">
        <v>262</v>
      </c>
      <c r="F901" s="31" t="str">
        <f t="shared" si="26"/>
        <v>A6.09.04</v>
      </c>
      <c r="G901" s="34">
        <f t="shared" si="27"/>
        <v>1.8</v>
      </c>
    </row>
    <row r="902" spans="2:7" ht="13.8" customHeight="1" x14ac:dyDescent="0.25">
      <c r="B902" s="33" t="s">
        <v>0</v>
      </c>
      <c r="C902" s="33">
        <v>2769499</v>
      </c>
      <c r="D902" s="33">
        <v>1.8</v>
      </c>
      <c r="E902" s="33" t="s">
        <v>262</v>
      </c>
      <c r="F902" s="31" t="str">
        <f t="shared" si="26"/>
        <v>A6.09.04</v>
      </c>
      <c r="G902" s="34">
        <f t="shared" si="27"/>
        <v>1.8</v>
      </c>
    </row>
    <row r="903" spans="2:7" ht="13.8" customHeight="1" x14ac:dyDescent="0.25">
      <c r="B903" s="33" t="s">
        <v>0</v>
      </c>
      <c r="C903" s="33">
        <v>2769501</v>
      </c>
      <c r="D903" s="33">
        <v>1.8</v>
      </c>
      <c r="E903" s="33" t="s">
        <v>262</v>
      </c>
      <c r="F903" s="31" t="str">
        <f t="shared" ref="F903:F966" si="28">LEFT(E903,8)</f>
        <v>A6.09.04</v>
      </c>
      <c r="G903" s="34">
        <f t="shared" ref="G903:G966" si="29">D903</f>
        <v>1.8</v>
      </c>
    </row>
    <row r="904" spans="2:7" ht="13.8" customHeight="1" x14ac:dyDescent="0.25">
      <c r="B904" s="33" t="s">
        <v>0</v>
      </c>
      <c r="C904" s="33">
        <v>2769577</v>
      </c>
      <c r="D904" s="33">
        <v>1.8</v>
      </c>
      <c r="E904" s="33" t="s">
        <v>263</v>
      </c>
      <c r="F904" s="31" t="str">
        <f t="shared" si="28"/>
        <v>A6.09.01</v>
      </c>
      <c r="G904" s="34">
        <f t="shared" si="29"/>
        <v>1.8</v>
      </c>
    </row>
    <row r="905" spans="2:7" ht="13.8" customHeight="1" x14ac:dyDescent="0.25">
      <c r="B905" s="33" t="s">
        <v>0</v>
      </c>
      <c r="C905" s="33">
        <v>2769579</v>
      </c>
      <c r="D905" s="33">
        <v>1.8</v>
      </c>
      <c r="E905" s="33" t="s">
        <v>263</v>
      </c>
      <c r="F905" s="31" t="str">
        <f t="shared" si="28"/>
        <v>A6.09.01</v>
      </c>
      <c r="G905" s="34">
        <f t="shared" si="29"/>
        <v>1.8</v>
      </c>
    </row>
    <row r="906" spans="2:7" ht="13.8" customHeight="1" x14ac:dyDescent="0.25">
      <c r="B906" s="33" t="s">
        <v>0</v>
      </c>
      <c r="C906" s="33">
        <v>2769581</v>
      </c>
      <c r="D906" s="33">
        <v>1.8</v>
      </c>
      <c r="E906" s="33" t="s">
        <v>263</v>
      </c>
      <c r="F906" s="31" t="str">
        <f t="shared" si="28"/>
        <v>A6.09.01</v>
      </c>
      <c r="G906" s="34">
        <f t="shared" si="29"/>
        <v>1.8</v>
      </c>
    </row>
    <row r="907" spans="2:7" ht="13.8" customHeight="1" x14ac:dyDescent="0.25">
      <c r="B907" s="33" t="s">
        <v>0</v>
      </c>
      <c r="C907" s="33">
        <v>2769583</v>
      </c>
      <c r="D907" s="33">
        <v>1.8</v>
      </c>
      <c r="E907" s="33" t="s">
        <v>263</v>
      </c>
      <c r="F907" s="31" t="str">
        <f t="shared" si="28"/>
        <v>A6.09.01</v>
      </c>
      <c r="G907" s="34">
        <f t="shared" si="29"/>
        <v>1.8</v>
      </c>
    </row>
    <row r="908" spans="2:7" ht="13.8" customHeight="1" x14ac:dyDescent="0.25">
      <c r="B908" s="33" t="s">
        <v>0</v>
      </c>
      <c r="C908" s="33">
        <v>2769585</v>
      </c>
      <c r="D908" s="33">
        <v>1.8</v>
      </c>
      <c r="E908" s="33" t="s">
        <v>263</v>
      </c>
      <c r="F908" s="31" t="str">
        <f t="shared" si="28"/>
        <v>A6.09.01</v>
      </c>
      <c r="G908" s="34">
        <f t="shared" si="29"/>
        <v>1.8</v>
      </c>
    </row>
    <row r="909" spans="2:7" ht="13.8" customHeight="1" x14ac:dyDescent="0.25">
      <c r="B909" s="33" t="s">
        <v>0</v>
      </c>
      <c r="C909" s="33">
        <v>2769587</v>
      </c>
      <c r="D909" s="33">
        <v>1.8</v>
      </c>
      <c r="E909" s="33" t="s">
        <v>263</v>
      </c>
      <c r="F909" s="31" t="str">
        <f t="shared" si="28"/>
        <v>A6.09.01</v>
      </c>
      <c r="G909" s="34">
        <f t="shared" si="29"/>
        <v>1.8</v>
      </c>
    </row>
    <row r="910" spans="2:7" ht="13.8" customHeight="1" x14ac:dyDescent="0.25">
      <c r="B910" s="33" t="s">
        <v>0</v>
      </c>
      <c r="C910" s="33">
        <v>2769589</v>
      </c>
      <c r="D910" s="33">
        <v>2.4</v>
      </c>
      <c r="E910" s="33" t="s">
        <v>263</v>
      </c>
      <c r="F910" s="31" t="str">
        <f t="shared" si="28"/>
        <v>A6.09.01</v>
      </c>
      <c r="G910" s="34">
        <f t="shared" si="29"/>
        <v>2.4</v>
      </c>
    </row>
    <row r="911" spans="2:7" ht="13.8" customHeight="1" x14ac:dyDescent="0.25">
      <c r="B911" s="33" t="s">
        <v>0</v>
      </c>
      <c r="C911" s="33">
        <v>2769591</v>
      </c>
      <c r="D911" s="33">
        <v>2.4</v>
      </c>
      <c r="E911" s="33" t="s">
        <v>263</v>
      </c>
      <c r="F911" s="31" t="str">
        <f t="shared" si="28"/>
        <v>A6.09.01</v>
      </c>
      <c r="G911" s="34">
        <f t="shared" si="29"/>
        <v>2.4</v>
      </c>
    </row>
    <row r="912" spans="2:7" ht="13.8" customHeight="1" x14ac:dyDescent="0.25">
      <c r="B912" s="33" t="s">
        <v>0</v>
      </c>
      <c r="C912" s="33">
        <v>2769593</v>
      </c>
      <c r="D912" s="33">
        <v>1.8</v>
      </c>
      <c r="E912" s="33" t="s">
        <v>263</v>
      </c>
      <c r="F912" s="31" t="str">
        <f t="shared" si="28"/>
        <v>A6.09.01</v>
      </c>
      <c r="G912" s="34">
        <f t="shared" si="29"/>
        <v>1.8</v>
      </c>
    </row>
    <row r="913" spans="2:7" ht="13.8" customHeight="1" x14ac:dyDescent="0.25">
      <c r="B913" s="33" t="s">
        <v>0</v>
      </c>
      <c r="C913" s="33">
        <v>2769595</v>
      </c>
      <c r="D913" s="33">
        <v>1.8</v>
      </c>
      <c r="E913" s="33" t="s">
        <v>263</v>
      </c>
      <c r="F913" s="31" t="str">
        <f t="shared" si="28"/>
        <v>A6.09.01</v>
      </c>
      <c r="G913" s="34">
        <f t="shared" si="29"/>
        <v>1.8</v>
      </c>
    </row>
    <row r="914" spans="2:7" ht="13.8" customHeight="1" x14ac:dyDescent="0.25">
      <c r="B914" s="33" t="s">
        <v>0</v>
      </c>
      <c r="C914" s="33">
        <v>2769597</v>
      </c>
      <c r="D914" s="33">
        <v>1.8</v>
      </c>
      <c r="E914" s="33" t="s">
        <v>263</v>
      </c>
      <c r="F914" s="31" t="str">
        <f t="shared" si="28"/>
        <v>A6.09.01</v>
      </c>
      <c r="G914" s="34">
        <f t="shared" si="29"/>
        <v>1.8</v>
      </c>
    </row>
    <row r="915" spans="2:7" ht="13.8" customHeight="1" x14ac:dyDescent="0.25">
      <c r="B915" s="33" t="s">
        <v>0</v>
      </c>
      <c r="C915" s="33">
        <v>2769599</v>
      </c>
      <c r="D915" s="33">
        <v>1.8</v>
      </c>
      <c r="E915" s="33" t="s">
        <v>263</v>
      </c>
      <c r="F915" s="31" t="str">
        <f t="shared" si="28"/>
        <v>A6.09.01</v>
      </c>
      <c r="G915" s="34">
        <f t="shared" si="29"/>
        <v>1.8</v>
      </c>
    </row>
    <row r="916" spans="2:7" ht="13.8" customHeight="1" x14ac:dyDescent="0.25">
      <c r="B916" s="33" t="s">
        <v>0</v>
      </c>
      <c r="C916" s="33">
        <v>2769662</v>
      </c>
      <c r="D916" s="33">
        <v>1.8</v>
      </c>
      <c r="E916" s="33" t="s">
        <v>264</v>
      </c>
      <c r="F916" s="31" t="str">
        <f t="shared" si="28"/>
        <v>A6.09.05</v>
      </c>
      <c r="G916" s="34">
        <f t="shared" si="29"/>
        <v>1.8</v>
      </c>
    </row>
    <row r="917" spans="2:7" ht="13.8" customHeight="1" x14ac:dyDescent="0.25">
      <c r="B917" s="33" t="s">
        <v>0</v>
      </c>
      <c r="C917" s="33">
        <v>2769664</v>
      </c>
      <c r="D917" s="33">
        <v>1.8</v>
      </c>
      <c r="E917" s="33" t="s">
        <v>264</v>
      </c>
      <c r="F917" s="31" t="str">
        <f t="shared" si="28"/>
        <v>A6.09.05</v>
      </c>
      <c r="G917" s="34">
        <f t="shared" si="29"/>
        <v>1.8</v>
      </c>
    </row>
    <row r="918" spans="2:7" ht="13.8" customHeight="1" x14ac:dyDescent="0.25">
      <c r="B918" s="33" t="s">
        <v>0</v>
      </c>
      <c r="C918" s="33">
        <v>2769666</v>
      </c>
      <c r="D918" s="33">
        <v>1.8</v>
      </c>
      <c r="E918" s="33" t="s">
        <v>264</v>
      </c>
      <c r="F918" s="31" t="str">
        <f t="shared" si="28"/>
        <v>A6.09.05</v>
      </c>
      <c r="G918" s="34">
        <f t="shared" si="29"/>
        <v>1.8</v>
      </c>
    </row>
    <row r="919" spans="2:7" ht="13.8" customHeight="1" x14ac:dyDescent="0.25">
      <c r="B919" s="33" t="s">
        <v>0</v>
      </c>
      <c r="C919" s="33">
        <v>2769668</v>
      </c>
      <c r="D919" s="33">
        <v>1.8</v>
      </c>
      <c r="E919" s="33" t="s">
        <v>264</v>
      </c>
      <c r="F919" s="31" t="str">
        <f t="shared" si="28"/>
        <v>A6.09.05</v>
      </c>
      <c r="G919" s="34">
        <f t="shared" si="29"/>
        <v>1.8</v>
      </c>
    </row>
    <row r="920" spans="2:7" ht="13.8" customHeight="1" x14ac:dyDescent="0.25">
      <c r="B920" s="33" t="s">
        <v>0</v>
      </c>
      <c r="C920" s="33">
        <v>2769670</v>
      </c>
      <c r="D920" s="33">
        <v>2.4</v>
      </c>
      <c r="E920" s="33" t="s">
        <v>264</v>
      </c>
      <c r="F920" s="31" t="str">
        <f t="shared" si="28"/>
        <v>A6.09.05</v>
      </c>
      <c r="G920" s="34">
        <f t="shared" si="29"/>
        <v>2.4</v>
      </c>
    </row>
    <row r="921" spans="2:7" ht="13.8" customHeight="1" x14ac:dyDescent="0.25">
      <c r="B921" s="33" t="s">
        <v>0</v>
      </c>
      <c r="C921" s="33">
        <v>2769672</v>
      </c>
      <c r="D921" s="33">
        <v>2.4</v>
      </c>
      <c r="E921" s="33" t="s">
        <v>264</v>
      </c>
      <c r="F921" s="31" t="str">
        <f t="shared" si="28"/>
        <v>A6.09.05</v>
      </c>
      <c r="G921" s="34">
        <f t="shared" si="29"/>
        <v>2.4</v>
      </c>
    </row>
    <row r="922" spans="2:7" ht="13.8" customHeight="1" x14ac:dyDescent="0.25">
      <c r="B922" s="33" t="s">
        <v>0</v>
      </c>
      <c r="C922" s="33">
        <v>2769718</v>
      </c>
      <c r="D922" s="33">
        <v>1.8</v>
      </c>
      <c r="E922" s="33" t="s">
        <v>265</v>
      </c>
      <c r="F922" s="31" t="str">
        <f t="shared" si="28"/>
        <v>B1.02.01</v>
      </c>
      <c r="G922" s="34">
        <f t="shared" si="29"/>
        <v>1.8</v>
      </c>
    </row>
    <row r="923" spans="2:7" ht="13.8" customHeight="1" x14ac:dyDescent="0.25">
      <c r="B923" s="33" t="s">
        <v>0</v>
      </c>
      <c r="C923" s="33">
        <v>2769720</v>
      </c>
      <c r="D923" s="33">
        <v>1.8</v>
      </c>
      <c r="E923" s="33" t="s">
        <v>265</v>
      </c>
      <c r="F923" s="31" t="str">
        <f t="shared" si="28"/>
        <v>B1.02.01</v>
      </c>
      <c r="G923" s="34">
        <f t="shared" si="29"/>
        <v>1.8</v>
      </c>
    </row>
    <row r="924" spans="2:7" ht="13.8" customHeight="1" x14ac:dyDescent="0.25">
      <c r="B924" s="33" t="s">
        <v>0</v>
      </c>
      <c r="C924" s="33">
        <v>2769722</v>
      </c>
      <c r="D924" s="33">
        <v>2.4</v>
      </c>
      <c r="E924" s="33" t="s">
        <v>265</v>
      </c>
      <c r="F924" s="31" t="str">
        <f t="shared" si="28"/>
        <v>B1.02.01</v>
      </c>
      <c r="G924" s="34">
        <f t="shared" si="29"/>
        <v>2.4</v>
      </c>
    </row>
    <row r="925" spans="2:7" ht="13.8" customHeight="1" x14ac:dyDescent="0.25">
      <c r="B925" s="33" t="s">
        <v>0</v>
      </c>
      <c r="C925" s="33">
        <v>2769724</v>
      </c>
      <c r="D925" s="33">
        <v>2.4</v>
      </c>
      <c r="E925" s="33" t="s">
        <v>265</v>
      </c>
      <c r="F925" s="31" t="str">
        <f t="shared" si="28"/>
        <v>B1.02.01</v>
      </c>
      <c r="G925" s="34">
        <f t="shared" si="29"/>
        <v>2.4</v>
      </c>
    </row>
    <row r="926" spans="2:7" ht="13.8" customHeight="1" x14ac:dyDescent="0.25">
      <c r="B926" s="33" t="s">
        <v>0</v>
      </c>
      <c r="C926" s="33">
        <v>2769763</v>
      </c>
      <c r="D926" s="33">
        <v>1.8</v>
      </c>
      <c r="E926" s="33" t="s">
        <v>266</v>
      </c>
      <c r="F926" s="31" t="str">
        <f t="shared" si="28"/>
        <v>B1.02.02</v>
      </c>
      <c r="G926" s="34">
        <f t="shared" si="29"/>
        <v>1.8</v>
      </c>
    </row>
    <row r="927" spans="2:7" ht="13.8" customHeight="1" x14ac:dyDescent="0.25">
      <c r="B927" s="33" t="s">
        <v>0</v>
      </c>
      <c r="C927" s="33">
        <v>2769765</v>
      </c>
      <c r="D927" s="33">
        <v>1.8</v>
      </c>
      <c r="E927" s="33" t="s">
        <v>266</v>
      </c>
      <c r="F927" s="31" t="str">
        <f t="shared" si="28"/>
        <v>B1.02.02</v>
      </c>
      <c r="G927" s="34">
        <f t="shared" si="29"/>
        <v>1.8</v>
      </c>
    </row>
    <row r="928" spans="2:7" ht="13.8" customHeight="1" x14ac:dyDescent="0.25">
      <c r="B928" s="33" t="s">
        <v>0</v>
      </c>
      <c r="C928" s="33">
        <v>2769767</v>
      </c>
      <c r="D928" s="33">
        <v>1.8</v>
      </c>
      <c r="E928" s="33" t="s">
        <v>266</v>
      </c>
      <c r="F928" s="31" t="str">
        <f t="shared" si="28"/>
        <v>B1.02.02</v>
      </c>
      <c r="G928" s="34">
        <f t="shared" si="29"/>
        <v>1.8</v>
      </c>
    </row>
    <row r="929" spans="2:7" ht="13.8" customHeight="1" x14ac:dyDescent="0.25">
      <c r="B929" s="33" t="s">
        <v>0</v>
      </c>
      <c r="C929" s="33">
        <v>2769769</v>
      </c>
      <c r="D929" s="33">
        <v>1.8</v>
      </c>
      <c r="E929" s="33" t="s">
        <v>266</v>
      </c>
      <c r="F929" s="31" t="str">
        <f t="shared" si="28"/>
        <v>B1.02.02</v>
      </c>
      <c r="G929" s="34">
        <f t="shared" si="29"/>
        <v>1.8</v>
      </c>
    </row>
    <row r="930" spans="2:7" ht="13.8" customHeight="1" x14ac:dyDescent="0.25">
      <c r="B930" s="33" t="s">
        <v>0</v>
      </c>
      <c r="C930" s="33">
        <v>2769771</v>
      </c>
      <c r="D930" s="33">
        <v>2.4</v>
      </c>
      <c r="E930" s="33" t="s">
        <v>266</v>
      </c>
      <c r="F930" s="31" t="str">
        <f t="shared" si="28"/>
        <v>B1.02.02</v>
      </c>
      <c r="G930" s="34">
        <f t="shared" si="29"/>
        <v>2.4</v>
      </c>
    </row>
    <row r="931" spans="2:7" ht="13.8" customHeight="1" x14ac:dyDescent="0.25">
      <c r="B931" s="33" t="s">
        <v>0</v>
      </c>
      <c r="C931" s="33">
        <v>2769773</v>
      </c>
      <c r="D931" s="33">
        <v>2.4</v>
      </c>
      <c r="E931" s="33" t="s">
        <v>266</v>
      </c>
      <c r="F931" s="31" t="str">
        <f t="shared" si="28"/>
        <v>B1.02.02</v>
      </c>
      <c r="G931" s="34">
        <f t="shared" si="29"/>
        <v>2.4</v>
      </c>
    </row>
    <row r="932" spans="2:7" ht="13.8" customHeight="1" x14ac:dyDescent="0.25">
      <c r="B932" s="33" t="s">
        <v>0</v>
      </c>
      <c r="C932" s="33">
        <v>2769775</v>
      </c>
      <c r="D932" s="33">
        <v>1.8</v>
      </c>
      <c r="E932" s="33" t="s">
        <v>266</v>
      </c>
      <c r="F932" s="31" t="str">
        <f t="shared" si="28"/>
        <v>B1.02.02</v>
      </c>
      <c r="G932" s="34">
        <f t="shared" si="29"/>
        <v>1.8</v>
      </c>
    </row>
    <row r="933" spans="2:7" ht="13.8" customHeight="1" x14ac:dyDescent="0.25">
      <c r="B933" s="33" t="s">
        <v>0</v>
      </c>
      <c r="C933" s="33">
        <v>2769777</v>
      </c>
      <c r="D933" s="33">
        <v>1.8</v>
      </c>
      <c r="E933" s="33" t="s">
        <v>266</v>
      </c>
      <c r="F933" s="31" t="str">
        <f t="shared" si="28"/>
        <v>B1.02.02</v>
      </c>
      <c r="G933" s="34">
        <f t="shared" si="29"/>
        <v>1.8</v>
      </c>
    </row>
    <row r="934" spans="2:7" ht="13.8" customHeight="1" x14ac:dyDescent="0.25">
      <c r="B934" s="33" t="s">
        <v>0</v>
      </c>
      <c r="C934" s="33">
        <v>2769779</v>
      </c>
      <c r="D934" s="33">
        <v>1.8</v>
      </c>
      <c r="E934" s="33" t="s">
        <v>266</v>
      </c>
      <c r="F934" s="31" t="str">
        <f t="shared" si="28"/>
        <v>B1.02.02</v>
      </c>
      <c r="G934" s="34">
        <f t="shared" si="29"/>
        <v>1.8</v>
      </c>
    </row>
    <row r="935" spans="2:7" ht="13.8" customHeight="1" x14ac:dyDescent="0.25">
      <c r="B935" s="33" t="s">
        <v>0</v>
      </c>
      <c r="C935" s="33">
        <v>2769781</v>
      </c>
      <c r="D935" s="33">
        <v>1.8</v>
      </c>
      <c r="E935" s="33" t="s">
        <v>266</v>
      </c>
      <c r="F935" s="31" t="str">
        <f t="shared" si="28"/>
        <v>B1.02.02</v>
      </c>
      <c r="G935" s="34">
        <f t="shared" si="29"/>
        <v>1.8</v>
      </c>
    </row>
    <row r="936" spans="2:7" ht="13.8" customHeight="1" x14ac:dyDescent="0.25">
      <c r="B936" s="33" t="s">
        <v>0</v>
      </c>
      <c r="C936" s="33">
        <v>2769826</v>
      </c>
      <c r="D936" s="33">
        <v>2.4</v>
      </c>
      <c r="E936" s="33" t="s">
        <v>267</v>
      </c>
      <c r="F936" s="31" t="str">
        <f t="shared" si="28"/>
        <v>D1.02.02</v>
      </c>
      <c r="G936" s="34">
        <f t="shared" si="29"/>
        <v>2.4</v>
      </c>
    </row>
    <row r="937" spans="2:7" ht="13.8" customHeight="1" x14ac:dyDescent="0.25">
      <c r="B937" s="33" t="s">
        <v>0</v>
      </c>
      <c r="C937" s="33">
        <v>2769828</v>
      </c>
      <c r="D937" s="33">
        <v>2.4</v>
      </c>
      <c r="E937" s="33" t="s">
        <v>267</v>
      </c>
      <c r="F937" s="31" t="str">
        <f t="shared" si="28"/>
        <v>D1.02.02</v>
      </c>
      <c r="G937" s="34">
        <f t="shared" si="29"/>
        <v>2.4</v>
      </c>
    </row>
    <row r="938" spans="2:7" ht="13.8" customHeight="1" x14ac:dyDescent="0.25">
      <c r="B938" s="33" t="s">
        <v>0</v>
      </c>
      <c r="C938" s="33">
        <v>2769830</v>
      </c>
      <c r="D938" s="33">
        <v>1.8</v>
      </c>
      <c r="E938" s="33" t="s">
        <v>267</v>
      </c>
      <c r="F938" s="31" t="str">
        <f t="shared" si="28"/>
        <v>D1.02.02</v>
      </c>
      <c r="G938" s="34">
        <f t="shared" si="29"/>
        <v>1.8</v>
      </c>
    </row>
    <row r="939" spans="2:7" ht="13.8" customHeight="1" x14ac:dyDescent="0.25">
      <c r="B939" s="33" t="s">
        <v>0</v>
      </c>
      <c r="C939" s="33">
        <v>2769832</v>
      </c>
      <c r="D939" s="33">
        <v>1.8</v>
      </c>
      <c r="E939" s="33" t="s">
        <v>267</v>
      </c>
      <c r="F939" s="31" t="str">
        <f t="shared" si="28"/>
        <v>D1.02.02</v>
      </c>
      <c r="G939" s="34">
        <f t="shared" si="29"/>
        <v>1.8</v>
      </c>
    </row>
    <row r="940" spans="2:7" ht="13.8" customHeight="1" x14ac:dyDescent="0.25">
      <c r="B940" s="33" t="s">
        <v>0</v>
      </c>
      <c r="C940" s="33">
        <v>2769834</v>
      </c>
      <c r="D940" s="33">
        <v>1.8</v>
      </c>
      <c r="E940" s="33" t="s">
        <v>267</v>
      </c>
      <c r="F940" s="31" t="str">
        <f t="shared" si="28"/>
        <v>D1.02.02</v>
      </c>
      <c r="G940" s="34">
        <f t="shared" si="29"/>
        <v>1.8</v>
      </c>
    </row>
    <row r="941" spans="2:7" ht="13.8" customHeight="1" x14ac:dyDescent="0.25">
      <c r="B941" s="33" t="s">
        <v>0</v>
      </c>
      <c r="C941" s="33">
        <v>2769836</v>
      </c>
      <c r="D941" s="33">
        <v>1.8</v>
      </c>
      <c r="E941" s="33" t="s">
        <v>267</v>
      </c>
      <c r="F941" s="31" t="str">
        <f t="shared" si="28"/>
        <v>D1.02.02</v>
      </c>
      <c r="G941" s="34">
        <f t="shared" si="29"/>
        <v>1.8</v>
      </c>
    </row>
    <row r="942" spans="2:7" ht="13.8" customHeight="1" x14ac:dyDescent="0.25">
      <c r="B942" s="33" t="s">
        <v>0</v>
      </c>
      <c r="C942" s="33">
        <v>2769838</v>
      </c>
      <c r="D942" s="33">
        <v>1.8</v>
      </c>
      <c r="E942" s="33" t="s">
        <v>267</v>
      </c>
      <c r="F942" s="31" t="str">
        <f t="shared" si="28"/>
        <v>D1.02.02</v>
      </c>
      <c r="G942" s="34">
        <f t="shared" si="29"/>
        <v>1.8</v>
      </c>
    </row>
    <row r="943" spans="2:7" ht="13.8" customHeight="1" x14ac:dyDescent="0.25">
      <c r="B943" s="33" t="s">
        <v>0</v>
      </c>
      <c r="C943" s="33">
        <v>2769840</v>
      </c>
      <c r="D943" s="33">
        <v>1.8</v>
      </c>
      <c r="E943" s="33" t="s">
        <v>267</v>
      </c>
      <c r="F943" s="31" t="str">
        <f t="shared" si="28"/>
        <v>D1.02.02</v>
      </c>
      <c r="G943" s="34">
        <f t="shared" si="29"/>
        <v>1.8</v>
      </c>
    </row>
    <row r="944" spans="2:7" ht="13.8" customHeight="1" x14ac:dyDescent="0.25">
      <c r="B944" s="33" t="s">
        <v>0</v>
      </c>
      <c r="C944" s="33">
        <v>2769842</v>
      </c>
      <c r="D944" s="33">
        <v>1.8</v>
      </c>
      <c r="E944" s="33" t="s">
        <v>267</v>
      </c>
      <c r="F944" s="31" t="str">
        <f t="shared" si="28"/>
        <v>D1.02.02</v>
      </c>
      <c r="G944" s="34">
        <f t="shared" si="29"/>
        <v>1.8</v>
      </c>
    </row>
    <row r="945" spans="2:7" ht="13.8" customHeight="1" x14ac:dyDescent="0.25">
      <c r="B945" s="33" t="s">
        <v>0</v>
      </c>
      <c r="C945" s="33">
        <v>2769844</v>
      </c>
      <c r="D945" s="33">
        <v>1.8</v>
      </c>
      <c r="E945" s="33" t="s">
        <v>267</v>
      </c>
      <c r="F945" s="31" t="str">
        <f t="shared" si="28"/>
        <v>D1.02.02</v>
      </c>
      <c r="G945" s="34">
        <f t="shared" si="29"/>
        <v>1.8</v>
      </c>
    </row>
    <row r="946" spans="2:7" ht="13.8" customHeight="1" x14ac:dyDescent="0.25">
      <c r="B946" s="33" t="s">
        <v>0</v>
      </c>
      <c r="C946" s="33">
        <v>2769890</v>
      </c>
      <c r="D946" s="33">
        <v>2.4</v>
      </c>
      <c r="E946" s="33" t="s">
        <v>268</v>
      </c>
      <c r="F946" s="31" t="str">
        <f t="shared" si="28"/>
        <v>D1.02.01</v>
      </c>
      <c r="G946" s="34">
        <f t="shared" si="29"/>
        <v>2.4</v>
      </c>
    </row>
    <row r="947" spans="2:7" ht="13.8" customHeight="1" x14ac:dyDescent="0.25">
      <c r="B947" s="33" t="s">
        <v>0</v>
      </c>
      <c r="C947" s="33">
        <v>2769892</v>
      </c>
      <c r="D947" s="33">
        <v>2.4</v>
      </c>
      <c r="E947" s="33" t="s">
        <v>268</v>
      </c>
      <c r="F947" s="31" t="str">
        <f t="shared" si="28"/>
        <v>D1.02.01</v>
      </c>
      <c r="G947" s="34">
        <f t="shared" si="29"/>
        <v>2.4</v>
      </c>
    </row>
    <row r="948" spans="2:7" ht="13.8" customHeight="1" x14ac:dyDescent="0.25">
      <c r="B948" s="33" t="s">
        <v>0</v>
      </c>
      <c r="C948" s="33">
        <v>2769894</v>
      </c>
      <c r="D948" s="33">
        <v>1.8</v>
      </c>
      <c r="E948" s="33" t="s">
        <v>268</v>
      </c>
      <c r="F948" s="31" t="str">
        <f t="shared" si="28"/>
        <v>D1.02.01</v>
      </c>
      <c r="G948" s="34">
        <f t="shared" si="29"/>
        <v>1.8</v>
      </c>
    </row>
    <row r="949" spans="2:7" ht="13.8" customHeight="1" x14ac:dyDescent="0.25">
      <c r="B949" s="33" t="s">
        <v>0</v>
      </c>
      <c r="C949" s="33">
        <v>2769896</v>
      </c>
      <c r="D949" s="33">
        <v>1.8</v>
      </c>
      <c r="E949" s="33" t="s">
        <v>268</v>
      </c>
      <c r="F949" s="31" t="str">
        <f t="shared" si="28"/>
        <v>D1.02.01</v>
      </c>
      <c r="G949" s="34">
        <f t="shared" si="29"/>
        <v>1.8</v>
      </c>
    </row>
    <row r="950" spans="2:7" ht="13.8" customHeight="1" x14ac:dyDescent="0.25">
      <c r="B950" s="33" t="s">
        <v>0</v>
      </c>
      <c r="C950" s="33">
        <v>2769937</v>
      </c>
      <c r="D950" s="33">
        <v>2.4</v>
      </c>
      <c r="E950" s="33" t="s">
        <v>269</v>
      </c>
      <c r="F950" s="31" t="str">
        <f t="shared" si="28"/>
        <v>D1.02.04</v>
      </c>
      <c r="G950" s="34">
        <f t="shared" si="29"/>
        <v>2.4</v>
      </c>
    </row>
    <row r="951" spans="2:7" ht="13.8" customHeight="1" x14ac:dyDescent="0.25">
      <c r="B951" s="33" t="s">
        <v>0</v>
      </c>
      <c r="C951" s="33">
        <v>2769939</v>
      </c>
      <c r="D951" s="33">
        <v>2.4</v>
      </c>
      <c r="E951" s="33" t="s">
        <v>269</v>
      </c>
      <c r="F951" s="31" t="str">
        <f t="shared" si="28"/>
        <v>D1.02.04</v>
      </c>
      <c r="G951" s="34">
        <f t="shared" si="29"/>
        <v>2.4</v>
      </c>
    </row>
    <row r="952" spans="2:7" ht="13.8" customHeight="1" x14ac:dyDescent="0.25">
      <c r="B952" s="33" t="s">
        <v>0</v>
      </c>
      <c r="C952" s="33">
        <v>2769941</v>
      </c>
      <c r="D952" s="33">
        <v>1.8</v>
      </c>
      <c r="E952" s="33" t="s">
        <v>269</v>
      </c>
      <c r="F952" s="31" t="str">
        <f t="shared" si="28"/>
        <v>D1.02.04</v>
      </c>
      <c r="G952" s="34">
        <f t="shared" si="29"/>
        <v>1.8</v>
      </c>
    </row>
    <row r="953" spans="2:7" ht="13.8" customHeight="1" x14ac:dyDescent="0.25">
      <c r="B953" s="33" t="s">
        <v>0</v>
      </c>
      <c r="C953" s="33">
        <v>2769943</v>
      </c>
      <c r="D953" s="33">
        <v>1.8</v>
      </c>
      <c r="E953" s="33" t="s">
        <v>269</v>
      </c>
      <c r="F953" s="31" t="str">
        <f t="shared" si="28"/>
        <v>D1.02.04</v>
      </c>
      <c r="G953" s="34">
        <f t="shared" si="29"/>
        <v>1.8</v>
      </c>
    </row>
    <row r="954" spans="2:7" ht="13.8" customHeight="1" x14ac:dyDescent="0.25">
      <c r="B954" s="33" t="s">
        <v>0</v>
      </c>
      <c r="C954" s="33">
        <v>2769945</v>
      </c>
      <c r="D954" s="33">
        <v>1.8</v>
      </c>
      <c r="E954" s="33" t="s">
        <v>269</v>
      </c>
      <c r="F954" s="31" t="str">
        <f t="shared" si="28"/>
        <v>D1.02.04</v>
      </c>
      <c r="G954" s="34">
        <f t="shared" si="29"/>
        <v>1.8</v>
      </c>
    </row>
    <row r="955" spans="2:7" ht="13.8" customHeight="1" x14ac:dyDescent="0.25">
      <c r="B955" s="33" t="s">
        <v>0</v>
      </c>
      <c r="C955" s="33">
        <v>2769947</v>
      </c>
      <c r="D955" s="33">
        <v>1.8</v>
      </c>
      <c r="E955" s="33" t="s">
        <v>269</v>
      </c>
      <c r="F955" s="31" t="str">
        <f t="shared" si="28"/>
        <v>D1.02.04</v>
      </c>
      <c r="G955" s="34">
        <f t="shared" si="29"/>
        <v>1.8</v>
      </c>
    </row>
    <row r="956" spans="2:7" ht="13.8" customHeight="1" x14ac:dyDescent="0.25">
      <c r="B956" s="33" t="s">
        <v>0</v>
      </c>
      <c r="C956" s="33">
        <v>2769992</v>
      </c>
      <c r="D956" s="33">
        <v>1.8</v>
      </c>
      <c r="E956" s="33" t="s">
        <v>270</v>
      </c>
      <c r="F956" s="31" t="str">
        <f t="shared" si="28"/>
        <v>D1.02.03</v>
      </c>
      <c r="G956" s="34">
        <f t="shared" si="29"/>
        <v>1.8</v>
      </c>
    </row>
    <row r="957" spans="2:7" ht="13.8" customHeight="1" x14ac:dyDescent="0.25">
      <c r="B957" s="33" t="s">
        <v>0</v>
      </c>
      <c r="C957" s="33">
        <v>2769994</v>
      </c>
      <c r="D957" s="33">
        <v>1.8</v>
      </c>
      <c r="E957" s="33" t="s">
        <v>270</v>
      </c>
      <c r="F957" s="31" t="str">
        <f t="shared" si="28"/>
        <v>D1.02.03</v>
      </c>
      <c r="G957" s="34">
        <f t="shared" si="29"/>
        <v>1.8</v>
      </c>
    </row>
    <row r="958" spans="2:7" ht="13.8" customHeight="1" x14ac:dyDescent="0.25">
      <c r="B958" s="33" t="s">
        <v>0</v>
      </c>
      <c r="C958" s="33">
        <v>2769996</v>
      </c>
      <c r="D958" s="33">
        <v>2.4</v>
      </c>
      <c r="E958" s="33" t="s">
        <v>270</v>
      </c>
      <c r="F958" s="31" t="str">
        <f t="shared" si="28"/>
        <v>D1.02.03</v>
      </c>
      <c r="G958" s="34">
        <f t="shared" si="29"/>
        <v>2.4</v>
      </c>
    </row>
    <row r="959" spans="2:7" ht="13.8" customHeight="1" x14ac:dyDescent="0.25">
      <c r="B959" s="33" t="s">
        <v>0</v>
      </c>
      <c r="C959" s="33">
        <v>2769998</v>
      </c>
      <c r="D959" s="33">
        <v>2.4</v>
      </c>
      <c r="E959" s="33" t="s">
        <v>270</v>
      </c>
      <c r="F959" s="31" t="str">
        <f t="shared" si="28"/>
        <v>D1.02.03</v>
      </c>
      <c r="G959" s="34">
        <f t="shared" si="29"/>
        <v>2.4</v>
      </c>
    </row>
    <row r="960" spans="2:7" ht="13.8" customHeight="1" x14ac:dyDescent="0.25">
      <c r="B960" s="33" t="s">
        <v>0</v>
      </c>
      <c r="C960" s="33">
        <v>2770000</v>
      </c>
      <c r="D960" s="33">
        <v>1.8</v>
      </c>
      <c r="E960" s="33" t="s">
        <v>270</v>
      </c>
      <c r="F960" s="31" t="str">
        <f t="shared" si="28"/>
        <v>D1.02.03</v>
      </c>
      <c r="G960" s="34">
        <f t="shared" si="29"/>
        <v>1.8</v>
      </c>
    </row>
    <row r="961" spans="2:7" ht="13.8" customHeight="1" x14ac:dyDescent="0.25">
      <c r="B961" s="33" t="s">
        <v>0</v>
      </c>
      <c r="C961" s="33">
        <v>2770002</v>
      </c>
      <c r="D961" s="33">
        <v>1.8</v>
      </c>
      <c r="E961" s="33" t="s">
        <v>270</v>
      </c>
      <c r="F961" s="31" t="str">
        <f t="shared" si="28"/>
        <v>D1.02.03</v>
      </c>
      <c r="G961" s="34">
        <f t="shared" si="29"/>
        <v>1.8</v>
      </c>
    </row>
    <row r="962" spans="2:7" ht="13.8" customHeight="1" x14ac:dyDescent="0.25">
      <c r="B962" s="33" t="s">
        <v>0</v>
      </c>
      <c r="C962" s="33">
        <v>2770004</v>
      </c>
      <c r="D962" s="33">
        <v>1.8</v>
      </c>
      <c r="E962" s="33" t="s">
        <v>270</v>
      </c>
      <c r="F962" s="31" t="str">
        <f t="shared" si="28"/>
        <v>D1.02.03</v>
      </c>
      <c r="G962" s="34">
        <f t="shared" si="29"/>
        <v>1.8</v>
      </c>
    </row>
    <row r="963" spans="2:7" ht="13.8" customHeight="1" x14ac:dyDescent="0.25">
      <c r="B963" s="33" t="s">
        <v>0</v>
      </c>
      <c r="C963" s="33">
        <v>2770006</v>
      </c>
      <c r="D963" s="33">
        <v>1.8</v>
      </c>
      <c r="E963" s="33" t="s">
        <v>270</v>
      </c>
      <c r="F963" s="31" t="str">
        <f t="shared" si="28"/>
        <v>D1.02.03</v>
      </c>
      <c r="G963" s="34">
        <f t="shared" si="29"/>
        <v>1.8</v>
      </c>
    </row>
    <row r="964" spans="2:7" ht="13.8" customHeight="1" x14ac:dyDescent="0.25">
      <c r="B964" s="33" t="s">
        <v>0</v>
      </c>
      <c r="C964" s="33">
        <v>2770053</v>
      </c>
      <c r="D964" s="33">
        <v>2.4</v>
      </c>
      <c r="E964" s="33" t="s">
        <v>271</v>
      </c>
      <c r="F964" s="31" t="str">
        <f t="shared" si="28"/>
        <v>D1.02.05</v>
      </c>
      <c r="G964" s="34">
        <f t="shared" si="29"/>
        <v>2.4</v>
      </c>
    </row>
    <row r="965" spans="2:7" ht="13.8" customHeight="1" x14ac:dyDescent="0.25">
      <c r="B965" s="33" t="s">
        <v>0</v>
      </c>
      <c r="C965" s="33">
        <v>2770055</v>
      </c>
      <c r="D965" s="33">
        <v>2.4</v>
      </c>
      <c r="E965" s="33" t="s">
        <v>271</v>
      </c>
      <c r="F965" s="31" t="str">
        <f t="shared" si="28"/>
        <v>D1.02.05</v>
      </c>
      <c r="G965" s="34">
        <f t="shared" si="29"/>
        <v>2.4</v>
      </c>
    </row>
    <row r="966" spans="2:7" ht="13.8" customHeight="1" x14ac:dyDescent="0.25">
      <c r="B966" s="33" t="s">
        <v>0</v>
      </c>
      <c r="C966" s="33">
        <v>2770057</v>
      </c>
      <c r="D966" s="33">
        <v>1.8</v>
      </c>
      <c r="E966" s="33" t="s">
        <v>271</v>
      </c>
      <c r="F966" s="31" t="str">
        <f t="shared" si="28"/>
        <v>D1.02.05</v>
      </c>
      <c r="G966" s="34">
        <f t="shared" si="29"/>
        <v>1.8</v>
      </c>
    </row>
    <row r="967" spans="2:7" ht="13.8" customHeight="1" x14ac:dyDescent="0.25">
      <c r="B967" s="33" t="s">
        <v>0</v>
      </c>
      <c r="C967" s="33">
        <v>2770059</v>
      </c>
      <c r="D967" s="33">
        <v>1.8</v>
      </c>
      <c r="E967" s="33" t="s">
        <v>271</v>
      </c>
      <c r="F967" s="31" t="str">
        <f t="shared" ref="F967:F1030" si="30">LEFT(E967,8)</f>
        <v>D1.02.05</v>
      </c>
      <c r="G967" s="34">
        <f t="shared" ref="G967:G1030" si="31">D967</f>
        <v>1.8</v>
      </c>
    </row>
    <row r="968" spans="2:7" ht="13.8" customHeight="1" x14ac:dyDescent="0.25">
      <c r="B968" s="33" t="s">
        <v>0</v>
      </c>
      <c r="C968" s="33">
        <v>2770061</v>
      </c>
      <c r="D968" s="33">
        <v>1.8</v>
      </c>
      <c r="E968" s="33" t="s">
        <v>271</v>
      </c>
      <c r="F968" s="31" t="str">
        <f t="shared" si="30"/>
        <v>D1.02.05</v>
      </c>
      <c r="G968" s="34">
        <f t="shared" si="31"/>
        <v>1.8</v>
      </c>
    </row>
    <row r="969" spans="2:7" ht="13.8" customHeight="1" x14ac:dyDescent="0.25">
      <c r="B969" s="33" t="s">
        <v>0</v>
      </c>
      <c r="C969" s="33">
        <v>2770063</v>
      </c>
      <c r="D969" s="33">
        <v>1.8</v>
      </c>
      <c r="E969" s="33" t="s">
        <v>271</v>
      </c>
      <c r="F969" s="31" t="str">
        <f t="shared" si="30"/>
        <v>D1.02.05</v>
      </c>
      <c r="G969" s="34">
        <f t="shared" si="31"/>
        <v>1.8</v>
      </c>
    </row>
    <row r="970" spans="2:7" ht="13.8" customHeight="1" x14ac:dyDescent="0.25">
      <c r="B970" s="33" t="s">
        <v>0</v>
      </c>
      <c r="C970" s="33">
        <v>2770093</v>
      </c>
      <c r="D970" s="33">
        <v>1.27</v>
      </c>
      <c r="E970" s="33" t="s">
        <v>272</v>
      </c>
      <c r="F970" s="31" t="str">
        <f t="shared" si="30"/>
        <v>A6.01.01</v>
      </c>
      <c r="G970" s="34">
        <f t="shared" si="31"/>
        <v>1.27</v>
      </c>
    </row>
    <row r="971" spans="2:7" ht="13.8" customHeight="1" x14ac:dyDescent="0.25">
      <c r="B971" s="33" t="s">
        <v>0</v>
      </c>
      <c r="C971" s="33">
        <v>2770095</v>
      </c>
      <c r="D971" s="33">
        <v>1.27</v>
      </c>
      <c r="E971" s="33" t="s">
        <v>272</v>
      </c>
      <c r="F971" s="31" t="str">
        <f t="shared" si="30"/>
        <v>A6.01.01</v>
      </c>
      <c r="G971" s="34">
        <f t="shared" si="31"/>
        <v>1.27</v>
      </c>
    </row>
    <row r="972" spans="2:7" ht="13.8" customHeight="1" x14ac:dyDescent="0.25">
      <c r="B972" s="33" t="s">
        <v>0</v>
      </c>
      <c r="C972" s="33">
        <v>2770097</v>
      </c>
      <c r="D972" s="33">
        <v>2.4</v>
      </c>
      <c r="E972" s="33" t="s">
        <v>272</v>
      </c>
      <c r="F972" s="31" t="str">
        <f t="shared" si="30"/>
        <v>A6.01.01</v>
      </c>
      <c r="G972" s="34">
        <f t="shared" si="31"/>
        <v>2.4</v>
      </c>
    </row>
    <row r="973" spans="2:7" ht="13.8" customHeight="1" x14ac:dyDescent="0.25">
      <c r="B973" s="33" t="s">
        <v>0</v>
      </c>
      <c r="C973" s="33">
        <v>2770099</v>
      </c>
      <c r="D973" s="33">
        <v>2.4</v>
      </c>
      <c r="E973" s="33" t="s">
        <v>272</v>
      </c>
      <c r="F973" s="31" t="str">
        <f t="shared" si="30"/>
        <v>A6.01.01</v>
      </c>
      <c r="G973" s="34">
        <f t="shared" si="31"/>
        <v>2.4</v>
      </c>
    </row>
    <row r="974" spans="2:7" ht="13.8" customHeight="1" x14ac:dyDescent="0.25">
      <c r="B974" s="33" t="s">
        <v>0</v>
      </c>
      <c r="C974" s="33">
        <v>2770101</v>
      </c>
      <c r="D974" s="33">
        <v>1.8</v>
      </c>
      <c r="E974" s="33" t="s">
        <v>272</v>
      </c>
      <c r="F974" s="31" t="str">
        <f t="shared" si="30"/>
        <v>A6.01.01</v>
      </c>
      <c r="G974" s="34">
        <f t="shared" si="31"/>
        <v>1.8</v>
      </c>
    </row>
    <row r="975" spans="2:7" ht="13.8" customHeight="1" x14ac:dyDescent="0.25">
      <c r="B975" s="33" t="s">
        <v>0</v>
      </c>
      <c r="C975" s="33">
        <v>2770103</v>
      </c>
      <c r="D975" s="33">
        <v>1.8</v>
      </c>
      <c r="E975" s="33" t="s">
        <v>272</v>
      </c>
      <c r="F975" s="31" t="str">
        <f t="shared" si="30"/>
        <v>A6.01.01</v>
      </c>
      <c r="G975" s="34">
        <f t="shared" si="31"/>
        <v>1.8</v>
      </c>
    </row>
    <row r="976" spans="2:7" ht="13.8" customHeight="1" x14ac:dyDescent="0.25">
      <c r="B976" s="33" t="s">
        <v>0</v>
      </c>
      <c r="C976" s="33">
        <v>2770154</v>
      </c>
      <c r="D976" s="33">
        <v>1.8</v>
      </c>
      <c r="E976" s="33" t="s">
        <v>273</v>
      </c>
      <c r="F976" s="31" t="str">
        <f t="shared" si="30"/>
        <v>A6.01.02</v>
      </c>
      <c r="G976" s="34">
        <f t="shared" si="31"/>
        <v>1.8</v>
      </c>
    </row>
    <row r="977" spans="2:7" ht="13.8" customHeight="1" x14ac:dyDescent="0.25">
      <c r="B977" s="33" t="s">
        <v>0</v>
      </c>
      <c r="C977" s="33">
        <v>2770156</v>
      </c>
      <c r="D977" s="33">
        <v>1.8</v>
      </c>
      <c r="E977" s="33" t="s">
        <v>273</v>
      </c>
      <c r="F977" s="31" t="str">
        <f t="shared" si="30"/>
        <v>A6.01.02</v>
      </c>
      <c r="G977" s="34">
        <f t="shared" si="31"/>
        <v>1.8</v>
      </c>
    </row>
    <row r="978" spans="2:7" ht="13.8" customHeight="1" x14ac:dyDescent="0.25">
      <c r="B978" s="33" t="s">
        <v>0</v>
      </c>
      <c r="C978" s="33">
        <v>2770158</v>
      </c>
      <c r="D978" s="33">
        <v>2.4</v>
      </c>
      <c r="E978" s="33" t="s">
        <v>273</v>
      </c>
      <c r="F978" s="31" t="str">
        <f t="shared" si="30"/>
        <v>A6.01.02</v>
      </c>
      <c r="G978" s="34">
        <f t="shared" si="31"/>
        <v>2.4</v>
      </c>
    </row>
    <row r="979" spans="2:7" ht="13.8" customHeight="1" x14ac:dyDescent="0.25">
      <c r="B979" s="33" t="s">
        <v>0</v>
      </c>
      <c r="C979" s="33">
        <v>2770160</v>
      </c>
      <c r="D979" s="33">
        <v>2.4</v>
      </c>
      <c r="E979" s="33" t="s">
        <v>273</v>
      </c>
      <c r="F979" s="31" t="str">
        <f t="shared" si="30"/>
        <v>A6.01.02</v>
      </c>
      <c r="G979" s="34">
        <f t="shared" si="31"/>
        <v>2.4</v>
      </c>
    </row>
    <row r="980" spans="2:7" ht="13.8" customHeight="1" x14ac:dyDescent="0.25">
      <c r="B980" s="33" t="s">
        <v>0</v>
      </c>
      <c r="C980" s="33">
        <v>2770162</v>
      </c>
      <c r="D980" s="33">
        <v>1.27</v>
      </c>
      <c r="E980" s="33" t="s">
        <v>273</v>
      </c>
      <c r="F980" s="31" t="str">
        <f t="shared" si="30"/>
        <v>A6.01.02</v>
      </c>
      <c r="G980" s="34">
        <f t="shared" si="31"/>
        <v>1.27</v>
      </c>
    </row>
    <row r="981" spans="2:7" ht="13.8" customHeight="1" x14ac:dyDescent="0.25">
      <c r="B981" s="33" t="s">
        <v>0</v>
      </c>
      <c r="C981" s="33">
        <v>2770164</v>
      </c>
      <c r="D981" s="33">
        <v>1.27</v>
      </c>
      <c r="E981" s="33" t="s">
        <v>273</v>
      </c>
      <c r="F981" s="31" t="str">
        <f t="shared" si="30"/>
        <v>A6.01.02</v>
      </c>
      <c r="G981" s="34">
        <f t="shared" si="31"/>
        <v>1.27</v>
      </c>
    </row>
    <row r="982" spans="2:7" ht="13.8" customHeight="1" x14ac:dyDescent="0.25">
      <c r="B982" s="33" t="s">
        <v>0</v>
      </c>
      <c r="C982" s="33">
        <v>2770222</v>
      </c>
      <c r="D982" s="33">
        <v>1.8</v>
      </c>
      <c r="E982" s="33" t="s">
        <v>274</v>
      </c>
      <c r="F982" s="31" t="str">
        <f t="shared" si="30"/>
        <v>A3.01.02</v>
      </c>
      <c r="G982" s="34">
        <f t="shared" si="31"/>
        <v>1.8</v>
      </c>
    </row>
    <row r="983" spans="2:7" ht="13.8" customHeight="1" x14ac:dyDescent="0.25">
      <c r="B983" s="33" t="s">
        <v>0</v>
      </c>
      <c r="C983" s="33">
        <v>2770224</v>
      </c>
      <c r="D983" s="33">
        <v>1.8</v>
      </c>
      <c r="E983" s="33" t="s">
        <v>274</v>
      </c>
      <c r="F983" s="31" t="str">
        <f t="shared" si="30"/>
        <v>A3.01.02</v>
      </c>
      <c r="G983" s="34">
        <f t="shared" si="31"/>
        <v>1.8</v>
      </c>
    </row>
    <row r="984" spans="2:7" ht="13.8" customHeight="1" x14ac:dyDescent="0.25">
      <c r="B984" s="33" t="s">
        <v>0</v>
      </c>
      <c r="C984" s="33">
        <v>2770226</v>
      </c>
      <c r="D984" s="33">
        <v>2.4</v>
      </c>
      <c r="E984" s="33" t="s">
        <v>274</v>
      </c>
      <c r="F984" s="31" t="str">
        <f t="shared" si="30"/>
        <v>A3.01.02</v>
      </c>
      <c r="G984" s="34">
        <f t="shared" si="31"/>
        <v>2.4</v>
      </c>
    </row>
    <row r="985" spans="2:7" ht="13.8" customHeight="1" x14ac:dyDescent="0.25">
      <c r="B985" s="33" t="s">
        <v>0</v>
      </c>
      <c r="C985" s="33">
        <v>2770228</v>
      </c>
      <c r="D985" s="33">
        <v>2.4</v>
      </c>
      <c r="E985" s="33" t="s">
        <v>274</v>
      </c>
      <c r="F985" s="31" t="str">
        <f t="shared" si="30"/>
        <v>A3.01.02</v>
      </c>
      <c r="G985" s="34">
        <f t="shared" si="31"/>
        <v>2.4</v>
      </c>
    </row>
    <row r="986" spans="2:7" ht="13.8" customHeight="1" x14ac:dyDescent="0.25">
      <c r="B986" s="33" t="s">
        <v>0</v>
      </c>
      <c r="C986" s="33">
        <v>2770230</v>
      </c>
      <c r="D986" s="33">
        <v>1.8</v>
      </c>
      <c r="E986" s="33" t="s">
        <v>274</v>
      </c>
      <c r="F986" s="31" t="str">
        <f t="shared" si="30"/>
        <v>A3.01.02</v>
      </c>
      <c r="G986" s="34">
        <f t="shared" si="31"/>
        <v>1.8</v>
      </c>
    </row>
    <row r="987" spans="2:7" ht="13.8" customHeight="1" x14ac:dyDescent="0.25">
      <c r="B987" s="33" t="s">
        <v>0</v>
      </c>
      <c r="C987" s="33">
        <v>2770232</v>
      </c>
      <c r="D987" s="33">
        <v>1.8</v>
      </c>
      <c r="E987" s="33" t="s">
        <v>274</v>
      </c>
      <c r="F987" s="31" t="str">
        <f t="shared" si="30"/>
        <v>A3.01.02</v>
      </c>
      <c r="G987" s="34">
        <f t="shared" si="31"/>
        <v>1.8</v>
      </c>
    </row>
    <row r="988" spans="2:7" ht="13.8" customHeight="1" x14ac:dyDescent="0.25">
      <c r="B988" s="33" t="s">
        <v>0</v>
      </c>
      <c r="C988" s="33">
        <v>2770285</v>
      </c>
      <c r="D988" s="33">
        <v>1.8</v>
      </c>
      <c r="E988" s="33" t="s">
        <v>275</v>
      </c>
      <c r="F988" s="31" t="str">
        <f t="shared" si="30"/>
        <v>A3.01.01</v>
      </c>
      <c r="G988" s="34">
        <f t="shared" si="31"/>
        <v>1.8</v>
      </c>
    </row>
    <row r="989" spans="2:7" ht="13.8" customHeight="1" x14ac:dyDescent="0.25">
      <c r="B989" s="33" t="s">
        <v>0</v>
      </c>
      <c r="C989" s="33">
        <v>2770287</v>
      </c>
      <c r="D989" s="33">
        <v>1.8</v>
      </c>
      <c r="E989" s="33" t="s">
        <v>275</v>
      </c>
      <c r="F989" s="31" t="str">
        <f t="shared" si="30"/>
        <v>A3.01.01</v>
      </c>
      <c r="G989" s="34">
        <f t="shared" si="31"/>
        <v>1.8</v>
      </c>
    </row>
    <row r="990" spans="2:7" ht="13.8" customHeight="1" x14ac:dyDescent="0.25">
      <c r="B990" s="33" t="s">
        <v>0</v>
      </c>
      <c r="C990" s="33">
        <v>2770289</v>
      </c>
      <c r="D990" s="33">
        <v>2.4</v>
      </c>
      <c r="E990" s="33" t="s">
        <v>275</v>
      </c>
      <c r="F990" s="31" t="str">
        <f t="shared" si="30"/>
        <v>A3.01.01</v>
      </c>
      <c r="G990" s="34">
        <f t="shared" si="31"/>
        <v>2.4</v>
      </c>
    </row>
    <row r="991" spans="2:7" ht="13.8" customHeight="1" x14ac:dyDescent="0.25">
      <c r="B991" s="33" t="s">
        <v>0</v>
      </c>
      <c r="C991" s="33">
        <v>2770291</v>
      </c>
      <c r="D991" s="33">
        <v>2.4</v>
      </c>
      <c r="E991" s="33" t="s">
        <v>275</v>
      </c>
      <c r="F991" s="31" t="str">
        <f t="shared" si="30"/>
        <v>A3.01.01</v>
      </c>
      <c r="G991" s="34">
        <f t="shared" si="31"/>
        <v>2.4</v>
      </c>
    </row>
    <row r="992" spans="2:7" ht="13.8" customHeight="1" x14ac:dyDescent="0.25">
      <c r="B992" s="33" t="s">
        <v>0</v>
      </c>
      <c r="C992" s="33">
        <v>2770293</v>
      </c>
      <c r="D992" s="33">
        <v>1.8</v>
      </c>
      <c r="E992" s="33" t="s">
        <v>275</v>
      </c>
      <c r="F992" s="31" t="str">
        <f t="shared" si="30"/>
        <v>A3.01.01</v>
      </c>
      <c r="G992" s="34">
        <f t="shared" si="31"/>
        <v>1.8</v>
      </c>
    </row>
    <row r="993" spans="2:7" ht="13.8" customHeight="1" x14ac:dyDescent="0.25">
      <c r="B993" s="33" t="s">
        <v>0</v>
      </c>
      <c r="C993" s="33">
        <v>2770295</v>
      </c>
      <c r="D993" s="33">
        <v>1.8</v>
      </c>
      <c r="E993" s="33" t="s">
        <v>275</v>
      </c>
      <c r="F993" s="31" t="str">
        <f t="shared" si="30"/>
        <v>A3.01.01</v>
      </c>
      <c r="G993" s="34">
        <f t="shared" si="31"/>
        <v>1.8</v>
      </c>
    </row>
    <row r="994" spans="2:7" ht="13.8" customHeight="1" x14ac:dyDescent="0.25">
      <c r="B994" s="33" t="s">
        <v>0</v>
      </c>
      <c r="C994" s="33">
        <v>2770357</v>
      </c>
      <c r="D994" s="33">
        <v>1.8</v>
      </c>
      <c r="E994" s="33" t="s">
        <v>276</v>
      </c>
      <c r="F994" s="31" t="str">
        <f t="shared" si="30"/>
        <v>A3.08.03</v>
      </c>
      <c r="G994" s="34">
        <f t="shared" si="31"/>
        <v>1.8</v>
      </c>
    </row>
    <row r="995" spans="2:7" ht="13.8" customHeight="1" x14ac:dyDescent="0.25">
      <c r="B995" s="33" t="s">
        <v>0</v>
      </c>
      <c r="C995" s="33">
        <v>2770359</v>
      </c>
      <c r="D995" s="33">
        <v>1.8</v>
      </c>
      <c r="E995" s="33" t="s">
        <v>276</v>
      </c>
      <c r="F995" s="31" t="str">
        <f t="shared" si="30"/>
        <v>A3.08.03</v>
      </c>
      <c r="G995" s="34">
        <f t="shared" si="31"/>
        <v>1.8</v>
      </c>
    </row>
    <row r="996" spans="2:7" ht="13.8" customHeight="1" x14ac:dyDescent="0.25">
      <c r="B996" s="33" t="s">
        <v>0</v>
      </c>
      <c r="C996" s="33">
        <v>2770361</v>
      </c>
      <c r="D996" s="33">
        <v>1.8</v>
      </c>
      <c r="E996" s="33" t="s">
        <v>276</v>
      </c>
      <c r="F996" s="31" t="str">
        <f t="shared" si="30"/>
        <v>A3.08.03</v>
      </c>
      <c r="G996" s="34">
        <f t="shared" si="31"/>
        <v>1.8</v>
      </c>
    </row>
    <row r="997" spans="2:7" ht="13.8" customHeight="1" x14ac:dyDescent="0.25">
      <c r="B997" s="33" t="s">
        <v>0</v>
      </c>
      <c r="C997" s="33">
        <v>2770363</v>
      </c>
      <c r="D997" s="33">
        <v>1.8</v>
      </c>
      <c r="E997" s="33" t="s">
        <v>276</v>
      </c>
      <c r="F997" s="31" t="str">
        <f t="shared" si="30"/>
        <v>A3.08.03</v>
      </c>
      <c r="G997" s="34">
        <f t="shared" si="31"/>
        <v>1.8</v>
      </c>
    </row>
    <row r="998" spans="2:7" ht="13.8" customHeight="1" x14ac:dyDescent="0.25">
      <c r="B998" s="33" t="s">
        <v>0</v>
      </c>
      <c r="C998" s="33">
        <v>2770365</v>
      </c>
      <c r="D998" s="33">
        <v>2.4</v>
      </c>
      <c r="E998" s="33" t="s">
        <v>276</v>
      </c>
      <c r="F998" s="31" t="str">
        <f t="shared" si="30"/>
        <v>A3.08.03</v>
      </c>
      <c r="G998" s="34">
        <f t="shared" si="31"/>
        <v>2.4</v>
      </c>
    </row>
    <row r="999" spans="2:7" ht="13.8" customHeight="1" x14ac:dyDescent="0.25">
      <c r="B999" s="33" t="s">
        <v>0</v>
      </c>
      <c r="C999" s="33">
        <v>2770367</v>
      </c>
      <c r="D999" s="33">
        <v>2.4</v>
      </c>
      <c r="E999" s="33" t="s">
        <v>276</v>
      </c>
      <c r="F999" s="31" t="str">
        <f t="shared" si="30"/>
        <v>A3.08.03</v>
      </c>
      <c r="G999" s="34">
        <f t="shared" si="31"/>
        <v>2.4</v>
      </c>
    </row>
    <row r="1000" spans="2:7" ht="13.8" customHeight="1" x14ac:dyDescent="0.25">
      <c r="B1000" s="33" t="s">
        <v>0</v>
      </c>
      <c r="C1000" s="33">
        <v>2770369</v>
      </c>
      <c r="D1000" s="33">
        <v>1.8</v>
      </c>
      <c r="E1000" s="33" t="s">
        <v>276</v>
      </c>
      <c r="F1000" s="31" t="str">
        <f t="shared" si="30"/>
        <v>A3.08.03</v>
      </c>
      <c r="G1000" s="34">
        <f t="shared" si="31"/>
        <v>1.8</v>
      </c>
    </row>
    <row r="1001" spans="2:7" ht="13.8" customHeight="1" x14ac:dyDescent="0.25">
      <c r="B1001" s="33" t="s">
        <v>0</v>
      </c>
      <c r="C1001" s="33">
        <v>2770371</v>
      </c>
      <c r="D1001" s="33">
        <v>1.8</v>
      </c>
      <c r="E1001" s="33" t="s">
        <v>276</v>
      </c>
      <c r="F1001" s="31" t="str">
        <f t="shared" si="30"/>
        <v>A3.08.03</v>
      </c>
      <c r="G1001" s="34">
        <f t="shared" si="31"/>
        <v>1.8</v>
      </c>
    </row>
    <row r="1002" spans="2:7" ht="13.8" customHeight="1" x14ac:dyDescent="0.25">
      <c r="B1002" s="33" t="s">
        <v>0</v>
      </c>
      <c r="C1002" s="33">
        <v>2770373</v>
      </c>
      <c r="D1002" s="33">
        <v>1.8</v>
      </c>
      <c r="E1002" s="33" t="s">
        <v>276</v>
      </c>
      <c r="F1002" s="31" t="str">
        <f t="shared" si="30"/>
        <v>A3.08.03</v>
      </c>
      <c r="G1002" s="34">
        <f t="shared" si="31"/>
        <v>1.8</v>
      </c>
    </row>
    <row r="1003" spans="2:7" ht="13.8" customHeight="1" x14ac:dyDescent="0.25">
      <c r="B1003" s="33" t="s">
        <v>0</v>
      </c>
      <c r="C1003" s="33">
        <v>2770375</v>
      </c>
      <c r="D1003" s="33">
        <v>1.8</v>
      </c>
      <c r="E1003" s="33" t="s">
        <v>276</v>
      </c>
      <c r="F1003" s="31" t="str">
        <f t="shared" si="30"/>
        <v>A3.08.03</v>
      </c>
      <c r="G1003" s="34">
        <f t="shared" si="31"/>
        <v>1.8</v>
      </c>
    </row>
    <row r="1004" spans="2:7" ht="13.8" customHeight="1" x14ac:dyDescent="0.25">
      <c r="B1004" s="33" t="s">
        <v>0</v>
      </c>
      <c r="C1004" s="33">
        <v>2770377</v>
      </c>
      <c r="D1004" s="33">
        <v>1.8</v>
      </c>
      <c r="E1004" s="33" t="s">
        <v>276</v>
      </c>
      <c r="F1004" s="31" t="str">
        <f t="shared" si="30"/>
        <v>A3.08.03</v>
      </c>
      <c r="G1004" s="34">
        <f t="shared" si="31"/>
        <v>1.8</v>
      </c>
    </row>
    <row r="1005" spans="2:7" ht="13.8" customHeight="1" x14ac:dyDescent="0.25">
      <c r="B1005" s="33" t="s">
        <v>0</v>
      </c>
      <c r="C1005" s="33">
        <v>2770379</v>
      </c>
      <c r="D1005" s="33">
        <v>1.8</v>
      </c>
      <c r="E1005" s="33" t="s">
        <v>276</v>
      </c>
      <c r="F1005" s="31" t="str">
        <f t="shared" si="30"/>
        <v>A3.08.03</v>
      </c>
      <c r="G1005" s="34">
        <f t="shared" si="31"/>
        <v>1.8</v>
      </c>
    </row>
    <row r="1006" spans="2:7" ht="13.8" customHeight="1" x14ac:dyDescent="0.25">
      <c r="B1006" s="33" t="s">
        <v>0</v>
      </c>
      <c r="C1006" s="33">
        <v>2770435</v>
      </c>
      <c r="D1006" s="33">
        <v>1.8</v>
      </c>
      <c r="E1006" s="33" t="s">
        <v>277</v>
      </c>
      <c r="F1006" s="31" t="str">
        <f t="shared" si="30"/>
        <v>A3.08.02</v>
      </c>
      <c r="G1006" s="34">
        <f t="shared" si="31"/>
        <v>1.8</v>
      </c>
    </row>
    <row r="1007" spans="2:7" ht="13.8" customHeight="1" x14ac:dyDescent="0.25">
      <c r="B1007" s="33" t="s">
        <v>0</v>
      </c>
      <c r="C1007" s="33">
        <v>2770437</v>
      </c>
      <c r="D1007" s="33">
        <v>1.8</v>
      </c>
      <c r="E1007" s="33" t="s">
        <v>277</v>
      </c>
      <c r="F1007" s="31" t="str">
        <f t="shared" si="30"/>
        <v>A3.08.02</v>
      </c>
      <c r="G1007" s="34">
        <f t="shared" si="31"/>
        <v>1.8</v>
      </c>
    </row>
    <row r="1008" spans="2:7" ht="13.8" customHeight="1" x14ac:dyDescent="0.25">
      <c r="B1008" s="33" t="s">
        <v>0</v>
      </c>
      <c r="C1008" s="33">
        <v>2770439</v>
      </c>
      <c r="D1008" s="33">
        <v>1.8</v>
      </c>
      <c r="E1008" s="33" t="s">
        <v>277</v>
      </c>
      <c r="F1008" s="31" t="str">
        <f t="shared" si="30"/>
        <v>A3.08.02</v>
      </c>
      <c r="G1008" s="34">
        <f t="shared" si="31"/>
        <v>1.8</v>
      </c>
    </row>
    <row r="1009" spans="2:7" ht="13.8" customHeight="1" x14ac:dyDescent="0.25">
      <c r="B1009" s="33" t="s">
        <v>0</v>
      </c>
      <c r="C1009" s="33">
        <v>2770441</v>
      </c>
      <c r="D1009" s="33">
        <v>1.8</v>
      </c>
      <c r="E1009" s="33" t="s">
        <v>277</v>
      </c>
      <c r="F1009" s="31" t="str">
        <f t="shared" si="30"/>
        <v>A3.08.02</v>
      </c>
      <c r="G1009" s="34">
        <f t="shared" si="31"/>
        <v>1.8</v>
      </c>
    </row>
    <row r="1010" spans="2:7" ht="13.8" customHeight="1" x14ac:dyDescent="0.25">
      <c r="B1010" s="33" t="s">
        <v>0</v>
      </c>
      <c r="C1010" s="33">
        <v>2770443</v>
      </c>
      <c r="D1010" s="33">
        <v>1.8</v>
      </c>
      <c r="E1010" s="33" t="s">
        <v>277</v>
      </c>
      <c r="F1010" s="31" t="str">
        <f t="shared" si="30"/>
        <v>A3.08.02</v>
      </c>
      <c r="G1010" s="34">
        <f t="shared" si="31"/>
        <v>1.8</v>
      </c>
    </row>
    <row r="1011" spans="2:7" ht="13.8" customHeight="1" x14ac:dyDescent="0.25">
      <c r="B1011" s="33" t="s">
        <v>0</v>
      </c>
      <c r="C1011" s="33">
        <v>2770445</v>
      </c>
      <c r="D1011" s="33">
        <v>1.8</v>
      </c>
      <c r="E1011" s="33" t="s">
        <v>277</v>
      </c>
      <c r="F1011" s="31" t="str">
        <f t="shared" si="30"/>
        <v>A3.08.02</v>
      </c>
      <c r="G1011" s="34">
        <f t="shared" si="31"/>
        <v>1.8</v>
      </c>
    </row>
    <row r="1012" spans="2:7" ht="13.8" customHeight="1" x14ac:dyDescent="0.25">
      <c r="B1012" s="33" t="s">
        <v>0</v>
      </c>
      <c r="C1012" s="33">
        <v>2770447</v>
      </c>
      <c r="D1012" s="33">
        <v>2.4</v>
      </c>
      <c r="E1012" s="33" t="s">
        <v>277</v>
      </c>
      <c r="F1012" s="31" t="str">
        <f t="shared" si="30"/>
        <v>A3.08.02</v>
      </c>
      <c r="G1012" s="34">
        <f t="shared" si="31"/>
        <v>2.4</v>
      </c>
    </row>
    <row r="1013" spans="2:7" ht="13.8" customHeight="1" x14ac:dyDescent="0.25">
      <c r="B1013" s="33" t="s">
        <v>0</v>
      </c>
      <c r="C1013" s="33">
        <v>2770449</v>
      </c>
      <c r="D1013" s="33">
        <v>2.4</v>
      </c>
      <c r="E1013" s="33" t="s">
        <v>277</v>
      </c>
      <c r="F1013" s="31" t="str">
        <f t="shared" si="30"/>
        <v>A3.08.02</v>
      </c>
      <c r="G1013" s="34">
        <f t="shared" si="31"/>
        <v>2.4</v>
      </c>
    </row>
    <row r="1014" spans="2:7" ht="13.8" customHeight="1" x14ac:dyDescent="0.25">
      <c r="B1014" s="33" t="s">
        <v>0</v>
      </c>
      <c r="C1014" s="33">
        <v>2770451</v>
      </c>
      <c r="D1014" s="33">
        <v>1.8</v>
      </c>
      <c r="E1014" s="33" t="s">
        <v>277</v>
      </c>
      <c r="F1014" s="31" t="str">
        <f t="shared" si="30"/>
        <v>A3.08.02</v>
      </c>
      <c r="G1014" s="34">
        <f t="shared" si="31"/>
        <v>1.8</v>
      </c>
    </row>
    <row r="1015" spans="2:7" ht="13.8" customHeight="1" x14ac:dyDescent="0.25">
      <c r="B1015" s="33" t="s">
        <v>0</v>
      </c>
      <c r="C1015" s="33">
        <v>2770453</v>
      </c>
      <c r="D1015" s="33">
        <v>1.8</v>
      </c>
      <c r="E1015" s="33" t="s">
        <v>277</v>
      </c>
      <c r="F1015" s="31" t="str">
        <f t="shared" si="30"/>
        <v>A3.08.02</v>
      </c>
      <c r="G1015" s="34">
        <f t="shared" si="31"/>
        <v>1.8</v>
      </c>
    </row>
    <row r="1016" spans="2:7" ht="13.8" customHeight="1" x14ac:dyDescent="0.25">
      <c r="B1016" s="33" t="s">
        <v>0</v>
      </c>
      <c r="C1016" s="33">
        <v>2770455</v>
      </c>
      <c r="D1016" s="33">
        <v>1.8</v>
      </c>
      <c r="E1016" s="33" t="s">
        <v>277</v>
      </c>
      <c r="F1016" s="31" t="str">
        <f t="shared" si="30"/>
        <v>A3.08.02</v>
      </c>
      <c r="G1016" s="34">
        <f t="shared" si="31"/>
        <v>1.8</v>
      </c>
    </row>
    <row r="1017" spans="2:7" ht="13.8" customHeight="1" x14ac:dyDescent="0.25">
      <c r="B1017" s="33" t="s">
        <v>0</v>
      </c>
      <c r="C1017" s="33">
        <v>2770457</v>
      </c>
      <c r="D1017" s="33">
        <v>1.8</v>
      </c>
      <c r="E1017" s="33" t="s">
        <v>277</v>
      </c>
      <c r="F1017" s="31" t="str">
        <f t="shared" si="30"/>
        <v>A3.08.02</v>
      </c>
      <c r="G1017" s="34">
        <f t="shared" si="31"/>
        <v>1.8</v>
      </c>
    </row>
    <row r="1018" spans="2:7" ht="13.8" customHeight="1" x14ac:dyDescent="0.25">
      <c r="B1018" s="33" t="s">
        <v>0</v>
      </c>
      <c r="C1018" s="33">
        <v>2770508</v>
      </c>
      <c r="D1018" s="33">
        <v>1.86</v>
      </c>
      <c r="E1018" s="33" t="s">
        <v>278</v>
      </c>
      <c r="F1018" s="31" t="str">
        <f t="shared" si="30"/>
        <v>C1.14.05</v>
      </c>
      <c r="G1018" s="34">
        <f t="shared" si="31"/>
        <v>1.86</v>
      </c>
    </row>
    <row r="1019" spans="2:7" ht="13.8" customHeight="1" x14ac:dyDescent="0.25">
      <c r="B1019" s="33" t="s">
        <v>0</v>
      </c>
      <c r="C1019" s="33">
        <v>2770510</v>
      </c>
      <c r="D1019" s="33">
        <v>1.86</v>
      </c>
      <c r="E1019" s="33" t="s">
        <v>278</v>
      </c>
      <c r="F1019" s="31" t="str">
        <f t="shared" si="30"/>
        <v>C1.14.05</v>
      </c>
      <c r="G1019" s="34">
        <f t="shared" si="31"/>
        <v>1.86</v>
      </c>
    </row>
    <row r="1020" spans="2:7" ht="13.8" customHeight="1" x14ac:dyDescent="0.25">
      <c r="B1020" s="33" t="s">
        <v>0</v>
      </c>
      <c r="C1020" s="33">
        <v>2770512</v>
      </c>
      <c r="D1020" s="33">
        <v>2.39</v>
      </c>
      <c r="E1020" s="33" t="s">
        <v>278</v>
      </c>
      <c r="F1020" s="31" t="str">
        <f t="shared" si="30"/>
        <v>C1.14.05</v>
      </c>
      <c r="G1020" s="34">
        <f t="shared" si="31"/>
        <v>2.39</v>
      </c>
    </row>
    <row r="1021" spans="2:7" ht="13.8" customHeight="1" x14ac:dyDescent="0.25">
      <c r="B1021" s="33" t="s">
        <v>0</v>
      </c>
      <c r="C1021" s="33">
        <v>2770514</v>
      </c>
      <c r="D1021" s="33">
        <v>2.39</v>
      </c>
      <c r="E1021" s="33" t="s">
        <v>278</v>
      </c>
      <c r="F1021" s="31" t="str">
        <f t="shared" si="30"/>
        <v>C1.14.05</v>
      </c>
      <c r="G1021" s="34">
        <f t="shared" si="31"/>
        <v>2.39</v>
      </c>
    </row>
    <row r="1022" spans="2:7" ht="13.8" customHeight="1" x14ac:dyDescent="0.25">
      <c r="B1022" s="33" t="s">
        <v>0</v>
      </c>
      <c r="C1022" s="33">
        <v>2770516</v>
      </c>
      <c r="D1022" s="33">
        <v>1.76</v>
      </c>
      <c r="E1022" s="33" t="s">
        <v>278</v>
      </c>
      <c r="F1022" s="31" t="str">
        <f t="shared" si="30"/>
        <v>C1.14.05</v>
      </c>
      <c r="G1022" s="34">
        <f t="shared" si="31"/>
        <v>1.76</v>
      </c>
    </row>
    <row r="1023" spans="2:7" ht="13.8" customHeight="1" x14ac:dyDescent="0.25">
      <c r="B1023" s="33" t="s">
        <v>0</v>
      </c>
      <c r="C1023" s="33">
        <v>2770519</v>
      </c>
      <c r="D1023" s="33">
        <v>1.76</v>
      </c>
      <c r="E1023" s="33" t="s">
        <v>278</v>
      </c>
      <c r="F1023" s="31" t="str">
        <f t="shared" si="30"/>
        <v>C1.14.05</v>
      </c>
      <c r="G1023" s="34">
        <f t="shared" si="31"/>
        <v>1.76</v>
      </c>
    </row>
    <row r="1024" spans="2:7" ht="13.8" customHeight="1" x14ac:dyDescent="0.25">
      <c r="B1024" s="33" t="s">
        <v>0</v>
      </c>
      <c r="C1024" s="33">
        <v>2770522</v>
      </c>
      <c r="D1024" s="33">
        <v>1.76</v>
      </c>
      <c r="E1024" s="33" t="s">
        <v>278</v>
      </c>
      <c r="F1024" s="31" t="str">
        <f t="shared" si="30"/>
        <v>C1.14.05</v>
      </c>
      <c r="G1024" s="34">
        <f t="shared" si="31"/>
        <v>1.76</v>
      </c>
    </row>
    <row r="1025" spans="2:7" ht="13.8" customHeight="1" x14ac:dyDescent="0.25">
      <c r="B1025" s="33" t="s">
        <v>0</v>
      </c>
      <c r="C1025" s="33">
        <v>2770525</v>
      </c>
      <c r="D1025" s="33">
        <v>1.76</v>
      </c>
      <c r="E1025" s="33" t="s">
        <v>278</v>
      </c>
      <c r="F1025" s="31" t="str">
        <f t="shared" si="30"/>
        <v>C1.14.05</v>
      </c>
      <c r="G1025" s="34">
        <f t="shared" si="31"/>
        <v>1.76</v>
      </c>
    </row>
    <row r="1026" spans="2:7" ht="13.8" customHeight="1" x14ac:dyDescent="0.25">
      <c r="B1026" s="33" t="s">
        <v>0</v>
      </c>
      <c r="C1026" s="33">
        <v>2770528</v>
      </c>
      <c r="D1026" s="33">
        <v>1.86</v>
      </c>
      <c r="E1026" s="33" t="s">
        <v>278</v>
      </c>
      <c r="F1026" s="31" t="str">
        <f t="shared" si="30"/>
        <v>C1.14.05</v>
      </c>
      <c r="G1026" s="34">
        <f t="shared" si="31"/>
        <v>1.86</v>
      </c>
    </row>
    <row r="1027" spans="2:7" ht="13.8" customHeight="1" x14ac:dyDescent="0.25">
      <c r="B1027" s="33" t="s">
        <v>0</v>
      </c>
      <c r="C1027" s="33">
        <v>2770530</v>
      </c>
      <c r="D1027" s="33">
        <v>1.86</v>
      </c>
      <c r="E1027" s="33" t="s">
        <v>278</v>
      </c>
      <c r="F1027" s="31" t="str">
        <f t="shared" si="30"/>
        <v>C1.14.05</v>
      </c>
      <c r="G1027" s="34">
        <f t="shared" si="31"/>
        <v>1.86</v>
      </c>
    </row>
    <row r="1028" spans="2:7" ht="13.8" customHeight="1" x14ac:dyDescent="0.25">
      <c r="B1028" s="33" t="s">
        <v>0</v>
      </c>
      <c r="C1028" s="33">
        <v>2770593</v>
      </c>
      <c r="D1028" s="33">
        <v>1.76</v>
      </c>
      <c r="E1028" s="33" t="s">
        <v>279</v>
      </c>
      <c r="F1028" s="31" t="str">
        <f t="shared" si="30"/>
        <v>C1.14.06</v>
      </c>
      <c r="G1028" s="34">
        <f t="shared" si="31"/>
        <v>1.76</v>
      </c>
    </row>
    <row r="1029" spans="2:7" ht="13.8" customHeight="1" x14ac:dyDescent="0.25">
      <c r="B1029" s="33" t="s">
        <v>0</v>
      </c>
      <c r="C1029" s="33">
        <v>2770595</v>
      </c>
      <c r="D1029" s="33">
        <v>1.76</v>
      </c>
      <c r="E1029" s="33" t="s">
        <v>279</v>
      </c>
      <c r="F1029" s="31" t="str">
        <f t="shared" si="30"/>
        <v>C1.14.06</v>
      </c>
      <c r="G1029" s="34">
        <f t="shared" si="31"/>
        <v>1.76</v>
      </c>
    </row>
    <row r="1030" spans="2:7" ht="13.8" customHeight="1" x14ac:dyDescent="0.25">
      <c r="B1030" s="33" t="s">
        <v>0</v>
      </c>
      <c r="C1030" s="33">
        <v>2770597</v>
      </c>
      <c r="D1030" s="33">
        <v>1.76</v>
      </c>
      <c r="E1030" s="33" t="s">
        <v>279</v>
      </c>
      <c r="F1030" s="31" t="str">
        <f t="shared" si="30"/>
        <v>C1.14.06</v>
      </c>
      <c r="G1030" s="34">
        <f t="shared" si="31"/>
        <v>1.76</v>
      </c>
    </row>
    <row r="1031" spans="2:7" ht="13.8" customHeight="1" x14ac:dyDescent="0.25">
      <c r="B1031" s="33" t="s">
        <v>0</v>
      </c>
      <c r="C1031" s="33">
        <v>2770599</v>
      </c>
      <c r="D1031" s="33">
        <v>1.76</v>
      </c>
      <c r="E1031" s="33" t="s">
        <v>279</v>
      </c>
      <c r="F1031" s="31" t="str">
        <f t="shared" ref="F1031:F1094" si="32">LEFT(E1031,8)</f>
        <v>C1.14.06</v>
      </c>
      <c r="G1031" s="34">
        <f t="shared" ref="G1031:G1094" si="33">D1031</f>
        <v>1.76</v>
      </c>
    </row>
    <row r="1032" spans="2:7" ht="13.8" customHeight="1" x14ac:dyDescent="0.25">
      <c r="B1032" s="33" t="s">
        <v>0</v>
      </c>
      <c r="C1032" s="33">
        <v>2770601</v>
      </c>
      <c r="D1032" s="33">
        <v>1.76</v>
      </c>
      <c r="E1032" s="33" t="s">
        <v>279</v>
      </c>
      <c r="F1032" s="31" t="str">
        <f t="shared" si="32"/>
        <v>C1.14.06</v>
      </c>
      <c r="G1032" s="34">
        <f t="shared" si="33"/>
        <v>1.76</v>
      </c>
    </row>
    <row r="1033" spans="2:7" ht="13.8" customHeight="1" x14ac:dyDescent="0.25">
      <c r="B1033" s="33" t="s">
        <v>0</v>
      </c>
      <c r="C1033" s="33">
        <v>2770603</v>
      </c>
      <c r="D1033" s="33">
        <v>1.76</v>
      </c>
      <c r="E1033" s="33" t="s">
        <v>279</v>
      </c>
      <c r="F1033" s="31" t="str">
        <f t="shared" si="32"/>
        <v>C1.14.06</v>
      </c>
      <c r="G1033" s="34">
        <f t="shared" si="33"/>
        <v>1.76</v>
      </c>
    </row>
    <row r="1034" spans="2:7" ht="13.8" customHeight="1" x14ac:dyDescent="0.25">
      <c r="B1034" s="33" t="s">
        <v>0</v>
      </c>
      <c r="C1034" s="33">
        <v>2770605</v>
      </c>
      <c r="D1034" s="33">
        <v>2.39</v>
      </c>
      <c r="E1034" s="33" t="s">
        <v>279</v>
      </c>
      <c r="F1034" s="31" t="str">
        <f t="shared" si="32"/>
        <v>C1.14.06</v>
      </c>
      <c r="G1034" s="34">
        <f t="shared" si="33"/>
        <v>2.39</v>
      </c>
    </row>
    <row r="1035" spans="2:7" ht="13.8" customHeight="1" x14ac:dyDescent="0.25">
      <c r="B1035" s="33" t="s">
        <v>0</v>
      </c>
      <c r="C1035" s="33">
        <v>2770607</v>
      </c>
      <c r="D1035" s="33">
        <v>2.39</v>
      </c>
      <c r="E1035" s="33" t="s">
        <v>279</v>
      </c>
      <c r="F1035" s="31" t="str">
        <f t="shared" si="32"/>
        <v>C1.14.06</v>
      </c>
      <c r="G1035" s="34">
        <f t="shared" si="33"/>
        <v>2.39</v>
      </c>
    </row>
    <row r="1036" spans="2:7" ht="13.8" customHeight="1" x14ac:dyDescent="0.25">
      <c r="B1036" s="33" t="s">
        <v>0</v>
      </c>
      <c r="C1036" s="33">
        <v>2770609</v>
      </c>
      <c r="D1036" s="33">
        <v>1.86</v>
      </c>
      <c r="E1036" s="33" t="s">
        <v>279</v>
      </c>
      <c r="F1036" s="31" t="str">
        <f t="shared" si="32"/>
        <v>C1.14.06</v>
      </c>
      <c r="G1036" s="34">
        <f t="shared" si="33"/>
        <v>1.86</v>
      </c>
    </row>
    <row r="1037" spans="2:7" ht="13.8" customHeight="1" x14ac:dyDescent="0.25">
      <c r="B1037" s="33" t="s">
        <v>0</v>
      </c>
      <c r="C1037" s="33">
        <v>2770611</v>
      </c>
      <c r="D1037" s="33">
        <v>1.86</v>
      </c>
      <c r="E1037" s="33" t="s">
        <v>279</v>
      </c>
      <c r="F1037" s="31" t="str">
        <f t="shared" si="32"/>
        <v>C1.14.06</v>
      </c>
      <c r="G1037" s="34">
        <f t="shared" si="33"/>
        <v>1.86</v>
      </c>
    </row>
    <row r="1038" spans="2:7" ht="13.8" customHeight="1" x14ac:dyDescent="0.25">
      <c r="B1038" s="33" t="s">
        <v>0</v>
      </c>
      <c r="C1038" s="33">
        <v>2770666</v>
      </c>
      <c r="D1038" s="33">
        <v>1.86</v>
      </c>
      <c r="E1038" s="33" t="s">
        <v>280</v>
      </c>
      <c r="F1038" s="31" t="str">
        <f t="shared" si="32"/>
        <v>C1.14.01</v>
      </c>
      <c r="G1038" s="34">
        <f t="shared" si="33"/>
        <v>1.86</v>
      </c>
    </row>
    <row r="1039" spans="2:7" ht="13.8" customHeight="1" x14ac:dyDescent="0.25">
      <c r="B1039" s="33" t="s">
        <v>0</v>
      </c>
      <c r="C1039" s="33">
        <v>2770668</v>
      </c>
      <c r="D1039" s="33">
        <v>1.86</v>
      </c>
      <c r="E1039" s="33" t="s">
        <v>280</v>
      </c>
      <c r="F1039" s="31" t="str">
        <f t="shared" si="32"/>
        <v>C1.14.01</v>
      </c>
      <c r="G1039" s="34">
        <f t="shared" si="33"/>
        <v>1.86</v>
      </c>
    </row>
    <row r="1040" spans="2:7" ht="13.8" customHeight="1" x14ac:dyDescent="0.25">
      <c r="B1040" s="33" t="s">
        <v>0</v>
      </c>
      <c r="C1040" s="33">
        <v>2770670</v>
      </c>
      <c r="D1040" s="33">
        <v>1.76</v>
      </c>
      <c r="E1040" s="33" t="s">
        <v>280</v>
      </c>
      <c r="F1040" s="31" t="str">
        <f t="shared" si="32"/>
        <v>C1.14.01</v>
      </c>
      <c r="G1040" s="34">
        <f t="shared" si="33"/>
        <v>1.76</v>
      </c>
    </row>
    <row r="1041" spans="2:7" ht="13.8" customHeight="1" x14ac:dyDescent="0.25">
      <c r="B1041" s="33" t="s">
        <v>0</v>
      </c>
      <c r="C1041" s="33">
        <v>2770672</v>
      </c>
      <c r="D1041" s="33">
        <v>1.76</v>
      </c>
      <c r="E1041" s="33" t="s">
        <v>280</v>
      </c>
      <c r="F1041" s="31" t="str">
        <f t="shared" si="32"/>
        <v>C1.14.01</v>
      </c>
      <c r="G1041" s="34">
        <f t="shared" si="33"/>
        <v>1.76</v>
      </c>
    </row>
    <row r="1042" spans="2:7" ht="13.8" customHeight="1" x14ac:dyDescent="0.25">
      <c r="B1042" s="33" t="s">
        <v>0</v>
      </c>
      <c r="C1042" s="33">
        <v>2770674</v>
      </c>
      <c r="D1042" s="33">
        <v>1.86</v>
      </c>
      <c r="E1042" s="33" t="s">
        <v>280</v>
      </c>
      <c r="F1042" s="31" t="str">
        <f t="shared" si="32"/>
        <v>C1.14.01</v>
      </c>
      <c r="G1042" s="34">
        <f t="shared" si="33"/>
        <v>1.86</v>
      </c>
    </row>
    <row r="1043" spans="2:7" ht="13.8" customHeight="1" x14ac:dyDescent="0.25">
      <c r="B1043" s="33" t="s">
        <v>0</v>
      </c>
      <c r="C1043" s="33">
        <v>2770676</v>
      </c>
      <c r="D1043" s="33">
        <v>1.86</v>
      </c>
      <c r="E1043" s="33" t="s">
        <v>280</v>
      </c>
      <c r="F1043" s="31" t="str">
        <f t="shared" si="32"/>
        <v>C1.14.01</v>
      </c>
      <c r="G1043" s="34">
        <f t="shared" si="33"/>
        <v>1.86</v>
      </c>
    </row>
    <row r="1044" spans="2:7" ht="13.8" customHeight="1" x14ac:dyDescent="0.25">
      <c r="B1044" s="33" t="s">
        <v>0</v>
      </c>
      <c r="C1044" s="33">
        <v>2770678</v>
      </c>
      <c r="D1044" s="33">
        <v>2.39</v>
      </c>
      <c r="E1044" s="33" t="s">
        <v>280</v>
      </c>
      <c r="F1044" s="31" t="str">
        <f t="shared" si="32"/>
        <v>C1.14.01</v>
      </c>
      <c r="G1044" s="34">
        <f t="shared" si="33"/>
        <v>2.39</v>
      </c>
    </row>
    <row r="1045" spans="2:7" ht="13.8" customHeight="1" x14ac:dyDescent="0.25">
      <c r="B1045" s="33" t="s">
        <v>0</v>
      </c>
      <c r="C1045" s="33">
        <v>2770680</v>
      </c>
      <c r="D1045" s="33">
        <v>2.39</v>
      </c>
      <c r="E1045" s="33" t="s">
        <v>280</v>
      </c>
      <c r="F1045" s="31" t="str">
        <f t="shared" si="32"/>
        <v>C1.14.01</v>
      </c>
      <c r="G1045" s="34">
        <f t="shared" si="33"/>
        <v>2.39</v>
      </c>
    </row>
    <row r="1046" spans="2:7" ht="13.8" customHeight="1" x14ac:dyDescent="0.25">
      <c r="B1046" s="33" t="s">
        <v>0</v>
      </c>
      <c r="C1046" s="33">
        <v>2770682</v>
      </c>
      <c r="D1046" s="33">
        <v>1.86</v>
      </c>
      <c r="E1046" s="33" t="s">
        <v>280</v>
      </c>
      <c r="F1046" s="31" t="str">
        <f t="shared" si="32"/>
        <v>C1.14.01</v>
      </c>
      <c r="G1046" s="34">
        <f t="shared" si="33"/>
        <v>1.86</v>
      </c>
    </row>
    <row r="1047" spans="2:7" ht="13.8" customHeight="1" x14ac:dyDescent="0.25">
      <c r="B1047" s="33" t="s">
        <v>0</v>
      </c>
      <c r="C1047" s="33">
        <v>2770684</v>
      </c>
      <c r="D1047" s="33">
        <v>1.86</v>
      </c>
      <c r="E1047" s="33" t="s">
        <v>280</v>
      </c>
      <c r="F1047" s="31" t="str">
        <f t="shared" si="32"/>
        <v>C1.14.01</v>
      </c>
      <c r="G1047" s="34">
        <f t="shared" si="33"/>
        <v>1.86</v>
      </c>
    </row>
    <row r="1048" spans="2:7" ht="13.8" customHeight="1" x14ac:dyDescent="0.25">
      <c r="B1048" s="33" t="s">
        <v>0</v>
      </c>
      <c r="C1048" s="33">
        <v>2770686</v>
      </c>
      <c r="D1048" s="33">
        <v>1.76</v>
      </c>
      <c r="E1048" s="33" t="s">
        <v>280</v>
      </c>
      <c r="F1048" s="31" t="str">
        <f t="shared" si="32"/>
        <v>C1.14.01</v>
      </c>
      <c r="G1048" s="34">
        <f t="shared" si="33"/>
        <v>1.76</v>
      </c>
    </row>
    <row r="1049" spans="2:7" ht="13.8" customHeight="1" x14ac:dyDescent="0.25">
      <c r="B1049" s="33" t="s">
        <v>0</v>
      </c>
      <c r="C1049" s="33">
        <v>2770688</v>
      </c>
      <c r="D1049" s="33">
        <v>1.76</v>
      </c>
      <c r="E1049" s="33" t="s">
        <v>280</v>
      </c>
      <c r="F1049" s="31" t="str">
        <f t="shared" si="32"/>
        <v>C1.14.01</v>
      </c>
      <c r="G1049" s="34">
        <f t="shared" si="33"/>
        <v>1.76</v>
      </c>
    </row>
    <row r="1050" spans="2:7" ht="13.8" customHeight="1" x14ac:dyDescent="0.25">
      <c r="B1050" s="33" t="s">
        <v>0</v>
      </c>
      <c r="C1050" s="33">
        <v>2770808</v>
      </c>
      <c r="D1050" s="33">
        <v>1.86</v>
      </c>
      <c r="E1050" s="33" t="s">
        <v>282</v>
      </c>
      <c r="F1050" s="31" t="str">
        <f t="shared" si="32"/>
        <v>C1.14.03</v>
      </c>
      <c r="G1050" s="34">
        <f t="shared" si="33"/>
        <v>1.86</v>
      </c>
    </row>
    <row r="1051" spans="2:7" ht="13.8" customHeight="1" x14ac:dyDescent="0.25">
      <c r="B1051" s="33" t="s">
        <v>0</v>
      </c>
      <c r="C1051" s="33">
        <v>2770810</v>
      </c>
      <c r="D1051" s="33">
        <v>1.86</v>
      </c>
      <c r="E1051" s="33" t="s">
        <v>282</v>
      </c>
      <c r="F1051" s="31" t="str">
        <f t="shared" si="32"/>
        <v>C1.14.03</v>
      </c>
      <c r="G1051" s="34">
        <f t="shared" si="33"/>
        <v>1.86</v>
      </c>
    </row>
    <row r="1052" spans="2:7" ht="13.8" customHeight="1" x14ac:dyDescent="0.25">
      <c r="B1052" s="33" t="s">
        <v>0</v>
      </c>
      <c r="C1052" s="33">
        <v>2770812</v>
      </c>
      <c r="D1052" s="33">
        <v>2.39</v>
      </c>
      <c r="E1052" s="33" t="s">
        <v>282</v>
      </c>
      <c r="F1052" s="31" t="str">
        <f t="shared" si="32"/>
        <v>C1.14.03</v>
      </c>
      <c r="G1052" s="34">
        <f t="shared" si="33"/>
        <v>2.39</v>
      </c>
    </row>
    <row r="1053" spans="2:7" ht="13.8" customHeight="1" x14ac:dyDescent="0.25">
      <c r="B1053" s="33" t="s">
        <v>0</v>
      </c>
      <c r="C1053" s="33">
        <v>2770814</v>
      </c>
      <c r="D1053" s="33">
        <v>2.39</v>
      </c>
      <c r="E1053" s="33" t="s">
        <v>282</v>
      </c>
      <c r="F1053" s="31" t="str">
        <f t="shared" si="32"/>
        <v>C1.14.03</v>
      </c>
      <c r="G1053" s="34">
        <f t="shared" si="33"/>
        <v>2.39</v>
      </c>
    </row>
    <row r="1054" spans="2:7" ht="13.8" customHeight="1" x14ac:dyDescent="0.25">
      <c r="B1054" s="33" t="s">
        <v>0</v>
      </c>
      <c r="C1054" s="33">
        <v>2770845</v>
      </c>
      <c r="D1054" s="33">
        <v>1.86</v>
      </c>
      <c r="E1054" s="33" t="s">
        <v>283</v>
      </c>
      <c r="F1054" s="31" t="str">
        <f t="shared" si="32"/>
        <v>C1.14.04</v>
      </c>
      <c r="G1054" s="34">
        <f t="shared" si="33"/>
        <v>1.86</v>
      </c>
    </row>
    <row r="1055" spans="2:7" ht="13.8" customHeight="1" x14ac:dyDescent="0.25">
      <c r="B1055" s="33" t="s">
        <v>0</v>
      </c>
      <c r="C1055" s="33">
        <v>2770847</v>
      </c>
      <c r="D1055" s="33">
        <v>1.86</v>
      </c>
      <c r="E1055" s="33" t="s">
        <v>283</v>
      </c>
      <c r="F1055" s="31" t="str">
        <f t="shared" si="32"/>
        <v>C1.14.04</v>
      </c>
      <c r="G1055" s="34">
        <f t="shared" si="33"/>
        <v>1.86</v>
      </c>
    </row>
    <row r="1056" spans="2:7" ht="13.8" customHeight="1" x14ac:dyDescent="0.25">
      <c r="B1056" s="33" t="s">
        <v>0</v>
      </c>
      <c r="C1056" s="33">
        <v>2770849</v>
      </c>
      <c r="D1056" s="33">
        <v>2.39</v>
      </c>
      <c r="E1056" s="33" t="s">
        <v>283</v>
      </c>
      <c r="F1056" s="31" t="str">
        <f t="shared" si="32"/>
        <v>C1.14.04</v>
      </c>
      <c r="G1056" s="34">
        <f t="shared" si="33"/>
        <v>2.39</v>
      </c>
    </row>
    <row r="1057" spans="2:7" ht="13.8" customHeight="1" x14ac:dyDescent="0.25">
      <c r="B1057" s="33" t="s">
        <v>0</v>
      </c>
      <c r="C1057" s="33">
        <v>2770851</v>
      </c>
      <c r="D1057" s="33">
        <v>2.39</v>
      </c>
      <c r="E1057" s="33" t="s">
        <v>283</v>
      </c>
      <c r="F1057" s="31" t="str">
        <f t="shared" si="32"/>
        <v>C1.14.04</v>
      </c>
      <c r="G1057" s="34">
        <f t="shared" si="33"/>
        <v>2.39</v>
      </c>
    </row>
    <row r="1058" spans="2:7" ht="13.8" customHeight="1" x14ac:dyDescent="0.25">
      <c r="B1058" s="33" t="s">
        <v>0</v>
      </c>
      <c r="C1058" s="33">
        <v>2770891</v>
      </c>
      <c r="D1058" s="33">
        <v>1.86</v>
      </c>
      <c r="E1058" s="33" t="s">
        <v>284</v>
      </c>
      <c r="F1058" s="31" t="str">
        <f t="shared" si="32"/>
        <v>C1.08.05</v>
      </c>
      <c r="G1058" s="34">
        <f t="shared" si="33"/>
        <v>1.86</v>
      </c>
    </row>
    <row r="1059" spans="2:7" ht="13.8" customHeight="1" x14ac:dyDescent="0.25">
      <c r="B1059" s="33" t="s">
        <v>0</v>
      </c>
      <c r="C1059" s="33">
        <v>2770893</v>
      </c>
      <c r="D1059" s="33">
        <v>1.86</v>
      </c>
      <c r="E1059" s="33" t="s">
        <v>284</v>
      </c>
      <c r="F1059" s="31" t="str">
        <f t="shared" si="32"/>
        <v>C1.08.05</v>
      </c>
      <c r="G1059" s="34">
        <f t="shared" si="33"/>
        <v>1.86</v>
      </c>
    </row>
    <row r="1060" spans="2:7" ht="13.8" customHeight="1" x14ac:dyDescent="0.25">
      <c r="B1060" s="33" t="s">
        <v>0</v>
      </c>
      <c r="C1060" s="33">
        <v>2770895</v>
      </c>
      <c r="D1060" s="33">
        <v>2.39</v>
      </c>
      <c r="E1060" s="33" t="s">
        <v>284</v>
      </c>
      <c r="F1060" s="31" t="str">
        <f t="shared" si="32"/>
        <v>C1.08.05</v>
      </c>
      <c r="G1060" s="34">
        <f t="shared" si="33"/>
        <v>2.39</v>
      </c>
    </row>
    <row r="1061" spans="2:7" ht="13.8" customHeight="1" x14ac:dyDescent="0.25">
      <c r="B1061" s="33" t="s">
        <v>0</v>
      </c>
      <c r="C1061" s="33">
        <v>2770897</v>
      </c>
      <c r="D1061" s="33">
        <v>2.39</v>
      </c>
      <c r="E1061" s="33" t="s">
        <v>284</v>
      </c>
      <c r="F1061" s="31" t="str">
        <f t="shared" si="32"/>
        <v>C1.08.05</v>
      </c>
      <c r="G1061" s="34">
        <f t="shared" si="33"/>
        <v>2.39</v>
      </c>
    </row>
    <row r="1062" spans="2:7" ht="13.8" customHeight="1" x14ac:dyDescent="0.25">
      <c r="B1062" s="33" t="s">
        <v>0</v>
      </c>
      <c r="C1062" s="33">
        <v>2770899</v>
      </c>
      <c r="D1062" s="33">
        <v>1.76</v>
      </c>
      <c r="E1062" s="33" t="s">
        <v>284</v>
      </c>
      <c r="F1062" s="31" t="str">
        <f t="shared" si="32"/>
        <v>C1.08.05</v>
      </c>
      <c r="G1062" s="34">
        <f t="shared" si="33"/>
        <v>1.76</v>
      </c>
    </row>
    <row r="1063" spans="2:7" ht="13.8" customHeight="1" x14ac:dyDescent="0.25">
      <c r="B1063" s="33" t="s">
        <v>0</v>
      </c>
      <c r="C1063" s="33">
        <v>2770901</v>
      </c>
      <c r="D1063" s="33">
        <v>1.76</v>
      </c>
      <c r="E1063" s="33" t="s">
        <v>284</v>
      </c>
      <c r="F1063" s="31" t="str">
        <f t="shared" si="32"/>
        <v>C1.08.05</v>
      </c>
      <c r="G1063" s="34">
        <f t="shared" si="33"/>
        <v>1.76</v>
      </c>
    </row>
    <row r="1064" spans="2:7" ht="13.8" customHeight="1" x14ac:dyDescent="0.25">
      <c r="B1064" s="33" t="s">
        <v>0</v>
      </c>
      <c r="C1064" s="33">
        <v>2770903</v>
      </c>
      <c r="D1064" s="33">
        <v>1.76</v>
      </c>
      <c r="E1064" s="33" t="s">
        <v>284</v>
      </c>
      <c r="F1064" s="31" t="str">
        <f t="shared" si="32"/>
        <v>C1.08.05</v>
      </c>
      <c r="G1064" s="34">
        <f t="shared" si="33"/>
        <v>1.76</v>
      </c>
    </row>
    <row r="1065" spans="2:7" ht="13.8" customHeight="1" x14ac:dyDescent="0.25">
      <c r="B1065" s="33" t="s">
        <v>0</v>
      </c>
      <c r="C1065" s="33">
        <v>2770905</v>
      </c>
      <c r="D1065" s="33">
        <v>1.76</v>
      </c>
      <c r="E1065" s="33" t="s">
        <v>284</v>
      </c>
      <c r="F1065" s="31" t="str">
        <f t="shared" si="32"/>
        <v>C1.08.05</v>
      </c>
      <c r="G1065" s="34">
        <f t="shared" si="33"/>
        <v>1.76</v>
      </c>
    </row>
    <row r="1066" spans="2:7" ht="13.8" customHeight="1" x14ac:dyDescent="0.25">
      <c r="B1066" s="33" t="s">
        <v>0</v>
      </c>
      <c r="C1066" s="33">
        <v>2770907</v>
      </c>
      <c r="D1066" s="33">
        <v>1.86</v>
      </c>
      <c r="E1066" s="33" t="s">
        <v>284</v>
      </c>
      <c r="F1066" s="31" t="str">
        <f t="shared" si="32"/>
        <v>C1.08.05</v>
      </c>
      <c r="G1066" s="34">
        <f t="shared" si="33"/>
        <v>1.86</v>
      </c>
    </row>
    <row r="1067" spans="2:7" ht="13.8" customHeight="1" x14ac:dyDescent="0.25">
      <c r="B1067" s="33" t="s">
        <v>0</v>
      </c>
      <c r="C1067" s="33">
        <v>2770909</v>
      </c>
      <c r="D1067" s="33">
        <v>1.86</v>
      </c>
      <c r="E1067" s="33" t="s">
        <v>284</v>
      </c>
      <c r="F1067" s="31" t="str">
        <f t="shared" si="32"/>
        <v>C1.08.05</v>
      </c>
      <c r="G1067" s="34">
        <f t="shared" si="33"/>
        <v>1.86</v>
      </c>
    </row>
    <row r="1068" spans="2:7" ht="13.8" customHeight="1" x14ac:dyDescent="0.25">
      <c r="B1068" s="33" t="s">
        <v>0</v>
      </c>
      <c r="C1068" s="33">
        <v>2770963</v>
      </c>
      <c r="D1068" s="33">
        <v>1.76</v>
      </c>
      <c r="E1068" s="33" t="s">
        <v>285</v>
      </c>
      <c r="F1068" s="31" t="str">
        <f t="shared" si="32"/>
        <v>C1.08.06</v>
      </c>
      <c r="G1068" s="34">
        <f t="shared" si="33"/>
        <v>1.76</v>
      </c>
    </row>
    <row r="1069" spans="2:7" ht="13.8" customHeight="1" x14ac:dyDescent="0.25">
      <c r="B1069" s="33" t="s">
        <v>0</v>
      </c>
      <c r="C1069" s="33">
        <v>2770966</v>
      </c>
      <c r="D1069" s="33">
        <v>1.76</v>
      </c>
      <c r="E1069" s="33" t="s">
        <v>285</v>
      </c>
      <c r="F1069" s="31" t="str">
        <f t="shared" si="32"/>
        <v>C1.08.06</v>
      </c>
      <c r="G1069" s="34">
        <f t="shared" si="33"/>
        <v>1.76</v>
      </c>
    </row>
    <row r="1070" spans="2:7" ht="13.8" customHeight="1" x14ac:dyDescent="0.25">
      <c r="B1070" s="33" t="s">
        <v>0</v>
      </c>
      <c r="C1070" s="33">
        <v>2770969</v>
      </c>
      <c r="D1070" s="33">
        <v>1.76</v>
      </c>
      <c r="E1070" s="33" t="s">
        <v>285</v>
      </c>
      <c r="F1070" s="31" t="str">
        <f t="shared" si="32"/>
        <v>C1.08.06</v>
      </c>
      <c r="G1070" s="34">
        <f t="shared" si="33"/>
        <v>1.76</v>
      </c>
    </row>
    <row r="1071" spans="2:7" ht="13.8" customHeight="1" x14ac:dyDescent="0.25">
      <c r="B1071" s="33" t="s">
        <v>0</v>
      </c>
      <c r="C1071" s="33">
        <v>2770972</v>
      </c>
      <c r="D1071" s="33">
        <v>1.76</v>
      </c>
      <c r="E1071" s="33" t="s">
        <v>285</v>
      </c>
      <c r="F1071" s="31" t="str">
        <f t="shared" si="32"/>
        <v>C1.08.06</v>
      </c>
      <c r="G1071" s="34">
        <f t="shared" si="33"/>
        <v>1.76</v>
      </c>
    </row>
    <row r="1072" spans="2:7" ht="13.8" customHeight="1" x14ac:dyDescent="0.25">
      <c r="B1072" s="33" t="s">
        <v>0</v>
      </c>
      <c r="C1072" s="33">
        <v>2770975</v>
      </c>
      <c r="D1072" s="33">
        <v>1.76</v>
      </c>
      <c r="E1072" s="33" t="s">
        <v>285</v>
      </c>
      <c r="F1072" s="31" t="str">
        <f t="shared" si="32"/>
        <v>C1.08.06</v>
      </c>
      <c r="G1072" s="34">
        <f t="shared" si="33"/>
        <v>1.76</v>
      </c>
    </row>
    <row r="1073" spans="2:7" ht="13.8" customHeight="1" x14ac:dyDescent="0.25">
      <c r="B1073" s="33" t="s">
        <v>0</v>
      </c>
      <c r="C1073" s="33">
        <v>2770977</v>
      </c>
      <c r="D1073" s="33">
        <v>1.76</v>
      </c>
      <c r="E1073" s="33" t="s">
        <v>285</v>
      </c>
      <c r="F1073" s="31" t="str">
        <f t="shared" si="32"/>
        <v>C1.08.06</v>
      </c>
      <c r="G1073" s="34">
        <f t="shared" si="33"/>
        <v>1.76</v>
      </c>
    </row>
    <row r="1074" spans="2:7" ht="13.8" customHeight="1" x14ac:dyDescent="0.25">
      <c r="B1074" s="33" t="s">
        <v>0</v>
      </c>
      <c r="C1074" s="33">
        <v>2770979</v>
      </c>
      <c r="D1074" s="33">
        <v>2.39</v>
      </c>
      <c r="E1074" s="33" t="s">
        <v>285</v>
      </c>
      <c r="F1074" s="31" t="str">
        <f t="shared" si="32"/>
        <v>C1.08.06</v>
      </c>
      <c r="G1074" s="34">
        <f t="shared" si="33"/>
        <v>2.39</v>
      </c>
    </row>
    <row r="1075" spans="2:7" ht="13.8" customHeight="1" x14ac:dyDescent="0.25">
      <c r="B1075" s="33" t="s">
        <v>0</v>
      </c>
      <c r="C1075" s="33">
        <v>2770981</v>
      </c>
      <c r="D1075" s="33">
        <v>2.39</v>
      </c>
      <c r="E1075" s="33" t="s">
        <v>285</v>
      </c>
      <c r="F1075" s="31" t="str">
        <f t="shared" si="32"/>
        <v>C1.08.06</v>
      </c>
      <c r="G1075" s="34">
        <f t="shared" si="33"/>
        <v>2.39</v>
      </c>
    </row>
    <row r="1076" spans="2:7" ht="13.8" customHeight="1" x14ac:dyDescent="0.25">
      <c r="B1076" s="33" t="s">
        <v>0</v>
      </c>
      <c r="C1076" s="33">
        <v>2770983</v>
      </c>
      <c r="D1076" s="33">
        <v>1.86</v>
      </c>
      <c r="E1076" s="33" t="s">
        <v>285</v>
      </c>
      <c r="F1076" s="31" t="str">
        <f t="shared" si="32"/>
        <v>C1.08.06</v>
      </c>
      <c r="G1076" s="34">
        <f t="shared" si="33"/>
        <v>1.86</v>
      </c>
    </row>
    <row r="1077" spans="2:7" ht="13.8" customHeight="1" x14ac:dyDescent="0.25">
      <c r="B1077" s="33" t="s">
        <v>0</v>
      </c>
      <c r="C1077" s="33">
        <v>2770985</v>
      </c>
      <c r="D1077" s="33">
        <v>1.86</v>
      </c>
      <c r="E1077" s="33" t="s">
        <v>285</v>
      </c>
      <c r="F1077" s="31" t="str">
        <f t="shared" si="32"/>
        <v>C1.08.06</v>
      </c>
      <c r="G1077" s="34">
        <f t="shared" si="33"/>
        <v>1.86</v>
      </c>
    </row>
    <row r="1078" spans="2:7" ht="13.8" customHeight="1" x14ac:dyDescent="0.25">
      <c r="B1078" s="33" t="s">
        <v>0</v>
      </c>
      <c r="C1078" s="33">
        <v>2771053</v>
      </c>
      <c r="D1078" s="33">
        <v>1.86</v>
      </c>
      <c r="E1078" s="33" t="s">
        <v>286</v>
      </c>
      <c r="F1078" s="31" t="str">
        <f t="shared" si="32"/>
        <v>C1.08.02</v>
      </c>
      <c r="G1078" s="34">
        <f t="shared" si="33"/>
        <v>1.86</v>
      </c>
    </row>
    <row r="1079" spans="2:7" ht="13.8" customHeight="1" x14ac:dyDescent="0.25">
      <c r="B1079" s="33" t="s">
        <v>0</v>
      </c>
      <c r="C1079" s="33">
        <v>2771055</v>
      </c>
      <c r="D1079" s="33">
        <v>1.86</v>
      </c>
      <c r="E1079" s="33" t="s">
        <v>286</v>
      </c>
      <c r="F1079" s="31" t="str">
        <f t="shared" si="32"/>
        <v>C1.08.02</v>
      </c>
      <c r="G1079" s="34">
        <f t="shared" si="33"/>
        <v>1.86</v>
      </c>
    </row>
    <row r="1080" spans="2:7" ht="13.8" customHeight="1" x14ac:dyDescent="0.25">
      <c r="B1080" s="33" t="s">
        <v>0</v>
      </c>
      <c r="C1080" s="33">
        <v>2771057</v>
      </c>
      <c r="D1080" s="33">
        <v>1.86</v>
      </c>
      <c r="E1080" s="33" t="s">
        <v>286</v>
      </c>
      <c r="F1080" s="31" t="str">
        <f t="shared" si="32"/>
        <v>C1.08.02</v>
      </c>
      <c r="G1080" s="34">
        <f t="shared" si="33"/>
        <v>1.86</v>
      </c>
    </row>
    <row r="1081" spans="2:7" ht="13.8" customHeight="1" x14ac:dyDescent="0.25">
      <c r="B1081" s="33" t="s">
        <v>0</v>
      </c>
      <c r="C1081" s="33">
        <v>2771059</v>
      </c>
      <c r="D1081" s="33">
        <v>1.86</v>
      </c>
      <c r="E1081" s="33" t="s">
        <v>286</v>
      </c>
      <c r="F1081" s="31" t="str">
        <f t="shared" si="32"/>
        <v>C1.08.02</v>
      </c>
      <c r="G1081" s="34">
        <f t="shared" si="33"/>
        <v>1.86</v>
      </c>
    </row>
    <row r="1082" spans="2:7" ht="13.8" customHeight="1" x14ac:dyDescent="0.25">
      <c r="B1082" s="33" t="s">
        <v>0</v>
      </c>
      <c r="C1082" s="33">
        <v>2771061</v>
      </c>
      <c r="D1082" s="33">
        <v>1.86</v>
      </c>
      <c r="E1082" s="33" t="s">
        <v>286</v>
      </c>
      <c r="F1082" s="31" t="str">
        <f t="shared" si="32"/>
        <v>C1.08.02</v>
      </c>
      <c r="G1082" s="34">
        <f t="shared" si="33"/>
        <v>1.86</v>
      </c>
    </row>
    <row r="1083" spans="2:7" ht="13.8" customHeight="1" x14ac:dyDescent="0.25">
      <c r="B1083" s="33" t="s">
        <v>0</v>
      </c>
      <c r="C1083" s="33">
        <v>2771063</v>
      </c>
      <c r="D1083" s="33">
        <v>1.86</v>
      </c>
      <c r="E1083" s="33" t="s">
        <v>286</v>
      </c>
      <c r="F1083" s="31" t="str">
        <f t="shared" si="32"/>
        <v>C1.08.02</v>
      </c>
      <c r="G1083" s="34">
        <f t="shared" si="33"/>
        <v>1.86</v>
      </c>
    </row>
    <row r="1084" spans="2:7" ht="13.8" customHeight="1" x14ac:dyDescent="0.25">
      <c r="B1084" s="33" t="s">
        <v>0</v>
      </c>
      <c r="C1084" s="33">
        <v>2771065</v>
      </c>
      <c r="D1084" s="33">
        <v>2.39</v>
      </c>
      <c r="E1084" s="33" t="s">
        <v>286</v>
      </c>
      <c r="F1084" s="31" t="str">
        <f t="shared" si="32"/>
        <v>C1.08.02</v>
      </c>
      <c r="G1084" s="34">
        <f t="shared" si="33"/>
        <v>2.39</v>
      </c>
    </row>
    <row r="1085" spans="2:7" ht="13.8" customHeight="1" x14ac:dyDescent="0.25">
      <c r="B1085" s="33" t="s">
        <v>0</v>
      </c>
      <c r="C1085" s="33">
        <v>2771067</v>
      </c>
      <c r="D1085" s="33">
        <v>2.39</v>
      </c>
      <c r="E1085" s="33" t="s">
        <v>286</v>
      </c>
      <c r="F1085" s="31" t="str">
        <f t="shared" si="32"/>
        <v>C1.08.02</v>
      </c>
      <c r="G1085" s="34">
        <f t="shared" si="33"/>
        <v>2.39</v>
      </c>
    </row>
    <row r="1086" spans="2:7" ht="13.8" customHeight="1" x14ac:dyDescent="0.25">
      <c r="B1086" s="33" t="s">
        <v>0</v>
      </c>
      <c r="C1086" s="33">
        <v>2771069</v>
      </c>
      <c r="D1086" s="33">
        <v>1.86</v>
      </c>
      <c r="E1086" s="33" t="s">
        <v>286</v>
      </c>
      <c r="F1086" s="31" t="str">
        <f t="shared" si="32"/>
        <v>C1.08.02</v>
      </c>
      <c r="G1086" s="34">
        <f t="shared" si="33"/>
        <v>1.86</v>
      </c>
    </row>
    <row r="1087" spans="2:7" ht="13.8" customHeight="1" x14ac:dyDescent="0.25">
      <c r="B1087" s="33" t="s">
        <v>0</v>
      </c>
      <c r="C1087" s="33">
        <v>2771071</v>
      </c>
      <c r="D1087" s="33">
        <v>1.86</v>
      </c>
      <c r="E1087" s="33" t="s">
        <v>286</v>
      </c>
      <c r="F1087" s="31" t="str">
        <f t="shared" si="32"/>
        <v>C1.08.02</v>
      </c>
      <c r="G1087" s="34">
        <f t="shared" si="33"/>
        <v>1.86</v>
      </c>
    </row>
    <row r="1088" spans="2:7" ht="13.8" customHeight="1" x14ac:dyDescent="0.25">
      <c r="B1088" s="33" t="s">
        <v>0</v>
      </c>
      <c r="C1088" s="33">
        <v>2771118</v>
      </c>
      <c r="D1088" s="33">
        <v>1.86</v>
      </c>
      <c r="E1088" s="33" t="s">
        <v>287</v>
      </c>
      <c r="F1088" s="31" t="str">
        <f t="shared" si="32"/>
        <v>C1.08.03</v>
      </c>
      <c r="G1088" s="34">
        <f t="shared" si="33"/>
        <v>1.86</v>
      </c>
    </row>
    <row r="1089" spans="2:7" ht="13.8" customHeight="1" x14ac:dyDescent="0.25">
      <c r="B1089" s="33" t="s">
        <v>0</v>
      </c>
      <c r="C1089" s="33">
        <v>2771120</v>
      </c>
      <c r="D1089" s="33">
        <v>1.86</v>
      </c>
      <c r="E1089" s="33" t="s">
        <v>287</v>
      </c>
      <c r="F1089" s="31" t="str">
        <f t="shared" si="32"/>
        <v>C1.08.03</v>
      </c>
      <c r="G1089" s="34">
        <f t="shared" si="33"/>
        <v>1.86</v>
      </c>
    </row>
    <row r="1090" spans="2:7" ht="13.8" customHeight="1" x14ac:dyDescent="0.25">
      <c r="B1090" s="33" t="s">
        <v>0</v>
      </c>
      <c r="C1090" s="33">
        <v>2771122</v>
      </c>
      <c r="D1090" s="33">
        <v>2.39</v>
      </c>
      <c r="E1090" s="33" t="s">
        <v>287</v>
      </c>
      <c r="F1090" s="31" t="str">
        <f t="shared" si="32"/>
        <v>C1.08.03</v>
      </c>
      <c r="G1090" s="34">
        <f t="shared" si="33"/>
        <v>2.39</v>
      </c>
    </row>
    <row r="1091" spans="2:7" ht="13.8" customHeight="1" x14ac:dyDescent="0.25">
      <c r="B1091" s="33" t="s">
        <v>0</v>
      </c>
      <c r="C1091" s="33">
        <v>2771124</v>
      </c>
      <c r="D1091" s="33">
        <v>2.39</v>
      </c>
      <c r="E1091" s="33" t="s">
        <v>287</v>
      </c>
      <c r="F1091" s="31" t="str">
        <f t="shared" si="32"/>
        <v>C1.08.03</v>
      </c>
      <c r="G1091" s="34">
        <f t="shared" si="33"/>
        <v>2.39</v>
      </c>
    </row>
    <row r="1092" spans="2:7" ht="13.8" customHeight="1" x14ac:dyDescent="0.25">
      <c r="B1092" s="33" t="s">
        <v>0</v>
      </c>
      <c r="C1092" s="33">
        <v>2771159</v>
      </c>
      <c r="D1092" s="33">
        <v>1.86</v>
      </c>
      <c r="E1092" s="33" t="s">
        <v>288</v>
      </c>
      <c r="F1092" s="31" t="str">
        <f t="shared" si="32"/>
        <v>C1.08.04</v>
      </c>
      <c r="G1092" s="34">
        <f t="shared" si="33"/>
        <v>1.86</v>
      </c>
    </row>
    <row r="1093" spans="2:7" ht="13.8" customHeight="1" x14ac:dyDescent="0.25">
      <c r="B1093" s="33" t="s">
        <v>0</v>
      </c>
      <c r="C1093" s="33">
        <v>2771161</v>
      </c>
      <c r="D1093" s="33">
        <v>1.86</v>
      </c>
      <c r="E1093" s="33" t="s">
        <v>288</v>
      </c>
      <c r="F1093" s="31" t="str">
        <f t="shared" si="32"/>
        <v>C1.08.04</v>
      </c>
      <c r="G1093" s="34">
        <f t="shared" si="33"/>
        <v>1.86</v>
      </c>
    </row>
    <row r="1094" spans="2:7" ht="13.8" customHeight="1" x14ac:dyDescent="0.25">
      <c r="B1094" s="33" t="s">
        <v>0</v>
      </c>
      <c r="C1094" s="33">
        <v>2771163</v>
      </c>
      <c r="D1094" s="33">
        <v>2.39</v>
      </c>
      <c r="E1094" s="33" t="s">
        <v>288</v>
      </c>
      <c r="F1094" s="31" t="str">
        <f t="shared" si="32"/>
        <v>C1.08.04</v>
      </c>
      <c r="G1094" s="34">
        <f t="shared" si="33"/>
        <v>2.39</v>
      </c>
    </row>
    <row r="1095" spans="2:7" ht="13.8" customHeight="1" x14ac:dyDescent="0.25">
      <c r="B1095" s="33" t="s">
        <v>0</v>
      </c>
      <c r="C1095" s="33">
        <v>2771165</v>
      </c>
      <c r="D1095" s="33">
        <v>2.39</v>
      </c>
      <c r="E1095" s="33" t="s">
        <v>288</v>
      </c>
      <c r="F1095" s="31" t="str">
        <f t="shared" ref="F1095:F1158" si="34">LEFT(E1095,8)</f>
        <v>C1.08.04</v>
      </c>
      <c r="G1095" s="34">
        <f t="shared" ref="G1095:G1158" si="35">D1095</f>
        <v>2.39</v>
      </c>
    </row>
    <row r="1096" spans="2:7" ht="13.8" customHeight="1" x14ac:dyDescent="0.25">
      <c r="B1096" s="33" t="s">
        <v>0</v>
      </c>
      <c r="C1096" s="33">
        <v>2771209</v>
      </c>
      <c r="D1096" s="33">
        <v>1.86</v>
      </c>
      <c r="E1096" s="33" t="s">
        <v>289</v>
      </c>
      <c r="F1096" s="31" t="str">
        <f t="shared" si="34"/>
        <v>C1.08.01</v>
      </c>
      <c r="G1096" s="34">
        <f t="shared" si="35"/>
        <v>1.86</v>
      </c>
    </row>
    <row r="1097" spans="2:7" ht="13.8" customHeight="1" x14ac:dyDescent="0.25">
      <c r="B1097" s="33" t="s">
        <v>0</v>
      </c>
      <c r="C1097" s="33">
        <v>2771211</v>
      </c>
      <c r="D1097" s="33">
        <v>1.86</v>
      </c>
      <c r="E1097" s="33" t="s">
        <v>289</v>
      </c>
      <c r="F1097" s="31" t="str">
        <f t="shared" si="34"/>
        <v>C1.08.01</v>
      </c>
      <c r="G1097" s="34">
        <f t="shared" si="35"/>
        <v>1.86</v>
      </c>
    </row>
    <row r="1098" spans="2:7" ht="13.8" customHeight="1" x14ac:dyDescent="0.25">
      <c r="B1098" s="33" t="s">
        <v>0</v>
      </c>
      <c r="C1098" s="33">
        <v>2771213</v>
      </c>
      <c r="D1098" s="33">
        <v>1.76</v>
      </c>
      <c r="E1098" s="33" t="s">
        <v>289</v>
      </c>
      <c r="F1098" s="31" t="str">
        <f t="shared" si="34"/>
        <v>C1.08.01</v>
      </c>
      <c r="G1098" s="34">
        <f t="shared" si="35"/>
        <v>1.76</v>
      </c>
    </row>
    <row r="1099" spans="2:7" ht="13.8" customHeight="1" x14ac:dyDescent="0.25">
      <c r="B1099" s="33" t="s">
        <v>0</v>
      </c>
      <c r="C1099" s="33">
        <v>2771215</v>
      </c>
      <c r="D1099" s="33">
        <v>1.76</v>
      </c>
      <c r="E1099" s="33" t="s">
        <v>289</v>
      </c>
      <c r="F1099" s="31" t="str">
        <f t="shared" si="34"/>
        <v>C1.08.01</v>
      </c>
      <c r="G1099" s="34">
        <f t="shared" si="35"/>
        <v>1.76</v>
      </c>
    </row>
    <row r="1100" spans="2:7" ht="13.8" customHeight="1" x14ac:dyDescent="0.25">
      <c r="B1100" s="33" t="s">
        <v>0</v>
      </c>
      <c r="C1100" s="33">
        <v>2771217</v>
      </c>
      <c r="D1100" s="33">
        <v>1.86</v>
      </c>
      <c r="E1100" s="33" t="s">
        <v>289</v>
      </c>
      <c r="F1100" s="31" t="str">
        <f t="shared" si="34"/>
        <v>C1.08.01</v>
      </c>
      <c r="G1100" s="34">
        <f t="shared" si="35"/>
        <v>1.86</v>
      </c>
    </row>
    <row r="1101" spans="2:7" ht="13.8" customHeight="1" x14ac:dyDescent="0.25">
      <c r="B1101" s="33" t="s">
        <v>0</v>
      </c>
      <c r="C1101" s="33">
        <v>2771219</v>
      </c>
      <c r="D1101" s="33">
        <v>1.86</v>
      </c>
      <c r="E1101" s="33" t="s">
        <v>289</v>
      </c>
      <c r="F1101" s="31" t="str">
        <f t="shared" si="34"/>
        <v>C1.08.01</v>
      </c>
      <c r="G1101" s="34">
        <f t="shared" si="35"/>
        <v>1.86</v>
      </c>
    </row>
    <row r="1102" spans="2:7" ht="13.8" customHeight="1" x14ac:dyDescent="0.25">
      <c r="B1102" s="33" t="s">
        <v>0</v>
      </c>
      <c r="C1102" s="33">
        <v>2771221</v>
      </c>
      <c r="D1102" s="33">
        <v>2.39</v>
      </c>
      <c r="E1102" s="33" t="s">
        <v>289</v>
      </c>
      <c r="F1102" s="31" t="str">
        <f t="shared" si="34"/>
        <v>C1.08.01</v>
      </c>
      <c r="G1102" s="34">
        <f t="shared" si="35"/>
        <v>2.39</v>
      </c>
    </row>
    <row r="1103" spans="2:7" ht="13.8" customHeight="1" x14ac:dyDescent="0.25">
      <c r="B1103" s="33" t="s">
        <v>0</v>
      </c>
      <c r="C1103" s="33">
        <v>2771223</v>
      </c>
      <c r="D1103" s="33">
        <v>2.39</v>
      </c>
      <c r="E1103" s="33" t="s">
        <v>289</v>
      </c>
      <c r="F1103" s="31" t="str">
        <f t="shared" si="34"/>
        <v>C1.08.01</v>
      </c>
      <c r="G1103" s="34">
        <f t="shared" si="35"/>
        <v>2.39</v>
      </c>
    </row>
    <row r="1104" spans="2:7" ht="13.8" customHeight="1" x14ac:dyDescent="0.25">
      <c r="B1104" s="33" t="s">
        <v>0</v>
      </c>
      <c r="C1104" s="33">
        <v>2771225</v>
      </c>
      <c r="D1104" s="33">
        <v>1.86</v>
      </c>
      <c r="E1104" s="33" t="s">
        <v>289</v>
      </c>
      <c r="F1104" s="31" t="str">
        <f t="shared" si="34"/>
        <v>C1.08.01</v>
      </c>
      <c r="G1104" s="34">
        <f t="shared" si="35"/>
        <v>1.86</v>
      </c>
    </row>
    <row r="1105" spans="2:7" ht="13.8" customHeight="1" x14ac:dyDescent="0.25">
      <c r="B1105" s="33" t="s">
        <v>0</v>
      </c>
      <c r="C1105" s="33">
        <v>2771227</v>
      </c>
      <c r="D1105" s="33">
        <v>1.86</v>
      </c>
      <c r="E1105" s="33" t="s">
        <v>289</v>
      </c>
      <c r="F1105" s="31" t="str">
        <f t="shared" si="34"/>
        <v>C1.08.01</v>
      </c>
      <c r="G1105" s="34">
        <f t="shared" si="35"/>
        <v>1.86</v>
      </c>
    </row>
    <row r="1106" spans="2:7" ht="13.8" customHeight="1" x14ac:dyDescent="0.25">
      <c r="B1106" s="33" t="s">
        <v>0</v>
      </c>
      <c r="C1106" s="33">
        <v>2771287</v>
      </c>
      <c r="D1106" s="33">
        <v>1.76</v>
      </c>
      <c r="E1106" s="33" t="s">
        <v>290</v>
      </c>
      <c r="F1106" s="31" t="str">
        <f t="shared" si="34"/>
        <v>C1.09.08</v>
      </c>
      <c r="G1106" s="34">
        <f t="shared" si="35"/>
        <v>1.76</v>
      </c>
    </row>
    <row r="1107" spans="2:7" ht="13.8" customHeight="1" x14ac:dyDescent="0.25">
      <c r="B1107" s="33" t="s">
        <v>0</v>
      </c>
      <c r="C1107" s="33">
        <v>2771289</v>
      </c>
      <c r="D1107" s="33">
        <v>1.76</v>
      </c>
      <c r="E1107" s="33" t="s">
        <v>290</v>
      </c>
      <c r="F1107" s="31" t="str">
        <f t="shared" si="34"/>
        <v>C1.09.08</v>
      </c>
      <c r="G1107" s="34">
        <f t="shared" si="35"/>
        <v>1.76</v>
      </c>
    </row>
    <row r="1108" spans="2:7" ht="13.8" customHeight="1" x14ac:dyDescent="0.25">
      <c r="B1108" s="33" t="s">
        <v>0</v>
      </c>
      <c r="C1108" s="33">
        <v>2771291</v>
      </c>
      <c r="D1108" s="33">
        <v>1.76</v>
      </c>
      <c r="E1108" s="33" t="s">
        <v>290</v>
      </c>
      <c r="F1108" s="31" t="str">
        <f t="shared" si="34"/>
        <v>C1.09.08</v>
      </c>
      <c r="G1108" s="34">
        <f t="shared" si="35"/>
        <v>1.76</v>
      </c>
    </row>
    <row r="1109" spans="2:7" ht="13.8" customHeight="1" x14ac:dyDescent="0.25">
      <c r="B1109" s="33" t="s">
        <v>0</v>
      </c>
      <c r="C1109" s="33">
        <v>2771293</v>
      </c>
      <c r="D1109" s="33">
        <v>1.76</v>
      </c>
      <c r="E1109" s="33" t="s">
        <v>290</v>
      </c>
      <c r="F1109" s="31" t="str">
        <f t="shared" si="34"/>
        <v>C1.09.08</v>
      </c>
      <c r="G1109" s="34">
        <f t="shared" si="35"/>
        <v>1.76</v>
      </c>
    </row>
    <row r="1110" spans="2:7" ht="13.8" customHeight="1" x14ac:dyDescent="0.25">
      <c r="B1110" s="33" t="s">
        <v>0</v>
      </c>
      <c r="C1110" s="33">
        <v>2771295</v>
      </c>
      <c r="D1110" s="33">
        <v>1.76</v>
      </c>
      <c r="E1110" s="33" t="s">
        <v>290</v>
      </c>
      <c r="F1110" s="31" t="str">
        <f t="shared" si="34"/>
        <v>C1.09.08</v>
      </c>
      <c r="G1110" s="34">
        <f t="shared" si="35"/>
        <v>1.76</v>
      </c>
    </row>
    <row r="1111" spans="2:7" ht="13.8" customHeight="1" x14ac:dyDescent="0.25">
      <c r="B1111" s="33" t="s">
        <v>0</v>
      </c>
      <c r="C1111" s="33">
        <v>2771297</v>
      </c>
      <c r="D1111" s="33">
        <v>1.76</v>
      </c>
      <c r="E1111" s="33" t="s">
        <v>290</v>
      </c>
      <c r="F1111" s="31" t="str">
        <f t="shared" si="34"/>
        <v>C1.09.08</v>
      </c>
      <c r="G1111" s="34">
        <f t="shared" si="35"/>
        <v>1.76</v>
      </c>
    </row>
    <row r="1112" spans="2:7" ht="13.8" customHeight="1" x14ac:dyDescent="0.25">
      <c r="B1112" s="33" t="s">
        <v>0</v>
      </c>
      <c r="C1112" s="33">
        <v>2771299</v>
      </c>
      <c r="D1112" s="33">
        <v>2.39</v>
      </c>
      <c r="E1112" s="33" t="s">
        <v>290</v>
      </c>
      <c r="F1112" s="31" t="str">
        <f t="shared" si="34"/>
        <v>C1.09.08</v>
      </c>
      <c r="G1112" s="34">
        <f t="shared" si="35"/>
        <v>2.39</v>
      </c>
    </row>
    <row r="1113" spans="2:7" ht="13.8" customHeight="1" x14ac:dyDescent="0.25">
      <c r="B1113" s="33" t="s">
        <v>0</v>
      </c>
      <c r="C1113" s="33">
        <v>2771301</v>
      </c>
      <c r="D1113" s="33">
        <v>2.39</v>
      </c>
      <c r="E1113" s="33" t="s">
        <v>290</v>
      </c>
      <c r="F1113" s="31" t="str">
        <f t="shared" si="34"/>
        <v>C1.09.08</v>
      </c>
      <c r="G1113" s="34">
        <f t="shared" si="35"/>
        <v>2.39</v>
      </c>
    </row>
    <row r="1114" spans="2:7" ht="13.8" customHeight="1" x14ac:dyDescent="0.25">
      <c r="B1114" s="33" t="s">
        <v>0</v>
      </c>
      <c r="C1114" s="33">
        <v>2771303</v>
      </c>
      <c r="D1114" s="33">
        <v>1.76</v>
      </c>
      <c r="E1114" s="33" t="s">
        <v>290</v>
      </c>
      <c r="F1114" s="31" t="str">
        <f t="shared" si="34"/>
        <v>C1.09.08</v>
      </c>
      <c r="G1114" s="34">
        <f t="shared" si="35"/>
        <v>1.76</v>
      </c>
    </row>
    <row r="1115" spans="2:7" ht="13.8" customHeight="1" x14ac:dyDescent="0.25">
      <c r="B1115" s="33" t="s">
        <v>0</v>
      </c>
      <c r="C1115" s="33">
        <v>2771305</v>
      </c>
      <c r="D1115" s="33">
        <v>1.76</v>
      </c>
      <c r="E1115" s="33" t="s">
        <v>290</v>
      </c>
      <c r="F1115" s="31" t="str">
        <f t="shared" si="34"/>
        <v>C1.09.08</v>
      </c>
      <c r="G1115" s="34">
        <f t="shared" si="35"/>
        <v>1.76</v>
      </c>
    </row>
    <row r="1116" spans="2:7" ht="13.8" customHeight="1" x14ac:dyDescent="0.25">
      <c r="B1116" s="33" t="s">
        <v>0</v>
      </c>
      <c r="C1116" s="33">
        <v>2771357</v>
      </c>
      <c r="D1116" s="33">
        <v>1.76</v>
      </c>
      <c r="E1116" s="33" t="s">
        <v>291</v>
      </c>
      <c r="F1116" s="31" t="str">
        <f t="shared" si="34"/>
        <v>C1.09.07</v>
      </c>
      <c r="G1116" s="34">
        <f t="shared" si="35"/>
        <v>1.76</v>
      </c>
    </row>
    <row r="1117" spans="2:7" ht="13.8" customHeight="1" x14ac:dyDescent="0.25">
      <c r="B1117" s="33" t="s">
        <v>0</v>
      </c>
      <c r="C1117" s="33">
        <v>2771359</v>
      </c>
      <c r="D1117" s="33">
        <v>1.76</v>
      </c>
      <c r="E1117" s="33" t="s">
        <v>291</v>
      </c>
      <c r="F1117" s="31" t="str">
        <f t="shared" si="34"/>
        <v>C1.09.07</v>
      </c>
      <c r="G1117" s="34">
        <f t="shared" si="35"/>
        <v>1.76</v>
      </c>
    </row>
    <row r="1118" spans="2:7" ht="13.8" customHeight="1" x14ac:dyDescent="0.25">
      <c r="B1118" s="33" t="s">
        <v>0</v>
      </c>
      <c r="C1118" s="33">
        <v>2771361</v>
      </c>
      <c r="D1118" s="33">
        <v>1.76</v>
      </c>
      <c r="E1118" s="33" t="s">
        <v>291</v>
      </c>
      <c r="F1118" s="31" t="str">
        <f t="shared" si="34"/>
        <v>C1.09.07</v>
      </c>
      <c r="G1118" s="34">
        <f t="shared" si="35"/>
        <v>1.76</v>
      </c>
    </row>
    <row r="1119" spans="2:7" ht="13.8" customHeight="1" x14ac:dyDescent="0.25">
      <c r="B1119" s="33" t="s">
        <v>0</v>
      </c>
      <c r="C1119" s="33">
        <v>2771363</v>
      </c>
      <c r="D1119" s="33">
        <v>1.76</v>
      </c>
      <c r="E1119" s="33" t="s">
        <v>291</v>
      </c>
      <c r="F1119" s="31" t="str">
        <f t="shared" si="34"/>
        <v>C1.09.07</v>
      </c>
      <c r="G1119" s="34">
        <f t="shared" si="35"/>
        <v>1.76</v>
      </c>
    </row>
    <row r="1120" spans="2:7" ht="13.8" customHeight="1" x14ac:dyDescent="0.25">
      <c r="B1120" s="33" t="s">
        <v>0</v>
      </c>
      <c r="C1120" s="33">
        <v>2771365</v>
      </c>
      <c r="D1120" s="33">
        <v>1.76</v>
      </c>
      <c r="E1120" s="33" t="s">
        <v>291</v>
      </c>
      <c r="F1120" s="31" t="str">
        <f t="shared" si="34"/>
        <v>C1.09.07</v>
      </c>
      <c r="G1120" s="34">
        <f t="shared" si="35"/>
        <v>1.76</v>
      </c>
    </row>
    <row r="1121" spans="2:7" ht="13.8" customHeight="1" x14ac:dyDescent="0.25">
      <c r="B1121" s="33" t="s">
        <v>0</v>
      </c>
      <c r="C1121" s="33">
        <v>2771367</v>
      </c>
      <c r="D1121" s="33">
        <v>1.76</v>
      </c>
      <c r="E1121" s="33" t="s">
        <v>291</v>
      </c>
      <c r="F1121" s="31" t="str">
        <f t="shared" si="34"/>
        <v>C1.09.07</v>
      </c>
      <c r="G1121" s="34">
        <f t="shared" si="35"/>
        <v>1.76</v>
      </c>
    </row>
    <row r="1122" spans="2:7" ht="13.8" customHeight="1" x14ac:dyDescent="0.25">
      <c r="B1122" s="33" t="s">
        <v>0</v>
      </c>
      <c r="C1122" s="33">
        <v>2771369</v>
      </c>
      <c r="D1122" s="33">
        <v>2.39</v>
      </c>
      <c r="E1122" s="33" t="s">
        <v>291</v>
      </c>
      <c r="F1122" s="31" t="str">
        <f t="shared" si="34"/>
        <v>C1.09.07</v>
      </c>
      <c r="G1122" s="34">
        <f t="shared" si="35"/>
        <v>2.39</v>
      </c>
    </row>
    <row r="1123" spans="2:7" ht="13.8" customHeight="1" x14ac:dyDescent="0.25">
      <c r="B1123" s="33" t="s">
        <v>0</v>
      </c>
      <c r="C1123" s="33">
        <v>2771371</v>
      </c>
      <c r="D1123" s="33">
        <v>2.39</v>
      </c>
      <c r="E1123" s="33" t="s">
        <v>291</v>
      </c>
      <c r="F1123" s="31" t="str">
        <f t="shared" si="34"/>
        <v>C1.09.07</v>
      </c>
      <c r="G1123" s="34">
        <f t="shared" si="35"/>
        <v>2.39</v>
      </c>
    </row>
    <row r="1124" spans="2:7" ht="13.8" customHeight="1" x14ac:dyDescent="0.25">
      <c r="B1124" s="33" t="s">
        <v>0</v>
      </c>
      <c r="C1124" s="33">
        <v>2771373</v>
      </c>
      <c r="D1124" s="33">
        <v>1.76</v>
      </c>
      <c r="E1124" s="33" t="s">
        <v>291</v>
      </c>
      <c r="F1124" s="31" t="str">
        <f t="shared" si="34"/>
        <v>C1.09.07</v>
      </c>
      <c r="G1124" s="34">
        <f t="shared" si="35"/>
        <v>1.76</v>
      </c>
    </row>
    <row r="1125" spans="2:7" ht="13.8" customHeight="1" x14ac:dyDescent="0.25">
      <c r="B1125" s="33" t="s">
        <v>0</v>
      </c>
      <c r="C1125" s="33">
        <v>2771375</v>
      </c>
      <c r="D1125" s="33">
        <v>1.76</v>
      </c>
      <c r="E1125" s="33" t="s">
        <v>291</v>
      </c>
      <c r="F1125" s="31" t="str">
        <f t="shared" si="34"/>
        <v>C1.09.07</v>
      </c>
      <c r="G1125" s="34">
        <f t="shared" si="35"/>
        <v>1.76</v>
      </c>
    </row>
    <row r="1126" spans="2:7" ht="13.8" customHeight="1" x14ac:dyDescent="0.25">
      <c r="B1126" s="33" t="s">
        <v>0</v>
      </c>
      <c r="C1126" s="33">
        <v>2771427</v>
      </c>
      <c r="D1126" s="33">
        <v>1.76</v>
      </c>
      <c r="E1126" s="33" t="s">
        <v>292</v>
      </c>
      <c r="F1126" s="31" t="str">
        <f t="shared" si="34"/>
        <v>C1.08.08</v>
      </c>
      <c r="G1126" s="34">
        <f t="shared" si="35"/>
        <v>1.76</v>
      </c>
    </row>
    <row r="1127" spans="2:7" ht="13.8" customHeight="1" x14ac:dyDescent="0.25">
      <c r="B1127" s="33" t="s">
        <v>0</v>
      </c>
      <c r="C1127" s="33">
        <v>2771429</v>
      </c>
      <c r="D1127" s="33">
        <v>1.76</v>
      </c>
      <c r="E1127" s="33" t="s">
        <v>292</v>
      </c>
      <c r="F1127" s="31" t="str">
        <f t="shared" si="34"/>
        <v>C1.08.08</v>
      </c>
      <c r="G1127" s="34">
        <f t="shared" si="35"/>
        <v>1.76</v>
      </c>
    </row>
    <row r="1128" spans="2:7" ht="13.8" customHeight="1" x14ac:dyDescent="0.25">
      <c r="B1128" s="33" t="s">
        <v>0</v>
      </c>
      <c r="C1128" s="33">
        <v>2771431</v>
      </c>
      <c r="D1128" s="33">
        <v>1.76</v>
      </c>
      <c r="E1128" s="33" t="s">
        <v>292</v>
      </c>
      <c r="F1128" s="31" t="str">
        <f t="shared" si="34"/>
        <v>C1.08.08</v>
      </c>
      <c r="G1128" s="34">
        <f t="shared" si="35"/>
        <v>1.76</v>
      </c>
    </row>
    <row r="1129" spans="2:7" ht="13.8" customHeight="1" x14ac:dyDescent="0.25">
      <c r="B1129" s="33" t="s">
        <v>0</v>
      </c>
      <c r="C1129" s="33">
        <v>2771433</v>
      </c>
      <c r="D1129" s="33">
        <v>1.76</v>
      </c>
      <c r="E1129" s="33" t="s">
        <v>292</v>
      </c>
      <c r="F1129" s="31" t="str">
        <f t="shared" si="34"/>
        <v>C1.08.08</v>
      </c>
      <c r="G1129" s="34">
        <f t="shared" si="35"/>
        <v>1.76</v>
      </c>
    </row>
    <row r="1130" spans="2:7" ht="13.8" customHeight="1" x14ac:dyDescent="0.25">
      <c r="B1130" s="33" t="s">
        <v>0</v>
      </c>
      <c r="C1130" s="33">
        <v>2771435</v>
      </c>
      <c r="D1130" s="33">
        <v>1.76</v>
      </c>
      <c r="E1130" s="33" t="s">
        <v>292</v>
      </c>
      <c r="F1130" s="31" t="str">
        <f t="shared" si="34"/>
        <v>C1.08.08</v>
      </c>
      <c r="G1130" s="34">
        <f t="shared" si="35"/>
        <v>1.76</v>
      </c>
    </row>
    <row r="1131" spans="2:7" ht="13.8" customHeight="1" x14ac:dyDescent="0.25">
      <c r="B1131" s="33" t="s">
        <v>0</v>
      </c>
      <c r="C1131" s="33">
        <v>2771437</v>
      </c>
      <c r="D1131" s="33">
        <v>1.76</v>
      </c>
      <c r="E1131" s="33" t="s">
        <v>292</v>
      </c>
      <c r="F1131" s="31" t="str">
        <f t="shared" si="34"/>
        <v>C1.08.08</v>
      </c>
      <c r="G1131" s="34">
        <f t="shared" si="35"/>
        <v>1.76</v>
      </c>
    </row>
    <row r="1132" spans="2:7" ht="13.8" customHeight="1" x14ac:dyDescent="0.25">
      <c r="B1132" s="33" t="s">
        <v>0</v>
      </c>
      <c r="C1132" s="33">
        <v>2771439</v>
      </c>
      <c r="D1132" s="33">
        <v>2.39</v>
      </c>
      <c r="E1132" s="33" t="s">
        <v>292</v>
      </c>
      <c r="F1132" s="31" t="str">
        <f t="shared" si="34"/>
        <v>C1.08.08</v>
      </c>
      <c r="G1132" s="34">
        <f t="shared" si="35"/>
        <v>2.39</v>
      </c>
    </row>
    <row r="1133" spans="2:7" ht="13.8" customHeight="1" x14ac:dyDescent="0.25">
      <c r="B1133" s="33" t="s">
        <v>0</v>
      </c>
      <c r="C1133" s="33">
        <v>2771441</v>
      </c>
      <c r="D1133" s="33">
        <v>2.39</v>
      </c>
      <c r="E1133" s="33" t="s">
        <v>292</v>
      </c>
      <c r="F1133" s="31" t="str">
        <f t="shared" si="34"/>
        <v>C1.08.08</v>
      </c>
      <c r="G1133" s="34">
        <f t="shared" si="35"/>
        <v>2.39</v>
      </c>
    </row>
    <row r="1134" spans="2:7" ht="13.8" customHeight="1" x14ac:dyDescent="0.25">
      <c r="B1134" s="33" t="s">
        <v>0</v>
      </c>
      <c r="C1134" s="33">
        <v>2771443</v>
      </c>
      <c r="D1134" s="33">
        <v>1.76</v>
      </c>
      <c r="E1134" s="33" t="s">
        <v>292</v>
      </c>
      <c r="F1134" s="31" t="str">
        <f t="shared" si="34"/>
        <v>C1.08.08</v>
      </c>
      <c r="G1134" s="34">
        <f t="shared" si="35"/>
        <v>1.76</v>
      </c>
    </row>
    <row r="1135" spans="2:7" ht="13.8" customHeight="1" x14ac:dyDescent="0.25">
      <c r="B1135" s="33" t="s">
        <v>0</v>
      </c>
      <c r="C1135" s="33">
        <v>2771445</v>
      </c>
      <c r="D1135" s="33">
        <v>1.76</v>
      </c>
      <c r="E1135" s="33" t="s">
        <v>292</v>
      </c>
      <c r="F1135" s="31" t="str">
        <f t="shared" si="34"/>
        <v>C1.08.08</v>
      </c>
      <c r="G1135" s="34">
        <f t="shared" si="35"/>
        <v>1.76</v>
      </c>
    </row>
    <row r="1136" spans="2:7" ht="13.8" customHeight="1" x14ac:dyDescent="0.25">
      <c r="B1136" s="33" t="s">
        <v>0</v>
      </c>
      <c r="C1136" s="33">
        <v>2771501</v>
      </c>
      <c r="D1136" s="33">
        <v>1.76</v>
      </c>
      <c r="E1136" s="33" t="s">
        <v>293</v>
      </c>
      <c r="F1136" s="31" t="str">
        <f t="shared" si="34"/>
        <v>C1.08.07</v>
      </c>
      <c r="G1136" s="34">
        <f t="shared" si="35"/>
        <v>1.76</v>
      </c>
    </row>
    <row r="1137" spans="2:7" ht="13.8" customHeight="1" x14ac:dyDescent="0.25">
      <c r="B1137" s="33" t="s">
        <v>0</v>
      </c>
      <c r="C1137" s="33">
        <v>2771503</v>
      </c>
      <c r="D1137" s="33">
        <v>1.76</v>
      </c>
      <c r="E1137" s="33" t="s">
        <v>293</v>
      </c>
      <c r="F1137" s="31" t="str">
        <f t="shared" si="34"/>
        <v>C1.08.07</v>
      </c>
      <c r="G1137" s="34">
        <f t="shared" si="35"/>
        <v>1.76</v>
      </c>
    </row>
    <row r="1138" spans="2:7" ht="13.8" customHeight="1" x14ac:dyDescent="0.25">
      <c r="B1138" s="33" t="s">
        <v>0</v>
      </c>
      <c r="C1138" s="33">
        <v>2771505</v>
      </c>
      <c r="D1138" s="33">
        <v>1.76</v>
      </c>
      <c r="E1138" s="33" t="s">
        <v>293</v>
      </c>
      <c r="F1138" s="31" t="str">
        <f t="shared" si="34"/>
        <v>C1.08.07</v>
      </c>
      <c r="G1138" s="34">
        <f t="shared" si="35"/>
        <v>1.76</v>
      </c>
    </row>
    <row r="1139" spans="2:7" ht="13.8" customHeight="1" x14ac:dyDescent="0.25">
      <c r="B1139" s="33" t="s">
        <v>0</v>
      </c>
      <c r="C1139" s="33">
        <v>2771507</v>
      </c>
      <c r="D1139" s="33">
        <v>1.76</v>
      </c>
      <c r="E1139" s="33" t="s">
        <v>293</v>
      </c>
      <c r="F1139" s="31" t="str">
        <f t="shared" si="34"/>
        <v>C1.08.07</v>
      </c>
      <c r="G1139" s="34">
        <f t="shared" si="35"/>
        <v>1.76</v>
      </c>
    </row>
    <row r="1140" spans="2:7" ht="13.8" customHeight="1" x14ac:dyDescent="0.25">
      <c r="B1140" s="33" t="s">
        <v>0</v>
      </c>
      <c r="C1140" s="33">
        <v>2771509</v>
      </c>
      <c r="D1140" s="33">
        <v>1.76</v>
      </c>
      <c r="E1140" s="33" t="s">
        <v>293</v>
      </c>
      <c r="F1140" s="31" t="str">
        <f t="shared" si="34"/>
        <v>C1.08.07</v>
      </c>
      <c r="G1140" s="34">
        <f t="shared" si="35"/>
        <v>1.76</v>
      </c>
    </row>
    <row r="1141" spans="2:7" ht="13.8" customHeight="1" x14ac:dyDescent="0.25">
      <c r="B1141" s="33" t="s">
        <v>0</v>
      </c>
      <c r="C1141" s="33">
        <v>2771511</v>
      </c>
      <c r="D1141" s="33">
        <v>1.76</v>
      </c>
      <c r="E1141" s="33" t="s">
        <v>293</v>
      </c>
      <c r="F1141" s="31" t="str">
        <f t="shared" si="34"/>
        <v>C1.08.07</v>
      </c>
      <c r="G1141" s="34">
        <f t="shared" si="35"/>
        <v>1.76</v>
      </c>
    </row>
    <row r="1142" spans="2:7" ht="13.8" customHeight="1" x14ac:dyDescent="0.25">
      <c r="B1142" s="33" t="s">
        <v>0</v>
      </c>
      <c r="C1142" s="33">
        <v>2771513</v>
      </c>
      <c r="D1142" s="33">
        <v>2.39</v>
      </c>
      <c r="E1142" s="33" t="s">
        <v>293</v>
      </c>
      <c r="F1142" s="31" t="str">
        <f t="shared" si="34"/>
        <v>C1.08.07</v>
      </c>
      <c r="G1142" s="34">
        <f t="shared" si="35"/>
        <v>2.39</v>
      </c>
    </row>
    <row r="1143" spans="2:7" ht="13.8" customHeight="1" x14ac:dyDescent="0.25">
      <c r="B1143" s="33" t="s">
        <v>0</v>
      </c>
      <c r="C1143" s="33">
        <v>2771515</v>
      </c>
      <c r="D1143" s="33">
        <v>2.39</v>
      </c>
      <c r="E1143" s="33" t="s">
        <v>293</v>
      </c>
      <c r="F1143" s="31" t="str">
        <f t="shared" si="34"/>
        <v>C1.08.07</v>
      </c>
      <c r="G1143" s="34">
        <f t="shared" si="35"/>
        <v>2.39</v>
      </c>
    </row>
    <row r="1144" spans="2:7" ht="13.8" customHeight="1" x14ac:dyDescent="0.25">
      <c r="B1144" s="33" t="s">
        <v>0</v>
      </c>
      <c r="C1144" s="33">
        <v>2771517</v>
      </c>
      <c r="D1144" s="33">
        <v>1.76</v>
      </c>
      <c r="E1144" s="33" t="s">
        <v>293</v>
      </c>
      <c r="F1144" s="31" t="str">
        <f t="shared" si="34"/>
        <v>C1.08.07</v>
      </c>
      <c r="G1144" s="34">
        <f t="shared" si="35"/>
        <v>1.76</v>
      </c>
    </row>
    <row r="1145" spans="2:7" ht="13.8" customHeight="1" x14ac:dyDescent="0.25">
      <c r="B1145" s="33" t="s">
        <v>0</v>
      </c>
      <c r="C1145" s="33">
        <v>2771519</v>
      </c>
      <c r="D1145" s="33">
        <v>1.76</v>
      </c>
      <c r="E1145" s="33" t="s">
        <v>293</v>
      </c>
      <c r="F1145" s="31" t="str">
        <f t="shared" si="34"/>
        <v>C1.08.07</v>
      </c>
      <c r="G1145" s="34">
        <f t="shared" si="35"/>
        <v>1.76</v>
      </c>
    </row>
    <row r="1146" spans="2:7" ht="13.8" customHeight="1" x14ac:dyDescent="0.25">
      <c r="B1146" s="33" t="s">
        <v>0</v>
      </c>
      <c r="C1146" s="33">
        <v>2771575</v>
      </c>
      <c r="D1146" s="33">
        <v>1.86</v>
      </c>
      <c r="E1146" s="33" t="s">
        <v>294</v>
      </c>
      <c r="F1146" s="31" t="str">
        <f t="shared" si="34"/>
        <v>C1.01.02</v>
      </c>
      <c r="G1146" s="34">
        <f t="shared" si="35"/>
        <v>1.86</v>
      </c>
    </row>
    <row r="1147" spans="2:7" ht="13.8" customHeight="1" x14ac:dyDescent="0.25">
      <c r="B1147" s="33" t="s">
        <v>0</v>
      </c>
      <c r="C1147" s="33">
        <v>2771577</v>
      </c>
      <c r="D1147" s="33">
        <v>1.86</v>
      </c>
      <c r="E1147" s="33" t="s">
        <v>294</v>
      </c>
      <c r="F1147" s="31" t="str">
        <f t="shared" si="34"/>
        <v>C1.01.02</v>
      </c>
      <c r="G1147" s="34">
        <f t="shared" si="35"/>
        <v>1.86</v>
      </c>
    </row>
    <row r="1148" spans="2:7" ht="13.8" customHeight="1" x14ac:dyDescent="0.25">
      <c r="B1148" s="33" t="s">
        <v>0</v>
      </c>
      <c r="C1148" s="33">
        <v>2771579</v>
      </c>
      <c r="D1148" s="33">
        <v>1.86</v>
      </c>
      <c r="E1148" s="33" t="s">
        <v>294</v>
      </c>
      <c r="F1148" s="31" t="str">
        <f t="shared" si="34"/>
        <v>C1.01.02</v>
      </c>
      <c r="G1148" s="34">
        <f t="shared" si="35"/>
        <v>1.86</v>
      </c>
    </row>
    <row r="1149" spans="2:7" ht="13.8" customHeight="1" x14ac:dyDescent="0.25">
      <c r="B1149" s="33" t="s">
        <v>0</v>
      </c>
      <c r="C1149" s="33">
        <v>2771581</v>
      </c>
      <c r="D1149" s="33">
        <v>1.86</v>
      </c>
      <c r="E1149" s="33" t="s">
        <v>294</v>
      </c>
      <c r="F1149" s="31" t="str">
        <f t="shared" si="34"/>
        <v>C1.01.02</v>
      </c>
      <c r="G1149" s="34">
        <f t="shared" si="35"/>
        <v>1.86</v>
      </c>
    </row>
    <row r="1150" spans="2:7" ht="13.8" customHeight="1" x14ac:dyDescent="0.25">
      <c r="B1150" s="33" t="s">
        <v>0</v>
      </c>
      <c r="C1150" s="33">
        <v>2771583</v>
      </c>
      <c r="D1150" s="33">
        <v>1.86</v>
      </c>
      <c r="E1150" s="33" t="s">
        <v>294</v>
      </c>
      <c r="F1150" s="31" t="str">
        <f t="shared" si="34"/>
        <v>C1.01.02</v>
      </c>
      <c r="G1150" s="34">
        <f t="shared" si="35"/>
        <v>1.86</v>
      </c>
    </row>
    <row r="1151" spans="2:7" ht="13.8" customHeight="1" x14ac:dyDescent="0.25">
      <c r="B1151" s="33" t="s">
        <v>0</v>
      </c>
      <c r="C1151" s="33">
        <v>2771585</v>
      </c>
      <c r="D1151" s="33">
        <v>1.86</v>
      </c>
      <c r="E1151" s="33" t="s">
        <v>294</v>
      </c>
      <c r="F1151" s="31" t="str">
        <f t="shared" si="34"/>
        <v>C1.01.02</v>
      </c>
      <c r="G1151" s="34">
        <f t="shared" si="35"/>
        <v>1.86</v>
      </c>
    </row>
    <row r="1152" spans="2:7" ht="13.8" customHeight="1" x14ac:dyDescent="0.25">
      <c r="B1152" s="33" t="s">
        <v>0</v>
      </c>
      <c r="C1152" s="33">
        <v>2771587</v>
      </c>
      <c r="D1152" s="33">
        <v>2.39</v>
      </c>
      <c r="E1152" s="33" t="s">
        <v>294</v>
      </c>
      <c r="F1152" s="31" t="str">
        <f t="shared" si="34"/>
        <v>C1.01.02</v>
      </c>
      <c r="G1152" s="34">
        <f t="shared" si="35"/>
        <v>2.39</v>
      </c>
    </row>
    <row r="1153" spans="2:7" ht="13.8" customHeight="1" x14ac:dyDescent="0.25">
      <c r="B1153" s="33" t="s">
        <v>0</v>
      </c>
      <c r="C1153" s="33">
        <v>2771589</v>
      </c>
      <c r="D1153" s="33">
        <v>2.39</v>
      </c>
      <c r="E1153" s="33" t="s">
        <v>294</v>
      </c>
      <c r="F1153" s="31" t="str">
        <f t="shared" si="34"/>
        <v>C1.01.02</v>
      </c>
      <c r="G1153" s="34">
        <f t="shared" si="35"/>
        <v>2.39</v>
      </c>
    </row>
    <row r="1154" spans="2:7" ht="13.8" customHeight="1" x14ac:dyDescent="0.25">
      <c r="B1154" s="33" t="s">
        <v>0</v>
      </c>
      <c r="C1154" s="33">
        <v>2771591</v>
      </c>
      <c r="D1154" s="33">
        <v>1.86</v>
      </c>
      <c r="E1154" s="33" t="s">
        <v>294</v>
      </c>
      <c r="F1154" s="31" t="str">
        <f t="shared" si="34"/>
        <v>C1.01.02</v>
      </c>
      <c r="G1154" s="34">
        <f t="shared" si="35"/>
        <v>1.86</v>
      </c>
    </row>
    <row r="1155" spans="2:7" ht="13.8" customHeight="1" x14ac:dyDescent="0.25">
      <c r="B1155" s="33" t="s">
        <v>0</v>
      </c>
      <c r="C1155" s="33">
        <v>2771593</v>
      </c>
      <c r="D1155" s="33">
        <v>1.86</v>
      </c>
      <c r="E1155" s="33" t="s">
        <v>294</v>
      </c>
      <c r="F1155" s="31" t="str">
        <f t="shared" si="34"/>
        <v>C1.01.02</v>
      </c>
      <c r="G1155" s="34">
        <f t="shared" si="35"/>
        <v>1.86</v>
      </c>
    </row>
    <row r="1156" spans="2:7" ht="13.8" customHeight="1" x14ac:dyDescent="0.25">
      <c r="B1156" s="33" t="s">
        <v>0</v>
      </c>
      <c r="C1156" s="33">
        <v>2771631</v>
      </c>
      <c r="D1156" s="33">
        <v>1.86</v>
      </c>
      <c r="E1156" s="33" t="s">
        <v>295</v>
      </c>
      <c r="F1156" s="31" t="str">
        <f t="shared" si="34"/>
        <v>C1.01.03</v>
      </c>
      <c r="G1156" s="34">
        <f t="shared" si="35"/>
        <v>1.86</v>
      </c>
    </row>
    <row r="1157" spans="2:7" ht="13.8" customHeight="1" x14ac:dyDescent="0.25">
      <c r="B1157" s="33" t="s">
        <v>0</v>
      </c>
      <c r="C1157" s="33">
        <v>2771633</v>
      </c>
      <c r="D1157" s="33">
        <v>1.86</v>
      </c>
      <c r="E1157" s="33" t="s">
        <v>295</v>
      </c>
      <c r="F1157" s="31" t="str">
        <f t="shared" si="34"/>
        <v>C1.01.03</v>
      </c>
      <c r="G1157" s="34">
        <f t="shared" si="35"/>
        <v>1.86</v>
      </c>
    </row>
    <row r="1158" spans="2:7" ht="13.8" customHeight="1" x14ac:dyDescent="0.25">
      <c r="B1158" s="33" t="s">
        <v>0</v>
      </c>
      <c r="C1158" s="33">
        <v>2771635</v>
      </c>
      <c r="D1158" s="33">
        <v>2.39</v>
      </c>
      <c r="E1158" s="33" t="s">
        <v>295</v>
      </c>
      <c r="F1158" s="31" t="str">
        <f t="shared" si="34"/>
        <v>C1.01.03</v>
      </c>
      <c r="G1158" s="34">
        <f t="shared" si="35"/>
        <v>2.39</v>
      </c>
    </row>
    <row r="1159" spans="2:7" ht="13.8" customHeight="1" x14ac:dyDescent="0.25">
      <c r="B1159" s="33" t="s">
        <v>0</v>
      </c>
      <c r="C1159" s="33">
        <v>2771637</v>
      </c>
      <c r="D1159" s="33">
        <v>2.39</v>
      </c>
      <c r="E1159" s="33" t="s">
        <v>295</v>
      </c>
      <c r="F1159" s="31" t="str">
        <f t="shared" ref="F1159:F1222" si="36">LEFT(E1159,8)</f>
        <v>C1.01.03</v>
      </c>
      <c r="G1159" s="34">
        <f t="shared" ref="G1159:G1222" si="37">D1159</f>
        <v>2.39</v>
      </c>
    </row>
    <row r="1160" spans="2:7" ht="13.8" customHeight="1" x14ac:dyDescent="0.25">
      <c r="B1160" s="33" t="s">
        <v>0</v>
      </c>
      <c r="C1160" s="33">
        <v>2771665</v>
      </c>
      <c r="D1160" s="33">
        <v>1.86</v>
      </c>
      <c r="E1160" s="33" t="s">
        <v>296</v>
      </c>
      <c r="F1160" s="31" t="str">
        <f t="shared" si="36"/>
        <v>C1.01.04</v>
      </c>
      <c r="G1160" s="34">
        <f t="shared" si="37"/>
        <v>1.86</v>
      </c>
    </row>
    <row r="1161" spans="2:7" ht="13.8" customHeight="1" x14ac:dyDescent="0.25">
      <c r="B1161" s="33" t="s">
        <v>0</v>
      </c>
      <c r="C1161" s="33">
        <v>2771667</v>
      </c>
      <c r="D1161" s="33">
        <v>1.86</v>
      </c>
      <c r="E1161" s="33" t="s">
        <v>296</v>
      </c>
      <c r="F1161" s="31" t="str">
        <f t="shared" si="36"/>
        <v>C1.01.04</v>
      </c>
      <c r="G1161" s="34">
        <f t="shared" si="37"/>
        <v>1.86</v>
      </c>
    </row>
    <row r="1162" spans="2:7" ht="13.8" customHeight="1" x14ac:dyDescent="0.25">
      <c r="B1162" s="33" t="s">
        <v>0</v>
      </c>
      <c r="C1162" s="33">
        <v>2771669</v>
      </c>
      <c r="D1162" s="33">
        <v>2.39</v>
      </c>
      <c r="E1162" s="33" t="s">
        <v>296</v>
      </c>
      <c r="F1162" s="31" t="str">
        <f t="shared" si="36"/>
        <v>C1.01.04</v>
      </c>
      <c r="G1162" s="34">
        <f t="shared" si="37"/>
        <v>2.39</v>
      </c>
    </row>
    <row r="1163" spans="2:7" ht="13.8" customHeight="1" x14ac:dyDescent="0.25">
      <c r="B1163" s="33" t="s">
        <v>0</v>
      </c>
      <c r="C1163" s="33">
        <v>2771671</v>
      </c>
      <c r="D1163" s="33">
        <v>2.39</v>
      </c>
      <c r="E1163" s="33" t="s">
        <v>296</v>
      </c>
      <c r="F1163" s="31" t="str">
        <f t="shared" si="36"/>
        <v>C1.01.04</v>
      </c>
      <c r="G1163" s="34">
        <f t="shared" si="37"/>
        <v>2.39</v>
      </c>
    </row>
    <row r="1164" spans="2:7" ht="13.8" customHeight="1" x14ac:dyDescent="0.25">
      <c r="B1164" s="33" t="s">
        <v>0</v>
      </c>
      <c r="C1164" s="33">
        <v>2771702</v>
      </c>
      <c r="D1164" s="33">
        <v>1.86</v>
      </c>
      <c r="E1164" s="33" t="s">
        <v>297</v>
      </c>
      <c r="F1164" s="31" t="str">
        <f t="shared" si="36"/>
        <v>C1.01.05</v>
      </c>
      <c r="G1164" s="34">
        <f t="shared" si="37"/>
        <v>1.86</v>
      </c>
    </row>
    <row r="1165" spans="2:7" ht="13.8" customHeight="1" x14ac:dyDescent="0.25">
      <c r="B1165" s="33" t="s">
        <v>0</v>
      </c>
      <c r="C1165" s="33">
        <v>2771704</v>
      </c>
      <c r="D1165" s="33">
        <v>1.86</v>
      </c>
      <c r="E1165" s="33" t="s">
        <v>297</v>
      </c>
      <c r="F1165" s="31" t="str">
        <f t="shared" si="36"/>
        <v>C1.01.05</v>
      </c>
      <c r="G1165" s="34">
        <f t="shared" si="37"/>
        <v>1.86</v>
      </c>
    </row>
    <row r="1166" spans="2:7" ht="13.8" customHeight="1" x14ac:dyDescent="0.25">
      <c r="B1166" s="33" t="s">
        <v>0</v>
      </c>
      <c r="C1166" s="33">
        <v>2771706</v>
      </c>
      <c r="D1166" s="33">
        <v>2.39</v>
      </c>
      <c r="E1166" s="33" t="s">
        <v>297</v>
      </c>
      <c r="F1166" s="31" t="str">
        <f t="shared" si="36"/>
        <v>C1.01.05</v>
      </c>
      <c r="G1166" s="34">
        <f t="shared" si="37"/>
        <v>2.39</v>
      </c>
    </row>
    <row r="1167" spans="2:7" ht="13.8" customHeight="1" x14ac:dyDescent="0.25">
      <c r="B1167" s="33" t="s">
        <v>0</v>
      </c>
      <c r="C1167" s="33">
        <v>2771708</v>
      </c>
      <c r="D1167" s="33">
        <v>2.39</v>
      </c>
      <c r="E1167" s="33" t="s">
        <v>297</v>
      </c>
      <c r="F1167" s="31" t="str">
        <f t="shared" si="36"/>
        <v>C1.01.05</v>
      </c>
      <c r="G1167" s="34">
        <f t="shared" si="37"/>
        <v>2.39</v>
      </c>
    </row>
    <row r="1168" spans="2:7" ht="13.8" customHeight="1" x14ac:dyDescent="0.25">
      <c r="B1168" s="33" t="s">
        <v>0</v>
      </c>
      <c r="C1168" s="33">
        <v>2771710</v>
      </c>
      <c r="D1168" s="33">
        <v>1.86</v>
      </c>
      <c r="E1168" s="33" t="s">
        <v>297</v>
      </c>
      <c r="F1168" s="31" t="str">
        <f t="shared" si="36"/>
        <v>C1.01.05</v>
      </c>
      <c r="G1168" s="34">
        <f t="shared" si="37"/>
        <v>1.86</v>
      </c>
    </row>
    <row r="1169" spans="2:7" ht="13.8" customHeight="1" x14ac:dyDescent="0.25">
      <c r="B1169" s="33" t="s">
        <v>0</v>
      </c>
      <c r="C1169" s="33">
        <v>2771712</v>
      </c>
      <c r="D1169" s="33">
        <v>1.86</v>
      </c>
      <c r="E1169" s="33" t="s">
        <v>297</v>
      </c>
      <c r="F1169" s="31" t="str">
        <f t="shared" si="36"/>
        <v>C1.01.05</v>
      </c>
      <c r="G1169" s="34">
        <f t="shared" si="37"/>
        <v>1.86</v>
      </c>
    </row>
    <row r="1170" spans="2:7" ht="13.8" customHeight="1" x14ac:dyDescent="0.25">
      <c r="B1170" s="33" t="s">
        <v>0</v>
      </c>
      <c r="C1170" s="33">
        <v>2771752</v>
      </c>
      <c r="D1170" s="33">
        <v>1.76</v>
      </c>
      <c r="E1170" s="33" t="s">
        <v>298</v>
      </c>
      <c r="F1170" s="31" t="str">
        <f t="shared" si="36"/>
        <v>C1.01.06</v>
      </c>
      <c r="G1170" s="34">
        <f t="shared" si="37"/>
        <v>1.76</v>
      </c>
    </row>
    <row r="1171" spans="2:7" ht="13.8" customHeight="1" x14ac:dyDescent="0.25">
      <c r="B1171" s="33" t="s">
        <v>0</v>
      </c>
      <c r="C1171" s="33">
        <v>2771754</v>
      </c>
      <c r="D1171" s="33">
        <v>1.76</v>
      </c>
      <c r="E1171" s="33" t="s">
        <v>298</v>
      </c>
      <c r="F1171" s="31" t="str">
        <f t="shared" si="36"/>
        <v>C1.01.06</v>
      </c>
      <c r="G1171" s="34">
        <f t="shared" si="37"/>
        <v>1.76</v>
      </c>
    </row>
    <row r="1172" spans="2:7" ht="13.8" customHeight="1" x14ac:dyDescent="0.25">
      <c r="B1172" s="33" t="s">
        <v>0</v>
      </c>
      <c r="C1172" s="33">
        <v>2771756</v>
      </c>
      <c r="D1172" s="33">
        <v>2.39</v>
      </c>
      <c r="E1172" s="33" t="s">
        <v>298</v>
      </c>
      <c r="F1172" s="31" t="str">
        <f t="shared" si="36"/>
        <v>C1.01.06</v>
      </c>
      <c r="G1172" s="34">
        <f t="shared" si="37"/>
        <v>2.39</v>
      </c>
    </row>
    <row r="1173" spans="2:7" ht="13.8" customHeight="1" x14ac:dyDescent="0.25">
      <c r="B1173" s="33" t="s">
        <v>0</v>
      </c>
      <c r="C1173" s="33">
        <v>2771758</v>
      </c>
      <c r="D1173" s="33">
        <v>2.39</v>
      </c>
      <c r="E1173" s="33" t="s">
        <v>298</v>
      </c>
      <c r="F1173" s="31" t="str">
        <f t="shared" si="36"/>
        <v>C1.01.06</v>
      </c>
      <c r="G1173" s="34">
        <f t="shared" si="37"/>
        <v>2.39</v>
      </c>
    </row>
    <row r="1174" spans="2:7" ht="13.8" customHeight="1" x14ac:dyDescent="0.25">
      <c r="B1174" s="33" t="s">
        <v>0</v>
      </c>
      <c r="C1174" s="33">
        <v>2771760</v>
      </c>
      <c r="D1174" s="33">
        <v>1.86</v>
      </c>
      <c r="E1174" s="33" t="s">
        <v>298</v>
      </c>
      <c r="F1174" s="31" t="str">
        <f t="shared" si="36"/>
        <v>C1.01.06</v>
      </c>
      <c r="G1174" s="34">
        <f t="shared" si="37"/>
        <v>1.86</v>
      </c>
    </row>
    <row r="1175" spans="2:7" ht="13.8" customHeight="1" x14ac:dyDescent="0.25">
      <c r="B1175" s="33" t="s">
        <v>0</v>
      </c>
      <c r="C1175" s="33">
        <v>2771762</v>
      </c>
      <c r="D1175" s="33">
        <v>1.86</v>
      </c>
      <c r="E1175" s="33" t="s">
        <v>298</v>
      </c>
      <c r="F1175" s="31" t="str">
        <f t="shared" si="36"/>
        <v>C1.01.06</v>
      </c>
      <c r="G1175" s="34">
        <f t="shared" si="37"/>
        <v>1.86</v>
      </c>
    </row>
    <row r="1176" spans="2:7" ht="13.8" customHeight="1" x14ac:dyDescent="0.25">
      <c r="B1176" s="33" t="s">
        <v>0</v>
      </c>
      <c r="C1176" s="33">
        <v>2771810</v>
      </c>
      <c r="D1176" s="33">
        <v>1.86</v>
      </c>
      <c r="E1176" s="33" t="s">
        <v>299</v>
      </c>
      <c r="F1176" s="31" t="str">
        <f t="shared" si="36"/>
        <v>C1.01.01</v>
      </c>
      <c r="G1176" s="34">
        <f t="shared" si="37"/>
        <v>1.86</v>
      </c>
    </row>
    <row r="1177" spans="2:7" ht="13.8" customHeight="1" x14ac:dyDescent="0.25">
      <c r="B1177" s="33" t="s">
        <v>0</v>
      </c>
      <c r="C1177" s="33">
        <v>2771812</v>
      </c>
      <c r="D1177" s="33">
        <v>1.86</v>
      </c>
      <c r="E1177" s="33" t="s">
        <v>299</v>
      </c>
      <c r="F1177" s="31" t="str">
        <f t="shared" si="36"/>
        <v>C1.01.01</v>
      </c>
      <c r="G1177" s="34">
        <f t="shared" si="37"/>
        <v>1.86</v>
      </c>
    </row>
    <row r="1178" spans="2:7" ht="13.8" customHeight="1" x14ac:dyDescent="0.25">
      <c r="B1178" s="33" t="s">
        <v>0</v>
      </c>
      <c r="C1178" s="33">
        <v>2771814</v>
      </c>
      <c r="D1178" s="33">
        <v>1.76</v>
      </c>
      <c r="E1178" s="33" t="s">
        <v>299</v>
      </c>
      <c r="F1178" s="31" t="str">
        <f t="shared" si="36"/>
        <v>C1.01.01</v>
      </c>
      <c r="G1178" s="34">
        <f t="shared" si="37"/>
        <v>1.76</v>
      </c>
    </row>
    <row r="1179" spans="2:7" ht="13.8" customHeight="1" x14ac:dyDescent="0.25">
      <c r="B1179" s="33" t="s">
        <v>0</v>
      </c>
      <c r="C1179" s="33">
        <v>2771816</v>
      </c>
      <c r="D1179" s="33">
        <v>1.76</v>
      </c>
      <c r="E1179" s="33" t="s">
        <v>299</v>
      </c>
      <c r="F1179" s="31" t="str">
        <f t="shared" si="36"/>
        <v>C1.01.01</v>
      </c>
      <c r="G1179" s="34">
        <f t="shared" si="37"/>
        <v>1.76</v>
      </c>
    </row>
    <row r="1180" spans="2:7" ht="13.8" customHeight="1" x14ac:dyDescent="0.25">
      <c r="B1180" s="33" t="s">
        <v>0</v>
      </c>
      <c r="C1180" s="33">
        <v>2771818</v>
      </c>
      <c r="D1180" s="33">
        <v>1.86</v>
      </c>
      <c r="E1180" s="33" t="s">
        <v>299</v>
      </c>
      <c r="F1180" s="31" t="str">
        <f t="shared" si="36"/>
        <v>C1.01.01</v>
      </c>
      <c r="G1180" s="34">
        <f t="shared" si="37"/>
        <v>1.86</v>
      </c>
    </row>
    <row r="1181" spans="2:7" ht="13.8" customHeight="1" x14ac:dyDescent="0.25">
      <c r="B1181" s="33" t="s">
        <v>0</v>
      </c>
      <c r="C1181" s="33">
        <v>2771820</v>
      </c>
      <c r="D1181" s="33">
        <v>1.86</v>
      </c>
      <c r="E1181" s="33" t="s">
        <v>299</v>
      </c>
      <c r="F1181" s="31" t="str">
        <f t="shared" si="36"/>
        <v>C1.01.01</v>
      </c>
      <c r="G1181" s="34">
        <f t="shared" si="37"/>
        <v>1.86</v>
      </c>
    </row>
    <row r="1182" spans="2:7" ht="13.8" customHeight="1" x14ac:dyDescent="0.25">
      <c r="B1182" s="33" t="s">
        <v>0</v>
      </c>
      <c r="C1182" s="33">
        <v>2771822</v>
      </c>
      <c r="D1182" s="33">
        <v>2.39</v>
      </c>
      <c r="E1182" s="33" t="s">
        <v>299</v>
      </c>
      <c r="F1182" s="31" t="str">
        <f t="shared" si="36"/>
        <v>C1.01.01</v>
      </c>
      <c r="G1182" s="34">
        <f t="shared" si="37"/>
        <v>2.39</v>
      </c>
    </row>
    <row r="1183" spans="2:7" ht="13.8" customHeight="1" x14ac:dyDescent="0.25">
      <c r="B1183" s="33" t="s">
        <v>0</v>
      </c>
      <c r="C1183" s="33">
        <v>2771824</v>
      </c>
      <c r="D1183" s="33">
        <v>2.39</v>
      </c>
      <c r="E1183" s="33" t="s">
        <v>299</v>
      </c>
      <c r="F1183" s="31" t="str">
        <f t="shared" si="36"/>
        <v>C1.01.01</v>
      </c>
      <c r="G1183" s="34">
        <f t="shared" si="37"/>
        <v>2.39</v>
      </c>
    </row>
    <row r="1184" spans="2:7" ht="13.8" customHeight="1" x14ac:dyDescent="0.25">
      <c r="B1184" s="33" t="s">
        <v>0</v>
      </c>
      <c r="C1184" s="33">
        <v>2771826</v>
      </c>
      <c r="D1184" s="33">
        <v>1.86</v>
      </c>
      <c r="E1184" s="33" t="s">
        <v>299</v>
      </c>
      <c r="F1184" s="31" t="str">
        <f t="shared" si="36"/>
        <v>C1.01.01</v>
      </c>
      <c r="G1184" s="34">
        <f t="shared" si="37"/>
        <v>1.86</v>
      </c>
    </row>
    <row r="1185" spans="2:7" ht="13.8" customHeight="1" x14ac:dyDescent="0.25">
      <c r="B1185" s="33" t="s">
        <v>0</v>
      </c>
      <c r="C1185" s="33">
        <v>2771828</v>
      </c>
      <c r="D1185" s="33">
        <v>1.86</v>
      </c>
      <c r="E1185" s="33" t="s">
        <v>299</v>
      </c>
      <c r="F1185" s="31" t="str">
        <f t="shared" si="36"/>
        <v>C1.01.01</v>
      </c>
      <c r="G1185" s="34">
        <f t="shared" si="37"/>
        <v>1.86</v>
      </c>
    </row>
    <row r="1186" spans="2:7" ht="13.8" customHeight="1" x14ac:dyDescent="0.25">
      <c r="B1186" s="33" t="s">
        <v>0</v>
      </c>
      <c r="C1186" s="33">
        <v>2770747</v>
      </c>
      <c r="D1186" s="33">
        <v>1.86</v>
      </c>
      <c r="E1186" s="33" t="s">
        <v>281</v>
      </c>
      <c r="F1186" s="31" t="str">
        <f t="shared" si="36"/>
        <v>C1.14.02</v>
      </c>
      <c r="G1186" s="34">
        <f t="shared" si="37"/>
        <v>1.86</v>
      </c>
    </row>
    <row r="1187" spans="2:7" ht="13.8" customHeight="1" x14ac:dyDescent="0.25">
      <c r="B1187" s="33" t="s">
        <v>0</v>
      </c>
      <c r="C1187" s="33">
        <v>2770749</v>
      </c>
      <c r="D1187" s="33">
        <v>1.86</v>
      </c>
      <c r="E1187" s="33" t="s">
        <v>281</v>
      </c>
      <c r="F1187" s="31" t="str">
        <f t="shared" si="36"/>
        <v>C1.14.02</v>
      </c>
      <c r="G1187" s="34">
        <f t="shared" si="37"/>
        <v>1.86</v>
      </c>
    </row>
    <row r="1188" spans="2:7" ht="13.8" customHeight="1" x14ac:dyDescent="0.25">
      <c r="B1188" s="33" t="s">
        <v>0</v>
      </c>
      <c r="C1188" s="33">
        <v>2770751</v>
      </c>
      <c r="D1188" s="33">
        <v>1.86</v>
      </c>
      <c r="E1188" s="33" t="s">
        <v>281</v>
      </c>
      <c r="F1188" s="31" t="str">
        <f t="shared" si="36"/>
        <v>C1.14.02</v>
      </c>
      <c r="G1188" s="34">
        <f t="shared" si="37"/>
        <v>1.86</v>
      </c>
    </row>
    <row r="1189" spans="2:7" ht="13.8" customHeight="1" x14ac:dyDescent="0.25">
      <c r="B1189" s="33" t="s">
        <v>0</v>
      </c>
      <c r="C1189" s="33">
        <v>2770753</v>
      </c>
      <c r="D1189" s="33">
        <v>1.86</v>
      </c>
      <c r="E1189" s="33" t="s">
        <v>281</v>
      </c>
      <c r="F1189" s="31" t="str">
        <f t="shared" si="36"/>
        <v>C1.14.02</v>
      </c>
      <c r="G1189" s="34">
        <f t="shared" si="37"/>
        <v>1.86</v>
      </c>
    </row>
    <row r="1190" spans="2:7" ht="13.8" customHeight="1" x14ac:dyDescent="0.25">
      <c r="B1190" s="33" t="s">
        <v>0</v>
      </c>
      <c r="C1190" s="33">
        <v>2770755</v>
      </c>
      <c r="D1190" s="33">
        <v>1.86</v>
      </c>
      <c r="E1190" s="33" t="s">
        <v>281</v>
      </c>
      <c r="F1190" s="31" t="str">
        <f t="shared" si="36"/>
        <v>C1.14.02</v>
      </c>
      <c r="G1190" s="34">
        <f t="shared" si="37"/>
        <v>1.86</v>
      </c>
    </row>
    <row r="1191" spans="2:7" ht="13.8" customHeight="1" x14ac:dyDescent="0.25">
      <c r="B1191" s="33" t="s">
        <v>0</v>
      </c>
      <c r="C1191" s="33">
        <v>2770757</v>
      </c>
      <c r="D1191" s="33">
        <v>1.86</v>
      </c>
      <c r="E1191" s="33" t="s">
        <v>281</v>
      </c>
      <c r="F1191" s="31" t="str">
        <f t="shared" si="36"/>
        <v>C1.14.02</v>
      </c>
      <c r="G1191" s="34">
        <f t="shared" si="37"/>
        <v>1.86</v>
      </c>
    </row>
    <row r="1192" spans="2:7" ht="13.8" customHeight="1" x14ac:dyDescent="0.25">
      <c r="B1192" s="33" t="s">
        <v>0</v>
      </c>
      <c r="C1192" s="33">
        <v>2770759</v>
      </c>
      <c r="D1192" s="33">
        <v>2.39</v>
      </c>
      <c r="E1192" s="33" t="s">
        <v>281</v>
      </c>
      <c r="F1192" s="31" t="str">
        <f t="shared" si="36"/>
        <v>C1.14.02</v>
      </c>
      <c r="G1192" s="34">
        <f t="shared" si="37"/>
        <v>2.39</v>
      </c>
    </row>
    <row r="1193" spans="2:7" ht="13.8" customHeight="1" x14ac:dyDescent="0.25">
      <c r="B1193" s="33" t="s">
        <v>0</v>
      </c>
      <c r="C1193" s="33">
        <v>2770761</v>
      </c>
      <c r="D1193" s="33">
        <v>2.39</v>
      </c>
      <c r="E1193" s="33" t="s">
        <v>281</v>
      </c>
      <c r="F1193" s="31" t="str">
        <f t="shared" si="36"/>
        <v>C1.14.02</v>
      </c>
      <c r="G1193" s="34">
        <f t="shared" si="37"/>
        <v>2.39</v>
      </c>
    </row>
    <row r="1194" spans="2:7" ht="13.8" customHeight="1" x14ac:dyDescent="0.25">
      <c r="B1194" s="33" t="s">
        <v>0</v>
      </c>
      <c r="C1194" s="33">
        <v>2770763</v>
      </c>
      <c r="D1194" s="33">
        <v>1.86</v>
      </c>
      <c r="E1194" s="33" t="s">
        <v>281</v>
      </c>
      <c r="F1194" s="31" t="str">
        <f t="shared" si="36"/>
        <v>C1.14.02</v>
      </c>
      <c r="G1194" s="34">
        <f t="shared" si="37"/>
        <v>1.86</v>
      </c>
    </row>
    <row r="1195" spans="2:7" ht="13.8" customHeight="1" x14ac:dyDescent="0.25">
      <c r="B1195" s="33" t="s">
        <v>0</v>
      </c>
      <c r="C1195" s="33">
        <v>2770765</v>
      </c>
      <c r="D1195" s="33">
        <v>1.86</v>
      </c>
      <c r="E1195" s="33" t="s">
        <v>281</v>
      </c>
      <c r="F1195" s="31" t="str">
        <f t="shared" si="36"/>
        <v>C1.14.02</v>
      </c>
      <c r="G1195" s="34">
        <f t="shared" si="37"/>
        <v>1.86</v>
      </c>
    </row>
    <row r="1196" spans="2:7" ht="13.8" customHeight="1" x14ac:dyDescent="0.25">
      <c r="B1196" s="33" t="s">
        <v>3</v>
      </c>
      <c r="C1196" s="33">
        <v>2765543</v>
      </c>
      <c r="D1196" s="33">
        <v>3.47</v>
      </c>
      <c r="E1196" s="33" t="s">
        <v>205</v>
      </c>
      <c r="F1196" s="31" t="str">
        <f t="shared" si="36"/>
        <v>E2.01.04</v>
      </c>
      <c r="G1196" s="34">
        <f t="shared" si="37"/>
        <v>3.47</v>
      </c>
    </row>
    <row r="1197" spans="2:7" ht="13.8" customHeight="1" x14ac:dyDescent="0.25">
      <c r="B1197" s="33" t="s">
        <v>3</v>
      </c>
      <c r="C1197" s="33">
        <v>2765544</v>
      </c>
      <c r="D1197" s="33">
        <v>7.43</v>
      </c>
      <c r="E1197" s="33" t="s">
        <v>205</v>
      </c>
      <c r="F1197" s="31" t="str">
        <f t="shared" si="36"/>
        <v>E2.01.04</v>
      </c>
      <c r="G1197" s="34">
        <f t="shared" si="37"/>
        <v>7.43</v>
      </c>
    </row>
    <row r="1198" spans="2:7" ht="13.8" customHeight="1" x14ac:dyDescent="0.25">
      <c r="B1198" s="33" t="s">
        <v>3</v>
      </c>
      <c r="C1198" s="33">
        <v>2765609</v>
      </c>
      <c r="D1198" s="33">
        <v>4.7300000000000004</v>
      </c>
      <c r="E1198" s="33" t="s">
        <v>206</v>
      </c>
      <c r="F1198" s="31" t="str">
        <f t="shared" si="36"/>
        <v>E2.01.03</v>
      </c>
      <c r="G1198" s="34">
        <f t="shared" si="37"/>
        <v>4.7300000000000004</v>
      </c>
    </row>
    <row r="1199" spans="2:7" ht="13.8" customHeight="1" x14ac:dyDescent="0.25">
      <c r="B1199" s="33" t="s">
        <v>3</v>
      </c>
      <c r="C1199" s="33">
        <v>2765610</v>
      </c>
      <c r="D1199" s="33">
        <v>4.0599999999999996</v>
      </c>
      <c r="E1199" s="33" t="s">
        <v>206</v>
      </c>
      <c r="F1199" s="31" t="str">
        <f t="shared" si="36"/>
        <v>E2.01.03</v>
      </c>
      <c r="G1199" s="34">
        <f t="shared" si="37"/>
        <v>4.0599999999999996</v>
      </c>
    </row>
    <row r="1200" spans="2:7" ht="13.8" customHeight="1" x14ac:dyDescent="0.25">
      <c r="B1200" s="33" t="s">
        <v>3</v>
      </c>
      <c r="C1200" s="33">
        <v>2765678</v>
      </c>
      <c r="D1200" s="33">
        <v>6.54</v>
      </c>
      <c r="E1200" s="33" t="s">
        <v>207</v>
      </c>
      <c r="F1200" s="31" t="str">
        <f t="shared" si="36"/>
        <v>E2.01.01</v>
      </c>
      <c r="G1200" s="34">
        <f t="shared" si="37"/>
        <v>6.54</v>
      </c>
    </row>
    <row r="1201" spans="2:7" ht="13.8" customHeight="1" x14ac:dyDescent="0.25">
      <c r="B1201" s="33" t="s">
        <v>3</v>
      </c>
      <c r="C1201" s="33">
        <v>2765679</v>
      </c>
      <c r="D1201" s="33">
        <v>3.05</v>
      </c>
      <c r="E1201" s="33" t="s">
        <v>207</v>
      </c>
      <c r="F1201" s="31" t="str">
        <f t="shared" si="36"/>
        <v>E2.01.01</v>
      </c>
      <c r="G1201" s="34">
        <f t="shared" si="37"/>
        <v>3.05</v>
      </c>
    </row>
    <row r="1202" spans="2:7" ht="13.8" customHeight="1" x14ac:dyDescent="0.25">
      <c r="B1202" s="33" t="s">
        <v>3</v>
      </c>
      <c r="C1202" s="33">
        <v>2765681</v>
      </c>
      <c r="D1202" s="33">
        <v>3.81</v>
      </c>
      <c r="E1202" s="33" t="s">
        <v>207</v>
      </c>
      <c r="F1202" s="31" t="str">
        <f t="shared" si="36"/>
        <v>E2.01.01</v>
      </c>
      <c r="G1202" s="34">
        <f t="shared" si="37"/>
        <v>3.81</v>
      </c>
    </row>
    <row r="1203" spans="2:7" ht="13.8" customHeight="1" x14ac:dyDescent="0.25">
      <c r="B1203" s="33" t="s">
        <v>3</v>
      </c>
      <c r="C1203" s="33">
        <v>2773258</v>
      </c>
      <c r="D1203" s="33">
        <v>4.96</v>
      </c>
      <c r="E1203" s="33" t="s">
        <v>207</v>
      </c>
      <c r="F1203" s="31" t="str">
        <f t="shared" si="36"/>
        <v>E2.01.01</v>
      </c>
      <c r="G1203" s="34">
        <f t="shared" si="37"/>
        <v>4.96</v>
      </c>
    </row>
    <row r="1204" spans="2:7" ht="13.8" customHeight="1" x14ac:dyDescent="0.25">
      <c r="B1204" s="33" t="s">
        <v>3</v>
      </c>
      <c r="C1204" s="33">
        <v>2765741</v>
      </c>
      <c r="D1204" s="33">
        <v>7.93</v>
      </c>
      <c r="E1204" s="33" t="s">
        <v>208</v>
      </c>
      <c r="F1204" s="31" t="str">
        <f t="shared" si="36"/>
        <v>E2.01.02</v>
      </c>
      <c r="G1204" s="34">
        <f t="shared" si="37"/>
        <v>7.93</v>
      </c>
    </row>
    <row r="1205" spans="2:7" ht="13.8" customHeight="1" x14ac:dyDescent="0.25">
      <c r="B1205" s="33" t="s">
        <v>3</v>
      </c>
      <c r="C1205" s="33">
        <v>2773302</v>
      </c>
      <c r="D1205" s="33">
        <v>1.78</v>
      </c>
      <c r="E1205" s="33" t="s">
        <v>208</v>
      </c>
      <c r="F1205" s="31" t="str">
        <f t="shared" si="36"/>
        <v>E2.01.02</v>
      </c>
      <c r="G1205" s="34">
        <f t="shared" si="37"/>
        <v>1.78</v>
      </c>
    </row>
    <row r="1206" spans="2:7" ht="13.8" customHeight="1" x14ac:dyDescent="0.25">
      <c r="B1206" s="33" t="s">
        <v>3</v>
      </c>
      <c r="C1206" s="33">
        <v>2765821</v>
      </c>
      <c r="D1206" s="33">
        <v>3.47</v>
      </c>
      <c r="E1206" s="33" t="s">
        <v>209</v>
      </c>
      <c r="F1206" s="31" t="str">
        <f t="shared" si="36"/>
        <v>E2.15.02</v>
      </c>
      <c r="G1206" s="34">
        <f t="shared" si="37"/>
        <v>3.47</v>
      </c>
    </row>
    <row r="1207" spans="2:7" ht="13.8" customHeight="1" x14ac:dyDescent="0.25">
      <c r="B1207" s="33" t="s">
        <v>3</v>
      </c>
      <c r="C1207" s="33">
        <v>2765822</v>
      </c>
      <c r="D1207" s="33">
        <v>7.43</v>
      </c>
      <c r="E1207" s="33" t="s">
        <v>209</v>
      </c>
      <c r="F1207" s="31" t="str">
        <f t="shared" si="36"/>
        <v>E2.15.02</v>
      </c>
      <c r="G1207" s="34">
        <f t="shared" si="37"/>
        <v>7.43</v>
      </c>
    </row>
    <row r="1208" spans="2:7" ht="13.8" customHeight="1" x14ac:dyDescent="0.25">
      <c r="B1208" s="33" t="s">
        <v>3</v>
      </c>
      <c r="C1208" s="33">
        <v>2765825</v>
      </c>
      <c r="D1208" s="33">
        <v>3.47</v>
      </c>
      <c r="E1208" s="33" t="s">
        <v>209</v>
      </c>
      <c r="F1208" s="31" t="str">
        <f t="shared" si="36"/>
        <v>E2.15.02</v>
      </c>
      <c r="G1208" s="34">
        <f t="shared" si="37"/>
        <v>3.47</v>
      </c>
    </row>
    <row r="1209" spans="2:7" ht="13.8" customHeight="1" x14ac:dyDescent="0.25">
      <c r="B1209" s="33" t="s">
        <v>3</v>
      </c>
      <c r="C1209" s="33">
        <v>2765826</v>
      </c>
      <c r="D1209" s="33">
        <v>7.43</v>
      </c>
      <c r="E1209" s="33" t="s">
        <v>209</v>
      </c>
      <c r="F1209" s="31" t="str">
        <f t="shared" si="36"/>
        <v>E2.15.02</v>
      </c>
      <c r="G1209" s="34">
        <f t="shared" si="37"/>
        <v>7.43</v>
      </c>
    </row>
    <row r="1210" spans="2:7" ht="13.8" customHeight="1" x14ac:dyDescent="0.25">
      <c r="B1210" s="33" t="s">
        <v>3</v>
      </c>
      <c r="C1210" s="33">
        <v>2765899</v>
      </c>
      <c r="D1210" s="33">
        <v>3.81</v>
      </c>
      <c r="E1210" s="33" t="s">
        <v>210</v>
      </c>
      <c r="F1210" s="31" t="str">
        <f t="shared" si="36"/>
        <v>E2.15.03</v>
      </c>
      <c r="G1210" s="34">
        <f t="shared" si="37"/>
        <v>3.81</v>
      </c>
    </row>
    <row r="1211" spans="2:7" ht="13.8" customHeight="1" x14ac:dyDescent="0.25">
      <c r="B1211" s="33" t="s">
        <v>3</v>
      </c>
      <c r="C1211" s="33">
        <v>2765900</v>
      </c>
      <c r="D1211" s="33">
        <v>6.54</v>
      </c>
      <c r="E1211" s="33" t="s">
        <v>210</v>
      </c>
      <c r="F1211" s="31" t="str">
        <f t="shared" si="36"/>
        <v>E2.15.03</v>
      </c>
      <c r="G1211" s="34">
        <f t="shared" si="37"/>
        <v>6.54</v>
      </c>
    </row>
    <row r="1212" spans="2:7" ht="13.8" customHeight="1" x14ac:dyDescent="0.25">
      <c r="B1212" s="33" t="s">
        <v>3</v>
      </c>
      <c r="C1212" s="33">
        <v>2765903</v>
      </c>
      <c r="D1212" s="33">
        <v>3.81</v>
      </c>
      <c r="E1212" s="33" t="s">
        <v>210</v>
      </c>
      <c r="F1212" s="31" t="str">
        <f t="shared" si="36"/>
        <v>E2.15.03</v>
      </c>
      <c r="G1212" s="34">
        <f t="shared" si="37"/>
        <v>3.81</v>
      </c>
    </row>
    <row r="1213" spans="2:7" ht="13.8" customHeight="1" x14ac:dyDescent="0.25">
      <c r="B1213" s="33" t="s">
        <v>3</v>
      </c>
      <c r="C1213" s="33">
        <v>2765904</v>
      </c>
      <c r="D1213" s="33">
        <v>6.54</v>
      </c>
      <c r="E1213" s="33" t="s">
        <v>210</v>
      </c>
      <c r="F1213" s="31" t="str">
        <f t="shared" si="36"/>
        <v>E2.15.03</v>
      </c>
      <c r="G1213" s="34">
        <f t="shared" si="37"/>
        <v>6.54</v>
      </c>
    </row>
    <row r="1214" spans="2:7" ht="13.8" customHeight="1" x14ac:dyDescent="0.25">
      <c r="B1214" s="33" t="s">
        <v>3</v>
      </c>
      <c r="C1214" s="33">
        <v>2765969</v>
      </c>
      <c r="D1214" s="33">
        <v>4.7300000000000004</v>
      </c>
      <c r="E1214" s="33" t="s">
        <v>211</v>
      </c>
      <c r="F1214" s="31" t="str">
        <f t="shared" si="36"/>
        <v>E2.15.01</v>
      </c>
      <c r="G1214" s="34">
        <f t="shared" si="37"/>
        <v>4.7300000000000004</v>
      </c>
    </row>
    <row r="1215" spans="2:7" ht="13.8" customHeight="1" x14ac:dyDescent="0.25">
      <c r="B1215" s="33" t="s">
        <v>3</v>
      </c>
      <c r="C1215" s="33">
        <v>2765970</v>
      </c>
      <c r="D1215" s="33">
        <v>4.0599999999999996</v>
      </c>
      <c r="E1215" s="33" t="s">
        <v>211</v>
      </c>
      <c r="F1215" s="31" t="str">
        <f t="shared" si="36"/>
        <v>E2.15.01</v>
      </c>
      <c r="G1215" s="34">
        <f t="shared" si="37"/>
        <v>4.0599999999999996</v>
      </c>
    </row>
    <row r="1216" spans="2:7" ht="13.8" customHeight="1" x14ac:dyDescent="0.25">
      <c r="B1216" s="33" t="s">
        <v>3</v>
      </c>
      <c r="C1216" s="33">
        <v>2765973</v>
      </c>
      <c r="D1216" s="33">
        <v>4.7300000000000004</v>
      </c>
      <c r="E1216" s="33" t="s">
        <v>211</v>
      </c>
      <c r="F1216" s="31" t="str">
        <f t="shared" si="36"/>
        <v>E2.15.01</v>
      </c>
      <c r="G1216" s="34">
        <f t="shared" si="37"/>
        <v>4.7300000000000004</v>
      </c>
    </row>
    <row r="1217" spans="2:7" ht="13.8" customHeight="1" x14ac:dyDescent="0.25">
      <c r="B1217" s="33" t="s">
        <v>3</v>
      </c>
      <c r="C1217" s="33">
        <v>2765974</v>
      </c>
      <c r="D1217" s="33">
        <v>4.0599999999999996</v>
      </c>
      <c r="E1217" s="33" t="s">
        <v>211</v>
      </c>
      <c r="F1217" s="31" t="str">
        <f t="shared" si="36"/>
        <v>E2.15.01</v>
      </c>
      <c r="G1217" s="34">
        <f t="shared" si="37"/>
        <v>4.0599999999999996</v>
      </c>
    </row>
    <row r="1218" spans="2:7" ht="13.8" customHeight="1" x14ac:dyDescent="0.25">
      <c r="B1218" s="33" t="s">
        <v>3</v>
      </c>
      <c r="C1218" s="33">
        <v>2766059</v>
      </c>
      <c r="D1218" s="33">
        <v>7.11</v>
      </c>
      <c r="E1218" s="33" t="s">
        <v>212</v>
      </c>
      <c r="F1218" s="31" t="str">
        <f t="shared" si="36"/>
        <v>E2.15.06</v>
      </c>
      <c r="G1218" s="34">
        <f t="shared" si="37"/>
        <v>7.11</v>
      </c>
    </row>
    <row r="1219" spans="2:7" ht="13.8" customHeight="1" x14ac:dyDescent="0.25">
      <c r="B1219" s="33" t="s">
        <v>3</v>
      </c>
      <c r="C1219" s="33">
        <v>2766060</v>
      </c>
      <c r="D1219" s="33">
        <v>9.76</v>
      </c>
      <c r="E1219" s="33" t="s">
        <v>212</v>
      </c>
      <c r="F1219" s="31" t="str">
        <f t="shared" si="36"/>
        <v>E2.15.06</v>
      </c>
      <c r="G1219" s="34">
        <f t="shared" si="37"/>
        <v>9.76</v>
      </c>
    </row>
    <row r="1220" spans="2:7" ht="13.8" customHeight="1" x14ac:dyDescent="0.25">
      <c r="B1220" s="33" t="s">
        <v>3</v>
      </c>
      <c r="C1220" s="33">
        <v>2766063</v>
      </c>
      <c r="D1220" s="33">
        <v>7.11</v>
      </c>
      <c r="E1220" s="33" t="s">
        <v>212</v>
      </c>
      <c r="F1220" s="31" t="str">
        <f t="shared" si="36"/>
        <v>E2.15.06</v>
      </c>
      <c r="G1220" s="34">
        <f t="shared" si="37"/>
        <v>7.11</v>
      </c>
    </row>
    <row r="1221" spans="2:7" ht="13.8" customHeight="1" x14ac:dyDescent="0.25">
      <c r="B1221" s="33" t="s">
        <v>3</v>
      </c>
      <c r="C1221" s="33">
        <v>2766064</v>
      </c>
      <c r="D1221" s="33">
        <v>9.76</v>
      </c>
      <c r="E1221" s="33" t="s">
        <v>212</v>
      </c>
      <c r="F1221" s="31" t="str">
        <f t="shared" si="36"/>
        <v>E2.15.06</v>
      </c>
      <c r="G1221" s="34">
        <f t="shared" si="37"/>
        <v>9.76</v>
      </c>
    </row>
    <row r="1222" spans="2:7" ht="13.8" customHeight="1" x14ac:dyDescent="0.25">
      <c r="B1222" s="33" t="s">
        <v>3</v>
      </c>
      <c r="C1222" s="33">
        <v>2766128</v>
      </c>
      <c r="D1222" s="33">
        <v>4.7300000000000004</v>
      </c>
      <c r="E1222" s="33" t="s">
        <v>213</v>
      </c>
      <c r="F1222" s="31" t="str">
        <f t="shared" si="36"/>
        <v>E2.15.05</v>
      </c>
      <c r="G1222" s="34">
        <f t="shared" si="37"/>
        <v>4.7300000000000004</v>
      </c>
    </row>
    <row r="1223" spans="2:7" ht="13.8" customHeight="1" x14ac:dyDescent="0.25">
      <c r="B1223" s="33" t="s">
        <v>3</v>
      </c>
      <c r="C1223" s="33">
        <v>2766129</v>
      </c>
      <c r="D1223" s="33">
        <v>4.0599999999999996</v>
      </c>
      <c r="E1223" s="33" t="s">
        <v>213</v>
      </c>
      <c r="F1223" s="31" t="str">
        <f t="shared" ref="F1223:F1286" si="38">LEFT(E1223,8)</f>
        <v>E2.15.05</v>
      </c>
      <c r="G1223" s="34">
        <f t="shared" ref="G1223:G1286" si="39">D1223</f>
        <v>4.0599999999999996</v>
      </c>
    </row>
    <row r="1224" spans="2:7" ht="13.8" customHeight="1" x14ac:dyDescent="0.25">
      <c r="B1224" s="33" t="s">
        <v>3</v>
      </c>
      <c r="C1224" s="33">
        <v>2766132</v>
      </c>
      <c r="D1224" s="33">
        <v>4.7300000000000004</v>
      </c>
      <c r="E1224" s="33" t="s">
        <v>213</v>
      </c>
      <c r="F1224" s="31" t="str">
        <f t="shared" si="38"/>
        <v>E2.15.05</v>
      </c>
      <c r="G1224" s="34">
        <f t="shared" si="39"/>
        <v>4.7300000000000004</v>
      </c>
    </row>
    <row r="1225" spans="2:7" ht="13.8" customHeight="1" x14ac:dyDescent="0.25">
      <c r="B1225" s="33" t="s">
        <v>3</v>
      </c>
      <c r="C1225" s="33">
        <v>2766133</v>
      </c>
      <c r="D1225" s="33">
        <v>4.0599999999999996</v>
      </c>
      <c r="E1225" s="33" t="s">
        <v>213</v>
      </c>
      <c r="F1225" s="31" t="str">
        <f t="shared" si="38"/>
        <v>E2.15.05</v>
      </c>
      <c r="G1225" s="34">
        <f t="shared" si="39"/>
        <v>4.0599999999999996</v>
      </c>
    </row>
    <row r="1226" spans="2:7" ht="13.8" customHeight="1" x14ac:dyDescent="0.25">
      <c r="B1226" s="33" t="s">
        <v>3</v>
      </c>
      <c r="C1226" s="33">
        <v>2766201</v>
      </c>
      <c r="D1226" s="33">
        <v>5.33</v>
      </c>
      <c r="E1226" s="33" t="s">
        <v>214</v>
      </c>
      <c r="F1226" s="31" t="str">
        <f t="shared" si="38"/>
        <v>E2.15.07</v>
      </c>
      <c r="G1226" s="34">
        <f t="shared" si="39"/>
        <v>5.33</v>
      </c>
    </row>
    <row r="1227" spans="2:7" ht="13.8" customHeight="1" x14ac:dyDescent="0.25">
      <c r="B1227" s="33" t="s">
        <v>3</v>
      </c>
      <c r="C1227" s="33">
        <v>2766203</v>
      </c>
      <c r="D1227" s="33">
        <v>6.74</v>
      </c>
      <c r="E1227" s="33" t="s">
        <v>214</v>
      </c>
      <c r="F1227" s="31" t="str">
        <f t="shared" si="38"/>
        <v>E2.15.07</v>
      </c>
      <c r="G1227" s="34">
        <f t="shared" si="39"/>
        <v>6.74</v>
      </c>
    </row>
    <row r="1228" spans="2:7" ht="13.8" customHeight="1" x14ac:dyDescent="0.25">
      <c r="B1228" s="33" t="s">
        <v>3</v>
      </c>
      <c r="C1228" s="33">
        <v>2766205</v>
      </c>
      <c r="D1228" s="33">
        <v>5.33</v>
      </c>
      <c r="E1228" s="33" t="s">
        <v>214</v>
      </c>
      <c r="F1228" s="31" t="str">
        <f t="shared" si="38"/>
        <v>E2.15.07</v>
      </c>
      <c r="G1228" s="34">
        <f t="shared" si="39"/>
        <v>5.33</v>
      </c>
    </row>
    <row r="1229" spans="2:7" ht="13.8" customHeight="1" x14ac:dyDescent="0.25">
      <c r="B1229" s="33" t="s">
        <v>3</v>
      </c>
      <c r="C1229" s="33">
        <v>2766206</v>
      </c>
      <c r="D1229" s="33">
        <v>6.74</v>
      </c>
      <c r="E1229" s="33" t="s">
        <v>214</v>
      </c>
      <c r="F1229" s="31" t="str">
        <f t="shared" si="38"/>
        <v>E2.15.07</v>
      </c>
      <c r="G1229" s="34">
        <f t="shared" si="39"/>
        <v>6.74</v>
      </c>
    </row>
    <row r="1230" spans="2:7" ht="13.8" customHeight="1" x14ac:dyDescent="0.25">
      <c r="B1230" s="33" t="s">
        <v>3</v>
      </c>
      <c r="C1230" s="33">
        <v>2766273</v>
      </c>
      <c r="D1230" s="33">
        <v>7.93</v>
      </c>
      <c r="E1230" s="33" t="s">
        <v>215</v>
      </c>
      <c r="F1230" s="31" t="str">
        <f t="shared" si="38"/>
        <v>E2.15.04</v>
      </c>
      <c r="G1230" s="34">
        <f t="shared" si="39"/>
        <v>7.93</v>
      </c>
    </row>
    <row r="1231" spans="2:7" ht="13.8" customHeight="1" x14ac:dyDescent="0.25">
      <c r="B1231" s="33" t="s">
        <v>3</v>
      </c>
      <c r="C1231" s="33">
        <v>2766276</v>
      </c>
      <c r="D1231" s="33">
        <v>7.93</v>
      </c>
      <c r="E1231" s="33" t="s">
        <v>215</v>
      </c>
      <c r="F1231" s="31" t="str">
        <f t="shared" si="38"/>
        <v>E2.15.04</v>
      </c>
      <c r="G1231" s="34">
        <f t="shared" si="39"/>
        <v>7.93</v>
      </c>
    </row>
    <row r="1232" spans="2:7" ht="13.8" customHeight="1" x14ac:dyDescent="0.25">
      <c r="B1232" s="33" t="s">
        <v>3</v>
      </c>
      <c r="C1232" s="33">
        <v>2766368</v>
      </c>
      <c r="D1232" s="33">
        <v>7.11</v>
      </c>
      <c r="E1232" s="33" t="s">
        <v>216</v>
      </c>
      <c r="F1232" s="31" t="str">
        <f t="shared" si="38"/>
        <v>E2.34.05</v>
      </c>
      <c r="G1232" s="34">
        <f t="shared" si="39"/>
        <v>7.11</v>
      </c>
    </row>
    <row r="1233" spans="2:7" ht="13.8" customHeight="1" x14ac:dyDescent="0.25">
      <c r="B1233" s="33" t="s">
        <v>3</v>
      </c>
      <c r="C1233" s="33">
        <v>2766369</v>
      </c>
      <c r="D1233" s="33">
        <v>9.76</v>
      </c>
      <c r="E1233" s="33" t="s">
        <v>216</v>
      </c>
      <c r="F1233" s="31" t="str">
        <f t="shared" si="38"/>
        <v>E2.34.05</v>
      </c>
      <c r="G1233" s="34">
        <f t="shared" si="39"/>
        <v>9.76</v>
      </c>
    </row>
    <row r="1234" spans="2:7" ht="13.8" customHeight="1" x14ac:dyDescent="0.25">
      <c r="B1234" s="33" t="s">
        <v>3</v>
      </c>
      <c r="C1234" s="33">
        <v>2766439</v>
      </c>
      <c r="D1234" s="33">
        <v>5.33</v>
      </c>
      <c r="E1234" s="33" t="s">
        <v>217</v>
      </c>
      <c r="F1234" s="31" t="str">
        <f t="shared" si="38"/>
        <v>E2.34.06</v>
      </c>
      <c r="G1234" s="34">
        <f t="shared" si="39"/>
        <v>5.33</v>
      </c>
    </row>
    <row r="1235" spans="2:7" ht="13.8" customHeight="1" x14ac:dyDescent="0.25">
      <c r="B1235" s="33" t="s">
        <v>3</v>
      </c>
      <c r="C1235" s="33">
        <v>2766440</v>
      </c>
      <c r="D1235" s="33">
        <v>6.74</v>
      </c>
      <c r="E1235" s="33" t="s">
        <v>217</v>
      </c>
      <c r="F1235" s="31" t="str">
        <f t="shared" si="38"/>
        <v>E2.34.06</v>
      </c>
      <c r="G1235" s="34">
        <f t="shared" si="39"/>
        <v>6.74</v>
      </c>
    </row>
    <row r="1236" spans="2:7" ht="13.8" customHeight="1" x14ac:dyDescent="0.25">
      <c r="B1236" s="33" t="s">
        <v>3</v>
      </c>
      <c r="C1236" s="33">
        <v>2766510</v>
      </c>
      <c r="D1236" s="33">
        <v>4.7300000000000004</v>
      </c>
      <c r="E1236" s="33" t="s">
        <v>218</v>
      </c>
      <c r="F1236" s="31" t="str">
        <f t="shared" si="38"/>
        <v>E2.34.04</v>
      </c>
      <c r="G1236" s="34">
        <f t="shared" si="39"/>
        <v>4.7300000000000004</v>
      </c>
    </row>
    <row r="1237" spans="2:7" ht="13.8" customHeight="1" x14ac:dyDescent="0.25">
      <c r="B1237" s="33" t="s">
        <v>3</v>
      </c>
      <c r="C1237" s="33">
        <v>2766511</v>
      </c>
      <c r="D1237" s="33">
        <v>4.0599999999999996</v>
      </c>
      <c r="E1237" s="33" t="s">
        <v>218</v>
      </c>
      <c r="F1237" s="31" t="str">
        <f t="shared" si="38"/>
        <v>E2.34.04</v>
      </c>
      <c r="G1237" s="34">
        <f t="shared" si="39"/>
        <v>4.0599999999999996</v>
      </c>
    </row>
    <row r="1238" spans="2:7" ht="13.8" customHeight="1" x14ac:dyDescent="0.25">
      <c r="B1238" s="33" t="s">
        <v>3</v>
      </c>
      <c r="C1238" s="33">
        <v>2766581</v>
      </c>
      <c r="D1238" s="33">
        <v>4.7300000000000004</v>
      </c>
      <c r="E1238" s="33" t="s">
        <v>219</v>
      </c>
      <c r="F1238" s="31" t="str">
        <f t="shared" si="38"/>
        <v>E2.34.01</v>
      </c>
      <c r="G1238" s="34">
        <f t="shared" si="39"/>
        <v>4.7300000000000004</v>
      </c>
    </row>
    <row r="1239" spans="2:7" ht="13.8" customHeight="1" x14ac:dyDescent="0.25">
      <c r="B1239" s="33" t="s">
        <v>3</v>
      </c>
      <c r="C1239" s="33">
        <v>2766582</v>
      </c>
      <c r="D1239" s="33">
        <v>4.0599999999999996</v>
      </c>
      <c r="E1239" s="33" t="s">
        <v>219</v>
      </c>
      <c r="F1239" s="31" t="str">
        <f t="shared" si="38"/>
        <v>E2.34.01</v>
      </c>
      <c r="G1239" s="34">
        <f t="shared" si="39"/>
        <v>4.0599999999999996</v>
      </c>
    </row>
    <row r="1240" spans="2:7" ht="13.8" customHeight="1" x14ac:dyDescent="0.25">
      <c r="B1240" s="33" t="s">
        <v>3</v>
      </c>
      <c r="C1240" s="33">
        <v>2766675</v>
      </c>
      <c r="D1240" s="33">
        <v>7.11</v>
      </c>
      <c r="E1240" s="33" t="s">
        <v>220</v>
      </c>
      <c r="F1240" s="31" t="str">
        <f t="shared" si="38"/>
        <v>E2.34.02</v>
      </c>
      <c r="G1240" s="34">
        <f t="shared" si="39"/>
        <v>7.11</v>
      </c>
    </row>
    <row r="1241" spans="2:7" ht="13.8" customHeight="1" x14ac:dyDescent="0.25">
      <c r="B1241" s="33" t="s">
        <v>3</v>
      </c>
      <c r="C1241" s="33">
        <v>2766677</v>
      </c>
      <c r="D1241" s="33">
        <v>9.76</v>
      </c>
      <c r="E1241" s="33" t="s">
        <v>220</v>
      </c>
      <c r="F1241" s="31" t="str">
        <f t="shared" si="38"/>
        <v>E2.34.02</v>
      </c>
      <c r="G1241" s="34">
        <f t="shared" si="39"/>
        <v>9.76</v>
      </c>
    </row>
    <row r="1242" spans="2:7" ht="13.8" customHeight="1" x14ac:dyDescent="0.25">
      <c r="B1242" s="33" t="s">
        <v>3</v>
      </c>
      <c r="C1242" s="33">
        <v>2766748</v>
      </c>
      <c r="D1242" s="33">
        <v>5.33</v>
      </c>
      <c r="E1242" s="33" t="s">
        <v>221</v>
      </c>
      <c r="F1242" s="31" t="str">
        <f t="shared" si="38"/>
        <v>E2.34.03</v>
      </c>
      <c r="G1242" s="34">
        <f t="shared" si="39"/>
        <v>5.33</v>
      </c>
    </row>
    <row r="1243" spans="2:7" ht="13.8" customHeight="1" x14ac:dyDescent="0.25">
      <c r="B1243" s="33" t="s">
        <v>3</v>
      </c>
      <c r="C1243" s="33">
        <v>2766751</v>
      </c>
      <c r="D1243" s="33">
        <v>6.74</v>
      </c>
      <c r="E1243" s="33" t="s">
        <v>221</v>
      </c>
      <c r="F1243" s="31" t="str">
        <f t="shared" si="38"/>
        <v>E2.34.03</v>
      </c>
      <c r="G1243" s="34">
        <f t="shared" si="39"/>
        <v>6.74</v>
      </c>
    </row>
    <row r="1244" spans="2:7" ht="13.8" customHeight="1" x14ac:dyDescent="0.25">
      <c r="B1244" s="33" t="s">
        <v>3</v>
      </c>
      <c r="C1244" s="33">
        <v>2766815</v>
      </c>
      <c r="D1244" s="33">
        <v>1.1100000000000001</v>
      </c>
      <c r="E1244" s="33" t="s">
        <v>222</v>
      </c>
      <c r="F1244" s="31" t="str">
        <f t="shared" si="38"/>
        <v>D1.09.02</v>
      </c>
      <c r="G1244" s="34">
        <f t="shared" si="39"/>
        <v>1.1100000000000001</v>
      </c>
    </row>
    <row r="1245" spans="2:7" ht="13.8" customHeight="1" x14ac:dyDescent="0.25">
      <c r="B1245" s="33" t="s">
        <v>3</v>
      </c>
      <c r="C1245" s="33">
        <v>2766816</v>
      </c>
      <c r="D1245" s="33">
        <v>1.01</v>
      </c>
      <c r="E1245" s="33" t="s">
        <v>222</v>
      </c>
      <c r="F1245" s="31" t="str">
        <f t="shared" si="38"/>
        <v>D1.09.02</v>
      </c>
      <c r="G1245" s="34">
        <f t="shared" si="39"/>
        <v>1.01</v>
      </c>
    </row>
    <row r="1246" spans="2:7" ht="13.8" customHeight="1" x14ac:dyDescent="0.25">
      <c r="B1246" s="33" t="s">
        <v>3</v>
      </c>
      <c r="C1246" s="33">
        <v>2766817</v>
      </c>
      <c r="D1246" s="33">
        <v>10.039999999999999</v>
      </c>
      <c r="E1246" s="33" t="s">
        <v>222</v>
      </c>
      <c r="F1246" s="31" t="str">
        <f t="shared" si="38"/>
        <v>D1.09.02</v>
      </c>
      <c r="G1246" s="34">
        <f t="shared" si="39"/>
        <v>10.039999999999999</v>
      </c>
    </row>
    <row r="1247" spans="2:7" ht="13.8" customHeight="1" x14ac:dyDescent="0.25">
      <c r="B1247" s="33" t="s">
        <v>3</v>
      </c>
      <c r="C1247" s="33">
        <v>2766824</v>
      </c>
      <c r="D1247" s="33">
        <v>1.21</v>
      </c>
      <c r="E1247" s="33" t="s">
        <v>222</v>
      </c>
      <c r="F1247" s="31" t="str">
        <f t="shared" si="38"/>
        <v>D1.09.02</v>
      </c>
      <c r="G1247" s="34">
        <f t="shared" si="39"/>
        <v>1.21</v>
      </c>
    </row>
    <row r="1248" spans="2:7" ht="13.8" customHeight="1" x14ac:dyDescent="0.25">
      <c r="B1248" s="33" t="s">
        <v>3</v>
      </c>
      <c r="C1248" s="33">
        <v>2766884</v>
      </c>
      <c r="D1248" s="33">
        <v>8.1199999999999992</v>
      </c>
      <c r="E1248" s="33" t="s">
        <v>223</v>
      </c>
      <c r="F1248" s="31" t="str">
        <f t="shared" si="38"/>
        <v>D1.09.03</v>
      </c>
      <c r="G1248" s="34">
        <f t="shared" si="39"/>
        <v>8.1199999999999992</v>
      </c>
    </row>
    <row r="1249" spans="2:7" ht="13.8" customHeight="1" x14ac:dyDescent="0.25">
      <c r="B1249" s="33" t="s">
        <v>3</v>
      </c>
      <c r="C1249" s="33">
        <v>2766885</v>
      </c>
      <c r="D1249" s="33">
        <v>1.1000000000000001</v>
      </c>
      <c r="E1249" s="33" t="s">
        <v>223</v>
      </c>
      <c r="F1249" s="31" t="str">
        <f t="shared" si="38"/>
        <v>D1.09.03</v>
      </c>
      <c r="G1249" s="34">
        <f t="shared" si="39"/>
        <v>1.1000000000000001</v>
      </c>
    </row>
    <row r="1250" spans="2:7" ht="13.8" customHeight="1" x14ac:dyDescent="0.25">
      <c r="B1250" s="33" t="s">
        <v>3</v>
      </c>
      <c r="C1250" s="33">
        <v>2766886</v>
      </c>
      <c r="D1250" s="33">
        <v>3.64</v>
      </c>
      <c r="E1250" s="33" t="s">
        <v>223</v>
      </c>
      <c r="F1250" s="31" t="str">
        <f t="shared" si="38"/>
        <v>D1.09.03</v>
      </c>
      <c r="G1250" s="34">
        <f t="shared" si="39"/>
        <v>3.64</v>
      </c>
    </row>
    <row r="1251" spans="2:7" ht="13.8" customHeight="1" x14ac:dyDescent="0.25">
      <c r="B1251" s="33" t="s">
        <v>3</v>
      </c>
      <c r="C1251" s="33">
        <v>2766953</v>
      </c>
      <c r="D1251" s="33">
        <v>3.25</v>
      </c>
      <c r="E1251" s="33" t="s">
        <v>224</v>
      </c>
      <c r="F1251" s="31" t="str">
        <f t="shared" si="38"/>
        <v>D1.12.01</v>
      </c>
      <c r="G1251" s="34">
        <f t="shared" si="39"/>
        <v>3.25</v>
      </c>
    </row>
    <row r="1252" spans="2:7" ht="13.8" customHeight="1" x14ac:dyDescent="0.25">
      <c r="B1252" s="33" t="s">
        <v>3</v>
      </c>
      <c r="C1252" s="33">
        <v>2766954</v>
      </c>
      <c r="D1252" s="33">
        <v>15.42</v>
      </c>
      <c r="E1252" s="33" t="s">
        <v>224</v>
      </c>
      <c r="F1252" s="31" t="str">
        <f t="shared" si="38"/>
        <v>D1.12.01</v>
      </c>
      <c r="G1252" s="34">
        <f t="shared" si="39"/>
        <v>15.42</v>
      </c>
    </row>
    <row r="1253" spans="2:7" ht="13.8" customHeight="1" x14ac:dyDescent="0.25">
      <c r="B1253" s="33" t="s">
        <v>3</v>
      </c>
      <c r="C1253" s="33">
        <v>2766960</v>
      </c>
      <c r="D1253" s="33">
        <v>4.2699999999999996</v>
      </c>
      <c r="E1253" s="33" t="s">
        <v>224</v>
      </c>
      <c r="F1253" s="31" t="str">
        <f t="shared" si="38"/>
        <v>D1.12.01</v>
      </c>
      <c r="G1253" s="34">
        <f t="shared" si="39"/>
        <v>4.2699999999999996</v>
      </c>
    </row>
    <row r="1254" spans="2:7" ht="13.8" customHeight="1" x14ac:dyDescent="0.25">
      <c r="B1254" s="33" t="s">
        <v>3</v>
      </c>
      <c r="C1254" s="33">
        <v>2766994</v>
      </c>
      <c r="D1254" s="33">
        <v>2.57</v>
      </c>
      <c r="E1254" s="33" t="s">
        <v>225</v>
      </c>
      <c r="F1254" s="31" t="str">
        <f t="shared" si="38"/>
        <v>D1.12.02</v>
      </c>
      <c r="G1254" s="34">
        <f t="shared" si="39"/>
        <v>2.57</v>
      </c>
    </row>
    <row r="1255" spans="2:7" ht="13.8" customHeight="1" x14ac:dyDescent="0.25">
      <c r="B1255" s="33" t="s">
        <v>3</v>
      </c>
      <c r="C1255" s="33">
        <v>2767050</v>
      </c>
      <c r="D1255" s="33">
        <v>2.02</v>
      </c>
      <c r="E1255" s="33" t="s">
        <v>226</v>
      </c>
      <c r="F1255" s="31" t="str">
        <f t="shared" si="38"/>
        <v>D1.08.04</v>
      </c>
      <c r="G1255" s="34">
        <f t="shared" si="39"/>
        <v>2.02</v>
      </c>
    </row>
    <row r="1256" spans="2:7" ht="13.8" customHeight="1" x14ac:dyDescent="0.25">
      <c r="B1256" s="33" t="s">
        <v>3</v>
      </c>
      <c r="C1256" s="33">
        <v>2767051</v>
      </c>
      <c r="D1256" s="33">
        <v>5.88</v>
      </c>
      <c r="E1256" s="33" t="s">
        <v>226</v>
      </c>
      <c r="F1256" s="31" t="str">
        <f t="shared" si="38"/>
        <v>D1.08.04</v>
      </c>
      <c r="G1256" s="34">
        <f t="shared" si="39"/>
        <v>5.88</v>
      </c>
    </row>
    <row r="1257" spans="2:7" ht="13.8" customHeight="1" x14ac:dyDescent="0.25">
      <c r="B1257" s="33" t="s">
        <v>3</v>
      </c>
      <c r="C1257" s="33">
        <v>2767053</v>
      </c>
      <c r="D1257" s="33">
        <v>5.88</v>
      </c>
      <c r="E1257" s="33" t="s">
        <v>226</v>
      </c>
      <c r="F1257" s="31" t="str">
        <f t="shared" si="38"/>
        <v>D1.08.04</v>
      </c>
      <c r="G1257" s="34">
        <f t="shared" si="39"/>
        <v>5.88</v>
      </c>
    </row>
    <row r="1258" spans="2:7" ht="13.8" customHeight="1" x14ac:dyDescent="0.25">
      <c r="B1258" s="33" t="s">
        <v>3</v>
      </c>
      <c r="C1258" s="33">
        <v>2767054</v>
      </c>
      <c r="D1258" s="33">
        <v>2.02</v>
      </c>
      <c r="E1258" s="33" t="s">
        <v>226</v>
      </c>
      <c r="F1258" s="31" t="str">
        <f t="shared" si="38"/>
        <v>D1.08.04</v>
      </c>
      <c r="G1258" s="34">
        <f t="shared" si="39"/>
        <v>2.02</v>
      </c>
    </row>
    <row r="1259" spans="2:7" ht="13.8" customHeight="1" x14ac:dyDescent="0.25">
      <c r="B1259" s="33" t="s">
        <v>3</v>
      </c>
      <c r="C1259" s="33">
        <v>2767100</v>
      </c>
      <c r="D1259" s="33">
        <v>6.88</v>
      </c>
      <c r="E1259" s="33" t="s">
        <v>227</v>
      </c>
      <c r="F1259" s="31" t="str">
        <f t="shared" si="38"/>
        <v>D1.08.05</v>
      </c>
      <c r="G1259" s="34">
        <f t="shared" si="39"/>
        <v>6.88</v>
      </c>
    </row>
    <row r="1260" spans="2:7" ht="13.8" customHeight="1" x14ac:dyDescent="0.25">
      <c r="B1260" s="33" t="s">
        <v>3</v>
      </c>
      <c r="C1260" s="33">
        <v>2772028</v>
      </c>
      <c r="D1260" s="33">
        <v>6.88</v>
      </c>
      <c r="E1260" s="33" t="s">
        <v>227</v>
      </c>
      <c r="F1260" s="31" t="str">
        <f t="shared" si="38"/>
        <v>D1.08.05</v>
      </c>
      <c r="G1260" s="34">
        <f t="shared" si="39"/>
        <v>6.88</v>
      </c>
    </row>
    <row r="1261" spans="2:7" ht="13.8" customHeight="1" x14ac:dyDescent="0.25">
      <c r="B1261" s="33" t="s">
        <v>3</v>
      </c>
      <c r="C1261" s="33">
        <v>2767160</v>
      </c>
      <c r="D1261" s="33">
        <v>10.039999999999999</v>
      </c>
      <c r="E1261" s="33" t="s">
        <v>228</v>
      </c>
      <c r="F1261" s="31" t="str">
        <f t="shared" si="38"/>
        <v>D1.08.02</v>
      </c>
      <c r="G1261" s="34">
        <f t="shared" si="39"/>
        <v>10.039999999999999</v>
      </c>
    </row>
    <row r="1262" spans="2:7" ht="13.8" customHeight="1" x14ac:dyDescent="0.25">
      <c r="B1262" s="33" t="s">
        <v>3</v>
      </c>
      <c r="C1262" s="33">
        <v>2767161</v>
      </c>
      <c r="D1262" s="33">
        <v>1.1100000000000001</v>
      </c>
      <c r="E1262" s="33" t="s">
        <v>228</v>
      </c>
      <c r="F1262" s="31" t="str">
        <f t="shared" si="38"/>
        <v>D1.08.02</v>
      </c>
      <c r="G1262" s="34">
        <f t="shared" si="39"/>
        <v>1.1100000000000001</v>
      </c>
    </row>
    <row r="1263" spans="2:7" ht="13.8" customHeight="1" x14ac:dyDescent="0.25">
      <c r="B1263" s="33" t="s">
        <v>3</v>
      </c>
      <c r="C1263" s="33">
        <v>2767163</v>
      </c>
      <c r="D1263" s="33">
        <v>1.01</v>
      </c>
      <c r="E1263" s="33" t="s">
        <v>228</v>
      </c>
      <c r="F1263" s="31" t="str">
        <f t="shared" si="38"/>
        <v>D1.08.02</v>
      </c>
      <c r="G1263" s="34">
        <f t="shared" si="39"/>
        <v>1.01</v>
      </c>
    </row>
    <row r="1264" spans="2:7" ht="13.8" customHeight="1" x14ac:dyDescent="0.25">
      <c r="B1264" s="33" t="s">
        <v>3</v>
      </c>
      <c r="C1264" s="33">
        <v>2767164</v>
      </c>
      <c r="D1264" s="33">
        <v>1.1499999999999999</v>
      </c>
      <c r="E1264" s="33" t="s">
        <v>228</v>
      </c>
      <c r="F1264" s="31" t="str">
        <f t="shared" si="38"/>
        <v>D1.08.02</v>
      </c>
      <c r="G1264" s="34">
        <f t="shared" si="39"/>
        <v>1.1499999999999999</v>
      </c>
    </row>
    <row r="1265" spans="2:7" ht="13.8" customHeight="1" x14ac:dyDescent="0.25">
      <c r="B1265" s="33" t="s">
        <v>3</v>
      </c>
      <c r="C1265" s="33">
        <v>2767166</v>
      </c>
      <c r="D1265" s="33">
        <v>10.039999999999999</v>
      </c>
      <c r="E1265" s="33" t="s">
        <v>228</v>
      </c>
      <c r="F1265" s="31" t="str">
        <f t="shared" si="38"/>
        <v>D1.08.02</v>
      </c>
      <c r="G1265" s="34">
        <f t="shared" si="39"/>
        <v>10.039999999999999</v>
      </c>
    </row>
    <row r="1266" spans="2:7" ht="13.8" customHeight="1" x14ac:dyDescent="0.25">
      <c r="B1266" s="33" t="s">
        <v>3</v>
      </c>
      <c r="C1266" s="33">
        <v>2767167</v>
      </c>
      <c r="D1266" s="33">
        <v>1.1100000000000001</v>
      </c>
      <c r="E1266" s="33" t="s">
        <v>228</v>
      </c>
      <c r="F1266" s="31" t="str">
        <f t="shared" si="38"/>
        <v>D1.08.02</v>
      </c>
      <c r="G1266" s="34">
        <f t="shared" si="39"/>
        <v>1.1100000000000001</v>
      </c>
    </row>
    <row r="1267" spans="2:7" ht="13.8" customHeight="1" x14ac:dyDescent="0.25">
      <c r="B1267" s="33" t="s">
        <v>3</v>
      </c>
      <c r="C1267" s="33">
        <v>2767169</v>
      </c>
      <c r="D1267" s="33">
        <v>1.01</v>
      </c>
      <c r="E1267" s="33" t="s">
        <v>228</v>
      </c>
      <c r="F1267" s="31" t="str">
        <f t="shared" si="38"/>
        <v>D1.08.02</v>
      </c>
      <c r="G1267" s="34">
        <f t="shared" si="39"/>
        <v>1.01</v>
      </c>
    </row>
    <row r="1268" spans="2:7" ht="13.8" customHeight="1" x14ac:dyDescent="0.25">
      <c r="B1268" s="33" t="s">
        <v>3</v>
      </c>
      <c r="C1268" s="33">
        <v>2767176</v>
      </c>
      <c r="D1268" s="33">
        <v>1.21</v>
      </c>
      <c r="E1268" s="33" t="s">
        <v>228</v>
      </c>
      <c r="F1268" s="31" t="str">
        <f t="shared" si="38"/>
        <v>D1.08.02</v>
      </c>
      <c r="G1268" s="34">
        <f t="shared" si="39"/>
        <v>1.21</v>
      </c>
    </row>
    <row r="1269" spans="2:7" ht="13.8" customHeight="1" x14ac:dyDescent="0.25">
      <c r="B1269" s="33" t="s">
        <v>3</v>
      </c>
      <c r="C1269" s="33">
        <v>2767179</v>
      </c>
      <c r="D1269" s="33">
        <v>1.21</v>
      </c>
      <c r="E1269" s="33" t="s">
        <v>228</v>
      </c>
      <c r="F1269" s="31" t="str">
        <f t="shared" si="38"/>
        <v>D1.08.02</v>
      </c>
      <c r="G1269" s="34">
        <f t="shared" si="39"/>
        <v>1.21</v>
      </c>
    </row>
    <row r="1270" spans="2:7" ht="13.8" customHeight="1" x14ac:dyDescent="0.25">
      <c r="B1270" s="33" t="s">
        <v>3</v>
      </c>
      <c r="C1270" s="33">
        <v>2767215</v>
      </c>
      <c r="D1270" s="33">
        <v>1.1200000000000001</v>
      </c>
      <c r="E1270" s="33" t="s">
        <v>229</v>
      </c>
      <c r="F1270" s="31" t="str">
        <f t="shared" si="38"/>
        <v>D1.08.01</v>
      </c>
      <c r="G1270" s="34">
        <f t="shared" si="39"/>
        <v>1.1200000000000001</v>
      </c>
    </row>
    <row r="1271" spans="2:7" ht="13.8" customHeight="1" x14ac:dyDescent="0.25">
      <c r="B1271" s="33" t="s">
        <v>3</v>
      </c>
      <c r="C1271" s="33">
        <v>2767216</v>
      </c>
      <c r="D1271" s="33">
        <v>1.1200000000000001</v>
      </c>
      <c r="E1271" s="33" t="s">
        <v>229</v>
      </c>
      <c r="F1271" s="31" t="str">
        <f t="shared" si="38"/>
        <v>D1.08.01</v>
      </c>
      <c r="G1271" s="34">
        <f t="shared" si="39"/>
        <v>1.1200000000000001</v>
      </c>
    </row>
    <row r="1272" spans="2:7" ht="13.8" customHeight="1" x14ac:dyDescent="0.25">
      <c r="B1272" s="33" t="s">
        <v>3</v>
      </c>
      <c r="C1272" s="33">
        <v>2772016</v>
      </c>
      <c r="D1272" s="33">
        <v>3.25</v>
      </c>
      <c r="E1272" s="33" t="s">
        <v>229</v>
      </c>
      <c r="F1272" s="31" t="str">
        <f t="shared" si="38"/>
        <v>D1.08.01</v>
      </c>
      <c r="G1272" s="34">
        <f t="shared" si="39"/>
        <v>3.25</v>
      </c>
    </row>
    <row r="1273" spans="2:7" ht="13.8" customHeight="1" x14ac:dyDescent="0.25">
      <c r="B1273" s="33" t="s">
        <v>3</v>
      </c>
      <c r="C1273" s="33">
        <v>2772024</v>
      </c>
      <c r="D1273" s="33">
        <v>3.25</v>
      </c>
      <c r="E1273" s="33" t="s">
        <v>229</v>
      </c>
      <c r="F1273" s="31" t="str">
        <f t="shared" si="38"/>
        <v>D1.08.01</v>
      </c>
      <c r="G1273" s="34">
        <f t="shared" si="39"/>
        <v>3.25</v>
      </c>
    </row>
    <row r="1274" spans="2:7" ht="13.8" customHeight="1" x14ac:dyDescent="0.25">
      <c r="B1274" s="33" t="s">
        <v>3</v>
      </c>
      <c r="C1274" s="33">
        <v>2767274</v>
      </c>
      <c r="D1274" s="33">
        <v>3.64</v>
      </c>
      <c r="E1274" s="33" t="s">
        <v>230</v>
      </c>
      <c r="F1274" s="31" t="str">
        <f t="shared" si="38"/>
        <v>D1.08.03</v>
      </c>
      <c r="G1274" s="34">
        <f t="shared" si="39"/>
        <v>3.64</v>
      </c>
    </row>
    <row r="1275" spans="2:7" ht="13.8" customHeight="1" x14ac:dyDescent="0.25">
      <c r="B1275" s="33" t="s">
        <v>3</v>
      </c>
      <c r="C1275" s="33">
        <v>2767276</v>
      </c>
      <c r="D1275" s="33">
        <v>8.1199999999999992</v>
      </c>
      <c r="E1275" s="33" t="s">
        <v>230</v>
      </c>
      <c r="F1275" s="31" t="str">
        <f t="shared" si="38"/>
        <v>D1.08.03</v>
      </c>
      <c r="G1275" s="34">
        <f t="shared" si="39"/>
        <v>8.1199999999999992</v>
      </c>
    </row>
    <row r="1276" spans="2:7" ht="13.8" customHeight="1" x14ac:dyDescent="0.25">
      <c r="B1276" s="33" t="s">
        <v>3</v>
      </c>
      <c r="C1276" s="33">
        <v>2767277</v>
      </c>
      <c r="D1276" s="33">
        <v>1.1000000000000001</v>
      </c>
      <c r="E1276" s="33" t="s">
        <v>230</v>
      </c>
      <c r="F1276" s="31" t="str">
        <f t="shared" si="38"/>
        <v>D1.08.03</v>
      </c>
      <c r="G1276" s="34">
        <f t="shared" si="39"/>
        <v>1.1000000000000001</v>
      </c>
    </row>
    <row r="1277" spans="2:7" ht="13.8" customHeight="1" x14ac:dyDescent="0.25">
      <c r="B1277" s="33" t="s">
        <v>3</v>
      </c>
      <c r="C1277" s="33">
        <v>2767278</v>
      </c>
      <c r="D1277" s="33">
        <v>3.64</v>
      </c>
      <c r="E1277" s="33" t="s">
        <v>230</v>
      </c>
      <c r="F1277" s="31" t="str">
        <f t="shared" si="38"/>
        <v>D1.08.03</v>
      </c>
      <c r="G1277" s="34">
        <f t="shared" si="39"/>
        <v>3.64</v>
      </c>
    </row>
    <row r="1278" spans="2:7" ht="13.8" customHeight="1" x14ac:dyDescent="0.25">
      <c r="B1278" s="33" t="s">
        <v>3</v>
      </c>
      <c r="C1278" s="33">
        <v>2767280</v>
      </c>
      <c r="D1278" s="33">
        <v>8.1199999999999992</v>
      </c>
      <c r="E1278" s="33" t="s">
        <v>230</v>
      </c>
      <c r="F1278" s="31" t="str">
        <f t="shared" si="38"/>
        <v>D1.08.03</v>
      </c>
      <c r="G1278" s="34">
        <f t="shared" si="39"/>
        <v>8.1199999999999992</v>
      </c>
    </row>
    <row r="1279" spans="2:7" ht="13.8" customHeight="1" x14ac:dyDescent="0.25">
      <c r="B1279" s="33" t="s">
        <v>3</v>
      </c>
      <c r="C1279" s="33">
        <v>2767281</v>
      </c>
      <c r="D1279" s="33">
        <v>1.1000000000000001</v>
      </c>
      <c r="E1279" s="33" t="s">
        <v>230</v>
      </c>
      <c r="F1279" s="31" t="str">
        <f t="shared" si="38"/>
        <v>D1.08.03</v>
      </c>
      <c r="G1279" s="34">
        <f t="shared" si="39"/>
        <v>1.1000000000000001</v>
      </c>
    </row>
    <row r="1280" spans="2:7" ht="13.8" customHeight="1" x14ac:dyDescent="0.25">
      <c r="B1280" s="33" t="s">
        <v>3</v>
      </c>
      <c r="C1280" s="33">
        <v>2767342</v>
      </c>
      <c r="D1280" s="33">
        <v>0.89</v>
      </c>
      <c r="E1280" s="33" t="s">
        <v>231</v>
      </c>
      <c r="F1280" s="31" t="str">
        <f t="shared" si="38"/>
        <v>B1.11.01</v>
      </c>
      <c r="G1280" s="34">
        <f t="shared" si="39"/>
        <v>0.89</v>
      </c>
    </row>
    <row r="1281" spans="2:7" ht="13.8" customHeight="1" x14ac:dyDescent="0.25">
      <c r="B1281" s="33" t="s">
        <v>3</v>
      </c>
      <c r="C1281" s="33">
        <v>2767343</v>
      </c>
      <c r="D1281" s="33">
        <v>6.6</v>
      </c>
      <c r="E1281" s="33" t="s">
        <v>231</v>
      </c>
      <c r="F1281" s="31" t="str">
        <f t="shared" si="38"/>
        <v>B1.11.01</v>
      </c>
      <c r="G1281" s="34">
        <f t="shared" si="39"/>
        <v>6.6</v>
      </c>
    </row>
    <row r="1282" spans="2:7" ht="13.8" customHeight="1" x14ac:dyDescent="0.25">
      <c r="B1282" s="33" t="s">
        <v>3</v>
      </c>
      <c r="C1282" s="33">
        <v>2771971</v>
      </c>
      <c r="D1282" s="33">
        <v>3.49</v>
      </c>
      <c r="E1282" s="33" t="s">
        <v>231</v>
      </c>
      <c r="F1282" s="31" t="str">
        <f t="shared" si="38"/>
        <v>B1.11.01</v>
      </c>
      <c r="G1282" s="34">
        <f t="shared" si="39"/>
        <v>3.49</v>
      </c>
    </row>
    <row r="1283" spans="2:7" ht="13.8" customHeight="1" x14ac:dyDescent="0.25">
      <c r="B1283" s="33" t="s">
        <v>3</v>
      </c>
      <c r="C1283" s="33">
        <v>2771969</v>
      </c>
      <c r="D1283" s="33">
        <v>4.3</v>
      </c>
      <c r="E1283" s="33" t="s">
        <v>232</v>
      </c>
      <c r="F1283" s="31" t="str">
        <f t="shared" si="38"/>
        <v>B1.11.02</v>
      </c>
      <c r="G1283" s="34">
        <f t="shared" si="39"/>
        <v>4.3</v>
      </c>
    </row>
    <row r="1284" spans="2:7" ht="13.8" customHeight="1" x14ac:dyDescent="0.25">
      <c r="B1284" s="33" t="s">
        <v>3</v>
      </c>
      <c r="C1284" s="33">
        <v>2767413</v>
      </c>
      <c r="D1284" s="33">
        <v>6.6</v>
      </c>
      <c r="E1284" s="33" t="s">
        <v>233</v>
      </c>
      <c r="F1284" s="31" t="str">
        <f t="shared" si="38"/>
        <v>B1.07.01</v>
      </c>
      <c r="G1284" s="34">
        <f t="shared" si="39"/>
        <v>6.6</v>
      </c>
    </row>
    <row r="1285" spans="2:7" ht="13.8" customHeight="1" x14ac:dyDescent="0.25">
      <c r="B1285" s="33" t="s">
        <v>3</v>
      </c>
      <c r="C1285" s="33">
        <v>2767414</v>
      </c>
      <c r="D1285" s="33">
        <v>3.82</v>
      </c>
      <c r="E1285" s="33" t="s">
        <v>233</v>
      </c>
      <c r="F1285" s="31" t="str">
        <f t="shared" si="38"/>
        <v>B1.07.01</v>
      </c>
      <c r="G1285" s="34">
        <f t="shared" si="39"/>
        <v>3.82</v>
      </c>
    </row>
    <row r="1286" spans="2:7" ht="13.8" customHeight="1" x14ac:dyDescent="0.25">
      <c r="B1286" s="33" t="s">
        <v>3</v>
      </c>
      <c r="C1286" s="33">
        <v>2767416</v>
      </c>
      <c r="D1286" s="33">
        <v>6.6</v>
      </c>
      <c r="E1286" s="33" t="s">
        <v>233</v>
      </c>
      <c r="F1286" s="31" t="str">
        <f t="shared" si="38"/>
        <v>B1.07.01</v>
      </c>
      <c r="G1286" s="34">
        <f t="shared" si="39"/>
        <v>6.6</v>
      </c>
    </row>
    <row r="1287" spans="2:7" ht="13.8" customHeight="1" x14ac:dyDescent="0.25">
      <c r="B1287" s="33" t="s">
        <v>3</v>
      </c>
      <c r="C1287" s="33">
        <v>2767417</v>
      </c>
      <c r="D1287" s="33">
        <v>3.82</v>
      </c>
      <c r="E1287" s="33" t="s">
        <v>233</v>
      </c>
      <c r="F1287" s="31" t="str">
        <f t="shared" ref="F1287:F1350" si="40">LEFT(E1287,8)</f>
        <v>B1.07.01</v>
      </c>
      <c r="G1287" s="34">
        <f t="shared" ref="G1287:G1350" si="41">D1287</f>
        <v>3.82</v>
      </c>
    </row>
    <row r="1288" spans="2:7" ht="13.8" customHeight="1" x14ac:dyDescent="0.25">
      <c r="B1288" s="33" t="s">
        <v>3</v>
      </c>
      <c r="C1288" s="33">
        <v>2767421</v>
      </c>
      <c r="D1288" s="33">
        <v>0.56999999999999995</v>
      </c>
      <c r="E1288" s="33" t="s">
        <v>233</v>
      </c>
      <c r="F1288" s="31" t="str">
        <f t="shared" si="40"/>
        <v>B1.07.01</v>
      </c>
      <c r="G1288" s="34">
        <f t="shared" si="41"/>
        <v>0.56999999999999995</v>
      </c>
    </row>
    <row r="1289" spans="2:7" ht="13.8" customHeight="1" x14ac:dyDescent="0.25">
      <c r="B1289" s="33" t="s">
        <v>3</v>
      </c>
      <c r="C1289" s="33">
        <v>2767486</v>
      </c>
      <c r="D1289" s="33">
        <v>5.6</v>
      </c>
      <c r="E1289" s="33" t="s">
        <v>234</v>
      </c>
      <c r="F1289" s="31" t="str">
        <f t="shared" si="40"/>
        <v>B1.07.02</v>
      </c>
      <c r="G1289" s="34">
        <f t="shared" si="41"/>
        <v>5.6</v>
      </c>
    </row>
    <row r="1290" spans="2:7" ht="13.8" customHeight="1" x14ac:dyDescent="0.25">
      <c r="B1290" s="33" t="s">
        <v>3</v>
      </c>
      <c r="C1290" s="33">
        <v>2767487</v>
      </c>
      <c r="D1290" s="33">
        <v>5.6</v>
      </c>
      <c r="E1290" s="33" t="s">
        <v>234</v>
      </c>
      <c r="F1290" s="31" t="str">
        <f t="shared" si="40"/>
        <v>B1.07.02</v>
      </c>
      <c r="G1290" s="34">
        <f t="shared" si="41"/>
        <v>5.6</v>
      </c>
    </row>
    <row r="1291" spans="2:7" ht="13.8" customHeight="1" x14ac:dyDescent="0.25">
      <c r="B1291" s="33" t="s">
        <v>3</v>
      </c>
      <c r="C1291" s="33">
        <v>2767493</v>
      </c>
      <c r="D1291" s="33">
        <v>6.7</v>
      </c>
      <c r="E1291" s="33" t="s">
        <v>234</v>
      </c>
      <c r="F1291" s="31" t="str">
        <f t="shared" si="40"/>
        <v>B1.07.02</v>
      </c>
      <c r="G1291" s="34">
        <f t="shared" si="41"/>
        <v>6.7</v>
      </c>
    </row>
    <row r="1292" spans="2:7" ht="13.8" customHeight="1" x14ac:dyDescent="0.25">
      <c r="B1292" s="33" t="s">
        <v>3</v>
      </c>
      <c r="C1292" s="33">
        <v>2773480</v>
      </c>
      <c r="D1292" s="33">
        <v>6.7</v>
      </c>
      <c r="E1292" s="33" t="s">
        <v>234</v>
      </c>
      <c r="F1292" s="31" t="str">
        <f t="shared" si="40"/>
        <v>B1.07.02</v>
      </c>
      <c r="G1292" s="34">
        <f t="shared" si="41"/>
        <v>6.7</v>
      </c>
    </row>
    <row r="1293" spans="2:7" ht="13.8" customHeight="1" x14ac:dyDescent="0.25">
      <c r="B1293" s="33" t="s">
        <v>3</v>
      </c>
      <c r="C1293" s="33">
        <v>2767539</v>
      </c>
      <c r="D1293" s="33">
        <v>6.6</v>
      </c>
      <c r="E1293" s="33" t="s">
        <v>235</v>
      </c>
      <c r="F1293" s="31" t="str">
        <f t="shared" si="40"/>
        <v>B1.07.03</v>
      </c>
      <c r="G1293" s="34">
        <f t="shared" si="41"/>
        <v>6.6</v>
      </c>
    </row>
    <row r="1294" spans="2:7" ht="13.8" customHeight="1" x14ac:dyDescent="0.25">
      <c r="B1294" s="33" t="s">
        <v>3</v>
      </c>
      <c r="C1294" s="33">
        <v>2767542</v>
      </c>
      <c r="D1294" s="33">
        <v>6.6</v>
      </c>
      <c r="E1294" s="33" t="s">
        <v>235</v>
      </c>
      <c r="F1294" s="31" t="str">
        <f t="shared" si="40"/>
        <v>B1.07.03</v>
      </c>
      <c r="G1294" s="34">
        <f t="shared" si="41"/>
        <v>6.6</v>
      </c>
    </row>
    <row r="1295" spans="2:7" ht="13.8" customHeight="1" x14ac:dyDescent="0.25">
      <c r="B1295" s="33" t="s">
        <v>3</v>
      </c>
      <c r="C1295" s="33">
        <v>2767547</v>
      </c>
      <c r="D1295" s="33">
        <v>4.41</v>
      </c>
      <c r="E1295" s="33" t="s">
        <v>235</v>
      </c>
      <c r="F1295" s="31" t="str">
        <f t="shared" si="40"/>
        <v>B1.07.03</v>
      </c>
      <c r="G1295" s="34">
        <f t="shared" si="41"/>
        <v>4.41</v>
      </c>
    </row>
    <row r="1296" spans="2:7" ht="13.8" customHeight="1" x14ac:dyDescent="0.25">
      <c r="B1296" s="33" t="s">
        <v>3</v>
      </c>
      <c r="C1296" s="33">
        <v>2773464</v>
      </c>
      <c r="D1296" s="33">
        <v>4.41</v>
      </c>
      <c r="E1296" s="33" t="s">
        <v>235</v>
      </c>
      <c r="F1296" s="31" t="str">
        <f t="shared" si="40"/>
        <v>B1.07.03</v>
      </c>
      <c r="G1296" s="34">
        <f t="shared" si="41"/>
        <v>4.41</v>
      </c>
    </row>
    <row r="1297" spans="2:7" ht="13.8" customHeight="1" x14ac:dyDescent="0.25">
      <c r="B1297" s="33" t="s">
        <v>3</v>
      </c>
      <c r="C1297" s="33">
        <v>2767580</v>
      </c>
      <c r="D1297" s="33">
        <v>0.77</v>
      </c>
      <c r="E1297" s="33" t="s">
        <v>236</v>
      </c>
      <c r="F1297" s="31" t="str">
        <f t="shared" si="40"/>
        <v>B1.07.04</v>
      </c>
      <c r="G1297" s="34">
        <f t="shared" si="41"/>
        <v>0.77</v>
      </c>
    </row>
    <row r="1298" spans="2:7" ht="13.8" customHeight="1" x14ac:dyDescent="0.25">
      <c r="B1298" s="33" t="s">
        <v>3</v>
      </c>
      <c r="C1298" s="33">
        <v>2767582</v>
      </c>
      <c r="D1298" s="33">
        <v>0.77</v>
      </c>
      <c r="E1298" s="33" t="s">
        <v>236</v>
      </c>
      <c r="F1298" s="31" t="str">
        <f t="shared" si="40"/>
        <v>B1.07.04</v>
      </c>
      <c r="G1298" s="34">
        <f t="shared" si="41"/>
        <v>0.77</v>
      </c>
    </row>
    <row r="1299" spans="2:7" ht="13.8" customHeight="1" x14ac:dyDescent="0.25">
      <c r="B1299" s="33" t="s">
        <v>3</v>
      </c>
      <c r="C1299" s="33">
        <v>2767588</v>
      </c>
      <c r="D1299" s="33">
        <v>3.6</v>
      </c>
      <c r="E1299" s="33" t="s">
        <v>236</v>
      </c>
      <c r="F1299" s="31" t="str">
        <f t="shared" si="40"/>
        <v>B1.07.04</v>
      </c>
      <c r="G1299" s="34">
        <f t="shared" si="41"/>
        <v>3.6</v>
      </c>
    </row>
    <row r="1300" spans="2:7" ht="13.8" customHeight="1" x14ac:dyDescent="0.25">
      <c r="B1300" s="33" t="s">
        <v>3</v>
      </c>
      <c r="C1300" s="33">
        <v>2773471</v>
      </c>
      <c r="D1300" s="33">
        <v>3.6</v>
      </c>
      <c r="E1300" s="33" t="s">
        <v>236</v>
      </c>
      <c r="F1300" s="31" t="str">
        <f t="shared" si="40"/>
        <v>B1.07.04</v>
      </c>
      <c r="G1300" s="34">
        <f t="shared" si="41"/>
        <v>3.6</v>
      </c>
    </row>
    <row r="1301" spans="2:7" ht="13.8" customHeight="1" x14ac:dyDescent="0.25">
      <c r="B1301" s="33" t="s">
        <v>3</v>
      </c>
      <c r="C1301" s="33">
        <v>2767621</v>
      </c>
      <c r="D1301" s="33">
        <v>0.89</v>
      </c>
      <c r="E1301" s="33" t="s">
        <v>237</v>
      </c>
      <c r="F1301" s="31" t="str">
        <f t="shared" si="40"/>
        <v>B1.07.05</v>
      </c>
      <c r="G1301" s="34">
        <f t="shared" si="41"/>
        <v>0.89</v>
      </c>
    </row>
    <row r="1302" spans="2:7" ht="13.8" customHeight="1" x14ac:dyDescent="0.25">
      <c r="B1302" s="33" t="s">
        <v>3</v>
      </c>
      <c r="C1302" s="33">
        <v>2767623</v>
      </c>
      <c r="D1302" s="33">
        <v>3.49</v>
      </c>
      <c r="E1302" s="33" t="s">
        <v>237</v>
      </c>
      <c r="F1302" s="31" t="str">
        <f t="shared" si="40"/>
        <v>B1.07.05</v>
      </c>
      <c r="G1302" s="34">
        <f t="shared" si="41"/>
        <v>3.49</v>
      </c>
    </row>
    <row r="1303" spans="2:7" ht="13.8" customHeight="1" x14ac:dyDescent="0.25">
      <c r="B1303" s="33" t="s">
        <v>3</v>
      </c>
      <c r="C1303" s="33">
        <v>2767627</v>
      </c>
      <c r="D1303" s="33">
        <v>0.89</v>
      </c>
      <c r="E1303" s="33" t="s">
        <v>237</v>
      </c>
      <c r="F1303" s="31" t="str">
        <f t="shared" si="40"/>
        <v>B1.07.05</v>
      </c>
      <c r="G1303" s="34">
        <f t="shared" si="41"/>
        <v>0.89</v>
      </c>
    </row>
    <row r="1304" spans="2:7" ht="13.8" customHeight="1" x14ac:dyDescent="0.25">
      <c r="B1304" s="33" t="s">
        <v>3</v>
      </c>
      <c r="C1304" s="33">
        <v>2773476</v>
      </c>
      <c r="D1304" s="33">
        <v>3.49</v>
      </c>
      <c r="E1304" s="33" t="s">
        <v>237</v>
      </c>
      <c r="F1304" s="31" t="str">
        <f t="shared" si="40"/>
        <v>B1.07.05</v>
      </c>
      <c r="G1304" s="34">
        <f t="shared" si="41"/>
        <v>3.49</v>
      </c>
    </row>
    <row r="1305" spans="2:7" ht="13.8" customHeight="1" x14ac:dyDescent="0.25">
      <c r="B1305" s="33" t="s">
        <v>3</v>
      </c>
      <c r="C1305" s="33">
        <v>2767693</v>
      </c>
      <c r="D1305" s="33">
        <v>5.6</v>
      </c>
      <c r="E1305" s="33" t="s">
        <v>238</v>
      </c>
      <c r="F1305" s="31" t="str">
        <f t="shared" si="40"/>
        <v>B1.08.02</v>
      </c>
      <c r="G1305" s="34">
        <f t="shared" si="41"/>
        <v>5.6</v>
      </c>
    </row>
    <row r="1306" spans="2:7" ht="13.8" customHeight="1" x14ac:dyDescent="0.25">
      <c r="B1306" s="33" t="s">
        <v>3</v>
      </c>
      <c r="C1306" s="33">
        <v>2767698</v>
      </c>
      <c r="D1306" s="33">
        <v>6.7</v>
      </c>
      <c r="E1306" s="33" t="s">
        <v>238</v>
      </c>
      <c r="F1306" s="31" t="str">
        <f t="shared" si="40"/>
        <v>B1.08.02</v>
      </c>
      <c r="G1306" s="34">
        <f t="shared" si="41"/>
        <v>6.7</v>
      </c>
    </row>
    <row r="1307" spans="2:7" ht="13.8" customHeight="1" x14ac:dyDescent="0.25">
      <c r="B1307" s="33" t="s">
        <v>3</v>
      </c>
      <c r="C1307" s="33">
        <v>2767746</v>
      </c>
      <c r="D1307" s="33">
        <v>6.6</v>
      </c>
      <c r="E1307" s="33" t="s">
        <v>239</v>
      </c>
      <c r="F1307" s="31" t="str">
        <f t="shared" si="40"/>
        <v>B1.08.03</v>
      </c>
      <c r="G1307" s="34">
        <f t="shared" si="41"/>
        <v>6.6</v>
      </c>
    </row>
    <row r="1308" spans="2:7" ht="13.8" customHeight="1" x14ac:dyDescent="0.25">
      <c r="B1308" s="33" t="s">
        <v>3</v>
      </c>
      <c r="C1308" s="33">
        <v>2771964</v>
      </c>
      <c r="D1308" s="33">
        <v>4.41</v>
      </c>
      <c r="E1308" s="33" t="s">
        <v>239</v>
      </c>
      <c r="F1308" s="31" t="str">
        <f t="shared" si="40"/>
        <v>B1.08.03</v>
      </c>
      <c r="G1308" s="34">
        <f t="shared" si="41"/>
        <v>4.41</v>
      </c>
    </row>
    <row r="1309" spans="2:7" ht="13.8" customHeight="1" x14ac:dyDescent="0.25">
      <c r="B1309" s="33" t="s">
        <v>3</v>
      </c>
      <c r="C1309" s="33">
        <v>2767814</v>
      </c>
      <c r="D1309" s="33">
        <v>6.67</v>
      </c>
      <c r="E1309" s="33" t="s">
        <v>240</v>
      </c>
      <c r="F1309" s="31" t="str">
        <f t="shared" si="40"/>
        <v>A3.10.01</v>
      </c>
      <c r="G1309" s="34">
        <f t="shared" si="41"/>
        <v>6.67</v>
      </c>
    </row>
    <row r="1310" spans="2:7" ht="13.8" customHeight="1" x14ac:dyDescent="0.25">
      <c r="B1310" s="33" t="s">
        <v>3</v>
      </c>
      <c r="C1310" s="33">
        <v>2767815</v>
      </c>
      <c r="D1310" s="33">
        <v>5.45</v>
      </c>
      <c r="E1310" s="33" t="s">
        <v>240</v>
      </c>
      <c r="F1310" s="31" t="str">
        <f t="shared" si="40"/>
        <v>A3.10.01</v>
      </c>
      <c r="G1310" s="34">
        <f t="shared" si="41"/>
        <v>5.45</v>
      </c>
    </row>
    <row r="1311" spans="2:7" ht="13.8" customHeight="1" x14ac:dyDescent="0.25">
      <c r="B1311" s="33" t="s">
        <v>3</v>
      </c>
      <c r="C1311" s="33">
        <v>2767820</v>
      </c>
      <c r="D1311" s="33">
        <v>0.33</v>
      </c>
      <c r="E1311" s="33" t="s">
        <v>240</v>
      </c>
      <c r="F1311" s="31" t="str">
        <f t="shared" si="40"/>
        <v>A3.10.01</v>
      </c>
      <c r="G1311" s="34">
        <f t="shared" si="41"/>
        <v>0.33</v>
      </c>
    </row>
    <row r="1312" spans="2:7" ht="13.8" customHeight="1" x14ac:dyDescent="0.25">
      <c r="B1312" s="33" t="s">
        <v>3</v>
      </c>
      <c r="C1312" s="33">
        <v>2767884</v>
      </c>
      <c r="D1312" s="33">
        <v>7.7</v>
      </c>
      <c r="E1312" s="33" t="s">
        <v>241</v>
      </c>
      <c r="F1312" s="31" t="str">
        <f t="shared" si="40"/>
        <v>A3.10.05</v>
      </c>
      <c r="G1312" s="34">
        <f t="shared" si="41"/>
        <v>7.7</v>
      </c>
    </row>
    <row r="1313" spans="2:7" ht="13.8" customHeight="1" x14ac:dyDescent="0.25">
      <c r="B1313" s="33" t="s">
        <v>3</v>
      </c>
      <c r="C1313" s="33">
        <v>2767885</v>
      </c>
      <c r="D1313" s="33">
        <v>4.74</v>
      </c>
      <c r="E1313" s="33" t="s">
        <v>241</v>
      </c>
      <c r="F1313" s="31" t="str">
        <f t="shared" si="40"/>
        <v>A3.10.05</v>
      </c>
      <c r="G1313" s="34">
        <f t="shared" si="41"/>
        <v>4.74</v>
      </c>
    </row>
    <row r="1314" spans="2:7" ht="13.8" customHeight="1" x14ac:dyDescent="0.25">
      <c r="B1314" s="33" t="s">
        <v>3</v>
      </c>
      <c r="C1314" s="33">
        <v>2767931</v>
      </c>
      <c r="D1314" s="33">
        <v>3.9</v>
      </c>
      <c r="E1314" s="33" t="s">
        <v>242</v>
      </c>
      <c r="F1314" s="31" t="str">
        <f t="shared" si="40"/>
        <v>A3.10.04</v>
      </c>
      <c r="G1314" s="34">
        <f t="shared" si="41"/>
        <v>3.9</v>
      </c>
    </row>
    <row r="1315" spans="2:7" ht="13.8" customHeight="1" x14ac:dyDescent="0.25">
      <c r="B1315" s="33" t="s">
        <v>3</v>
      </c>
      <c r="C1315" s="33">
        <v>2771939</v>
      </c>
      <c r="D1315" s="33">
        <v>3.99</v>
      </c>
      <c r="E1315" s="33" t="s">
        <v>242</v>
      </c>
      <c r="F1315" s="31" t="str">
        <f t="shared" si="40"/>
        <v>A3.10.04</v>
      </c>
      <c r="G1315" s="34">
        <f t="shared" si="41"/>
        <v>3.99</v>
      </c>
    </row>
    <row r="1316" spans="2:7" ht="13.8" customHeight="1" x14ac:dyDescent="0.25">
      <c r="B1316" s="33" t="s">
        <v>3</v>
      </c>
      <c r="C1316" s="33">
        <v>2768001</v>
      </c>
      <c r="D1316" s="33">
        <v>7.7</v>
      </c>
      <c r="E1316" s="33" t="s">
        <v>243</v>
      </c>
      <c r="F1316" s="31" t="str">
        <f t="shared" si="40"/>
        <v>A3.10.03</v>
      </c>
      <c r="G1316" s="34">
        <f t="shared" si="41"/>
        <v>7.7</v>
      </c>
    </row>
    <row r="1317" spans="2:7" ht="13.8" customHeight="1" x14ac:dyDescent="0.25">
      <c r="B1317" s="33" t="s">
        <v>3</v>
      </c>
      <c r="C1317" s="33">
        <v>2768007</v>
      </c>
      <c r="D1317" s="33">
        <v>4.75</v>
      </c>
      <c r="E1317" s="33" t="s">
        <v>243</v>
      </c>
      <c r="F1317" s="31" t="str">
        <f t="shared" si="40"/>
        <v>A3.10.03</v>
      </c>
      <c r="G1317" s="34">
        <f t="shared" si="41"/>
        <v>4.75</v>
      </c>
    </row>
    <row r="1318" spans="2:7" ht="13.8" customHeight="1" x14ac:dyDescent="0.25">
      <c r="B1318" s="33" t="s">
        <v>3</v>
      </c>
      <c r="C1318" s="33">
        <v>2768071</v>
      </c>
      <c r="D1318" s="33">
        <v>0.33</v>
      </c>
      <c r="E1318" s="33" t="s">
        <v>244</v>
      </c>
      <c r="F1318" s="31" t="str">
        <f t="shared" si="40"/>
        <v>A3.10.02</v>
      </c>
      <c r="G1318" s="34">
        <f t="shared" si="41"/>
        <v>0.33</v>
      </c>
    </row>
    <row r="1319" spans="2:7" ht="13.8" customHeight="1" x14ac:dyDescent="0.25">
      <c r="B1319" s="33" t="s">
        <v>3</v>
      </c>
      <c r="C1319" s="33">
        <v>2768072</v>
      </c>
      <c r="D1319" s="33">
        <v>6.67</v>
      </c>
      <c r="E1319" s="33" t="s">
        <v>244</v>
      </c>
      <c r="F1319" s="31" t="str">
        <f t="shared" si="40"/>
        <v>A3.10.02</v>
      </c>
      <c r="G1319" s="34">
        <f t="shared" si="41"/>
        <v>6.67</v>
      </c>
    </row>
    <row r="1320" spans="2:7" ht="13.8" customHeight="1" x14ac:dyDescent="0.25">
      <c r="B1320" s="33" t="s">
        <v>3</v>
      </c>
      <c r="C1320" s="33">
        <v>2771925</v>
      </c>
      <c r="D1320" s="33">
        <v>5.45</v>
      </c>
      <c r="E1320" s="33" t="s">
        <v>244</v>
      </c>
      <c r="F1320" s="31" t="str">
        <f t="shared" si="40"/>
        <v>A3.10.02</v>
      </c>
      <c r="G1320" s="34">
        <f t="shared" si="41"/>
        <v>5.45</v>
      </c>
    </row>
    <row r="1321" spans="2:7" ht="13.8" customHeight="1" x14ac:dyDescent="0.25">
      <c r="B1321" s="33" t="s">
        <v>3</v>
      </c>
      <c r="C1321" s="33">
        <v>2768147</v>
      </c>
      <c r="D1321" s="33">
        <v>7.7</v>
      </c>
      <c r="E1321" s="33" t="s">
        <v>245</v>
      </c>
      <c r="F1321" s="31" t="str">
        <f t="shared" si="40"/>
        <v>A3.07.05</v>
      </c>
      <c r="G1321" s="34">
        <f t="shared" si="41"/>
        <v>7.7</v>
      </c>
    </row>
    <row r="1322" spans="2:7" ht="13.8" customHeight="1" x14ac:dyDescent="0.25">
      <c r="B1322" s="33" t="s">
        <v>3</v>
      </c>
      <c r="C1322" s="33">
        <v>2768148</v>
      </c>
      <c r="D1322" s="33">
        <v>1.17</v>
      </c>
      <c r="E1322" s="33" t="s">
        <v>245</v>
      </c>
      <c r="F1322" s="31" t="str">
        <f t="shared" si="40"/>
        <v>A3.07.05</v>
      </c>
      <c r="G1322" s="34">
        <f t="shared" si="41"/>
        <v>1.17</v>
      </c>
    </row>
    <row r="1323" spans="2:7" ht="13.8" customHeight="1" x14ac:dyDescent="0.25">
      <c r="B1323" s="33" t="s">
        <v>3</v>
      </c>
      <c r="C1323" s="33">
        <v>2768150</v>
      </c>
      <c r="D1323" s="33">
        <v>7.7</v>
      </c>
      <c r="E1323" s="33" t="s">
        <v>245</v>
      </c>
      <c r="F1323" s="31" t="str">
        <f t="shared" si="40"/>
        <v>A3.07.05</v>
      </c>
      <c r="G1323" s="34">
        <f t="shared" si="41"/>
        <v>7.7</v>
      </c>
    </row>
    <row r="1324" spans="2:7" ht="13.8" customHeight="1" x14ac:dyDescent="0.25">
      <c r="B1324" s="33" t="s">
        <v>3</v>
      </c>
      <c r="C1324" s="33">
        <v>2768151</v>
      </c>
      <c r="D1324" s="33">
        <v>1.17</v>
      </c>
      <c r="E1324" s="33" t="s">
        <v>245</v>
      </c>
      <c r="F1324" s="31" t="str">
        <f t="shared" si="40"/>
        <v>A3.07.05</v>
      </c>
      <c r="G1324" s="34">
        <f t="shared" si="41"/>
        <v>1.17</v>
      </c>
    </row>
    <row r="1325" spans="2:7" ht="13.8" customHeight="1" x14ac:dyDescent="0.25">
      <c r="B1325" s="33" t="s">
        <v>3</v>
      </c>
      <c r="C1325" s="33">
        <v>2773414</v>
      </c>
      <c r="D1325" s="33">
        <v>2.85</v>
      </c>
      <c r="E1325" s="33" t="s">
        <v>245</v>
      </c>
      <c r="F1325" s="31" t="str">
        <f t="shared" si="40"/>
        <v>A3.07.05</v>
      </c>
      <c r="G1325" s="34">
        <f t="shared" si="41"/>
        <v>2.85</v>
      </c>
    </row>
    <row r="1326" spans="2:7" ht="13.8" customHeight="1" x14ac:dyDescent="0.25">
      <c r="B1326" s="33" t="s">
        <v>3</v>
      </c>
      <c r="C1326" s="33">
        <v>2773429</v>
      </c>
      <c r="D1326" s="33">
        <v>4.1399999999999997</v>
      </c>
      <c r="E1326" s="33" t="s">
        <v>245</v>
      </c>
      <c r="F1326" s="31" t="str">
        <f t="shared" si="40"/>
        <v>A3.07.05</v>
      </c>
      <c r="G1326" s="34">
        <f t="shared" si="41"/>
        <v>4.1399999999999997</v>
      </c>
    </row>
    <row r="1327" spans="2:7" ht="13.8" customHeight="1" x14ac:dyDescent="0.25">
      <c r="B1327" s="33" t="s">
        <v>3</v>
      </c>
      <c r="C1327" s="33">
        <v>2768217</v>
      </c>
      <c r="D1327" s="33">
        <v>6.67</v>
      </c>
      <c r="E1327" s="33" t="s">
        <v>246</v>
      </c>
      <c r="F1327" s="31" t="str">
        <f t="shared" si="40"/>
        <v>A3.07.04</v>
      </c>
      <c r="G1327" s="34">
        <f t="shared" si="41"/>
        <v>6.67</v>
      </c>
    </row>
    <row r="1328" spans="2:7" ht="13.8" customHeight="1" x14ac:dyDescent="0.25">
      <c r="B1328" s="33" t="s">
        <v>3</v>
      </c>
      <c r="C1328" s="33">
        <v>2768218</v>
      </c>
      <c r="D1328" s="33">
        <v>0.33</v>
      </c>
      <c r="E1328" s="33" t="s">
        <v>246</v>
      </c>
      <c r="F1328" s="31" t="str">
        <f t="shared" si="40"/>
        <v>A3.07.04</v>
      </c>
      <c r="G1328" s="34">
        <f t="shared" si="41"/>
        <v>0.33</v>
      </c>
    </row>
    <row r="1329" spans="2:7" ht="13.8" customHeight="1" x14ac:dyDescent="0.25">
      <c r="B1329" s="33" t="s">
        <v>3</v>
      </c>
      <c r="C1329" s="33">
        <v>2768220</v>
      </c>
      <c r="D1329" s="33">
        <v>6.67</v>
      </c>
      <c r="E1329" s="33" t="s">
        <v>246</v>
      </c>
      <c r="F1329" s="31" t="str">
        <f t="shared" si="40"/>
        <v>A3.07.04</v>
      </c>
      <c r="G1329" s="34">
        <f t="shared" si="41"/>
        <v>6.67</v>
      </c>
    </row>
    <row r="1330" spans="2:7" ht="13.8" customHeight="1" x14ac:dyDescent="0.25">
      <c r="B1330" s="33" t="s">
        <v>3</v>
      </c>
      <c r="C1330" s="33">
        <v>2768221</v>
      </c>
      <c r="D1330" s="33">
        <v>0.33</v>
      </c>
      <c r="E1330" s="33" t="s">
        <v>246</v>
      </c>
      <c r="F1330" s="31" t="str">
        <f t="shared" si="40"/>
        <v>A3.07.04</v>
      </c>
      <c r="G1330" s="34">
        <f t="shared" si="41"/>
        <v>0.33</v>
      </c>
    </row>
    <row r="1331" spans="2:7" ht="13.8" customHeight="1" x14ac:dyDescent="0.25">
      <c r="B1331" s="33" t="s">
        <v>3</v>
      </c>
      <c r="C1331" s="33">
        <v>2768227</v>
      </c>
      <c r="D1331" s="33">
        <v>5.45</v>
      </c>
      <c r="E1331" s="33" t="s">
        <v>246</v>
      </c>
      <c r="F1331" s="31" t="str">
        <f t="shared" si="40"/>
        <v>A3.07.04</v>
      </c>
      <c r="G1331" s="34">
        <f t="shared" si="41"/>
        <v>5.45</v>
      </c>
    </row>
    <row r="1332" spans="2:7" ht="13.8" customHeight="1" x14ac:dyDescent="0.25">
      <c r="B1332" s="33" t="s">
        <v>3</v>
      </c>
      <c r="C1332" s="33">
        <v>2773463</v>
      </c>
      <c r="D1332" s="33">
        <v>5.45</v>
      </c>
      <c r="E1332" s="33" t="s">
        <v>246</v>
      </c>
      <c r="F1332" s="31" t="str">
        <f t="shared" si="40"/>
        <v>A3.07.04</v>
      </c>
      <c r="G1332" s="34">
        <f t="shared" si="41"/>
        <v>5.45</v>
      </c>
    </row>
    <row r="1333" spans="2:7" ht="13.8" customHeight="1" x14ac:dyDescent="0.25">
      <c r="B1333" s="33" t="s">
        <v>3</v>
      </c>
      <c r="C1333" s="33">
        <v>2768299</v>
      </c>
      <c r="D1333" s="33">
        <v>7.68</v>
      </c>
      <c r="E1333" s="33" t="s">
        <v>247</v>
      </c>
      <c r="F1333" s="31" t="str">
        <f t="shared" si="40"/>
        <v>A3.07.08</v>
      </c>
      <c r="G1333" s="34">
        <f t="shared" si="41"/>
        <v>7.68</v>
      </c>
    </row>
    <row r="1334" spans="2:7" ht="13.8" customHeight="1" x14ac:dyDescent="0.25">
      <c r="B1334" s="33" t="s">
        <v>3</v>
      </c>
      <c r="C1334" s="33">
        <v>2768300</v>
      </c>
      <c r="D1334" s="33">
        <v>7.68</v>
      </c>
      <c r="E1334" s="33" t="s">
        <v>247</v>
      </c>
      <c r="F1334" s="31" t="str">
        <f t="shared" si="40"/>
        <v>A3.07.08</v>
      </c>
      <c r="G1334" s="34">
        <f t="shared" si="41"/>
        <v>7.68</v>
      </c>
    </row>
    <row r="1335" spans="2:7" ht="13.8" customHeight="1" x14ac:dyDescent="0.25">
      <c r="B1335" s="33" t="s">
        <v>3</v>
      </c>
      <c r="C1335" s="33">
        <v>2768304</v>
      </c>
      <c r="D1335" s="33">
        <v>1.1299999999999999</v>
      </c>
      <c r="E1335" s="33" t="s">
        <v>247</v>
      </c>
      <c r="F1335" s="31" t="str">
        <f t="shared" si="40"/>
        <v>A3.07.08</v>
      </c>
      <c r="G1335" s="34">
        <f t="shared" si="41"/>
        <v>1.1299999999999999</v>
      </c>
    </row>
    <row r="1336" spans="2:7" ht="13.8" customHeight="1" x14ac:dyDescent="0.25">
      <c r="B1336" s="33" t="s">
        <v>3</v>
      </c>
      <c r="C1336" s="33">
        <v>2773435</v>
      </c>
      <c r="D1336" s="33">
        <v>1.18</v>
      </c>
      <c r="E1336" s="33" t="s">
        <v>247</v>
      </c>
      <c r="F1336" s="31" t="str">
        <f t="shared" si="40"/>
        <v>A3.07.08</v>
      </c>
      <c r="G1336" s="34">
        <f t="shared" si="41"/>
        <v>1.18</v>
      </c>
    </row>
    <row r="1337" spans="2:7" ht="13.8" customHeight="1" x14ac:dyDescent="0.25">
      <c r="B1337" s="33" t="s">
        <v>3</v>
      </c>
      <c r="C1337" s="33">
        <v>2773437</v>
      </c>
      <c r="D1337" s="33">
        <v>2.84</v>
      </c>
      <c r="E1337" s="33" t="s">
        <v>247</v>
      </c>
      <c r="F1337" s="31" t="str">
        <f t="shared" si="40"/>
        <v>A3.07.08</v>
      </c>
      <c r="G1337" s="34">
        <f t="shared" si="41"/>
        <v>2.84</v>
      </c>
    </row>
    <row r="1338" spans="2:7" ht="13.8" customHeight="1" x14ac:dyDescent="0.25">
      <c r="B1338" s="33" t="s">
        <v>3</v>
      </c>
      <c r="C1338" s="33">
        <v>2773439</v>
      </c>
      <c r="D1338" s="33">
        <v>2.84</v>
      </c>
      <c r="E1338" s="33" t="s">
        <v>247</v>
      </c>
      <c r="F1338" s="31" t="str">
        <f t="shared" si="40"/>
        <v>A3.07.08</v>
      </c>
      <c r="G1338" s="34">
        <f t="shared" si="41"/>
        <v>2.84</v>
      </c>
    </row>
    <row r="1339" spans="2:7" ht="13.8" customHeight="1" x14ac:dyDescent="0.25">
      <c r="B1339" s="33" t="s">
        <v>3</v>
      </c>
      <c r="C1339" s="33">
        <v>2773447</v>
      </c>
      <c r="D1339" s="33">
        <v>0.05</v>
      </c>
      <c r="E1339" s="33" t="s">
        <v>247</v>
      </c>
      <c r="F1339" s="31" t="str">
        <f t="shared" si="40"/>
        <v>A3.07.08</v>
      </c>
      <c r="G1339" s="34">
        <f t="shared" si="41"/>
        <v>0.05</v>
      </c>
    </row>
    <row r="1340" spans="2:7" ht="13.8" customHeight="1" x14ac:dyDescent="0.25">
      <c r="B1340" s="33" t="s">
        <v>3</v>
      </c>
      <c r="C1340" s="33">
        <v>2768369</v>
      </c>
      <c r="D1340" s="33">
        <v>6.67</v>
      </c>
      <c r="E1340" s="33" t="s">
        <v>248</v>
      </c>
      <c r="F1340" s="31" t="str">
        <f t="shared" si="40"/>
        <v>A3.07.01</v>
      </c>
      <c r="G1340" s="34">
        <f t="shared" si="41"/>
        <v>6.67</v>
      </c>
    </row>
    <row r="1341" spans="2:7" ht="13.8" customHeight="1" x14ac:dyDescent="0.25">
      <c r="B1341" s="33" t="s">
        <v>3</v>
      </c>
      <c r="C1341" s="33">
        <v>2768370</v>
      </c>
      <c r="D1341" s="33">
        <v>5.45</v>
      </c>
      <c r="E1341" s="33" t="s">
        <v>248</v>
      </c>
      <c r="F1341" s="31" t="str">
        <f t="shared" si="40"/>
        <v>A3.07.01</v>
      </c>
      <c r="G1341" s="34">
        <f t="shared" si="41"/>
        <v>5.45</v>
      </c>
    </row>
    <row r="1342" spans="2:7" ht="13.8" customHeight="1" x14ac:dyDescent="0.25">
      <c r="B1342" s="33" t="s">
        <v>3</v>
      </c>
      <c r="C1342" s="33">
        <v>2768372</v>
      </c>
      <c r="D1342" s="33">
        <v>6.67</v>
      </c>
      <c r="E1342" s="33" t="s">
        <v>248</v>
      </c>
      <c r="F1342" s="31" t="str">
        <f t="shared" si="40"/>
        <v>A3.07.01</v>
      </c>
      <c r="G1342" s="34">
        <f t="shared" si="41"/>
        <v>6.67</v>
      </c>
    </row>
    <row r="1343" spans="2:7" ht="13.8" customHeight="1" x14ac:dyDescent="0.25">
      <c r="B1343" s="33" t="s">
        <v>3</v>
      </c>
      <c r="C1343" s="33">
        <v>2768373</v>
      </c>
      <c r="D1343" s="33">
        <v>5.45</v>
      </c>
      <c r="E1343" s="33" t="s">
        <v>248</v>
      </c>
      <c r="F1343" s="31" t="str">
        <f t="shared" si="40"/>
        <v>A3.07.01</v>
      </c>
      <c r="G1343" s="34">
        <f t="shared" si="41"/>
        <v>5.45</v>
      </c>
    </row>
    <row r="1344" spans="2:7" ht="13.8" customHeight="1" x14ac:dyDescent="0.25">
      <c r="B1344" s="33" t="s">
        <v>3</v>
      </c>
      <c r="C1344" s="33">
        <v>2768378</v>
      </c>
      <c r="D1344" s="33">
        <v>0.33</v>
      </c>
      <c r="E1344" s="33" t="s">
        <v>248</v>
      </c>
      <c r="F1344" s="31" t="str">
        <f t="shared" si="40"/>
        <v>A3.07.01</v>
      </c>
      <c r="G1344" s="34">
        <f t="shared" si="41"/>
        <v>0.33</v>
      </c>
    </row>
    <row r="1345" spans="2:7" ht="13.8" customHeight="1" x14ac:dyDescent="0.25">
      <c r="B1345" s="33" t="s">
        <v>3</v>
      </c>
      <c r="C1345" s="33">
        <v>2768381</v>
      </c>
      <c r="D1345" s="33">
        <v>0.33</v>
      </c>
      <c r="E1345" s="33" t="s">
        <v>248</v>
      </c>
      <c r="F1345" s="31" t="str">
        <f t="shared" si="40"/>
        <v>A3.07.01</v>
      </c>
      <c r="G1345" s="34">
        <f t="shared" si="41"/>
        <v>0.33</v>
      </c>
    </row>
    <row r="1346" spans="2:7" ht="13.8" customHeight="1" x14ac:dyDescent="0.25">
      <c r="B1346" s="33" t="s">
        <v>3</v>
      </c>
      <c r="C1346" s="33">
        <v>2768453</v>
      </c>
      <c r="D1346" s="33">
        <v>7.62</v>
      </c>
      <c r="E1346" s="33" t="s">
        <v>249</v>
      </c>
      <c r="F1346" s="31" t="str">
        <f t="shared" si="40"/>
        <v>A3.07.02</v>
      </c>
      <c r="G1346" s="34">
        <f t="shared" si="41"/>
        <v>7.62</v>
      </c>
    </row>
    <row r="1347" spans="2:7" ht="13.8" customHeight="1" x14ac:dyDescent="0.25">
      <c r="B1347" s="33" t="s">
        <v>3</v>
      </c>
      <c r="C1347" s="33">
        <v>2768454</v>
      </c>
      <c r="D1347" s="33">
        <v>0.84</v>
      </c>
      <c r="E1347" s="33" t="s">
        <v>249</v>
      </c>
      <c r="F1347" s="31" t="str">
        <f t="shared" si="40"/>
        <v>A3.07.02</v>
      </c>
      <c r="G1347" s="34">
        <f t="shared" si="41"/>
        <v>0.84</v>
      </c>
    </row>
    <row r="1348" spans="2:7" ht="13.8" customHeight="1" x14ac:dyDescent="0.25">
      <c r="B1348" s="33" t="s">
        <v>3</v>
      </c>
      <c r="C1348" s="33">
        <v>2768456</v>
      </c>
      <c r="D1348" s="33">
        <v>7.62</v>
      </c>
      <c r="E1348" s="33" t="s">
        <v>249</v>
      </c>
      <c r="F1348" s="31" t="str">
        <f t="shared" si="40"/>
        <v>A3.07.02</v>
      </c>
      <c r="G1348" s="34">
        <f t="shared" si="41"/>
        <v>7.62</v>
      </c>
    </row>
    <row r="1349" spans="2:7" ht="13.8" customHeight="1" x14ac:dyDescent="0.25">
      <c r="B1349" s="33" t="s">
        <v>3</v>
      </c>
      <c r="C1349" s="33">
        <v>2768466</v>
      </c>
      <c r="D1349" s="33">
        <v>5.18</v>
      </c>
      <c r="E1349" s="33" t="s">
        <v>249</v>
      </c>
      <c r="F1349" s="31" t="str">
        <f t="shared" si="40"/>
        <v>A3.07.02</v>
      </c>
      <c r="G1349" s="34">
        <f t="shared" si="41"/>
        <v>5.18</v>
      </c>
    </row>
    <row r="1350" spans="2:7" ht="13.8" customHeight="1" x14ac:dyDescent="0.25">
      <c r="B1350" s="33" t="s">
        <v>3</v>
      </c>
      <c r="C1350" s="33">
        <v>2768467</v>
      </c>
      <c r="D1350" s="33">
        <v>5.18</v>
      </c>
      <c r="E1350" s="33" t="s">
        <v>249</v>
      </c>
      <c r="F1350" s="31" t="str">
        <f t="shared" si="40"/>
        <v>A3.07.02</v>
      </c>
      <c r="G1350" s="34">
        <f t="shared" si="41"/>
        <v>5.18</v>
      </c>
    </row>
    <row r="1351" spans="2:7" ht="13.8" customHeight="1" x14ac:dyDescent="0.25">
      <c r="B1351" s="33" t="s">
        <v>3</v>
      </c>
      <c r="C1351" s="33">
        <v>2768513</v>
      </c>
      <c r="D1351" s="33">
        <v>4.29</v>
      </c>
      <c r="E1351" s="33" t="s">
        <v>250</v>
      </c>
      <c r="F1351" s="31" t="str">
        <f t="shared" ref="F1351:F1414" si="42">LEFT(E1351,8)</f>
        <v>A3.07.07</v>
      </c>
      <c r="G1351" s="34">
        <f t="shared" ref="G1351:G1414" si="43">D1351</f>
        <v>4.29</v>
      </c>
    </row>
    <row r="1352" spans="2:7" ht="13.8" customHeight="1" x14ac:dyDescent="0.25">
      <c r="B1352" s="33" t="s">
        <v>3</v>
      </c>
      <c r="C1352" s="33">
        <v>2768514</v>
      </c>
      <c r="D1352" s="33">
        <v>4.29</v>
      </c>
      <c r="E1352" s="33" t="s">
        <v>250</v>
      </c>
      <c r="F1352" s="31" t="str">
        <f t="shared" si="42"/>
        <v>A3.07.07</v>
      </c>
      <c r="G1352" s="34">
        <f t="shared" si="43"/>
        <v>4.29</v>
      </c>
    </row>
    <row r="1353" spans="2:7" ht="13.8" customHeight="1" x14ac:dyDescent="0.25">
      <c r="B1353" s="33" t="s">
        <v>3</v>
      </c>
      <c r="C1353" s="33">
        <v>2768582</v>
      </c>
      <c r="D1353" s="33">
        <v>7.62</v>
      </c>
      <c r="E1353" s="33" t="s">
        <v>251</v>
      </c>
      <c r="F1353" s="31" t="str">
        <f t="shared" si="42"/>
        <v>A3.07.03</v>
      </c>
      <c r="G1353" s="34">
        <f t="shared" si="43"/>
        <v>7.62</v>
      </c>
    </row>
    <row r="1354" spans="2:7" ht="13.8" customHeight="1" x14ac:dyDescent="0.25">
      <c r="B1354" s="33" t="s">
        <v>3</v>
      </c>
      <c r="C1354" s="33">
        <v>2768583</v>
      </c>
      <c r="D1354" s="33">
        <v>5.61</v>
      </c>
      <c r="E1354" s="33" t="s">
        <v>251</v>
      </c>
      <c r="F1354" s="31" t="str">
        <f t="shared" si="42"/>
        <v>A3.07.03</v>
      </c>
      <c r="G1354" s="34">
        <f t="shared" si="43"/>
        <v>5.61</v>
      </c>
    </row>
    <row r="1355" spans="2:7" ht="13.8" customHeight="1" x14ac:dyDescent="0.25">
      <c r="B1355" s="33" t="s">
        <v>3</v>
      </c>
      <c r="C1355" s="33">
        <v>2768585</v>
      </c>
      <c r="D1355" s="33">
        <v>7.62</v>
      </c>
      <c r="E1355" s="33" t="s">
        <v>251</v>
      </c>
      <c r="F1355" s="31" t="str">
        <f t="shared" si="42"/>
        <v>A3.07.03</v>
      </c>
      <c r="G1355" s="34">
        <f t="shared" si="43"/>
        <v>7.62</v>
      </c>
    </row>
    <row r="1356" spans="2:7" ht="13.8" customHeight="1" x14ac:dyDescent="0.25">
      <c r="B1356" s="33" t="s">
        <v>3</v>
      </c>
      <c r="C1356" s="33">
        <v>2768586</v>
      </c>
      <c r="D1356" s="33">
        <v>5.61</v>
      </c>
      <c r="E1356" s="33" t="s">
        <v>251</v>
      </c>
      <c r="F1356" s="31" t="str">
        <f t="shared" si="42"/>
        <v>A3.07.03</v>
      </c>
      <c r="G1356" s="34">
        <f t="shared" si="43"/>
        <v>5.61</v>
      </c>
    </row>
    <row r="1357" spans="2:7" ht="13.8" customHeight="1" x14ac:dyDescent="0.25">
      <c r="B1357" s="33" t="s">
        <v>3</v>
      </c>
      <c r="C1357" s="33">
        <v>2768593</v>
      </c>
      <c r="D1357" s="33">
        <v>0.84</v>
      </c>
      <c r="E1357" s="33" t="s">
        <v>251</v>
      </c>
      <c r="F1357" s="31" t="str">
        <f t="shared" si="42"/>
        <v>A3.07.03</v>
      </c>
      <c r="G1357" s="34">
        <f t="shared" si="43"/>
        <v>0.84</v>
      </c>
    </row>
    <row r="1358" spans="2:7" ht="13.8" customHeight="1" x14ac:dyDescent="0.25">
      <c r="B1358" s="33" t="s">
        <v>3</v>
      </c>
      <c r="C1358" s="33">
        <v>2768637</v>
      </c>
      <c r="D1358" s="33">
        <v>4.28</v>
      </c>
      <c r="E1358" s="33" t="s">
        <v>252</v>
      </c>
      <c r="F1358" s="31" t="str">
        <f t="shared" si="42"/>
        <v>A3.07.06</v>
      </c>
      <c r="G1358" s="34">
        <f t="shared" si="43"/>
        <v>4.28</v>
      </c>
    </row>
    <row r="1359" spans="2:7" ht="13.8" customHeight="1" x14ac:dyDescent="0.25">
      <c r="B1359" s="33" t="s">
        <v>3</v>
      </c>
      <c r="C1359" s="33">
        <v>2768639</v>
      </c>
      <c r="D1359" s="33">
        <v>4.28</v>
      </c>
      <c r="E1359" s="33" t="s">
        <v>252</v>
      </c>
      <c r="F1359" s="31" t="str">
        <f t="shared" si="42"/>
        <v>A3.07.06</v>
      </c>
      <c r="G1359" s="34">
        <f t="shared" si="43"/>
        <v>4.28</v>
      </c>
    </row>
    <row r="1360" spans="2:7" ht="13.8" customHeight="1" x14ac:dyDescent="0.25">
      <c r="B1360" s="33" t="s">
        <v>3</v>
      </c>
      <c r="C1360" s="33">
        <v>2768742</v>
      </c>
      <c r="D1360" s="33">
        <v>6</v>
      </c>
      <c r="E1360" s="33" t="s">
        <v>253</v>
      </c>
      <c r="F1360" s="31" t="str">
        <f t="shared" si="42"/>
        <v>A6.10.04</v>
      </c>
      <c r="G1360" s="34">
        <f t="shared" si="43"/>
        <v>6</v>
      </c>
    </row>
    <row r="1361" spans="2:7" ht="13.8" customHeight="1" x14ac:dyDescent="0.25">
      <c r="B1361" s="33" t="s">
        <v>3</v>
      </c>
      <c r="C1361" s="33">
        <v>2768743</v>
      </c>
      <c r="D1361" s="33">
        <v>6</v>
      </c>
      <c r="E1361" s="33" t="s">
        <v>253</v>
      </c>
      <c r="F1361" s="31" t="str">
        <f t="shared" si="42"/>
        <v>A6.10.04</v>
      </c>
      <c r="G1361" s="34">
        <f t="shared" si="43"/>
        <v>6</v>
      </c>
    </row>
    <row r="1362" spans="2:7" ht="13.8" customHeight="1" x14ac:dyDescent="0.25">
      <c r="B1362" s="33" t="s">
        <v>3</v>
      </c>
      <c r="C1362" s="33">
        <v>2768754</v>
      </c>
      <c r="D1362" s="33">
        <v>9.8699999999999992</v>
      </c>
      <c r="E1362" s="33" t="s">
        <v>253</v>
      </c>
      <c r="F1362" s="31" t="str">
        <f t="shared" si="42"/>
        <v>A6.10.04</v>
      </c>
      <c r="G1362" s="34">
        <f t="shared" si="43"/>
        <v>9.8699999999999992</v>
      </c>
    </row>
    <row r="1363" spans="2:7" ht="13.8" customHeight="1" x14ac:dyDescent="0.25">
      <c r="B1363" s="33" t="s">
        <v>3</v>
      </c>
      <c r="C1363" s="33">
        <v>2768840</v>
      </c>
      <c r="D1363" s="33">
        <v>9.33</v>
      </c>
      <c r="E1363" s="33" t="s">
        <v>254</v>
      </c>
      <c r="F1363" s="31" t="str">
        <f t="shared" si="42"/>
        <v>A6.13.01</v>
      </c>
      <c r="G1363" s="34">
        <f t="shared" si="43"/>
        <v>9.33</v>
      </c>
    </row>
    <row r="1364" spans="2:7" ht="13.8" customHeight="1" x14ac:dyDescent="0.25">
      <c r="B1364" s="33" t="s">
        <v>3</v>
      </c>
      <c r="C1364" s="33">
        <v>2768841</v>
      </c>
      <c r="D1364" s="33">
        <v>5.0599999999999996</v>
      </c>
      <c r="E1364" s="33" t="s">
        <v>254</v>
      </c>
      <c r="F1364" s="31" t="str">
        <f t="shared" si="42"/>
        <v>A6.13.01</v>
      </c>
      <c r="G1364" s="34">
        <f t="shared" si="43"/>
        <v>5.0599999999999996</v>
      </c>
    </row>
    <row r="1365" spans="2:7" ht="13.8" customHeight="1" x14ac:dyDescent="0.25">
      <c r="B1365" s="33" t="s">
        <v>3</v>
      </c>
      <c r="C1365" s="33">
        <v>2768910</v>
      </c>
      <c r="D1365" s="33">
        <v>11.03</v>
      </c>
      <c r="E1365" s="33" t="s">
        <v>255</v>
      </c>
      <c r="F1365" s="31" t="str">
        <f t="shared" si="42"/>
        <v>A6.13.02</v>
      </c>
      <c r="G1365" s="34">
        <f t="shared" si="43"/>
        <v>11.03</v>
      </c>
    </row>
    <row r="1366" spans="2:7" ht="13.8" customHeight="1" x14ac:dyDescent="0.25">
      <c r="B1366" s="33" t="s">
        <v>3</v>
      </c>
      <c r="C1366" s="33">
        <v>2768912</v>
      </c>
      <c r="D1366" s="33">
        <v>5.04</v>
      </c>
      <c r="E1366" s="33" t="s">
        <v>255</v>
      </c>
      <c r="F1366" s="31" t="str">
        <f t="shared" si="42"/>
        <v>A6.13.02</v>
      </c>
      <c r="G1366" s="34">
        <f t="shared" si="43"/>
        <v>5.04</v>
      </c>
    </row>
    <row r="1367" spans="2:7" ht="13.8" customHeight="1" x14ac:dyDescent="0.25">
      <c r="B1367" s="33" t="s">
        <v>3</v>
      </c>
      <c r="C1367" s="33">
        <v>2768981</v>
      </c>
      <c r="D1367" s="33">
        <v>5.04</v>
      </c>
      <c r="E1367" s="33" t="s">
        <v>256</v>
      </c>
      <c r="F1367" s="31" t="str">
        <f t="shared" si="42"/>
        <v>A6.13.03</v>
      </c>
      <c r="G1367" s="34">
        <f t="shared" si="43"/>
        <v>5.04</v>
      </c>
    </row>
    <row r="1368" spans="2:7" ht="13.8" customHeight="1" x14ac:dyDescent="0.25">
      <c r="B1368" s="33" t="s">
        <v>3</v>
      </c>
      <c r="C1368" s="33">
        <v>2768987</v>
      </c>
      <c r="D1368" s="33">
        <v>11.03</v>
      </c>
      <c r="E1368" s="33" t="s">
        <v>256</v>
      </c>
      <c r="F1368" s="31" t="str">
        <f t="shared" si="42"/>
        <v>A6.13.03</v>
      </c>
      <c r="G1368" s="34">
        <f t="shared" si="43"/>
        <v>11.03</v>
      </c>
    </row>
    <row r="1369" spans="2:7" ht="13.8" customHeight="1" x14ac:dyDescent="0.25">
      <c r="B1369" s="33" t="s">
        <v>3</v>
      </c>
      <c r="C1369" s="33">
        <v>2769084</v>
      </c>
      <c r="D1369" s="33">
        <v>9.33</v>
      </c>
      <c r="E1369" s="33" t="s">
        <v>257</v>
      </c>
      <c r="F1369" s="31" t="str">
        <f t="shared" si="42"/>
        <v>A6.13.04</v>
      </c>
      <c r="G1369" s="34">
        <f t="shared" si="43"/>
        <v>9.33</v>
      </c>
    </row>
    <row r="1370" spans="2:7" ht="13.8" customHeight="1" x14ac:dyDescent="0.25">
      <c r="B1370" s="33" t="s">
        <v>3</v>
      </c>
      <c r="C1370" s="33">
        <v>2771943</v>
      </c>
      <c r="D1370" s="33">
        <v>5.0599999999999996</v>
      </c>
      <c r="E1370" s="33" t="s">
        <v>257</v>
      </c>
      <c r="F1370" s="31" t="str">
        <f t="shared" si="42"/>
        <v>A6.13.04</v>
      </c>
      <c r="G1370" s="34">
        <f t="shared" si="43"/>
        <v>5.0599999999999996</v>
      </c>
    </row>
    <row r="1371" spans="2:7" ht="13.8" customHeight="1" x14ac:dyDescent="0.25">
      <c r="B1371" s="33" t="s">
        <v>3</v>
      </c>
      <c r="C1371" s="33">
        <v>2769167</v>
      </c>
      <c r="D1371" s="33">
        <v>5.04</v>
      </c>
      <c r="E1371" s="33" t="s">
        <v>258</v>
      </c>
      <c r="F1371" s="31" t="str">
        <f t="shared" si="42"/>
        <v>A6.09.06</v>
      </c>
      <c r="G1371" s="34">
        <f t="shared" si="43"/>
        <v>5.04</v>
      </c>
    </row>
    <row r="1372" spans="2:7" ht="13.8" customHeight="1" x14ac:dyDescent="0.25">
      <c r="B1372" s="33" t="s">
        <v>3</v>
      </c>
      <c r="C1372" s="33">
        <v>2769168</v>
      </c>
      <c r="D1372" s="33">
        <v>3.39</v>
      </c>
      <c r="E1372" s="33" t="s">
        <v>258</v>
      </c>
      <c r="F1372" s="31" t="str">
        <f t="shared" si="42"/>
        <v>A6.09.06</v>
      </c>
      <c r="G1372" s="34">
        <f t="shared" si="43"/>
        <v>3.39</v>
      </c>
    </row>
    <row r="1373" spans="2:7" ht="13.8" customHeight="1" x14ac:dyDescent="0.25">
      <c r="B1373" s="33" t="s">
        <v>3</v>
      </c>
      <c r="C1373" s="33">
        <v>2769170</v>
      </c>
      <c r="D1373" s="33">
        <v>2.37</v>
      </c>
      <c r="E1373" s="33" t="s">
        <v>258</v>
      </c>
      <c r="F1373" s="31" t="str">
        <f t="shared" si="42"/>
        <v>A6.09.06</v>
      </c>
      <c r="G1373" s="34">
        <f t="shared" si="43"/>
        <v>2.37</v>
      </c>
    </row>
    <row r="1374" spans="2:7" ht="13.8" customHeight="1" x14ac:dyDescent="0.25">
      <c r="B1374" s="33" t="s">
        <v>3</v>
      </c>
      <c r="C1374" s="33">
        <v>2769171</v>
      </c>
      <c r="D1374" s="33">
        <v>3.39</v>
      </c>
      <c r="E1374" s="33" t="s">
        <v>258</v>
      </c>
      <c r="F1374" s="31" t="str">
        <f t="shared" si="42"/>
        <v>A6.09.06</v>
      </c>
      <c r="G1374" s="34">
        <f t="shared" si="43"/>
        <v>3.39</v>
      </c>
    </row>
    <row r="1375" spans="2:7" ht="13.8" customHeight="1" x14ac:dyDescent="0.25">
      <c r="B1375" s="33" t="s">
        <v>3</v>
      </c>
      <c r="C1375" s="33">
        <v>2769172</v>
      </c>
      <c r="D1375" s="33">
        <v>5.04</v>
      </c>
      <c r="E1375" s="33" t="s">
        <v>258</v>
      </c>
      <c r="F1375" s="31" t="str">
        <f t="shared" si="42"/>
        <v>A6.09.06</v>
      </c>
      <c r="G1375" s="34">
        <f t="shared" si="43"/>
        <v>5.04</v>
      </c>
    </row>
    <row r="1376" spans="2:7" ht="13.8" customHeight="1" x14ac:dyDescent="0.25">
      <c r="B1376" s="33" t="s">
        <v>3</v>
      </c>
      <c r="C1376" s="33">
        <v>2769173</v>
      </c>
      <c r="D1376" s="33">
        <v>2.37</v>
      </c>
      <c r="E1376" s="33" t="s">
        <v>258</v>
      </c>
      <c r="F1376" s="31" t="str">
        <f t="shared" si="42"/>
        <v>A6.09.06</v>
      </c>
      <c r="G1376" s="34">
        <f t="shared" si="43"/>
        <v>2.37</v>
      </c>
    </row>
    <row r="1377" spans="2:7" ht="13.8" customHeight="1" x14ac:dyDescent="0.25">
      <c r="B1377" s="33" t="s">
        <v>3</v>
      </c>
      <c r="C1377" s="33">
        <v>2769177</v>
      </c>
      <c r="D1377" s="33">
        <v>0.56000000000000005</v>
      </c>
      <c r="E1377" s="33" t="s">
        <v>258</v>
      </c>
      <c r="F1377" s="31" t="str">
        <f t="shared" si="42"/>
        <v>A6.09.06</v>
      </c>
      <c r="G1377" s="34">
        <f t="shared" si="43"/>
        <v>0.56000000000000005</v>
      </c>
    </row>
    <row r="1378" spans="2:7" ht="13.8" customHeight="1" x14ac:dyDescent="0.25">
      <c r="B1378" s="33" t="s">
        <v>3</v>
      </c>
      <c r="C1378" s="33">
        <v>2773513</v>
      </c>
      <c r="D1378" s="33">
        <v>0.61</v>
      </c>
      <c r="E1378" s="33" t="s">
        <v>258</v>
      </c>
      <c r="F1378" s="31" t="str">
        <f t="shared" si="42"/>
        <v>A6.09.06</v>
      </c>
      <c r="G1378" s="34">
        <f t="shared" si="43"/>
        <v>0.61</v>
      </c>
    </row>
    <row r="1379" spans="2:7" ht="13.8" customHeight="1" x14ac:dyDescent="0.25">
      <c r="B1379" s="33" t="s">
        <v>3</v>
      </c>
      <c r="C1379" s="33">
        <v>2769273</v>
      </c>
      <c r="D1379" s="33">
        <v>9.33</v>
      </c>
      <c r="E1379" s="33" t="s">
        <v>259</v>
      </c>
      <c r="F1379" s="31" t="str">
        <f t="shared" si="42"/>
        <v>A6.09.07</v>
      </c>
      <c r="G1379" s="34">
        <f t="shared" si="43"/>
        <v>9.33</v>
      </c>
    </row>
    <row r="1380" spans="2:7" ht="13.8" customHeight="1" x14ac:dyDescent="0.25">
      <c r="B1380" s="33" t="s">
        <v>3</v>
      </c>
      <c r="C1380" s="33">
        <v>2769276</v>
      </c>
      <c r="D1380" s="33">
        <v>9.33</v>
      </c>
      <c r="E1380" s="33" t="s">
        <v>259</v>
      </c>
      <c r="F1380" s="31" t="str">
        <f t="shared" si="42"/>
        <v>A6.09.07</v>
      </c>
      <c r="G1380" s="34">
        <f t="shared" si="43"/>
        <v>9.33</v>
      </c>
    </row>
    <row r="1381" spans="2:7" ht="13.8" customHeight="1" x14ac:dyDescent="0.25">
      <c r="B1381" s="33" t="s">
        <v>3</v>
      </c>
      <c r="C1381" s="33">
        <v>2769283</v>
      </c>
      <c r="D1381" s="33">
        <v>5.0599999999999996</v>
      </c>
      <c r="E1381" s="33" t="s">
        <v>259</v>
      </c>
      <c r="F1381" s="31" t="str">
        <f t="shared" si="42"/>
        <v>A6.09.07</v>
      </c>
      <c r="G1381" s="34">
        <f t="shared" si="43"/>
        <v>5.0599999999999996</v>
      </c>
    </row>
    <row r="1382" spans="2:7" ht="13.8" customHeight="1" x14ac:dyDescent="0.25">
      <c r="B1382" s="33" t="s">
        <v>3</v>
      </c>
      <c r="C1382" s="33">
        <v>2773504</v>
      </c>
      <c r="D1382" s="33">
        <v>5.0599999999999996</v>
      </c>
      <c r="E1382" s="33" t="s">
        <v>259</v>
      </c>
      <c r="F1382" s="31" t="str">
        <f t="shared" si="42"/>
        <v>A6.09.07</v>
      </c>
      <c r="G1382" s="34">
        <f t="shared" si="43"/>
        <v>5.0599999999999996</v>
      </c>
    </row>
    <row r="1383" spans="2:7" ht="13.8" customHeight="1" x14ac:dyDescent="0.25">
      <c r="B1383" s="33" t="s">
        <v>3</v>
      </c>
      <c r="C1383" s="33">
        <v>2769368</v>
      </c>
      <c r="D1383" s="33">
        <v>0.56000000000000005</v>
      </c>
      <c r="E1383" s="33" t="s">
        <v>260</v>
      </c>
      <c r="F1383" s="31" t="str">
        <f t="shared" si="42"/>
        <v>A6.09.02</v>
      </c>
      <c r="G1383" s="34">
        <f t="shared" si="43"/>
        <v>0.56000000000000005</v>
      </c>
    </row>
    <row r="1384" spans="2:7" ht="13.8" customHeight="1" x14ac:dyDescent="0.25">
      <c r="B1384" s="33" t="s">
        <v>3</v>
      </c>
      <c r="C1384" s="33">
        <v>2769370</v>
      </c>
      <c r="D1384" s="33">
        <v>2.37</v>
      </c>
      <c r="E1384" s="33" t="s">
        <v>260</v>
      </c>
      <c r="F1384" s="31" t="str">
        <f t="shared" si="42"/>
        <v>A6.09.02</v>
      </c>
      <c r="G1384" s="34">
        <f t="shared" si="43"/>
        <v>2.37</v>
      </c>
    </row>
    <row r="1385" spans="2:7" ht="13.8" customHeight="1" x14ac:dyDescent="0.25">
      <c r="B1385" s="33" t="s">
        <v>3</v>
      </c>
      <c r="C1385" s="33">
        <v>2769371</v>
      </c>
      <c r="D1385" s="33">
        <v>5.04</v>
      </c>
      <c r="E1385" s="33" t="s">
        <v>260</v>
      </c>
      <c r="F1385" s="31" t="str">
        <f t="shared" si="42"/>
        <v>A6.09.02</v>
      </c>
      <c r="G1385" s="34">
        <f t="shared" si="43"/>
        <v>5.04</v>
      </c>
    </row>
    <row r="1386" spans="2:7" ht="13.8" customHeight="1" x14ac:dyDescent="0.25">
      <c r="B1386" s="33" t="s">
        <v>3</v>
      </c>
      <c r="C1386" s="33">
        <v>2769372</v>
      </c>
      <c r="D1386" s="33">
        <v>5.04</v>
      </c>
      <c r="E1386" s="33" t="s">
        <v>260</v>
      </c>
      <c r="F1386" s="31" t="str">
        <f t="shared" si="42"/>
        <v>A6.09.02</v>
      </c>
      <c r="G1386" s="34">
        <f t="shared" si="43"/>
        <v>5.04</v>
      </c>
    </row>
    <row r="1387" spans="2:7" ht="13.8" customHeight="1" x14ac:dyDescent="0.25">
      <c r="B1387" s="33" t="s">
        <v>3</v>
      </c>
      <c r="C1387" s="33">
        <v>2769373</v>
      </c>
      <c r="D1387" s="33">
        <v>2.37</v>
      </c>
      <c r="E1387" s="33" t="s">
        <v>260</v>
      </c>
      <c r="F1387" s="31" t="str">
        <f t="shared" si="42"/>
        <v>A6.09.02</v>
      </c>
      <c r="G1387" s="34">
        <f t="shared" si="43"/>
        <v>2.37</v>
      </c>
    </row>
    <row r="1388" spans="2:7" ht="13.8" customHeight="1" x14ac:dyDescent="0.25">
      <c r="B1388" s="33" t="s">
        <v>3</v>
      </c>
      <c r="C1388" s="33">
        <v>2769379</v>
      </c>
      <c r="D1388" s="33">
        <v>3.39</v>
      </c>
      <c r="E1388" s="33" t="s">
        <v>260</v>
      </c>
      <c r="F1388" s="31" t="str">
        <f t="shared" si="42"/>
        <v>A6.09.02</v>
      </c>
      <c r="G1388" s="34">
        <f t="shared" si="43"/>
        <v>3.39</v>
      </c>
    </row>
    <row r="1389" spans="2:7" ht="13.8" customHeight="1" x14ac:dyDescent="0.25">
      <c r="B1389" s="33" t="s">
        <v>3</v>
      </c>
      <c r="C1389" s="33">
        <v>2769381</v>
      </c>
      <c r="D1389" s="33">
        <v>3.39</v>
      </c>
      <c r="E1389" s="33" t="s">
        <v>260</v>
      </c>
      <c r="F1389" s="31" t="str">
        <f t="shared" si="42"/>
        <v>A6.09.02</v>
      </c>
      <c r="G1389" s="34">
        <f t="shared" si="43"/>
        <v>3.39</v>
      </c>
    </row>
    <row r="1390" spans="2:7" ht="13.8" customHeight="1" x14ac:dyDescent="0.25">
      <c r="B1390" s="33" t="s">
        <v>3</v>
      </c>
      <c r="C1390" s="33">
        <v>2769436</v>
      </c>
      <c r="D1390" s="33">
        <v>5.13</v>
      </c>
      <c r="E1390" s="33" t="s">
        <v>261</v>
      </c>
      <c r="F1390" s="31" t="str">
        <f t="shared" si="42"/>
        <v>A6.09.03</v>
      </c>
      <c r="G1390" s="34">
        <f t="shared" si="43"/>
        <v>5.13</v>
      </c>
    </row>
    <row r="1391" spans="2:7" ht="13.8" customHeight="1" x14ac:dyDescent="0.25">
      <c r="B1391" s="33" t="s">
        <v>3</v>
      </c>
      <c r="C1391" s="33">
        <v>2769437</v>
      </c>
      <c r="D1391" s="33">
        <v>5.13</v>
      </c>
      <c r="E1391" s="33" t="s">
        <v>261</v>
      </c>
      <c r="F1391" s="31" t="str">
        <f t="shared" si="42"/>
        <v>A6.09.03</v>
      </c>
      <c r="G1391" s="34">
        <f t="shared" si="43"/>
        <v>5.13</v>
      </c>
    </row>
    <row r="1392" spans="2:7" ht="13.8" customHeight="1" x14ac:dyDescent="0.25">
      <c r="B1392" s="33" t="s">
        <v>3</v>
      </c>
      <c r="C1392" s="33">
        <v>2769537</v>
      </c>
      <c r="D1392" s="33">
        <v>6</v>
      </c>
      <c r="E1392" s="33" t="s">
        <v>262</v>
      </c>
      <c r="F1392" s="31" t="str">
        <f t="shared" si="42"/>
        <v>A6.09.04</v>
      </c>
      <c r="G1392" s="34">
        <f t="shared" si="43"/>
        <v>6</v>
      </c>
    </row>
    <row r="1393" spans="2:7" ht="13.8" customHeight="1" x14ac:dyDescent="0.25">
      <c r="B1393" s="33" t="s">
        <v>3</v>
      </c>
      <c r="C1393" s="33">
        <v>2769538</v>
      </c>
      <c r="D1393" s="33">
        <v>0.67</v>
      </c>
      <c r="E1393" s="33" t="s">
        <v>262</v>
      </c>
      <c r="F1393" s="31" t="str">
        <f t="shared" si="42"/>
        <v>A6.09.04</v>
      </c>
      <c r="G1393" s="34">
        <f t="shared" si="43"/>
        <v>0.67</v>
      </c>
    </row>
    <row r="1394" spans="2:7" ht="13.8" customHeight="1" x14ac:dyDescent="0.25">
      <c r="B1394" s="33" t="s">
        <v>3</v>
      </c>
      <c r="C1394" s="33">
        <v>2769540</v>
      </c>
      <c r="D1394" s="33">
        <v>6</v>
      </c>
      <c r="E1394" s="33" t="s">
        <v>262</v>
      </c>
      <c r="F1394" s="31" t="str">
        <f t="shared" si="42"/>
        <v>A6.09.04</v>
      </c>
      <c r="G1394" s="34">
        <f t="shared" si="43"/>
        <v>6</v>
      </c>
    </row>
    <row r="1395" spans="2:7" ht="13.8" customHeight="1" x14ac:dyDescent="0.25">
      <c r="B1395" s="33" t="s">
        <v>3</v>
      </c>
      <c r="C1395" s="33">
        <v>2769541</v>
      </c>
      <c r="D1395" s="33">
        <v>6</v>
      </c>
      <c r="E1395" s="33" t="s">
        <v>262</v>
      </c>
      <c r="F1395" s="31" t="str">
        <f t="shared" si="42"/>
        <v>A6.09.04</v>
      </c>
      <c r="G1395" s="34">
        <f t="shared" si="43"/>
        <v>6</v>
      </c>
    </row>
    <row r="1396" spans="2:7" ht="13.8" customHeight="1" x14ac:dyDescent="0.25">
      <c r="B1396" s="33" t="s">
        <v>3</v>
      </c>
      <c r="C1396" s="33">
        <v>2769542</v>
      </c>
      <c r="D1396" s="33">
        <v>6</v>
      </c>
      <c r="E1396" s="33" t="s">
        <v>262</v>
      </c>
      <c r="F1396" s="31" t="str">
        <f t="shared" si="42"/>
        <v>A6.09.04</v>
      </c>
      <c r="G1396" s="34">
        <f t="shared" si="43"/>
        <v>6</v>
      </c>
    </row>
    <row r="1397" spans="2:7" ht="13.8" customHeight="1" x14ac:dyDescent="0.25">
      <c r="B1397" s="33" t="s">
        <v>3</v>
      </c>
      <c r="C1397" s="33">
        <v>2769553</v>
      </c>
      <c r="D1397" s="33">
        <v>9.8699999999999992</v>
      </c>
      <c r="E1397" s="33" t="s">
        <v>262</v>
      </c>
      <c r="F1397" s="31" t="str">
        <f t="shared" si="42"/>
        <v>A6.09.04</v>
      </c>
      <c r="G1397" s="34">
        <f t="shared" si="43"/>
        <v>9.8699999999999992</v>
      </c>
    </row>
    <row r="1398" spans="2:7" ht="13.8" customHeight="1" x14ac:dyDescent="0.25">
      <c r="B1398" s="33" t="s">
        <v>3</v>
      </c>
      <c r="C1398" s="33">
        <v>2769556</v>
      </c>
      <c r="D1398" s="33">
        <v>9.8699999999999992</v>
      </c>
      <c r="E1398" s="33" t="s">
        <v>262</v>
      </c>
      <c r="F1398" s="31" t="str">
        <f t="shared" si="42"/>
        <v>A6.09.04</v>
      </c>
      <c r="G1398" s="34">
        <f t="shared" si="43"/>
        <v>9.8699999999999992</v>
      </c>
    </row>
    <row r="1399" spans="2:7" ht="13.8" customHeight="1" x14ac:dyDescent="0.25">
      <c r="B1399" s="33" t="s">
        <v>3</v>
      </c>
      <c r="C1399" s="33">
        <v>2769640</v>
      </c>
      <c r="D1399" s="33">
        <v>9.33</v>
      </c>
      <c r="E1399" s="33" t="s">
        <v>263</v>
      </c>
      <c r="F1399" s="31" t="str">
        <f t="shared" si="42"/>
        <v>A6.09.01</v>
      </c>
      <c r="G1399" s="34">
        <f t="shared" si="43"/>
        <v>9.33</v>
      </c>
    </row>
    <row r="1400" spans="2:7" ht="13.8" customHeight="1" x14ac:dyDescent="0.25">
      <c r="B1400" s="33" t="s">
        <v>3</v>
      </c>
      <c r="C1400" s="33">
        <v>2769641</v>
      </c>
      <c r="D1400" s="33">
        <v>5.0599999999999996</v>
      </c>
      <c r="E1400" s="33" t="s">
        <v>263</v>
      </c>
      <c r="F1400" s="31" t="str">
        <f t="shared" si="42"/>
        <v>A6.09.01</v>
      </c>
      <c r="G1400" s="34">
        <f t="shared" si="43"/>
        <v>5.0599999999999996</v>
      </c>
    </row>
    <row r="1401" spans="2:7" ht="13.8" customHeight="1" x14ac:dyDescent="0.25">
      <c r="B1401" s="33" t="s">
        <v>3</v>
      </c>
      <c r="C1401" s="33">
        <v>2769643</v>
      </c>
      <c r="D1401" s="33">
        <v>9.33</v>
      </c>
      <c r="E1401" s="33" t="s">
        <v>263</v>
      </c>
      <c r="F1401" s="31" t="str">
        <f t="shared" si="42"/>
        <v>A6.09.01</v>
      </c>
      <c r="G1401" s="34">
        <f t="shared" si="43"/>
        <v>9.33</v>
      </c>
    </row>
    <row r="1402" spans="2:7" ht="13.8" customHeight="1" x14ac:dyDescent="0.25">
      <c r="B1402" s="33" t="s">
        <v>3</v>
      </c>
      <c r="C1402" s="33">
        <v>2769650</v>
      </c>
      <c r="D1402" s="33">
        <v>5.0599999999999996</v>
      </c>
      <c r="E1402" s="33" t="s">
        <v>263</v>
      </c>
      <c r="F1402" s="31" t="str">
        <f t="shared" si="42"/>
        <v>A6.09.01</v>
      </c>
      <c r="G1402" s="34">
        <f t="shared" si="43"/>
        <v>5.0599999999999996</v>
      </c>
    </row>
    <row r="1403" spans="2:7" ht="13.8" customHeight="1" x14ac:dyDescent="0.25">
      <c r="B1403" s="33" t="s">
        <v>3</v>
      </c>
      <c r="C1403" s="33">
        <v>2769708</v>
      </c>
      <c r="D1403" s="33">
        <v>5.13</v>
      </c>
      <c r="E1403" s="33" t="s">
        <v>264</v>
      </c>
      <c r="F1403" s="31" t="str">
        <f t="shared" si="42"/>
        <v>A6.09.05</v>
      </c>
      <c r="G1403" s="34">
        <f t="shared" si="43"/>
        <v>5.13</v>
      </c>
    </row>
    <row r="1404" spans="2:7" ht="13.8" customHeight="1" x14ac:dyDescent="0.25">
      <c r="B1404" s="33" t="s">
        <v>3</v>
      </c>
      <c r="C1404" s="33">
        <v>2769709</v>
      </c>
      <c r="D1404" s="33">
        <v>5.13</v>
      </c>
      <c r="E1404" s="33" t="s">
        <v>264</v>
      </c>
      <c r="F1404" s="31" t="str">
        <f t="shared" si="42"/>
        <v>A6.09.05</v>
      </c>
      <c r="G1404" s="34">
        <f t="shared" si="43"/>
        <v>5.13</v>
      </c>
    </row>
    <row r="1405" spans="2:7" ht="13.8" customHeight="1" x14ac:dyDescent="0.25">
      <c r="B1405" s="33" t="s">
        <v>3</v>
      </c>
      <c r="C1405" s="33">
        <v>2769739</v>
      </c>
      <c r="D1405" s="33">
        <v>0.56000000000000005</v>
      </c>
      <c r="E1405" s="33" t="s">
        <v>265</v>
      </c>
      <c r="F1405" s="31" t="str">
        <f t="shared" si="42"/>
        <v>B1.02.01</v>
      </c>
      <c r="G1405" s="34">
        <f t="shared" si="43"/>
        <v>0.56000000000000005</v>
      </c>
    </row>
    <row r="1406" spans="2:7" ht="13.8" customHeight="1" x14ac:dyDescent="0.25">
      <c r="B1406" s="33" t="s">
        <v>3</v>
      </c>
      <c r="C1406" s="33">
        <v>2769743</v>
      </c>
      <c r="D1406" s="33">
        <v>3.82</v>
      </c>
      <c r="E1406" s="33" t="s">
        <v>265</v>
      </c>
      <c r="F1406" s="31" t="str">
        <f t="shared" si="42"/>
        <v>B1.02.01</v>
      </c>
      <c r="G1406" s="34">
        <f t="shared" si="43"/>
        <v>3.82</v>
      </c>
    </row>
    <row r="1407" spans="2:7" ht="13.8" customHeight="1" x14ac:dyDescent="0.25">
      <c r="B1407" s="33" t="s">
        <v>3</v>
      </c>
      <c r="C1407" s="33">
        <v>2769801</v>
      </c>
      <c r="D1407" s="33">
        <v>6.7</v>
      </c>
      <c r="E1407" s="33" t="s">
        <v>266</v>
      </c>
      <c r="F1407" s="31" t="str">
        <f t="shared" si="42"/>
        <v>B1.02.02</v>
      </c>
      <c r="G1407" s="34">
        <f t="shared" si="43"/>
        <v>6.7</v>
      </c>
    </row>
    <row r="1408" spans="2:7" ht="13.8" customHeight="1" x14ac:dyDescent="0.25">
      <c r="B1408" s="33" t="s">
        <v>3</v>
      </c>
      <c r="C1408" s="33">
        <v>2769803</v>
      </c>
      <c r="D1408" s="33">
        <v>5.6</v>
      </c>
      <c r="E1408" s="33" t="s">
        <v>266</v>
      </c>
      <c r="F1408" s="31" t="str">
        <f t="shared" si="42"/>
        <v>B1.02.02</v>
      </c>
      <c r="G1408" s="34">
        <f t="shared" si="43"/>
        <v>5.6</v>
      </c>
    </row>
    <row r="1409" spans="2:7" ht="13.8" customHeight="1" x14ac:dyDescent="0.25">
      <c r="B1409" s="33" t="s">
        <v>3</v>
      </c>
      <c r="C1409" s="33">
        <v>2769869</v>
      </c>
      <c r="D1409" s="33">
        <v>1.01</v>
      </c>
      <c r="E1409" s="33" t="s">
        <v>267</v>
      </c>
      <c r="F1409" s="31" t="str">
        <f t="shared" si="42"/>
        <v>D1.02.02</v>
      </c>
      <c r="G1409" s="34">
        <f t="shared" si="43"/>
        <v>1.01</v>
      </c>
    </row>
    <row r="1410" spans="2:7" ht="13.8" customHeight="1" x14ac:dyDescent="0.25">
      <c r="B1410" s="33" t="s">
        <v>3</v>
      </c>
      <c r="C1410" s="33">
        <v>2769870</v>
      </c>
      <c r="D1410" s="33">
        <v>1.1100000000000001</v>
      </c>
      <c r="E1410" s="33" t="s">
        <v>267</v>
      </c>
      <c r="F1410" s="31" t="str">
        <f t="shared" si="42"/>
        <v>D1.02.02</v>
      </c>
      <c r="G1410" s="34">
        <f t="shared" si="43"/>
        <v>1.1100000000000001</v>
      </c>
    </row>
    <row r="1411" spans="2:7" ht="13.8" customHeight="1" x14ac:dyDescent="0.25">
      <c r="B1411" s="33" t="s">
        <v>3</v>
      </c>
      <c r="C1411" s="33">
        <v>2769871</v>
      </c>
      <c r="D1411" s="33">
        <v>10.039999999999999</v>
      </c>
      <c r="E1411" s="33" t="s">
        <v>267</v>
      </c>
      <c r="F1411" s="31" t="str">
        <f t="shared" si="42"/>
        <v>D1.02.02</v>
      </c>
      <c r="G1411" s="34">
        <f t="shared" si="43"/>
        <v>10.039999999999999</v>
      </c>
    </row>
    <row r="1412" spans="2:7" ht="13.8" customHeight="1" x14ac:dyDescent="0.25">
      <c r="B1412" s="33" t="s">
        <v>3</v>
      </c>
      <c r="C1412" s="33">
        <v>2769872</v>
      </c>
      <c r="D1412" s="33">
        <v>1.1499999999999999</v>
      </c>
      <c r="E1412" s="33" t="s">
        <v>267</v>
      </c>
      <c r="F1412" s="31" t="str">
        <f t="shared" si="42"/>
        <v>D1.02.02</v>
      </c>
      <c r="G1412" s="34">
        <f t="shared" si="43"/>
        <v>1.1499999999999999</v>
      </c>
    </row>
    <row r="1413" spans="2:7" ht="13.8" customHeight="1" x14ac:dyDescent="0.25">
      <c r="B1413" s="33" t="s">
        <v>3</v>
      </c>
      <c r="C1413" s="33">
        <v>2769880</v>
      </c>
      <c r="D1413" s="33">
        <v>1.21</v>
      </c>
      <c r="E1413" s="33" t="s">
        <v>267</v>
      </c>
      <c r="F1413" s="31" t="str">
        <f t="shared" si="42"/>
        <v>D1.02.02</v>
      </c>
      <c r="G1413" s="34">
        <f t="shared" si="43"/>
        <v>1.21</v>
      </c>
    </row>
    <row r="1414" spans="2:7" ht="13.8" customHeight="1" x14ac:dyDescent="0.25">
      <c r="B1414" s="33" t="s">
        <v>3</v>
      </c>
      <c r="C1414" s="33">
        <v>2769916</v>
      </c>
      <c r="D1414" s="33">
        <v>1.1200000000000001</v>
      </c>
      <c r="E1414" s="33" t="s">
        <v>268</v>
      </c>
      <c r="F1414" s="31" t="str">
        <f t="shared" si="42"/>
        <v>D1.02.01</v>
      </c>
      <c r="G1414" s="34">
        <f t="shared" si="43"/>
        <v>1.1200000000000001</v>
      </c>
    </row>
    <row r="1415" spans="2:7" ht="13.8" customHeight="1" x14ac:dyDescent="0.25">
      <c r="B1415" s="33" t="s">
        <v>3</v>
      </c>
      <c r="C1415" s="33">
        <v>2769922</v>
      </c>
      <c r="D1415" s="33">
        <v>3.25</v>
      </c>
      <c r="E1415" s="33" t="s">
        <v>268</v>
      </c>
      <c r="F1415" s="31" t="str">
        <f t="shared" ref="F1415:F1478" si="44">LEFT(E1415,8)</f>
        <v>D1.02.01</v>
      </c>
      <c r="G1415" s="34">
        <f t="shared" ref="G1415:G1478" si="45">D1415</f>
        <v>3.25</v>
      </c>
    </row>
    <row r="1416" spans="2:7" ht="13.8" customHeight="1" x14ac:dyDescent="0.25">
      <c r="B1416" s="33" t="s">
        <v>3</v>
      </c>
      <c r="C1416" s="33">
        <v>2769925</v>
      </c>
      <c r="D1416" s="33">
        <v>3.25</v>
      </c>
      <c r="E1416" s="33" t="s">
        <v>268</v>
      </c>
      <c r="F1416" s="31" t="str">
        <f t="shared" si="44"/>
        <v>D1.02.01</v>
      </c>
      <c r="G1416" s="34">
        <f t="shared" si="45"/>
        <v>3.25</v>
      </c>
    </row>
    <row r="1417" spans="2:7" ht="13.8" customHeight="1" x14ac:dyDescent="0.25">
      <c r="B1417" s="33" t="s">
        <v>3</v>
      </c>
      <c r="C1417" s="33">
        <v>2769974</v>
      </c>
      <c r="D1417" s="33">
        <v>2.02</v>
      </c>
      <c r="E1417" s="33" t="s">
        <v>269</v>
      </c>
      <c r="F1417" s="31" t="str">
        <f t="shared" si="44"/>
        <v>D1.02.04</v>
      </c>
      <c r="G1417" s="34">
        <f t="shared" si="45"/>
        <v>2.02</v>
      </c>
    </row>
    <row r="1418" spans="2:7" ht="13.8" customHeight="1" x14ac:dyDescent="0.25">
      <c r="B1418" s="33" t="s">
        <v>3</v>
      </c>
      <c r="C1418" s="33">
        <v>2769975</v>
      </c>
      <c r="D1418" s="33">
        <v>5.88</v>
      </c>
      <c r="E1418" s="33" t="s">
        <v>269</v>
      </c>
      <c r="F1418" s="31" t="str">
        <f t="shared" si="44"/>
        <v>D1.02.04</v>
      </c>
      <c r="G1418" s="34">
        <f t="shared" si="45"/>
        <v>5.88</v>
      </c>
    </row>
    <row r="1419" spans="2:7" ht="13.8" customHeight="1" x14ac:dyDescent="0.25">
      <c r="B1419" s="33" t="s">
        <v>3</v>
      </c>
      <c r="C1419" s="33">
        <v>2770031</v>
      </c>
      <c r="D1419" s="33">
        <v>3.64</v>
      </c>
      <c r="E1419" s="33" t="s">
        <v>270</v>
      </c>
      <c r="F1419" s="31" t="str">
        <f t="shared" si="44"/>
        <v>D1.02.03</v>
      </c>
      <c r="G1419" s="34">
        <f t="shared" si="45"/>
        <v>3.64</v>
      </c>
    </row>
    <row r="1420" spans="2:7" ht="13.8" customHeight="1" x14ac:dyDescent="0.25">
      <c r="B1420" s="33" t="s">
        <v>3</v>
      </c>
      <c r="C1420" s="33">
        <v>2770033</v>
      </c>
      <c r="D1420" s="33">
        <v>8.1199999999999992</v>
      </c>
      <c r="E1420" s="33" t="s">
        <v>270</v>
      </c>
      <c r="F1420" s="31" t="str">
        <f t="shared" si="44"/>
        <v>D1.02.03</v>
      </c>
      <c r="G1420" s="34">
        <f t="shared" si="45"/>
        <v>8.1199999999999992</v>
      </c>
    </row>
    <row r="1421" spans="2:7" ht="13.8" customHeight="1" x14ac:dyDescent="0.25">
      <c r="B1421" s="33" t="s">
        <v>3</v>
      </c>
      <c r="C1421" s="33">
        <v>2770034</v>
      </c>
      <c r="D1421" s="33">
        <v>1.1000000000000001</v>
      </c>
      <c r="E1421" s="33" t="s">
        <v>270</v>
      </c>
      <c r="F1421" s="31" t="str">
        <f t="shared" si="44"/>
        <v>D1.02.03</v>
      </c>
      <c r="G1421" s="34">
        <f t="shared" si="45"/>
        <v>1.1000000000000001</v>
      </c>
    </row>
    <row r="1422" spans="2:7" ht="13.8" customHeight="1" x14ac:dyDescent="0.25">
      <c r="B1422" s="33" t="s">
        <v>3</v>
      </c>
      <c r="C1422" s="33">
        <v>2770038</v>
      </c>
      <c r="D1422" s="33">
        <v>0.36</v>
      </c>
      <c r="E1422" s="33" t="s">
        <v>270</v>
      </c>
      <c r="F1422" s="31" t="str">
        <f t="shared" si="44"/>
        <v>D1.02.03</v>
      </c>
      <c r="G1422" s="34">
        <f t="shared" si="45"/>
        <v>0.36</v>
      </c>
    </row>
    <row r="1423" spans="2:7" ht="13.8" customHeight="1" x14ac:dyDescent="0.25">
      <c r="B1423" s="33" t="s">
        <v>3</v>
      </c>
      <c r="C1423" s="33">
        <v>2770081</v>
      </c>
      <c r="D1423" s="33">
        <v>6.88</v>
      </c>
      <c r="E1423" s="33" t="s">
        <v>271</v>
      </c>
      <c r="F1423" s="31" t="str">
        <f t="shared" si="44"/>
        <v>D1.02.05</v>
      </c>
      <c r="G1423" s="34">
        <f t="shared" si="45"/>
        <v>6.88</v>
      </c>
    </row>
    <row r="1424" spans="2:7" ht="13.8" customHeight="1" x14ac:dyDescent="0.25">
      <c r="B1424" s="33" t="s">
        <v>3</v>
      </c>
      <c r="C1424" s="33">
        <v>2770135</v>
      </c>
      <c r="D1424" s="33">
        <v>4.74</v>
      </c>
      <c r="E1424" s="33" t="s">
        <v>272</v>
      </c>
      <c r="F1424" s="31" t="str">
        <f t="shared" si="44"/>
        <v>A6.01.01</v>
      </c>
      <c r="G1424" s="34">
        <f t="shared" si="45"/>
        <v>4.74</v>
      </c>
    </row>
    <row r="1425" spans="2:7" ht="13.8" customHeight="1" x14ac:dyDescent="0.25">
      <c r="B1425" s="33" t="s">
        <v>3</v>
      </c>
      <c r="C1425" s="33">
        <v>2770136</v>
      </c>
      <c r="D1425" s="33">
        <v>1.93</v>
      </c>
      <c r="E1425" s="33" t="s">
        <v>272</v>
      </c>
      <c r="F1425" s="31" t="str">
        <f t="shared" si="44"/>
        <v>A6.01.01</v>
      </c>
      <c r="G1425" s="34">
        <f t="shared" si="45"/>
        <v>1.93</v>
      </c>
    </row>
    <row r="1426" spans="2:7" ht="13.8" customHeight="1" x14ac:dyDescent="0.25">
      <c r="B1426" s="33" t="s">
        <v>3</v>
      </c>
      <c r="C1426" s="33">
        <v>2770137</v>
      </c>
      <c r="D1426" s="33">
        <v>8.59</v>
      </c>
      <c r="E1426" s="33" t="s">
        <v>272</v>
      </c>
      <c r="F1426" s="31" t="str">
        <f t="shared" si="44"/>
        <v>A6.01.01</v>
      </c>
      <c r="G1426" s="34">
        <f t="shared" si="45"/>
        <v>8.59</v>
      </c>
    </row>
    <row r="1427" spans="2:7" ht="13.8" customHeight="1" x14ac:dyDescent="0.25">
      <c r="B1427" s="33" t="s">
        <v>3</v>
      </c>
      <c r="C1427" s="33">
        <v>2770138</v>
      </c>
      <c r="D1427" s="33">
        <v>5.0599999999999996</v>
      </c>
      <c r="E1427" s="33" t="s">
        <v>272</v>
      </c>
      <c r="F1427" s="31" t="str">
        <f t="shared" si="44"/>
        <v>A6.01.01</v>
      </c>
      <c r="G1427" s="34">
        <f t="shared" si="45"/>
        <v>5.0599999999999996</v>
      </c>
    </row>
    <row r="1428" spans="2:7" ht="13.8" customHeight="1" x14ac:dyDescent="0.25">
      <c r="B1428" s="33" t="s">
        <v>3</v>
      </c>
      <c r="C1428" s="33">
        <v>2770201</v>
      </c>
      <c r="D1428" s="33">
        <v>1.57</v>
      </c>
      <c r="E1428" s="33" t="s">
        <v>273</v>
      </c>
      <c r="F1428" s="31" t="str">
        <f t="shared" si="44"/>
        <v>A6.01.02</v>
      </c>
      <c r="G1428" s="34">
        <f t="shared" si="45"/>
        <v>1.57</v>
      </c>
    </row>
    <row r="1429" spans="2:7" ht="13.8" customHeight="1" x14ac:dyDescent="0.25">
      <c r="B1429" s="33" t="s">
        <v>3</v>
      </c>
      <c r="C1429" s="33">
        <v>2770203</v>
      </c>
      <c r="D1429" s="33">
        <v>8.59</v>
      </c>
      <c r="E1429" s="33" t="s">
        <v>273</v>
      </c>
      <c r="F1429" s="31" t="str">
        <f t="shared" si="44"/>
        <v>A6.01.02</v>
      </c>
      <c r="G1429" s="34">
        <f t="shared" si="45"/>
        <v>8.59</v>
      </c>
    </row>
    <row r="1430" spans="2:7" ht="13.8" customHeight="1" x14ac:dyDescent="0.25">
      <c r="B1430" s="33" t="s">
        <v>3</v>
      </c>
      <c r="C1430" s="33">
        <v>2770207</v>
      </c>
      <c r="D1430" s="33">
        <v>1.93</v>
      </c>
      <c r="E1430" s="33" t="s">
        <v>273</v>
      </c>
      <c r="F1430" s="31" t="str">
        <f t="shared" si="44"/>
        <v>A6.01.02</v>
      </c>
      <c r="G1430" s="34">
        <f t="shared" si="45"/>
        <v>1.93</v>
      </c>
    </row>
    <row r="1431" spans="2:7" ht="13.8" customHeight="1" x14ac:dyDescent="0.25">
      <c r="B1431" s="33" t="s">
        <v>3</v>
      </c>
      <c r="C1431" s="33">
        <v>2770210</v>
      </c>
      <c r="D1431" s="33">
        <v>5.03</v>
      </c>
      <c r="E1431" s="33" t="s">
        <v>273</v>
      </c>
      <c r="F1431" s="31" t="str">
        <f t="shared" si="44"/>
        <v>A6.01.02</v>
      </c>
      <c r="G1431" s="34">
        <f t="shared" si="45"/>
        <v>5.03</v>
      </c>
    </row>
    <row r="1432" spans="2:7" ht="13.8" customHeight="1" x14ac:dyDescent="0.25">
      <c r="B1432" s="33" t="s">
        <v>3</v>
      </c>
      <c r="C1432" s="33">
        <v>2770266</v>
      </c>
      <c r="D1432" s="33">
        <v>4.74</v>
      </c>
      <c r="E1432" s="33" t="s">
        <v>274</v>
      </c>
      <c r="F1432" s="31" t="str">
        <f t="shared" si="44"/>
        <v>A3.01.02</v>
      </c>
      <c r="G1432" s="34">
        <f t="shared" si="45"/>
        <v>4.74</v>
      </c>
    </row>
    <row r="1433" spans="2:7" ht="13.8" customHeight="1" x14ac:dyDescent="0.25">
      <c r="B1433" s="33" t="s">
        <v>3</v>
      </c>
      <c r="C1433" s="33">
        <v>2770267</v>
      </c>
      <c r="D1433" s="33">
        <v>1.93</v>
      </c>
      <c r="E1433" s="33" t="s">
        <v>274</v>
      </c>
      <c r="F1433" s="31" t="str">
        <f t="shared" si="44"/>
        <v>A3.01.02</v>
      </c>
      <c r="G1433" s="34">
        <f t="shared" si="45"/>
        <v>1.93</v>
      </c>
    </row>
    <row r="1434" spans="2:7" ht="13.8" customHeight="1" x14ac:dyDescent="0.25">
      <c r="B1434" s="33" t="s">
        <v>3</v>
      </c>
      <c r="C1434" s="33">
        <v>2770268</v>
      </c>
      <c r="D1434" s="33">
        <v>8.59</v>
      </c>
      <c r="E1434" s="33" t="s">
        <v>274</v>
      </c>
      <c r="F1434" s="31" t="str">
        <f t="shared" si="44"/>
        <v>A3.01.02</v>
      </c>
      <c r="G1434" s="34">
        <f t="shared" si="45"/>
        <v>8.59</v>
      </c>
    </row>
    <row r="1435" spans="2:7" ht="13.8" customHeight="1" x14ac:dyDescent="0.25">
      <c r="B1435" s="33" t="s">
        <v>3</v>
      </c>
      <c r="C1435" s="33">
        <v>2770271</v>
      </c>
      <c r="D1435" s="33">
        <v>0.33</v>
      </c>
      <c r="E1435" s="33" t="s">
        <v>274</v>
      </c>
      <c r="F1435" s="31" t="str">
        <f t="shared" si="44"/>
        <v>A3.01.02</v>
      </c>
      <c r="G1435" s="34">
        <f t="shared" si="45"/>
        <v>0.33</v>
      </c>
    </row>
    <row r="1436" spans="2:7" ht="13.8" customHeight="1" x14ac:dyDescent="0.25">
      <c r="B1436" s="33" t="s">
        <v>3</v>
      </c>
      <c r="C1436" s="33">
        <v>2770273</v>
      </c>
      <c r="D1436" s="33">
        <v>5.46</v>
      </c>
      <c r="E1436" s="33" t="s">
        <v>274</v>
      </c>
      <c r="F1436" s="31" t="str">
        <f t="shared" si="44"/>
        <v>A3.01.02</v>
      </c>
      <c r="G1436" s="34">
        <f t="shared" si="45"/>
        <v>5.46</v>
      </c>
    </row>
    <row r="1437" spans="2:7" ht="13.8" customHeight="1" x14ac:dyDescent="0.25">
      <c r="B1437" s="33" t="s">
        <v>3</v>
      </c>
      <c r="C1437" s="33">
        <v>2770327</v>
      </c>
      <c r="D1437" s="33">
        <v>0.33</v>
      </c>
      <c r="E1437" s="33" t="s">
        <v>275</v>
      </c>
      <c r="F1437" s="31" t="str">
        <f t="shared" si="44"/>
        <v>A3.01.01</v>
      </c>
      <c r="G1437" s="34">
        <f t="shared" si="45"/>
        <v>0.33</v>
      </c>
    </row>
    <row r="1438" spans="2:7" ht="13.8" customHeight="1" x14ac:dyDescent="0.25">
      <c r="B1438" s="33" t="s">
        <v>3</v>
      </c>
      <c r="C1438" s="33">
        <v>2770329</v>
      </c>
      <c r="D1438" s="33">
        <v>8.59</v>
      </c>
      <c r="E1438" s="33" t="s">
        <v>275</v>
      </c>
      <c r="F1438" s="31" t="str">
        <f t="shared" si="44"/>
        <v>A3.01.01</v>
      </c>
      <c r="G1438" s="34">
        <f t="shared" si="45"/>
        <v>8.59</v>
      </c>
    </row>
    <row r="1439" spans="2:7" ht="13.8" customHeight="1" x14ac:dyDescent="0.25">
      <c r="B1439" s="33" t="s">
        <v>3</v>
      </c>
      <c r="C1439" s="33">
        <v>2770330</v>
      </c>
      <c r="D1439" s="33">
        <v>1.93</v>
      </c>
      <c r="E1439" s="33" t="s">
        <v>275</v>
      </c>
      <c r="F1439" s="31" t="str">
        <f t="shared" si="44"/>
        <v>A3.01.01</v>
      </c>
      <c r="G1439" s="34">
        <f t="shared" si="45"/>
        <v>1.93</v>
      </c>
    </row>
    <row r="1440" spans="2:7" ht="13.8" customHeight="1" x14ac:dyDescent="0.25">
      <c r="B1440" s="33" t="s">
        <v>3</v>
      </c>
      <c r="C1440" s="33">
        <v>2770331</v>
      </c>
      <c r="D1440" s="33">
        <v>4.74</v>
      </c>
      <c r="E1440" s="33" t="s">
        <v>275</v>
      </c>
      <c r="F1440" s="31" t="str">
        <f t="shared" si="44"/>
        <v>A3.01.01</v>
      </c>
      <c r="G1440" s="34">
        <f t="shared" si="45"/>
        <v>4.74</v>
      </c>
    </row>
    <row r="1441" spans="2:7" ht="13.8" customHeight="1" x14ac:dyDescent="0.25">
      <c r="B1441" s="33" t="s">
        <v>3</v>
      </c>
      <c r="C1441" s="33">
        <v>2770336</v>
      </c>
      <c r="D1441" s="33">
        <v>5.45</v>
      </c>
      <c r="E1441" s="33" t="s">
        <v>275</v>
      </c>
      <c r="F1441" s="31" t="str">
        <f t="shared" si="44"/>
        <v>A3.01.01</v>
      </c>
      <c r="G1441" s="34">
        <f t="shared" si="45"/>
        <v>5.45</v>
      </c>
    </row>
    <row r="1442" spans="2:7" ht="13.8" customHeight="1" x14ac:dyDescent="0.25">
      <c r="B1442" s="33" t="s">
        <v>3</v>
      </c>
      <c r="C1442" s="33">
        <v>2770406</v>
      </c>
      <c r="D1442" s="33">
        <v>7.62</v>
      </c>
      <c r="E1442" s="33" t="s">
        <v>276</v>
      </c>
      <c r="F1442" s="31" t="str">
        <f t="shared" si="44"/>
        <v>A3.08.03</v>
      </c>
      <c r="G1442" s="34">
        <f t="shared" si="45"/>
        <v>7.62</v>
      </c>
    </row>
    <row r="1443" spans="2:7" ht="13.8" customHeight="1" x14ac:dyDescent="0.25">
      <c r="B1443" s="33" t="s">
        <v>3</v>
      </c>
      <c r="C1443" s="33">
        <v>2770407</v>
      </c>
      <c r="D1443" s="33">
        <v>5.18</v>
      </c>
      <c r="E1443" s="33" t="s">
        <v>276</v>
      </c>
      <c r="F1443" s="31" t="str">
        <f t="shared" si="44"/>
        <v>A3.08.03</v>
      </c>
      <c r="G1443" s="34">
        <f t="shared" si="45"/>
        <v>5.18</v>
      </c>
    </row>
    <row r="1444" spans="2:7" ht="13.8" customHeight="1" x14ac:dyDescent="0.25">
      <c r="B1444" s="33" t="s">
        <v>3</v>
      </c>
      <c r="C1444" s="33">
        <v>2770484</v>
      </c>
      <c r="D1444" s="33">
        <v>7.62</v>
      </c>
      <c r="E1444" s="33" t="s">
        <v>277</v>
      </c>
      <c r="F1444" s="31" t="str">
        <f t="shared" si="44"/>
        <v>A3.08.02</v>
      </c>
      <c r="G1444" s="34">
        <f t="shared" si="45"/>
        <v>7.62</v>
      </c>
    </row>
    <row r="1445" spans="2:7" ht="13.8" customHeight="1" x14ac:dyDescent="0.25">
      <c r="B1445" s="33" t="s">
        <v>3</v>
      </c>
      <c r="C1445" s="33">
        <v>2771917</v>
      </c>
      <c r="D1445" s="33">
        <v>5.18</v>
      </c>
      <c r="E1445" s="33" t="s">
        <v>277</v>
      </c>
      <c r="F1445" s="31" t="str">
        <f t="shared" si="44"/>
        <v>A3.08.02</v>
      </c>
      <c r="G1445" s="34">
        <f t="shared" si="45"/>
        <v>5.18</v>
      </c>
    </row>
    <row r="1446" spans="2:7" ht="13.8" customHeight="1" x14ac:dyDescent="0.25">
      <c r="B1446" s="33" t="s">
        <v>3</v>
      </c>
      <c r="C1446" s="33">
        <v>2770565</v>
      </c>
      <c r="D1446" s="33">
        <v>8.18</v>
      </c>
      <c r="E1446" s="33" t="s">
        <v>278</v>
      </c>
      <c r="F1446" s="31" t="str">
        <f t="shared" si="44"/>
        <v>C1.14.05</v>
      </c>
      <c r="G1446" s="34">
        <f t="shared" si="45"/>
        <v>8.18</v>
      </c>
    </row>
    <row r="1447" spans="2:7" ht="13.8" customHeight="1" x14ac:dyDescent="0.25">
      <c r="B1447" s="33" t="s">
        <v>3</v>
      </c>
      <c r="C1447" s="33">
        <v>2770567</v>
      </c>
      <c r="D1447" s="33">
        <v>3.62</v>
      </c>
      <c r="E1447" s="33" t="s">
        <v>278</v>
      </c>
      <c r="F1447" s="31" t="str">
        <f t="shared" si="44"/>
        <v>C1.14.05</v>
      </c>
      <c r="G1447" s="34">
        <f t="shared" si="45"/>
        <v>3.62</v>
      </c>
    </row>
    <row r="1448" spans="2:7" ht="13.8" customHeight="1" x14ac:dyDescent="0.25">
      <c r="B1448" s="33" t="s">
        <v>3</v>
      </c>
      <c r="C1448" s="33">
        <v>2771993</v>
      </c>
      <c r="D1448" s="33">
        <v>0.79</v>
      </c>
      <c r="E1448" s="33" t="s">
        <v>278</v>
      </c>
      <c r="F1448" s="31" t="str">
        <f t="shared" si="44"/>
        <v>C1.14.05</v>
      </c>
      <c r="G1448" s="34">
        <f t="shared" si="45"/>
        <v>0.79</v>
      </c>
    </row>
    <row r="1449" spans="2:7" ht="13.8" customHeight="1" x14ac:dyDescent="0.25">
      <c r="B1449" s="33" t="s">
        <v>3</v>
      </c>
      <c r="C1449" s="33">
        <v>2770638</v>
      </c>
      <c r="D1449" s="33">
        <v>6.77</v>
      </c>
      <c r="E1449" s="33" t="s">
        <v>279</v>
      </c>
      <c r="F1449" s="31" t="str">
        <f t="shared" si="44"/>
        <v>C1.14.06</v>
      </c>
      <c r="G1449" s="34">
        <f t="shared" si="45"/>
        <v>6.77</v>
      </c>
    </row>
    <row r="1450" spans="2:7" ht="13.8" customHeight="1" x14ac:dyDescent="0.25">
      <c r="B1450" s="33" t="s">
        <v>3</v>
      </c>
      <c r="C1450" s="33">
        <v>2770645</v>
      </c>
      <c r="D1450" s="33">
        <v>4.78</v>
      </c>
      <c r="E1450" s="33" t="s">
        <v>279</v>
      </c>
      <c r="F1450" s="31" t="str">
        <f t="shared" si="44"/>
        <v>C1.14.06</v>
      </c>
      <c r="G1450" s="34">
        <f t="shared" si="45"/>
        <v>4.78</v>
      </c>
    </row>
    <row r="1451" spans="2:7" ht="13.8" customHeight="1" x14ac:dyDescent="0.25">
      <c r="B1451" s="33" t="s">
        <v>3</v>
      </c>
      <c r="C1451" s="33">
        <v>2770721</v>
      </c>
      <c r="D1451" s="33">
        <v>6.76</v>
      </c>
      <c r="E1451" s="33" t="s">
        <v>280</v>
      </c>
      <c r="F1451" s="31" t="str">
        <f t="shared" si="44"/>
        <v>C1.14.01</v>
      </c>
      <c r="G1451" s="34">
        <f t="shared" si="45"/>
        <v>6.76</v>
      </c>
    </row>
    <row r="1452" spans="2:7" ht="13.8" customHeight="1" x14ac:dyDescent="0.25">
      <c r="B1452" s="33" t="s">
        <v>3</v>
      </c>
      <c r="C1452" s="33">
        <v>2770722</v>
      </c>
      <c r="D1452" s="33">
        <v>7.01</v>
      </c>
      <c r="E1452" s="33" t="s">
        <v>280</v>
      </c>
      <c r="F1452" s="31" t="str">
        <f t="shared" si="44"/>
        <v>C1.14.01</v>
      </c>
      <c r="G1452" s="34">
        <f t="shared" si="45"/>
        <v>7.01</v>
      </c>
    </row>
    <row r="1453" spans="2:7" ht="13.8" customHeight="1" x14ac:dyDescent="0.25">
      <c r="B1453" s="33" t="s">
        <v>3</v>
      </c>
      <c r="C1453" s="33">
        <v>2770729</v>
      </c>
      <c r="D1453" s="33">
        <v>0.77</v>
      </c>
      <c r="E1453" s="33" t="s">
        <v>280</v>
      </c>
      <c r="F1453" s="31" t="str">
        <f t="shared" si="44"/>
        <v>C1.14.01</v>
      </c>
      <c r="G1453" s="34">
        <f t="shared" si="45"/>
        <v>0.77</v>
      </c>
    </row>
    <row r="1454" spans="2:7" ht="13.8" customHeight="1" x14ac:dyDescent="0.25">
      <c r="B1454" s="33" t="s">
        <v>3</v>
      </c>
      <c r="C1454" s="33">
        <v>2770836</v>
      </c>
      <c r="D1454" s="33">
        <v>3.9</v>
      </c>
      <c r="E1454" s="33" t="s">
        <v>282</v>
      </c>
      <c r="F1454" s="31" t="str">
        <f t="shared" si="44"/>
        <v>C1.14.03</v>
      </c>
      <c r="G1454" s="34">
        <f t="shared" si="45"/>
        <v>3.9</v>
      </c>
    </row>
    <row r="1455" spans="2:7" ht="13.8" customHeight="1" x14ac:dyDescent="0.25">
      <c r="B1455" s="33" t="s">
        <v>3</v>
      </c>
      <c r="C1455" s="33">
        <v>2770870</v>
      </c>
      <c r="D1455" s="33">
        <v>3.9</v>
      </c>
      <c r="E1455" s="33" t="s">
        <v>283</v>
      </c>
      <c r="F1455" s="31" t="str">
        <f t="shared" si="44"/>
        <v>C1.14.04</v>
      </c>
      <c r="G1455" s="34">
        <f t="shared" si="45"/>
        <v>3.9</v>
      </c>
    </row>
    <row r="1456" spans="2:7" ht="13.8" customHeight="1" x14ac:dyDescent="0.25">
      <c r="B1456" s="33" t="s">
        <v>3</v>
      </c>
      <c r="C1456" s="33">
        <v>2770873</v>
      </c>
      <c r="D1456" s="33">
        <v>0.75</v>
      </c>
      <c r="E1456" s="33" t="s">
        <v>283</v>
      </c>
      <c r="F1456" s="31" t="str">
        <f t="shared" si="44"/>
        <v>C1.14.04</v>
      </c>
      <c r="G1456" s="34">
        <f t="shared" si="45"/>
        <v>0.75</v>
      </c>
    </row>
    <row r="1457" spans="2:7" ht="13.8" customHeight="1" x14ac:dyDescent="0.25">
      <c r="B1457" s="33" t="s">
        <v>3</v>
      </c>
      <c r="C1457" s="33">
        <v>2770934</v>
      </c>
      <c r="D1457" s="33">
        <v>8.18</v>
      </c>
      <c r="E1457" s="33" t="s">
        <v>284</v>
      </c>
      <c r="F1457" s="31" t="str">
        <f t="shared" si="44"/>
        <v>C1.08.05</v>
      </c>
      <c r="G1457" s="34">
        <f t="shared" si="45"/>
        <v>8.18</v>
      </c>
    </row>
    <row r="1458" spans="2:7" ht="13.8" customHeight="1" x14ac:dyDescent="0.25">
      <c r="B1458" s="33" t="s">
        <v>3</v>
      </c>
      <c r="C1458" s="33">
        <v>2770935</v>
      </c>
      <c r="D1458" s="33">
        <v>8.18</v>
      </c>
      <c r="E1458" s="33" t="s">
        <v>284</v>
      </c>
      <c r="F1458" s="31" t="str">
        <f t="shared" si="44"/>
        <v>C1.08.05</v>
      </c>
      <c r="G1458" s="34">
        <f t="shared" si="45"/>
        <v>8.18</v>
      </c>
    </row>
    <row r="1459" spans="2:7" ht="13.8" customHeight="1" x14ac:dyDescent="0.25">
      <c r="B1459" s="33" t="s">
        <v>3</v>
      </c>
      <c r="C1459" s="33">
        <v>2770936</v>
      </c>
      <c r="D1459" s="33">
        <v>3.64</v>
      </c>
      <c r="E1459" s="33" t="s">
        <v>284</v>
      </c>
      <c r="F1459" s="31" t="str">
        <f t="shared" si="44"/>
        <v>C1.08.05</v>
      </c>
      <c r="G1459" s="34">
        <f t="shared" si="45"/>
        <v>3.64</v>
      </c>
    </row>
    <row r="1460" spans="2:7" ht="13.8" customHeight="1" x14ac:dyDescent="0.25">
      <c r="B1460" s="33" t="s">
        <v>3</v>
      </c>
      <c r="C1460" s="33">
        <v>2770941</v>
      </c>
      <c r="D1460" s="33">
        <v>0.79</v>
      </c>
      <c r="E1460" s="33" t="s">
        <v>284</v>
      </c>
      <c r="F1460" s="31" t="str">
        <f t="shared" si="44"/>
        <v>C1.08.05</v>
      </c>
      <c r="G1460" s="34">
        <f t="shared" si="45"/>
        <v>0.79</v>
      </c>
    </row>
    <row r="1461" spans="2:7" ht="13.8" customHeight="1" x14ac:dyDescent="0.25">
      <c r="B1461" s="33" t="s">
        <v>3</v>
      </c>
      <c r="C1461" s="33">
        <v>2770945</v>
      </c>
      <c r="D1461" s="33">
        <v>3.64</v>
      </c>
      <c r="E1461" s="33" t="s">
        <v>284</v>
      </c>
      <c r="F1461" s="31" t="str">
        <f t="shared" si="44"/>
        <v>C1.08.05</v>
      </c>
      <c r="G1461" s="34">
        <f t="shared" si="45"/>
        <v>3.64</v>
      </c>
    </row>
    <row r="1462" spans="2:7" ht="13.8" customHeight="1" x14ac:dyDescent="0.25">
      <c r="B1462" s="33" t="s">
        <v>3</v>
      </c>
      <c r="C1462" s="33">
        <v>2773489</v>
      </c>
      <c r="D1462" s="33">
        <v>0.79</v>
      </c>
      <c r="E1462" s="33" t="s">
        <v>284</v>
      </c>
      <c r="F1462" s="31" t="str">
        <f t="shared" si="44"/>
        <v>C1.08.05</v>
      </c>
      <c r="G1462" s="34">
        <f t="shared" si="45"/>
        <v>0.79</v>
      </c>
    </row>
    <row r="1463" spans="2:7" ht="13.8" customHeight="1" x14ac:dyDescent="0.25">
      <c r="B1463" s="33" t="s">
        <v>3</v>
      </c>
      <c r="C1463" s="33">
        <v>2771014</v>
      </c>
      <c r="D1463" s="33">
        <v>6.77</v>
      </c>
      <c r="E1463" s="33" t="s">
        <v>285</v>
      </c>
      <c r="F1463" s="31" t="str">
        <f t="shared" si="44"/>
        <v>C1.08.06</v>
      </c>
      <c r="G1463" s="34">
        <f t="shared" si="45"/>
        <v>6.77</v>
      </c>
    </row>
    <row r="1464" spans="2:7" ht="13.8" customHeight="1" x14ac:dyDescent="0.25">
      <c r="B1464" s="33" t="s">
        <v>3</v>
      </c>
      <c r="C1464" s="33">
        <v>2771017</v>
      </c>
      <c r="D1464" s="33">
        <v>3.54</v>
      </c>
      <c r="E1464" s="33" t="s">
        <v>285</v>
      </c>
      <c r="F1464" s="31" t="str">
        <f t="shared" si="44"/>
        <v>C1.08.06</v>
      </c>
      <c r="G1464" s="34">
        <f t="shared" si="45"/>
        <v>3.54</v>
      </c>
    </row>
    <row r="1465" spans="2:7" ht="13.8" customHeight="1" x14ac:dyDescent="0.25">
      <c r="B1465" s="33" t="s">
        <v>3</v>
      </c>
      <c r="C1465" s="33">
        <v>2771019</v>
      </c>
      <c r="D1465" s="33">
        <v>6.77</v>
      </c>
      <c r="E1465" s="33" t="s">
        <v>285</v>
      </c>
      <c r="F1465" s="31" t="str">
        <f t="shared" si="44"/>
        <v>C1.08.06</v>
      </c>
      <c r="G1465" s="34">
        <f t="shared" si="45"/>
        <v>6.77</v>
      </c>
    </row>
    <row r="1466" spans="2:7" ht="13.8" customHeight="1" x14ac:dyDescent="0.25">
      <c r="B1466" s="33" t="s">
        <v>3</v>
      </c>
      <c r="C1466" s="33">
        <v>2771032</v>
      </c>
      <c r="D1466" s="33">
        <v>1.23</v>
      </c>
      <c r="E1466" s="33" t="s">
        <v>285</v>
      </c>
      <c r="F1466" s="31" t="str">
        <f t="shared" si="44"/>
        <v>C1.08.06</v>
      </c>
      <c r="G1466" s="34">
        <f t="shared" si="45"/>
        <v>1.23</v>
      </c>
    </row>
    <row r="1467" spans="2:7" ht="13.8" customHeight="1" x14ac:dyDescent="0.25">
      <c r="B1467" s="33" t="s">
        <v>3</v>
      </c>
      <c r="C1467" s="33">
        <v>2771035</v>
      </c>
      <c r="D1467" s="33">
        <v>4.78</v>
      </c>
      <c r="E1467" s="33" t="s">
        <v>285</v>
      </c>
      <c r="F1467" s="31" t="str">
        <f t="shared" si="44"/>
        <v>C1.08.06</v>
      </c>
      <c r="G1467" s="34">
        <f t="shared" si="45"/>
        <v>4.78</v>
      </c>
    </row>
    <row r="1468" spans="2:7" ht="13.8" customHeight="1" x14ac:dyDescent="0.25">
      <c r="B1468" s="33" t="s">
        <v>3</v>
      </c>
      <c r="C1468" s="33">
        <v>2771096</v>
      </c>
      <c r="D1468" s="33">
        <v>3.62</v>
      </c>
      <c r="E1468" s="33" t="s">
        <v>286</v>
      </c>
      <c r="F1468" s="31" t="str">
        <f t="shared" si="44"/>
        <v>C1.08.02</v>
      </c>
      <c r="G1468" s="34">
        <f t="shared" si="45"/>
        <v>3.62</v>
      </c>
    </row>
    <row r="1469" spans="2:7" ht="13.8" customHeight="1" x14ac:dyDescent="0.25">
      <c r="B1469" s="33" t="s">
        <v>3</v>
      </c>
      <c r="C1469" s="33">
        <v>2771098</v>
      </c>
      <c r="D1469" s="33">
        <v>8.19</v>
      </c>
      <c r="E1469" s="33" t="s">
        <v>286</v>
      </c>
      <c r="F1469" s="31" t="str">
        <f t="shared" si="44"/>
        <v>C1.08.02</v>
      </c>
      <c r="G1469" s="34">
        <f t="shared" si="45"/>
        <v>8.19</v>
      </c>
    </row>
    <row r="1470" spans="2:7" ht="13.8" customHeight="1" x14ac:dyDescent="0.25">
      <c r="B1470" s="33" t="s">
        <v>3</v>
      </c>
      <c r="C1470" s="33">
        <v>2771099</v>
      </c>
      <c r="D1470" s="33">
        <v>8.19</v>
      </c>
      <c r="E1470" s="33" t="s">
        <v>286</v>
      </c>
      <c r="F1470" s="31" t="str">
        <f t="shared" si="44"/>
        <v>C1.08.02</v>
      </c>
      <c r="G1470" s="34">
        <f t="shared" si="45"/>
        <v>8.19</v>
      </c>
    </row>
    <row r="1471" spans="2:7" ht="13.8" customHeight="1" x14ac:dyDescent="0.25">
      <c r="B1471" s="33" t="s">
        <v>3</v>
      </c>
      <c r="C1471" s="33">
        <v>2771106</v>
      </c>
      <c r="D1471" s="33">
        <v>3.62</v>
      </c>
      <c r="E1471" s="33" t="s">
        <v>286</v>
      </c>
      <c r="F1471" s="31" t="str">
        <f t="shared" si="44"/>
        <v>C1.08.02</v>
      </c>
      <c r="G1471" s="34">
        <f t="shared" si="45"/>
        <v>3.62</v>
      </c>
    </row>
    <row r="1472" spans="2:7" ht="13.8" customHeight="1" x14ac:dyDescent="0.25">
      <c r="B1472" s="33" t="s">
        <v>3</v>
      </c>
      <c r="C1472" s="33">
        <v>2771107</v>
      </c>
      <c r="D1472" s="33">
        <v>0.77</v>
      </c>
      <c r="E1472" s="33" t="s">
        <v>286</v>
      </c>
      <c r="F1472" s="31" t="str">
        <f t="shared" si="44"/>
        <v>C1.08.02</v>
      </c>
      <c r="G1472" s="34">
        <f t="shared" si="45"/>
        <v>0.77</v>
      </c>
    </row>
    <row r="1473" spans="2:7" ht="13.8" customHeight="1" x14ac:dyDescent="0.25">
      <c r="B1473" s="33" t="s">
        <v>3</v>
      </c>
      <c r="C1473" s="33">
        <v>2771142</v>
      </c>
      <c r="D1473" s="33">
        <v>3.9</v>
      </c>
      <c r="E1473" s="33" t="s">
        <v>287</v>
      </c>
      <c r="F1473" s="31" t="str">
        <f t="shared" si="44"/>
        <v>C1.08.03</v>
      </c>
      <c r="G1473" s="34">
        <f t="shared" si="45"/>
        <v>3.9</v>
      </c>
    </row>
    <row r="1474" spans="2:7" ht="13.8" customHeight="1" x14ac:dyDescent="0.25">
      <c r="B1474" s="33" t="s">
        <v>3</v>
      </c>
      <c r="C1474" s="33">
        <v>2771147</v>
      </c>
      <c r="D1474" s="33">
        <v>0.75</v>
      </c>
      <c r="E1474" s="33" t="s">
        <v>287</v>
      </c>
      <c r="F1474" s="31" t="str">
        <f t="shared" si="44"/>
        <v>C1.08.03</v>
      </c>
      <c r="G1474" s="34">
        <f t="shared" si="45"/>
        <v>0.75</v>
      </c>
    </row>
    <row r="1475" spans="2:7" ht="13.8" customHeight="1" x14ac:dyDescent="0.25">
      <c r="B1475" s="33" t="s">
        <v>3</v>
      </c>
      <c r="C1475" s="33">
        <v>2771150</v>
      </c>
      <c r="D1475" s="33">
        <v>3.9</v>
      </c>
      <c r="E1475" s="33" t="s">
        <v>287</v>
      </c>
      <c r="F1475" s="31" t="str">
        <f t="shared" si="44"/>
        <v>C1.08.03</v>
      </c>
      <c r="G1475" s="34">
        <f t="shared" si="45"/>
        <v>3.9</v>
      </c>
    </row>
    <row r="1476" spans="2:7" ht="13.8" customHeight="1" x14ac:dyDescent="0.25">
      <c r="B1476" s="33" t="s">
        <v>3</v>
      </c>
      <c r="C1476" s="33">
        <v>2771183</v>
      </c>
      <c r="D1476" s="33">
        <v>0.75</v>
      </c>
      <c r="E1476" s="33" t="s">
        <v>288</v>
      </c>
      <c r="F1476" s="31" t="str">
        <f t="shared" si="44"/>
        <v>C1.08.04</v>
      </c>
      <c r="G1476" s="34">
        <f t="shared" si="45"/>
        <v>0.75</v>
      </c>
    </row>
    <row r="1477" spans="2:7" ht="13.8" customHeight="1" x14ac:dyDescent="0.25">
      <c r="B1477" s="33" t="s">
        <v>3</v>
      </c>
      <c r="C1477" s="33">
        <v>2771185</v>
      </c>
      <c r="D1477" s="33">
        <v>3.9</v>
      </c>
      <c r="E1477" s="33" t="s">
        <v>288</v>
      </c>
      <c r="F1477" s="31" t="str">
        <f t="shared" si="44"/>
        <v>C1.08.04</v>
      </c>
      <c r="G1477" s="34">
        <f t="shared" si="45"/>
        <v>3.9</v>
      </c>
    </row>
    <row r="1478" spans="2:7" ht="13.8" customHeight="1" x14ac:dyDescent="0.25">
      <c r="B1478" s="33" t="s">
        <v>3</v>
      </c>
      <c r="C1478" s="33">
        <v>2771188</v>
      </c>
      <c r="D1478" s="33">
        <v>0.75</v>
      </c>
      <c r="E1478" s="33" t="s">
        <v>288</v>
      </c>
      <c r="F1478" s="31" t="str">
        <f t="shared" si="44"/>
        <v>C1.08.04</v>
      </c>
      <c r="G1478" s="34">
        <f t="shared" si="45"/>
        <v>0.75</v>
      </c>
    </row>
    <row r="1479" spans="2:7" ht="13.8" customHeight="1" x14ac:dyDescent="0.25">
      <c r="B1479" s="33" t="s">
        <v>3</v>
      </c>
      <c r="C1479" s="33">
        <v>2771191</v>
      </c>
      <c r="D1479" s="33">
        <v>3.9</v>
      </c>
      <c r="E1479" s="33" t="s">
        <v>288</v>
      </c>
      <c r="F1479" s="31" t="str">
        <f t="shared" ref="F1479:F1542" si="46">LEFT(E1479,8)</f>
        <v>C1.08.04</v>
      </c>
      <c r="G1479" s="34">
        <f t="shared" ref="G1479:G1542" si="47">D1479</f>
        <v>3.9</v>
      </c>
    </row>
    <row r="1480" spans="2:7" ht="13.8" customHeight="1" x14ac:dyDescent="0.25">
      <c r="B1480" s="33" t="s">
        <v>3</v>
      </c>
      <c r="C1480" s="33">
        <v>2771260</v>
      </c>
      <c r="D1480" s="33">
        <v>0.77</v>
      </c>
      <c r="E1480" s="33" t="s">
        <v>289</v>
      </c>
      <c r="F1480" s="31" t="str">
        <f t="shared" si="46"/>
        <v>C1.08.01</v>
      </c>
      <c r="G1480" s="34">
        <f t="shared" si="47"/>
        <v>0.77</v>
      </c>
    </row>
    <row r="1481" spans="2:7" ht="13.8" customHeight="1" x14ac:dyDescent="0.25">
      <c r="B1481" s="33" t="s">
        <v>3</v>
      </c>
      <c r="C1481" s="33">
        <v>2771262</v>
      </c>
      <c r="D1481" s="33">
        <v>6.76</v>
      </c>
      <c r="E1481" s="33" t="s">
        <v>289</v>
      </c>
      <c r="F1481" s="31" t="str">
        <f t="shared" si="46"/>
        <v>C1.08.01</v>
      </c>
      <c r="G1481" s="34">
        <f t="shared" si="47"/>
        <v>6.76</v>
      </c>
    </row>
    <row r="1482" spans="2:7" ht="13.8" customHeight="1" x14ac:dyDescent="0.25">
      <c r="B1482" s="33" t="s">
        <v>3</v>
      </c>
      <c r="C1482" s="33">
        <v>2771263</v>
      </c>
      <c r="D1482" s="33">
        <v>6.76</v>
      </c>
      <c r="E1482" s="33" t="s">
        <v>289</v>
      </c>
      <c r="F1482" s="31" t="str">
        <f t="shared" si="46"/>
        <v>C1.08.01</v>
      </c>
      <c r="G1482" s="34">
        <f t="shared" si="47"/>
        <v>6.76</v>
      </c>
    </row>
    <row r="1483" spans="2:7" ht="13.8" customHeight="1" x14ac:dyDescent="0.25">
      <c r="B1483" s="33" t="s">
        <v>3</v>
      </c>
      <c r="C1483" s="33">
        <v>2771268</v>
      </c>
      <c r="D1483" s="33">
        <v>7.01</v>
      </c>
      <c r="E1483" s="33" t="s">
        <v>289</v>
      </c>
      <c r="F1483" s="31" t="str">
        <f t="shared" si="46"/>
        <v>C1.08.01</v>
      </c>
      <c r="G1483" s="34">
        <f t="shared" si="47"/>
        <v>7.01</v>
      </c>
    </row>
    <row r="1484" spans="2:7" ht="13.8" customHeight="1" x14ac:dyDescent="0.25">
      <c r="B1484" s="33" t="s">
        <v>3</v>
      </c>
      <c r="C1484" s="33">
        <v>2771979</v>
      </c>
      <c r="D1484" s="33">
        <v>0.77</v>
      </c>
      <c r="E1484" s="33" t="s">
        <v>289</v>
      </c>
      <c r="F1484" s="31" t="str">
        <f t="shared" si="46"/>
        <v>C1.08.01</v>
      </c>
      <c r="G1484" s="34">
        <f t="shared" si="47"/>
        <v>0.77</v>
      </c>
    </row>
    <row r="1485" spans="2:7" ht="13.8" customHeight="1" x14ac:dyDescent="0.25">
      <c r="B1485" s="33" t="s">
        <v>3</v>
      </c>
      <c r="C1485" s="33">
        <v>2771983</v>
      </c>
      <c r="D1485" s="33">
        <v>7.01</v>
      </c>
      <c r="E1485" s="33" t="s">
        <v>289</v>
      </c>
      <c r="F1485" s="31" t="str">
        <f t="shared" si="46"/>
        <v>C1.08.01</v>
      </c>
      <c r="G1485" s="34">
        <f t="shared" si="47"/>
        <v>7.01</v>
      </c>
    </row>
    <row r="1486" spans="2:7" ht="13.8" customHeight="1" x14ac:dyDescent="0.25">
      <c r="B1486" s="33" t="s">
        <v>3</v>
      </c>
      <c r="C1486" s="33">
        <v>2771332</v>
      </c>
      <c r="D1486" s="33">
        <v>6.35</v>
      </c>
      <c r="E1486" s="33" t="s">
        <v>290</v>
      </c>
      <c r="F1486" s="31" t="str">
        <f t="shared" si="46"/>
        <v>C1.09.08</v>
      </c>
      <c r="G1486" s="34">
        <f t="shared" si="47"/>
        <v>6.35</v>
      </c>
    </row>
    <row r="1487" spans="2:7" ht="13.8" customHeight="1" x14ac:dyDescent="0.25">
      <c r="B1487" s="33" t="s">
        <v>3</v>
      </c>
      <c r="C1487" s="33">
        <v>2771339</v>
      </c>
      <c r="D1487" s="33">
        <v>7.42</v>
      </c>
      <c r="E1487" s="33" t="s">
        <v>290</v>
      </c>
      <c r="F1487" s="31" t="str">
        <f t="shared" si="46"/>
        <v>C1.09.08</v>
      </c>
      <c r="G1487" s="34">
        <f t="shared" si="47"/>
        <v>7.42</v>
      </c>
    </row>
    <row r="1488" spans="2:7" ht="13.8" customHeight="1" x14ac:dyDescent="0.25">
      <c r="B1488" s="33" t="s">
        <v>3</v>
      </c>
      <c r="C1488" s="33">
        <v>2771402</v>
      </c>
      <c r="D1488" s="33">
        <v>6.35</v>
      </c>
      <c r="E1488" s="33" t="s">
        <v>291</v>
      </c>
      <c r="F1488" s="31" t="str">
        <f t="shared" si="46"/>
        <v>C1.09.07</v>
      </c>
      <c r="G1488" s="34">
        <f t="shared" si="47"/>
        <v>6.35</v>
      </c>
    </row>
    <row r="1489" spans="2:7" ht="13.8" customHeight="1" x14ac:dyDescent="0.25">
      <c r="B1489" s="33" t="s">
        <v>3</v>
      </c>
      <c r="C1489" s="33">
        <v>2771403</v>
      </c>
      <c r="D1489" s="33">
        <v>7.42</v>
      </c>
      <c r="E1489" s="33" t="s">
        <v>291</v>
      </c>
      <c r="F1489" s="31" t="str">
        <f t="shared" si="46"/>
        <v>C1.09.07</v>
      </c>
      <c r="G1489" s="34">
        <f t="shared" si="47"/>
        <v>7.42</v>
      </c>
    </row>
    <row r="1490" spans="2:7" ht="13.8" customHeight="1" x14ac:dyDescent="0.25">
      <c r="B1490" s="33" t="s">
        <v>3</v>
      </c>
      <c r="C1490" s="33">
        <v>2771470</v>
      </c>
      <c r="D1490" s="33">
        <v>7.42</v>
      </c>
      <c r="E1490" s="33" t="s">
        <v>292</v>
      </c>
      <c r="F1490" s="31" t="str">
        <f t="shared" si="46"/>
        <v>C1.08.08</v>
      </c>
      <c r="G1490" s="34">
        <f t="shared" si="47"/>
        <v>7.42</v>
      </c>
    </row>
    <row r="1491" spans="2:7" ht="13.8" customHeight="1" x14ac:dyDescent="0.25">
      <c r="B1491" s="33" t="s">
        <v>3</v>
      </c>
      <c r="C1491" s="33">
        <v>2771472</v>
      </c>
      <c r="D1491" s="33">
        <v>6.35</v>
      </c>
      <c r="E1491" s="33" t="s">
        <v>292</v>
      </c>
      <c r="F1491" s="31" t="str">
        <f t="shared" si="46"/>
        <v>C1.08.08</v>
      </c>
      <c r="G1491" s="34">
        <f t="shared" si="47"/>
        <v>6.35</v>
      </c>
    </row>
    <row r="1492" spans="2:7" ht="13.8" customHeight="1" x14ac:dyDescent="0.25">
      <c r="B1492" s="33" t="s">
        <v>3</v>
      </c>
      <c r="C1492" s="33">
        <v>2771473</v>
      </c>
      <c r="D1492" s="33">
        <v>6.35</v>
      </c>
      <c r="E1492" s="33" t="s">
        <v>292</v>
      </c>
      <c r="F1492" s="31" t="str">
        <f t="shared" si="46"/>
        <v>C1.08.08</v>
      </c>
      <c r="G1492" s="34">
        <f t="shared" si="47"/>
        <v>6.35</v>
      </c>
    </row>
    <row r="1493" spans="2:7" ht="13.8" customHeight="1" x14ac:dyDescent="0.25">
      <c r="B1493" s="33" t="s">
        <v>3</v>
      </c>
      <c r="C1493" s="33">
        <v>2771480</v>
      </c>
      <c r="D1493" s="33">
        <v>7.42</v>
      </c>
      <c r="E1493" s="33" t="s">
        <v>292</v>
      </c>
      <c r="F1493" s="31" t="str">
        <f t="shared" si="46"/>
        <v>C1.08.08</v>
      </c>
      <c r="G1493" s="34">
        <f t="shared" si="47"/>
        <v>7.42</v>
      </c>
    </row>
    <row r="1494" spans="2:7" ht="13.8" customHeight="1" x14ac:dyDescent="0.25">
      <c r="B1494" s="33" t="s">
        <v>3</v>
      </c>
      <c r="C1494" s="33">
        <v>2771481</v>
      </c>
      <c r="D1494" s="33">
        <v>0.9</v>
      </c>
      <c r="E1494" s="33" t="s">
        <v>292</v>
      </c>
      <c r="F1494" s="31" t="str">
        <f t="shared" si="46"/>
        <v>C1.08.08</v>
      </c>
      <c r="G1494" s="34">
        <f t="shared" si="47"/>
        <v>0.9</v>
      </c>
    </row>
    <row r="1495" spans="2:7" ht="13.8" customHeight="1" x14ac:dyDescent="0.25">
      <c r="B1495" s="33" t="s">
        <v>3</v>
      </c>
      <c r="C1495" s="33">
        <v>2771544</v>
      </c>
      <c r="D1495" s="33">
        <v>6.35</v>
      </c>
      <c r="E1495" s="33" t="s">
        <v>293</v>
      </c>
      <c r="F1495" s="31" t="str">
        <f t="shared" si="46"/>
        <v>C1.08.07</v>
      </c>
      <c r="G1495" s="34">
        <f t="shared" si="47"/>
        <v>6.35</v>
      </c>
    </row>
    <row r="1496" spans="2:7" ht="13.8" customHeight="1" x14ac:dyDescent="0.25">
      <c r="B1496" s="33" t="s">
        <v>3</v>
      </c>
      <c r="C1496" s="33">
        <v>2771545</v>
      </c>
      <c r="D1496" s="33">
        <v>0.9</v>
      </c>
      <c r="E1496" s="33" t="s">
        <v>293</v>
      </c>
      <c r="F1496" s="31" t="str">
        <f t="shared" si="46"/>
        <v>C1.08.07</v>
      </c>
      <c r="G1496" s="34">
        <f t="shared" si="47"/>
        <v>0.9</v>
      </c>
    </row>
    <row r="1497" spans="2:7" ht="13.8" customHeight="1" x14ac:dyDescent="0.25">
      <c r="B1497" s="33" t="s">
        <v>3</v>
      </c>
      <c r="C1497" s="33">
        <v>2771547</v>
      </c>
      <c r="D1497" s="33">
        <v>6.35</v>
      </c>
      <c r="E1497" s="33" t="s">
        <v>293</v>
      </c>
      <c r="F1497" s="31" t="str">
        <f t="shared" si="46"/>
        <v>C1.08.07</v>
      </c>
      <c r="G1497" s="34">
        <f t="shared" si="47"/>
        <v>6.35</v>
      </c>
    </row>
    <row r="1498" spans="2:7" ht="13.8" customHeight="1" x14ac:dyDescent="0.25">
      <c r="B1498" s="33" t="s">
        <v>3</v>
      </c>
      <c r="C1498" s="33">
        <v>2771548</v>
      </c>
      <c r="D1498" s="33">
        <v>7.42</v>
      </c>
      <c r="E1498" s="33" t="s">
        <v>293</v>
      </c>
      <c r="F1498" s="31" t="str">
        <f t="shared" si="46"/>
        <v>C1.08.07</v>
      </c>
      <c r="G1498" s="34">
        <f t="shared" si="47"/>
        <v>7.42</v>
      </c>
    </row>
    <row r="1499" spans="2:7" ht="13.8" customHeight="1" x14ac:dyDescent="0.25">
      <c r="B1499" s="33" t="s">
        <v>3</v>
      </c>
      <c r="C1499" s="33">
        <v>2771557</v>
      </c>
      <c r="D1499" s="33">
        <v>7.42</v>
      </c>
      <c r="E1499" s="33" t="s">
        <v>293</v>
      </c>
      <c r="F1499" s="31" t="str">
        <f t="shared" si="46"/>
        <v>C1.08.07</v>
      </c>
      <c r="G1499" s="34">
        <f t="shared" si="47"/>
        <v>7.42</v>
      </c>
    </row>
    <row r="1500" spans="2:7" ht="13.8" customHeight="1" x14ac:dyDescent="0.25">
      <c r="B1500" s="33" t="s">
        <v>3</v>
      </c>
      <c r="C1500" s="33">
        <v>2771613</v>
      </c>
      <c r="D1500" s="33">
        <v>3.62</v>
      </c>
      <c r="E1500" s="33" t="s">
        <v>294</v>
      </c>
      <c r="F1500" s="31" t="str">
        <f t="shared" si="46"/>
        <v>C1.01.02</v>
      </c>
      <c r="G1500" s="34">
        <f t="shared" si="47"/>
        <v>3.62</v>
      </c>
    </row>
    <row r="1501" spans="2:7" ht="13.8" customHeight="1" x14ac:dyDescent="0.25">
      <c r="B1501" s="33" t="s">
        <v>3</v>
      </c>
      <c r="C1501" s="33">
        <v>2771615</v>
      </c>
      <c r="D1501" s="33">
        <v>8.19</v>
      </c>
      <c r="E1501" s="33" t="s">
        <v>294</v>
      </c>
      <c r="F1501" s="31" t="str">
        <f t="shared" si="46"/>
        <v>C1.01.02</v>
      </c>
      <c r="G1501" s="34">
        <f t="shared" si="47"/>
        <v>8.19</v>
      </c>
    </row>
    <row r="1502" spans="2:7" ht="13.8" customHeight="1" x14ac:dyDescent="0.25">
      <c r="B1502" s="33" t="s">
        <v>3</v>
      </c>
      <c r="C1502" s="33">
        <v>2771620</v>
      </c>
      <c r="D1502" s="33">
        <v>0.77</v>
      </c>
      <c r="E1502" s="33" t="s">
        <v>294</v>
      </c>
      <c r="F1502" s="31" t="str">
        <f t="shared" si="46"/>
        <v>C1.01.02</v>
      </c>
      <c r="G1502" s="34">
        <f t="shared" si="47"/>
        <v>0.77</v>
      </c>
    </row>
    <row r="1503" spans="2:7" ht="13.8" customHeight="1" x14ac:dyDescent="0.25">
      <c r="B1503" s="33" t="s">
        <v>3</v>
      </c>
      <c r="C1503" s="33">
        <v>2771651</v>
      </c>
      <c r="D1503" s="33">
        <v>3.9</v>
      </c>
      <c r="E1503" s="33" t="s">
        <v>295</v>
      </c>
      <c r="F1503" s="31" t="str">
        <f t="shared" si="46"/>
        <v>C1.01.03</v>
      </c>
      <c r="G1503" s="34">
        <f t="shared" si="47"/>
        <v>3.9</v>
      </c>
    </row>
    <row r="1504" spans="2:7" ht="13.8" customHeight="1" x14ac:dyDescent="0.25">
      <c r="B1504" s="33" t="s">
        <v>3</v>
      </c>
      <c r="C1504" s="33">
        <v>2771654</v>
      </c>
      <c r="D1504" s="33">
        <v>0.75</v>
      </c>
      <c r="E1504" s="33" t="s">
        <v>295</v>
      </c>
      <c r="F1504" s="31" t="str">
        <f t="shared" si="46"/>
        <v>C1.01.03</v>
      </c>
      <c r="G1504" s="34">
        <f t="shared" si="47"/>
        <v>0.75</v>
      </c>
    </row>
    <row r="1505" spans="2:7" ht="13.8" customHeight="1" x14ac:dyDescent="0.25">
      <c r="B1505" s="33" t="s">
        <v>3</v>
      </c>
      <c r="C1505" s="33">
        <v>2771685</v>
      </c>
      <c r="D1505" s="33">
        <v>0.75</v>
      </c>
      <c r="E1505" s="33" t="s">
        <v>296</v>
      </c>
      <c r="F1505" s="31" t="str">
        <f t="shared" si="46"/>
        <v>C1.01.04</v>
      </c>
      <c r="G1505" s="34">
        <f t="shared" si="47"/>
        <v>0.75</v>
      </c>
    </row>
    <row r="1506" spans="2:7" ht="13.8" customHeight="1" x14ac:dyDescent="0.25">
      <c r="B1506" s="33" t="s">
        <v>3</v>
      </c>
      <c r="C1506" s="33">
        <v>2771690</v>
      </c>
      <c r="D1506" s="33">
        <v>3.9</v>
      </c>
      <c r="E1506" s="33" t="s">
        <v>296</v>
      </c>
      <c r="F1506" s="31" t="str">
        <f t="shared" si="46"/>
        <v>C1.01.04</v>
      </c>
      <c r="G1506" s="34">
        <f t="shared" si="47"/>
        <v>3.9</v>
      </c>
    </row>
    <row r="1507" spans="2:7" ht="13.8" customHeight="1" x14ac:dyDescent="0.25">
      <c r="B1507" s="33" t="s">
        <v>3</v>
      </c>
      <c r="C1507" s="33">
        <v>2771734</v>
      </c>
      <c r="D1507" s="33">
        <v>0.77</v>
      </c>
      <c r="E1507" s="33" t="s">
        <v>297</v>
      </c>
      <c r="F1507" s="31" t="str">
        <f t="shared" si="46"/>
        <v>C1.01.05</v>
      </c>
      <c r="G1507" s="34">
        <f t="shared" si="47"/>
        <v>0.77</v>
      </c>
    </row>
    <row r="1508" spans="2:7" ht="13.8" customHeight="1" x14ac:dyDescent="0.25">
      <c r="B1508" s="33" t="s">
        <v>3</v>
      </c>
      <c r="C1508" s="33">
        <v>2771740</v>
      </c>
      <c r="D1508" s="33">
        <v>3.62</v>
      </c>
      <c r="E1508" s="33" t="s">
        <v>297</v>
      </c>
      <c r="F1508" s="31" t="str">
        <f t="shared" si="46"/>
        <v>C1.01.05</v>
      </c>
      <c r="G1508" s="34">
        <f t="shared" si="47"/>
        <v>3.62</v>
      </c>
    </row>
    <row r="1509" spans="2:7" ht="13.8" customHeight="1" x14ac:dyDescent="0.25">
      <c r="B1509" s="33" t="s">
        <v>3</v>
      </c>
      <c r="C1509" s="33">
        <v>2771785</v>
      </c>
      <c r="D1509" s="33">
        <v>4.78</v>
      </c>
      <c r="E1509" s="33" t="s">
        <v>298</v>
      </c>
      <c r="F1509" s="31" t="str">
        <f t="shared" si="46"/>
        <v>C1.01.06</v>
      </c>
      <c r="G1509" s="34">
        <f t="shared" si="47"/>
        <v>4.78</v>
      </c>
    </row>
    <row r="1510" spans="2:7" ht="13.8" customHeight="1" x14ac:dyDescent="0.25">
      <c r="B1510" s="33" t="s">
        <v>3</v>
      </c>
      <c r="C1510" s="33">
        <v>2771790</v>
      </c>
      <c r="D1510" s="33">
        <v>0.79</v>
      </c>
      <c r="E1510" s="33" t="s">
        <v>298</v>
      </c>
      <c r="F1510" s="31" t="str">
        <f t="shared" si="46"/>
        <v>C1.01.06</v>
      </c>
      <c r="G1510" s="34">
        <f t="shared" si="47"/>
        <v>0.79</v>
      </c>
    </row>
    <row r="1511" spans="2:7" ht="13.8" customHeight="1" x14ac:dyDescent="0.25">
      <c r="B1511" s="33" t="s">
        <v>3</v>
      </c>
      <c r="C1511" s="33">
        <v>2771849</v>
      </c>
      <c r="D1511" s="33">
        <v>6.76</v>
      </c>
      <c r="E1511" s="33" t="s">
        <v>299</v>
      </c>
      <c r="F1511" s="31" t="str">
        <f t="shared" si="46"/>
        <v>C1.01.01</v>
      </c>
      <c r="G1511" s="34">
        <f t="shared" si="47"/>
        <v>6.76</v>
      </c>
    </row>
    <row r="1512" spans="2:7" ht="13.8" customHeight="1" x14ac:dyDescent="0.25">
      <c r="B1512" s="33" t="s">
        <v>3</v>
      </c>
      <c r="C1512" s="33">
        <v>2771850</v>
      </c>
      <c r="D1512" s="33">
        <v>0.79</v>
      </c>
      <c r="E1512" s="33" t="s">
        <v>299</v>
      </c>
      <c r="F1512" s="31" t="str">
        <f t="shared" si="46"/>
        <v>C1.01.01</v>
      </c>
      <c r="G1512" s="34">
        <f t="shared" si="47"/>
        <v>0.79</v>
      </c>
    </row>
    <row r="1513" spans="2:7" ht="13.8" customHeight="1" x14ac:dyDescent="0.25">
      <c r="B1513" s="33" t="s">
        <v>3</v>
      </c>
      <c r="C1513" s="33">
        <v>2771858</v>
      </c>
      <c r="D1513" s="33">
        <v>5.81</v>
      </c>
      <c r="E1513" s="33" t="s">
        <v>299</v>
      </c>
      <c r="F1513" s="31" t="str">
        <f t="shared" si="46"/>
        <v>C1.01.01</v>
      </c>
      <c r="G1513" s="34">
        <f t="shared" si="47"/>
        <v>5.81</v>
      </c>
    </row>
    <row r="1514" spans="2:7" ht="13.8" customHeight="1" x14ac:dyDescent="0.25">
      <c r="B1514" s="33" t="s">
        <v>3</v>
      </c>
      <c r="C1514" s="33">
        <v>2770792</v>
      </c>
      <c r="D1514" s="33">
        <v>8.19</v>
      </c>
      <c r="E1514" s="33" t="s">
        <v>281</v>
      </c>
      <c r="F1514" s="31" t="str">
        <f t="shared" si="46"/>
        <v>C1.14.02</v>
      </c>
      <c r="G1514" s="34">
        <f t="shared" si="47"/>
        <v>8.19</v>
      </c>
    </row>
    <row r="1515" spans="2:7" ht="13.8" customHeight="1" x14ac:dyDescent="0.25">
      <c r="B1515" s="33" t="s">
        <v>3</v>
      </c>
      <c r="C1515" s="33">
        <v>2770799</v>
      </c>
      <c r="D1515" s="33">
        <v>3.62</v>
      </c>
      <c r="E1515" s="33" t="s">
        <v>281</v>
      </c>
      <c r="F1515" s="31" t="str">
        <f t="shared" si="46"/>
        <v>C1.14.02</v>
      </c>
      <c r="G1515" s="34">
        <f t="shared" si="47"/>
        <v>3.62</v>
      </c>
    </row>
    <row r="1516" spans="2:7" ht="13.8" customHeight="1" x14ac:dyDescent="0.25">
      <c r="B1516" s="33" t="s">
        <v>8</v>
      </c>
      <c r="C1516" s="33">
        <v>2766329</v>
      </c>
      <c r="D1516" s="33">
        <v>3.05</v>
      </c>
      <c r="E1516" s="33" t="s">
        <v>216</v>
      </c>
      <c r="F1516" s="31" t="str">
        <f t="shared" si="46"/>
        <v>E2.34.05</v>
      </c>
      <c r="G1516" s="34">
        <f t="shared" si="47"/>
        <v>3.05</v>
      </c>
    </row>
    <row r="1517" spans="2:7" ht="13.8" customHeight="1" x14ac:dyDescent="0.25">
      <c r="B1517" s="33" t="s">
        <v>8</v>
      </c>
      <c r="C1517" s="33">
        <v>2766332</v>
      </c>
      <c r="D1517" s="33">
        <v>3.24</v>
      </c>
      <c r="E1517" s="33" t="s">
        <v>216</v>
      </c>
      <c r="F1517" s="31" t="str">
        <f t="shared" si="46"/>
        <v>E2.34.05</v>
      </c>
      <c r="G1517" s="34">
        <f t="shared" si="47"/>
        <v>3.24</v>
      </c>
    </row>
    <row r="1518" spans="2:7" ht="13.8" customHeight="1" x14ac:dyDescent="0.25">
      <c r="B1518" s="33" t="s">
        <v>8</v>
      </c>
      <c r="C1518" s="33">
        <v>2766334</v>
      </c>
      <c r="D1518" s="33">
        <v>7.11</v>
      </c>
      <c r="E1518" s="33" t="s">
        <v>216</v>
      </c>
      <c r="F1518" s="31" t="str">
        <f t="shared" si="46"/>
        <v>E2.34.05</v>
      </c>
      <c r="G1518" s="34">
        <f t="shared" si="47"/>
        <v>7.11</v>
      </c>
    </row>
    <row r="1519" spans="2:7" ht="13.8" customHeight="1" x14ac:dyDescent="0.25">
      <c r="B1519" s="33" t="s">
        <v>8</v>
      </c>
      <c r="C1519" s="33">
        <v>2766336</v>
      </c>
      <c r="D1519" s="33">
        <v>9.76</v>
      </c>
      <c r="E1519" s="33" t="s">
        <v>216</v>
      </c>
      <c r="F1519" s="31" t="str">
        <f t="shared" si="46"/>
        <v>E2.34.05</v>
      </c>
      <c r="G1519" s="34">
        <f t="shared" si="47"/>
        <v>9.76</v>
      </c>
    </row>
    <row r="1520" spans="2:7" ht="13.8" customHeight="1" x14ac:dyDescent="0.25">
      <c r="B1520" s="33" t="s">
        <v>8</v>
      </c>
      <c r="C1520" s="33">
        <v>2766408</v>
      </c>
      <c r="D1520" s="33">
        <v>5.33</v>
      </c>
      <c r="E1520" s="33" t="s">
        <v>217</v>
      </c>
      <c r="F1520" s="31" t="str">
        <f t="shared" si="46"/>
        <v>E2.34.06</v>
      </c>
      <c r="G1520" s="34">
        <f t="shared" si="47"/>
        <v>5.33</v>
      </c>
    </row>
    <row r="1521" spans="2:7" ht="13.8" customHeight="1" x14ac:dyDescent="0.25">
      <c r="B1521" s="33" t="s">
        <v>8</v>
      </c>
      <c r="C1521" s="33">
        <v>2766411</v>
      </c>
      <c r="D1521" s="33">
        <v>2.9</v>
      </c>
      <c r="E1521" s="33" t="s">
        <v>217</v>
      </c>
      <c r="F1521" s="31" t="str">
        <f t="shared" si="46"/>
        <v>E2.34.06</v>
      </c>
      <c r="G1521" s="34">
        <f t="shared" si="47"/>
        <v>2.9</v>
      </c>
    </row>
    <row r="1522" spans="2:7" ht="13.8" customHeight="1" x14ac:dyDescent="0.25">
      <c r="B1522" s="33" t="s">
        <v>8</v>
      </c>
      <c r="C1522" s="33">
        <v>2766414</v>
      </c>
      <c r="D1522" s="33">
        <v>6.74</v>
      </c>
      <c r="E1522" s="33" t="s">
        <v>217</v>
      </c>
      <c r="F1522" s="31" t="str">
        <f t="shared" si="46"/>
        <v>E2.34.06</v>
      </c>
      <c r="G1522" s="34">
        <f t="shared" si="47"/>
        <v>6.74</v>
      </c>
    </row>
    <row r="1523" spans="2:7" ht="13.8" customHeight="1" x14ac:dyDescent="0.25">
      <c r="B1523" s="33" t="s">
        <v>8</v>
      </c>
      <c r="C1523" s="33">
        <v>2766415</v>
      </c>
      <c r="D1523" s="33">
        <v>3.02</v>
      </c>
      <c r="E1523" s="33" t="s">
        <v>217</v>
      </c>
      <c r="F1523" s="31" t="str">
        <f t="shared" si="46"/>
        <v>E2.34.06</v>
      </c>
      <c r="G1523" s="34">
        <f t="shared" si="47"/>
        <v>3.02</v>
      </c>
    </row>
    <row r="1524" spans="2:7" ht="13.8" customHeight="1" x14ac:dyDescent="0.25">
      <c r="B1524" s="33" t="s">
        <v>8</v>
      </c>
      <c r="C1524" s="33">
        <v>2766475</v>
      </c>
      <c r="D1524" s="33">
        <v>4.7300000000000004</v>
      </c>
      <c r="E1524" s="33" t="s">
        <v>218</v>
      </c>
      <c r="F1524" s="31" t="str">
        <f t="shared" si="46"/>
        <v>E2.34.04</v>
      </c>
      <c r="G1524" s="34">
        <f t="shared" si="47"/>
        <v>4.7300000000000004</v>
      </c>
    </row>
    <row r="1525" spans="2:7" ht="13.8" customHeight="1" x14ac:dyDescent="0.25">
      <c r="B1525" s="33" t="s">
        <v>8</v>
      </c>
      <c r="C1525" s="33">
        <v>2766478</v>
      </c>
      <c r="D1525" s="33">
        <v>4.0599999999999996</v>
      </c>
      <c r="E1525" s="33" t="s">
        <v>218</v>
      </c>
      <c r="F1525" s="31" t="str">
        <f t="shared" si="46"/>
        <v>E2.34.04</v>
      </c>
      <c r="G1525" s="34">
        <f t="shared" si="47"/>
        <v>4.0599999999999996</v>
      </c>
    </row>
    <row r="1526" spans="2:7" ht="13.8" customHeight="1" x14ac:dyDescent="0.25">
      <c r="B1526" s="33" t="s">
        <v>8</v>
      </c>
      <c r="C1526" s="33">
        <v>2766480</v>
      </c>
      <c r="D1526" s="33">
        <v>2.9</v>
      </c>
      <c r="E1526" s="33" t="s">
        <v>218</v>
      </c>
      <c r="F1526" s="31" t="str">
        <f t="shared" si="46"/>
        <v>E2.34.04</v>
      </c>
      <c r="G1526" s="34">
        <f t="shared" si="47"/>
        <v>2.9</v>
      </c>
    </row>
    <row r="1527" spans="2:7" ht="13.8" customHeight="1" x14ac:dyDescent="0.25">
      <c r="B1527" s="33" t="s">
        <v>8</v>
      </c>
      <c r="C1527" s="33">
        <v>2766482</v>
      </c>
      <c r="D1527" s="33">
        <v>3.01</v>
      </c>
      <c r="E1527" s="33" t="s">
        <v>218</v>
      </c>
      <c r="F1527" s="31" t="str">
        <f t="shared" si="46"/>
        <v>E2.34.04</v>
      </c>
      <c r="G1527" s="34">
        <f t="shared" si="47"/>
        <v>3.01</v>
      </c>
    </row>
    <row r="1528" spans="2:7" ht="13.8" customHeight="1" x14ac:dyDescent="0.25">
      <c r="B1528" s="33" t="s">
        <v>8</v>
      </c>
      <c r="C1528" s="33">
        <v>2766484</v>
      </c>
      <c r="D1528" s="33">
        <v>3.05</v>
      </c>
      <c r="E1528" s="33" t="s">
        <v>218</v>
      </c>
      <c r="F1528" s="31" t="str">
        <f t="shared" si="46"/>
        <v>E2.34.04</v>
      </c>
      <c r="G1528" s="34">
        <f t="shared" si="47"/>
        <v>3.05</v>
      </c>
    </row>
    <row r="1529" spans="2:7" ht="13.8" customHeight="1" x14ac:dyDescent="0.25">
      <c r="B1529" s="33" t="s">
        <v>8</v>
      </c>
      <c r="C1529" s="33">
        <v>2766546</v>
      </c>
      <c r="D1529" s="33">
        <v>4.0599999999999996</v>
      </c>
      <c r="E1529" s="33" t="s">
        <v>219</v>
      </c>
      <c r="F1529" s="31" t="str">
        <f t="shared" si="46"/>
        <v>E2.34.01</v>
      </c>
      <c r="G1529" s="34">
        <f t="shared" si="47"/>
        <v>4.0599999999999996</v>
      </c>
    </row>
    <row r="1530" spans="2:7" ht="13.8" customHeight="1" x14ac:dyDescent="0.25">
      <c r="B1530" s="33" t="s">
        <v>8</v>
      </c>
      <c r="C1530" s="33">
        <v>2766549</v>
      </c>
      <c r="D1530" s="33">
        <v>3.02</v>
      </c>
      <c r="E1530" s="33" t="s">
        <v>219</v>
      </c>
      <c r="F1530" s="31" t="str">
        <f t="shared" si="46"/>
        <v>E2.34.01</v>
      </c>
      <c r="G1530" s="34">
        <f t="shared" si="47"/>
        <v>3.02</v>
      </c>
    </row>
    <row r="1531" spans="2:7" ht="13.8" customHeight="1" x14ac:dyDescent="0.25">
      <c r="B1531" s="33" t="s">
        <v>8</v>
      </c>
      <c r="C1531" s="33">
        <v>2766552</v>
      </c>
      <c r="D1531" s="33">
        <v>4.7300000000000004</v>
      </c>
      <c r="E1531" s="33" t="s">
        <v>219</v>
      </c>
      <c r="F1531" s="31" t="str">
        <f t="shared" si="46"/>
        <v>E2.34.01</v>
      </c>
      <c r="G1531" s="34">
        <f t="shared" si="47"/>
        <v>4.7300000000000004</v>
      </c>
    </row>
    <row r="1532" spans="2:7" ht="13.8" customHeight="1" x14ac:dyDescent="0.25">
      <c r="B1532" s="33" t="s">
        <v>8</v>
      </c>
      <c r="C1532" s="33">
        <v>2766554</v>
      </c>
      <c r="D1532" s="33">
        <v>2.9</v>
      </c>
      <c r="E1532" s="33" t="s">
        <v>219</v>
      </c>
      <c r="F1532" s="31" t="str">
        <f t="shared" si="46"/>
        <v>E2.34.01</v>
      </c>
      <c r="G1532" s="34">
        <f t="shared" si="47"/>
        <v>2.9</v>
      </c>
    </row>
    <row r="1533" spans="2:7" ht="13.8" customHeight="1" x14ac:dyDescent="0.25">
      <c r="B1533" s="33" t="s">
        <v>8</v>
      </c>
      <c r="C1533" s="33">
        <v>2766555</v>
      </c>
      <c r="D1533" s="33">
        <v>3.05</v>
      </c>
      <c r="E1533" s="33" t="s">
        <v>219</v>
      </c>
      <c r="F1533" s="31" t="str">
        <f t="shared" si="46"/>
        <v>E2.34.01</v>
      </c>
      <c r="G1533" s="34">
        <f t="shared" si="47"/>
        <v>3.05</v>
      </c>
    </row>
    <row r="1534" spans="2:7" ht="13.8" customHeight="1" x14ac:dyDescent="0.25">
      <c r="B1534" s="33" t="s">
        <v>8</v>
      </c>
      <c r="C1534" s="33">
        <v>2766635</v>
      </c>
      <c r="D1534" s="33">
        <v>7.11</v>
      </c>
      <c r="E1534" s="33" t="s">
        <v>220</v>
      </c>
      <c r="F1534" s="31" t="str">
        <f t="shared" si="46"/>
        <v>E2.34.02</v>
      </c>
      <c r="G1534" s="34">
        <f t="shared" si="47"/>
        <v>7.11</v>
      </c>
    </row>
    <row r="1535" spans="2:7" ht="13.8" customHeight="1" x14ac:dyDescent="0.25">
      <c r="B1535" s="33" t="s">
        <v>8</v>
      </c>
      <c r="C1535" s="33">
        <v>2766638</v>
      </c>
      <c r="D1535" s="33">
        <v>9.76</v>
      </c>
      <c r="E1535" s="33" t="s">
        <v>220</v>
      </c>
      <c r="F1535" s="31" t="str">
        <f t="shared" si="46"/>
        <v>E2.34.02</v>
      </c>
      <c r="G1535" s="34">
        <f t="shared" si="47"/>
        <v>9.76</v>
      </c>
    </row>
    <row r="1536" spans="2:7" ht="13.8" customHeight="1" x14ac:dyDescent="0.25">
      <c r="B1536" s="33" t="s">
        <v>8</v>
      </c>
      <c r="C1536" s="33">
        <v>2766640</v>
      </c>
      <c r="D1536" s="33">
        <v>3.24</v>
      </c>
      <c r="E1536" s="33" t="s">
        <v>220</v>
      </c>
      <c r="F1536" s="31" t="str">
        <f t="shared" si="46"/>
        <v>E2.34.02</v>
      </c>
      <c r="G1536" s="34">
        <f t="shared" si="47"/>
        <v>3.24</v>
      </c>
    </row>
    <row r="1537" spans="2:7" ht="13.8" customHeight="1" x14ac:dyDescent="0.25">
      <c r="B1537" s="33" t="s">
        <v>8</v>
      </c>
      <c r="C1537" s="33">
        <v>2766643</v>
      </c>
      <c r="D1537" s="33">
        <v>3.05</v>
      </c>
      <c r="E1537" s="33" t="s">
        <v>220</v>
      </c>
      <c r="F1537" s="31" t="str">
        <f t="shared" si="46"/>
        <v>E2.34.02</v>
      </c>
      <c r="G1537" s="34">
        <f t="shared" si="47"/>
        <v>3.05</v>
      </c>
    </row>
    <row r="1538" spans="2:7" ht="13.8" customHeight="1" x14ac:dyDescent="0.25">
      <c r="B1538" s="33" t="s">
        <v>8</v>
      </c>
      <c r="C1538" s="33">
        <v>2766717</v>
      </c>
      <c r="D1538" s="33">
        <v>6.74</v>
      </c>
      <c r="E1538" s="33" t="s">
        <v>221</v>
      </c>
      <c r="F1538" s="31" t="str">
        <f t="shared" si="46"/>
        <v>E2.34.03</v>
      </c>
      <c r="G1538" s="34">
        <f t="shared" si="47"/>
        <v>6.74</v>
      </c>
    </row>
    <row r="1539" spans="2:7" ht="13.8" customHeight="1" x14ac:dyDescent="0.25">
      <c r="B1539" s="33" t="s">
        <v>8</v>
      </c>
      <c r="C1539" s="33">
        <v>2766720</v>
      </c>
      <c r="D1539" s="33">
        <v>3.01</v>
      </c>
      <c r="E1539" s="33" t="s">
        <v>221</v>
      </c>
      <c r="F1539" s="31" t="str">
        <f t="shared" si="46"/>
        <v>E2.34.03</v>
      </c>
      <c r="G1539" s="34">
        <f t="shared" si="47"/>
        <v>3.01</v>
      </c>
    </row>
    <row r="1540" spans="2:7" ht="13.8" customHeight="1" x14ac:dyDescent="0.25">
      <c r="B1540" s="33" t="s">
        <v>8</v>
      </c>
      <c r="C1540" s="33">
        <v>2766723</v>
      </c>
      <c r="D1540" s="33">
        <v>5.33</v>
      </c>
      <c r="E1540" s="33" t="s">
        <v>221</v>
      </c>
      <c r="F1540" s="31" t="str">
        <f t="shared" si="46"/>
        <v>E2.34.03</v>
      </c>
      <c r="G1540" s="34">
        <f t="shared" si="47"/>
        <v>5.33</v>
      </c>
    </row>
    <row r="1541" spans="2:7" ht="13.8" customHeight="1" x14ac:dyDescent="0.25">
      <c r="B1541" s="33" t="s">
        <v>8</v>
      </c>
      <c r="C1541" s="33">
        <v>2766726</v>
      </c>
      <c r="D1541" s="33">
        <v>2.9</v>
      </c>
      <c r="E1541" s="33" t="s">
        <v>221</v>
      </c>
      <c r="F1541" s="31" t="str">
        <f t="shared" si="46"/>
        <v>E2.34.03</v>
      </c>
      <c r="G1541" s="34">
        <f t="shared" si="47"/>
        <v>2.9</v>
      </c>
    </row>
    <row r="1542" spans="2:7" ht="13.8" customHeight="1" x14ac:dyDescent="0.25">
      <c r="B1542" s="33" t="s">
        <v>8</v>
      </c>
      <c r="C1542" s="33">
        <v>2766790</v>
      </c>
      <c r="D1542" s="33">
        <v>1.01</v>
      </c>
      <c r="E1542" s="33" t="s">
        <v>222</v>
      </c>
      <c r="F1542" s="31" t="str">
        <f t="shared" si="46"/>
        <v>D1.09.02</v>
      </c>
      <c r="G1542" s="34">
        <f t="shared" si="47"/>
        <v>1.01</v>
      </c>
    </row>
    <row r="1543" spans="2:7" ht="13.8" customHeight="1" x14ac:dyDescent="0.25">
      <c r="B1543" s="33" t="s">
        <v>8</v>
      </c>
      <c r="C1543" s="33">
        <v>2766793</v>
      </c>
      <c r="D1543" s="33">
        <v>1.1100000000000001</v>
      </c>
      <c r="E1543" s="33" t="s">
        <v>222</v>
      </c>
      <c r="F1543" s="31" t="str">
        <f t="shared" ref="F1543:F1606" si="48">LEFT(E1543,8)</f>
        <v>D1.09.02</v>
      </c>
      <c r="G1543" s="34">
        <f t="shared" ref="G1543:G1606" si="49">D1543</f>
        <v>1.1100000000000001</v>
      </c>
    </row>
    <row r="1544" spans="2:7" ht="13.8" customHeight="1" x14ac:dyDescent="0.25">
      <c r="B1544" s="33" t="s">
        <v>8</v>
      </c>
      <c r="C1544" s="33">
        <v>2766795</v>
      </c>
      <c r="D1544" s="33">
        <v>10.039999999999999</v>
      </c>
      <c r="E1544" s="33" t="s">
        <v>222</v>
      </c>
      <c r="F1544" s="31" t="str">
        <f t="shared" si="48"/>
        <v>D1.09.02</v>
      </c>
      <c r="G1544" s="34">
        <f t="shared" si="49"/>
        <v>10.039999999999999</v>
      </c>
    </row>
    <row r="1545" spans="2:7" ht="13.8" customHeight="1" x14ac:dyDescent="0.25">
      <c r="B1545" s="33" t="s">
        <v>8</v>
      </c>
      <c r="C1545" s="33">
        <v>2766798</v>
      </c>
      <c r="D1545" s="33">
        <v>6.83</v>
      </c>
      <c r="E1545" s="33" t="s">
        <v>222</v>
      </c>
      <c r="F1545" s="31" t="str">
        <f t="shared" si="48"/>
        <v>D1.09.02</v>
      </c>
      <c r="G1545" s="34">
        <f t="shared" si="49"/>
        <v>6.83</v>
      </c>
    </row>
    <row r="1546" spans="2:7" ht="13.8" customHeight="1" x14ac:dyDescent="0.25">
      <c r="B1546" s="33" t="s">
        <v>8</v>
      </c>
      <c r="C1546" s="33">
        <v>2766855</v>
      </c>
      <c r="D1546" s="33">
        <v>8.1199999999999992</v>
      </c>
      <c r="E1546" s="33" t="s">
        <v>223</v>
      </c>
      <c r="F1546" s="31" t="str">
        <f t="shared" si="48"/>
        <v>D1.09.03</v>
      </c>
      <c r="G1546" s="34">
        <f t="shared" si="49"/>
        <v>8.1199999999999992</v>
      </c>
    </row>
    <row r="1547" spans="2:7" ht="13.8" customHeight="1" x14ac:dyDescent="0.25">
      <c r="B1547" s="33" t="s">
        <v>8</v>
      </c>
      <c r="C1547" s="33">
        <v>2766858</v>
      </c>
      <c r="D1547" s="33">
        <v>7.83</v>
      </c>
      <c r="E1547" s="33" t="s">
        <v>223</v>
      </c>
      <c r="F1547" s="31" t="str">
        <f t="shared" si="48"/>
        <v>D1.09.03</v>
      </c>
      <c r="G1547" s="34">
        <f t="shared" si="49"/>
        <v>7.83</v>
      </c>
    </row>
    <row r="1548" spans="2:7" ht="13.8" customHeight="1" x14ac:dyDescent="0.25">
      <c r="B1548" s="33" t="s">
        <v>8</v>
      </c>
      <c r="C1548" s="33">
        <v>2766860</v>
      </c>
      <c r="D1548" s="33">
        <v>1.1000000000000001</v>
      </c>
      <c r="E1548" s="33" t="s">
        <v>223</v>
      </c>
      <c r="F1548" s="31" t="str">
        <f t="shared" si="48"/>
        <v>D1.09.03</v>
      </c>
      <c r="G1548" s="34">
        <f t="shared" si="49"/>
        <v>1.1000000000000001</v>
      </c>
    </row>
    <row r="1549" spans="2:7" ht="13.8" customHeight="1" x14ac:dyDescent="0.25">
      <c r="B1549" s="33" t="s">
        <v>8</v>
      </c>
      <c r="C1549" s="33">
        <v>2766920</v>
      </c>
      <c r="D1549" s="33">
        <v>8.1999999999999993</v>
      </c>
      <c r="E1549" s="33" t="s">
        <v>224</v>
      </c>
      <c r="F1549" s="31" t="str">
        <f t="shared" si="48"/>
        <v>D1.12.01</v>
      </c>
      <c r="G1549" s="34">
        <f t="shared" si="49"/>
        <v>8.1999999999999993</v>
      </c>
    </row>
    <row r="1550" spans="2:7" ht="13.8" customHeight="1" x14ac:dyDescent="0.25">
      <c r="B1550" s="33" t="s">
        <v>8</v>
      </c>
      <c r="C1550" s="33">
        <v>2766923</v>
      </c>
      <c r="D1550" s="33">
        <v>15.42</v>
      </c>
      <c r="E1550" s="33" t="s">
        <v>224</v>
      </c>
      <c r="F1550" s="31" t="str">
        <f t="shared" si="48"/>
        <v>D1.12.01</v>
      </c>
      <c r="G1550" s="34">
        <f t="shared" si="49"/>
        <v>15.42</v>
      </c>
    </row>
    <row r="1551" spans="2:7" ht="13.8" customHeight="1" x14ac:dyDescent="0.25">
      <c r="B1551" s="33" t="s">
        <v>8</v>
      </c>
      <c r="C1551" s="33">
        <v>2766925</v>
      </c>
      <c r="D1551" s="33">
        <v>3.25</v>
      </c>
      <c r="E1551" s="33" t="s">
        <v>224</v>
      </c>
      <c r="F1551" s="31" t="str">
        <f t="shared" si="48"/>
        <v>D1.12.01</v>
      </c>
      <c r="G1551" s="34">
        <f t="shared" si="49"/>
        <v>3.25</v>
      </c>
    </row>
    <row r="1552" spans="2:7" ht="13.8" customHeight="1" x14ac:dyDescent="0.25">
      <c r="B1552" s="33" t="s">
        <v>8</v>
      </c>
      <c r="C1552" s="33">
        <v>2766977</v>
      </c>
      <c r="D1552" s="33">
        <v>5.96</v>
      </c>
      <c r="E1552" s="33" t="s">
        <v>225</v>
      </c>
      <c r="F1552" s="31" t="str">
        <f t="shared" si="48"/>
        <v>D1.12.02</v>
      </c>
      <c r="G1552" s="34">
        <f t="shared" si="49"/>
        <v>5.96</v>
      </c>
    </row>
    <row r="1553" spans="2:7" ht="13.8" customHeight="1" x14ac:dyDescent="0.25">
      <c r="B1553" s="33" t="s">
        <v>8</v>
      </c>
      <c r="C1553" s="33">
        <v>2767321</v>
      </c>
      <c r="D1553" s="33">
        <v>6.6</v>
      </c>
      <c r="E1553" s="33" t="s">
        <v>231</v>
      </c>
      <c r="F1553" s="31" t="str">
        <f t="shared" si="48"/>
        <v>B1.11.01</v>
      </c>
      <c r="G1553" s="34">
        <f t="shared" si="49"/>
        <v>6.6</v>
      </c>
    </row>
    <row r="1554" spans="2:7" ht="13.8" customHeight="1" x14ac:dyDescent="0.25">
      <c r="B1554" s="33" t="s">
        <v>8</v>
      </c>
      <c r="C1554" s="33">
        <v>2767324</v>
      </c>
      <c r="D1554" s="33">
        <v>7.57</v>
      </c>
      <c r="E1554" s="33" t="s">
        <v>231</v>
      </c>
      <c r="F1554" s="31" t="str">
        <f t="shared" si="48"/>
        <v>B1.11.01</v>
      </c>
      <c r="G1554" s="34">
        <f t="shared" si="49"/>
        <v>7.57</v>
      </c>
    </row>
    <row r="1555" spans="2:7" ht="13.8" customHeight="1" x14ac:dyDescent="0.25">
      <c r="B1555" s="33" t="s">
        <v>8</v>
      </c>
      <c r="C1555" s="33">
        <v>2767326</v>
      </c>
      <c r="D1555" s="33">
        <v>2.88</v>
      </c>
      <c r="E1555" s="33" t="s">
        <v>231</v>
      </c>
      <c r="F1555" s="31" t="str">
        <f t="shared" si="48"/>
        <v>B1.11.01</v>
      </c>
      <c r="G1555" s="34">
        <f t="shared" si="49"/>
        <v>2.88</v>
      </c>
    </row>
    <row r="1556" spans="2:7" ht="13.8" customHeight="1" x14ac:dyDescent="0.25">
      <c r="B1556" s="33" t="s">
        <v>8</v>
      </c>
      <c r="C1556" s="33">
        <v>2767363</v>
      </c>
      <c r="D1556" s="33">
        <v>7.57</v>
      </c>
      <c r="E1556" s="33" t="s">
        <v>232</v>
      </c>
      <c r="F1556" s="31" t="str">
        <f t="shared" si="48"/>
        <v>B1.11.02</v>
      </c>
      <c r="G1556" s="34">
        <f t="shared" si="49"/>
        <v>7.57</v>
      </c>
    </row>
    <row r="1557" spans="2:7" ht="13.8" customHeight="1" x14ac:dyDescent="0.25">
      <c r="B1557" s="33" t="s">
        <v>8</v>
      </c>
      <c r="C1557" s="33">
        <v>2767668</v>
      </c>
      <c r="D1557" s="33">
        <v>10.52</v>
      </c>
      <c r="E1557" s="33" t="s">
        <v>238</v>
      </c>
      <c r="F1557" s="31" t="str">
        <f t="shared" si="48"/>
        <v>B1.08.02</v>
      </c>
      <c r="G1557" s="34">
        <f t="shared" si="49"/>
        <v>10.52</v>
      </c>
    </row>
    <row r="1558" spans="2:7" ht="13.8" customHeight="1" x14ac:dyDescent="0.25">
      <c r="B1558" s="33" t="s">
        <v>8</v>
      </c>
      <c r="C1558" s="33">
        <v>2767671</v>
      </c>
      <c r="D1558" s="33">
        <v>5.6</v>
      </c>
      <c r="E1558" s="33" t="s">
        <v>238</v>
      </c>
      <c r="F1558" s="31" t="str">
        <f t="shared" si="48"/>
        <v>B1.08.02</v>
      </c>
      <c r="G1558" s="34">
        <f t="shared" si="49"/>
        <v>5.6</v>
      </c>
    </row>
    <row r="1559" spans="2:7" ht="13.8" customHeight="1" x14ac:dyDescent="0.25">
      <c r="B1559" s="33" t="s">
        <v>8</v>
      </c>
      <c r="C1559" s="33">
        <v>2767729</v>
      </c>
      <c r="D1559" s="33">
        <v>6.6</v>
      </c>
      <c r="E1559" s="33" t="s">
        <v>239</v>
      </c>
      <c r="F1559" s="31" t="str">
        <f t="shared" si="48"/>
        <v>B1.08.03</v>
      </c>
      <c r="G1559" s="34">
        <f t="shared" si="49"/>
        <v>6.6</v>
      </c>
    </row>
    <row r="1560" spans="2:7" ht="13.8" customHeight="1" x14ac:dyDescent="0.25">
      <c r="B1560" s="33" t="s">
        <v>8</v>
      </c>
      <c r="C1560" s="33">
        <v>2767732</v>
      </c>
      <c r="D1560" s="33">
        <v>7.61</v>
      </c>
      <c r="E1560" s="33" t="s">
        <v>239</v>
      </c>
      <c r="F1560" s="31" t="str">
        <f t="shared" si="48"/>
        <v>B1.08.03</v>
      </c>
      <c r="G1560" s="34">
        <f t="shared" si="49"/>
        <v>7.61</v>
      </c>
    </row>
    <row r="1561" spans="2:7" ht="13.8" customHeight="1" x14ac:dyDescent="0.25">
      <c r="B1561" s="33" t="s">
        <v>8</v>
      </c>
      <c r="C1561" s="33">
        <v>2767781</v>
      </c>
      <c r="D1561" s="33">
        <v>6.67</v>
      </c>
      <c r="E1561" s="33" t="s">
        <v>240</v>
      </c>
      <c r="F1561" s="31" t="str">
        <f t="shared" si="48"/>
        <v>A3.10.01</v>
      </c>
      <c r="G1561" s="34">
        <f t="shared" si="49"/>
        <v>6.67</v>
      </c>
    </row>
    <row r="1562" spans="2:7" ht="13.8" customHeight="1" x14ac:dyDescent="0.25">
      <c r="B1562" s="33" t="s">
        <v>8</v>
      </c>
      <c r="C1562" s="33">
        <v>2767784</v>
      </c>
      <c r="D1562" s="33">
        <v>10.29</v>
      </c>
      <c r="E1562" s="33" t="s">
        <v>240</v>
      </c>
      <c r="F1562" s="31" t="str">
        <f t="shared" si="48"/>
        <v>A3.10.01</v>
      </c>
      <c r="G1562" s="34">
        <f t="shared" si="49"/>
        <v>10.29</v>
      </c>
    </row>
    <row r="1563" spans="2:7" ht="13.8" customHeight="1" x14ac:dyDescent="0.25">
      <c r="B1563" s="33" t="s">
        <v>8</v>
      </c>
      <c r="C1563" s="33">
        <v>2767851</v>
      </c>
      <c r="D1563" s="33">
        <v>7.7</v>
      </c>
      <c r="E1563" s="33" t="s">
        <v>241</v>
      </c>
      <c r="F1563" s="31" t="str">
        <f t="shared" si="48"/>
        <v>A3.10.05</v>
      </c>
      <c r="G1563" s="34">
        <f t="shared" si="49"/>
        <v>7.7</v>
      </c>
    </row>
    <row r="1564" spans="2:7" ht="13.8" customHeight="1" x14ac:dyDescent="0.25">
      <c r="B1564" s="33" t="s">
        <v>8</v>
      </c>
      <c r="C1564" s="33">
        <v>2767854</v>
      </c>
      <c r="D1564" s="33">
        <v>9.68</v>
      </c>
      <c r="E1564" s="33" t="s">
        <v>241</v>
      </c>
      <c r="F1564" s="31" t="str">
        <f t="shared" si="48"/>
        <v>A3.10.05</v>
      </c>
      <c r="G1564" s="34">
        <f t="shared" si="49"/>
        <v>9.68</v>
      </c>
    </row>
    <row r="1565" spans="2:7" ht="13.8" customHeight="1" x14ac:dyDescent="0.25">
      <c r="B1565" s="33" t="s">
        <v>8</v>
      </c>
      <c r="C1565" s="33">
        <v>2767914</v>
      </c>
      <c r="D1565" s="33">
        <v>11.08</v>
      </c>
      <c r="E1565" s="33" t="s">
        <v>242</v>
      </c>
      <c r="F1565" s="31" t="str">
        <f t="shared" si="48"/>
        <v>A3.10.04</v>
      </c>
      <c r="G1565" s="34">
        <f t="shared" si="49"/>
        <v>11.08</v>
      </c>
    </row>
    <row r="1566" spans="2:7" ht="13.8" customHeight="1" x14ac:dyDescent="0.25">
      <c r="B1566" s="33" t="s">
        <v>8</v>
      </c>
      <c r="C1566" s="33">
        <v>2767964</v>
      </c>
      <c r="D1566" s="33">
        <v>9.68</v>
      </c>
      <c r="E1566" s="33" t="s">
        <v>243</v>
      </c>
      <c r="F1566" s="31" t="str">
        <f t="shared" si="48"/>
        <v>A3.10.03</v>
      </c>
      <c r="G1566" s="34">
        <f t="shared" si="49"/>
        <v>9.68</v>
      </c>
    </row>
    <row r="1567" spans="2:7" ht="13.8" customHeight="1" x14ac:dyDescent="0.25">
      <c r="B1567" s="33" t="s">
        <v>8</v>
      </c>
      <c r="C1567" s="33">
        <v>2767967</v>
      </c>
      <c r="D1567" s="33">
        <v>7.7</v>
      </c>
      <c r="E1567" s="33" t="s">
        <v>243</v>
      </c>
      <c r="F1567" s="31" t="str">
        <f t="shared" si="48"/>
        <v>A3.10.03</v>
      </c>
      <c r="G1567" s="34">
        <f t="shared" si="49"/>
        <v>7.7</v>
      </c>
    </row>
    <row r="1568" spans="2:7" ht="13.8" customHeight="1" x14ac:dyDescent="0.25">
      <c r="B1568" s="33" t="s">
        <v>8</v>
      </c>
      <c r="C1568" s="33">
        <v>2768038</v>
      </c>
      <c r="D1568" s="33">
        <v>10.29</v>
      </c>
      <c r="E1568" s="33" t="s">
        <v>244</v>
      </c>
      <c r="F1568" s="31" t="str">
        <f t="shared" si="48"/>
        <v>A3.10.02</v>
      </c>
      <c r="G1568" s="34">
        <f t="shared" si="49"/>
        <v>10.29</v>
      </c>
    </row>
    <row r="1569" spans="2:7" ht="13.8" customHeight="1" x14ac:dyDescent="0.25">
      <c r="B1569" s="33" t="s">
        <v>8</v>
      </c>
      <c r="C1569" s="33">
        <v>2768041</v>
      </c>
      <c r="D1569" s="33">
        <v>6.67</v>
      </c>
      <c r="E1569" s="33" t="s">
        <v>244</v>
      </c>
      <c r="F1569" s="31" t="str">
        <f t="shared" si="48"/>
        <v>A3.10.02</v>
      </c>
      <c r="G1569" s="34">
        <f t="shared" si="49"/>
        <v>6.67</v>
      </c>
    </row>
    <row r="1570" spans="2:7" ht="13.8" customHeight="1" x14ac:dyDescent="0.25">
      <c r="B1570" s="33" t="s">
        <v>8</v>
      </c>
      <c r="C1570" s="33">
        <v>2768709</v>
      </c>
      <c r="D1570" s="33">
        <v>6</v>
      </c>
      <c r="E1570" s="33" t="s">
        <v>253</v>
      </c>
      <c r="F1570" s="31" t="str">
        <f t="shared" si="48"/>
        <v>A6.10.04</v>
      </c>
      <c r="G1570" s="34">
        <f t="shared" si="49"/>
        <v>6</v>
      </c>
    </row>
    <row r="1571" spans="2:7" ht="13.8" customHeight="1" x14ac:dyDescent="0.25">
      <c r="B1571" s="33" t="s">
        <v>8</v>
      </c>
      <c r="C1571" s="33">
        <v>2768712</v>
      </c>
      <c r="D1571" s="33">
        <v>15.62</v>
      </c>
      <c r="E1571" s="33" t="s">
        <v>253</v>
      </c>
      <c r="F1571" s="31" t="str">
        <f t="shared" si="48"/>
        <v>A6.10.04</v>
      </c>
      <c r="G1571" s="34">
        <f t="shared" si="49"/>
        <v>15.62</v>
      </c>
    </row>
    <row r="1572" spans="2:7" ht="13.8" customHeight="1" x14ac:dyDescent="0.25">
      <c r="B1572" s="33" t="s">
        <v>8</v>
      </c>
      <c r="C1572" s="33">
        <v>2768714</v>
      </c>
      <c r="D1572" s="33">
        <v>6</v>
      </c>
      <c r="E1572" s="33" t="s">
        <v>253</v>
      </c>
      <c r="F1572" s="31" t="str">
        <f t="shared" si="48"/>
        <v>A6.10.04</v>
      </c>
      <c r="G1572" s="34">
        <f t="shared" si="49"/>
        <v>6</v>
      </c>
    </row>
    <row r="1573" spans="2:7" ht="13.8" customHeight="1" x14ac:dyDescent="0.25">
      <c r="B1573" s="33" t="s">
        <v>8</v>
      </c>
      <c r="C1573" s="33">
        <v>2768799</v>
      </c>
      <c r="D1573" s="33">
        <v>9.33</v>
      </c>
      <c r="E1573" s="33" t="s">
        <v>254</v>
      </c>
      <c r="F1573" s="31" t="str">
        <f t="shared" si="48"/>
        <v>A6.13.01</v>
      </c>
      <c r="G1573" s="34">
        <f t="shared" si="49"/>
        <v>9.33</v>
      </c>
    </row>
    <row r="1574" spans="2:7" ht="13.8" customHeight="1" x14ac:dyDescent="0.25">
      <c r="B1574" s="33" t="s">
        <v>8</v>
      </c>
      <c r="C1574" s="33">
        <v>2768802</v>
      </c>
      <c r="D1574" s="33">
        <v>10.29</v>
      </c>
      <c r="E1574" s="33" t="s">
        <v>254</v>
      </c>
      <c r="F1574" s="31" t="str">
        <f t="shared" si="48"/>
        <v>A6.13.01</v>
      </c>
      <c r="G1574" s="34">
        <f t="shared" si="49"/>
        <v>10.29</v>
      </c>
    </row>
    <row r="1575" spans="2:7" ht="13.8" customHeight="1" x14ac:dyDescent="0.25">
      <c r="B1575" s="33" t="s">
        <v>8</v>
      </c>
      <c r="C1575" s="33">
        <v>2768877</v>
      </c>
      <c r="D1575" s="33">
        <v>15.4</v>
      </c>
      <c r="E1575" s="33" t="s">
        <v>255</v>
      </c>
      <c r="F1575" s="31" t="str">
        <f t="shared" si="48"/>
        <v>A6.13.02</v>
      </c>
      <c r="G1575" s="34">
        <f t="shared" si="49"/>
        <v>15.4</v>
      </c>
    </row>
    <row r="1576" spans="2:7" ht="13.8" customHeight="1" x14ac:dyDescent="0.25">
      <c r="B1576" s="33" t="s">
        <v>8</v>
      </c>
      <c r="C1576" s="33">
        <v>2768880</v>
      </c>
      <c r="D1576" s="33">
        <v>5.04</v>
      </c>
      <c r="E1576" s="33" t="s">
        <v>255</v>
      </c>
      <c r="F1576" s="31" t="str">
        <f t="shared" si="48"/>
        <v>A6.13.02</v>
      </c>
      <c r="G1576" s="34">
        <f t="shared" si="49"/>
        <v>5.04</v>
      </c>
    </row>
    <row r="1577" spans="2:7" ht="13.8" customHeight="1" x14ac:dyDescent="0.25">
      <c r="B1577" s="33" t="s">
        <v>8</v>
      </c>
      <c r="C1577" s="33">
        <v>2768947</v>
      </c>
      <c r="D1577" s="33">
        <v>0.61</v>
      </c>
      <c r="E1577" s="33" t="s">
        <v>256</v>
      </c>
      <c r="F1577" s="31" t="str">
        <f t="shared" si="48"/>
        <v>A6.13.03</v>
      </c>
      <c r="G1577" s="34">
        <f t="shared" si="49"/>
        <v>0.61</v>
      </c>
    </row>
    <row r="1578" spans="2:7" ht="13.8" customHeight="1" x14ac:dyDescent="0.25">
      <c r="B1578" s="33" t="s">
        <v>8</v>
      </c>
      <c r="C1578" s="33">
        <v>2768950</v>
      </c>
      <c r="D1578" s="33">
        <v>5.04</v>
      </c>
      <c r="E1578" s="33" t="s">
        <v>256</v>
      </c>
      <c r="F1578" s="31" t="str">
        <f t="shared" si="48"/>
        <v>A6.13.03</v>
      </c>
      <c r="G1578" s="34">
        <f t="shared" si="49"/>
        <v>5.04</v>
      </c>
    </row>
    <row r="1579" spans="2:7" ht="13.8" customHeight="1" x14ac:dyDescent="0.25">
      <c r="B1579" s="33" t="s">
        <v>8</v>
      </c>
      <c r="C1579" s="33">
        <v>2768988</v>
      </c>
      <c r="D1579" s="33">
        <v>3.76</v>
      </c>
      <c r="E1579" s="33" t="s">
        <v>256</v>
      </c>
      <c r="F1579" s="31" t="str">
        <f t="shared" si="48"/>
        <v>A6.13.03</v>
      </c>
      <c r="G1579" s="34">
        <f t="shared" si="49"/>
        <v>3.76</v>
      </c>
    </row>
    <row r="1580" spans="2:7" ht="13.8" customHeight="1" x14ac:dyDescent="0.25">
      <c r="B1580" s="33" t="s">
        <v>8</v>
      </c>
      <c r="C1580" s="33">
        <v>2768990</v>
      </c>
      <c r="D1580" s="33">
        <v>11.03</v>
      </c>
      <c r="E1580" s="33" t="s">
        <v>256</v>
      </c>
      <c r="F1580" s="31" t="str">
        <f t="shared" si="48"/>
        <v>A6.13.03</v>
      </c>
      <c r="G1580" s="34">
        <f t="shared" si="49"/>
        <v>11.03</v>
      </c>
    </row>
    <row r="1581" spans="2:7" ht="13.8" customHeight="1" x14ac:dyDescent="0.25">
      <c r="B1581" s="33" t="s">
        <v>8</v>
      </c>
      <c r="C1581" s="33">
        <v>2769035</v>
      </c>
      <c r="D1581" s="33">
        <v>10.28</v>
      </c>
      <c r="E1581" s="33" t="s">
        <v>257</v>
      </c>
      <c r="F1581" s="31" t="str">
        <f t="shared" si="48"/>
        <v>A6.13.04</v>
      </c>
      <c r="G1581" s="34">
        <f t="shared" si="49"/>
        <v>10.28</v>
      </c>
    </row>
    <row r="1582" spans="2:7" ht="13.8" customHeight="1" x14ac:dyDescent="0.25">
      <c r="B1582" s="33" t="s">
        <v>8</v>
      </c>
      <c r="C1582" s="33">
        <v>2769038</v>
      </c>
      <c r="D1582" s="33">
        <v>9.33</v>
      </c>
      <c r="E1582" s="33" t="s">
        <v>257</v>
      </c>
      <c r="F1582" s="31" t="str">
        <f t="shared" si="48"/>
        <v>A6.13.04</v>
      </c>
      <c r="G1582" s="34">
        <f t="shared" si="49"/>
        <v>9.33</v>
      </c>
    </row>
    <row r="1583" spans="2:7" ht="13.8" customHeight="1" x14ac:dyDescent="0.25">
      <c r="B1583" s="33" t="s">
        <v>8</v>
      </c>
      <c r="C1583" s="33">
        <v>2770381</v>
      </c>
      <c r="D1583" s="33">
        <v>7.62</v>
      </c>
      <c r="E1583" s="33" t="s">
        <v>276</v>
      </c>
      <c r="F1583" s="31" t="str">
        <f t="shared" si="48"/>
        <v>A3.08.03</v>
      </c>
      <c r="G1583" s="34">
        <f t="shared" si="49"/>
        <v>7.62</v>
      </c>
    </row>
    <row r="1584" spans="2:7" ht="13.8" customHeight="1" x14ac:dyDescent="0.25">
      <c r="B1584" s="33" t="s">
        <v>8</v>
      </c>
      <c r="C1584" s="33">
        <v>2770384</v>
      </c>
      <c r="D1584" s="33">
        <v>11.06</v>
      </c>
      <c r="E1584" s="33" t="s">
        <v>276</v>
      </c>
      <c r="F1584" s="31" t="str">
        <f t="shared" si="48"/>
        <v>A3.08.03</v>
      </c>
      <c r="G1584" s="34">
        <f t="shared" si="49"/>
        <v>11.06</v>
      </c>
    </row>
    <row r="1585" spans="2:7" ht="13.8" customHeight="1" x14ac:dyDescent="0.25">
      <c r="B1585" s="33" t="s">
        <v>8</v>
      </c>
      <c r="C1585" s="33">
        <v>2770459</v>
      </c>
      <c r="D1585" s="33">
        <v>7.62</v>
      </c>
      <c r="E1585" s="33" t="s">
        <v>277</v>
      </c>
      <c r="F1585" s="31" t="str">
        <f t="shared" si="48"/>
        <v>A3.08.02</v>
      </c>
      <c r="G1585" s="34">
        <f t="shared" si="49"/>
        <v>7.62</v>
      </c>
    </row>
    <row r="1586" spans="2:7" ht="13.8" customHeight="1" x14ac:dyDescent="0.25">
      <c r="B1586" s="33" t="s">
        <v>8</v>
      </c>
      <c r="C1586" s="33">
        <v>2770462</v>
      </c>
      <c r="D1586" s="33">
        <v>11.06</v>
      </c>
      <c r="E1586" s="33" t="s">
        <v>277</v>
      </c>
      <c r="F1586" s="31" t="str">
        <f t="shared" si="48"/>
        <v>A3.08.02</v>
      </c>
      <c r="G1586" s="34">
        <f t="shared" si="49"/>
        <v>11.06</v>
      </c>
    </row>
    <row r="1587" spans="2:7" ht="13.8" customHeight="1" x14ac:dyDescent="0.25">
      <c r="B1587" s="33" t="s">
        <v>8</v>
      </c>
      <c r="C1587" s="33">
        <v>2770532</v>
      </c>
      <c r="D1587" s="33">
        <v>8.18</v>
      </c>
      <c r="E1587" s="33" t="s">
        <v>278</v>
      </c>
      <c r="F1587" s="31" t="str">
        <f t="shared" si="48"/>
        <v>C1.14.05</v>
      </c>
      <c r="G1587" s="34">
        <f t="shared" si="49"/>
        <v>8.18</v>
      </c>
    </row>
    <row r="1588" spans="2:7" ht="13.8" customHeight="1" x14ac:dyDescent="0.25">
      <c r="B1588" s="33" t="s">
        <v>8</v>
      </c>
      <c r="C1588" s="33">
        <v>2770535</v>
      </c>
      <c r="D1588" s="33">
        <v>8.61</v>
      </c>
      <c r="E1588" s="33" t="s">
        <v>278</v>
      </c>
      <c r="F1588" s="31" t="str">
        <f t="shared" si="48"/>
        <v>C1.14.05</v>
      </c>
      <c r="G1588" s="34">
        <f t="shared" si="49"/>
        <v>8.61</v>
      </c>
    </row>
    <row r="1589" spans="2:7" ht="13.8" customHeight="1" x14ac:dyDescent="0.25">
      <c r="B1589" s="33" t="s">
        <v>8</v>
      </c>
      <c r="C1589" s="33">
        <v>2770613</v>
      </c>
      <c r="D1589" s="33">
        <v>9.76</v>
      </c>
      <c r="E1589" s="33" t="s">
        <v>279</v>
      </c>
      <c r="F1589" s="31" t="str">
        <f t="shared" si="48"/>
        <v>C1.14.06</v>
      </c>
      <c r="G1589" s="34">
        <f t="shared" si="49"/>
        <v>9.76</v>
      </c>
    </row>
    <row r="1590" spans="2:7" ht="13.8" customHeight="1" x14ac:dyDescent="0.25">
      <c r="B1590" s="33" t="s">
        <v>8</v>
      </c>
      <c r="C1590" s="33">
        <v>2770616</v>
      </c>
      <c r="D1590" s="33">
        <v>6.77</v>
      </c>
      <c r="E1590" s="33" t="s">
        <v>279</v>
      </c>
      <c r="F1590" s="31" t="str">
        <f t="shared" si="48"/>
        <v>C1.14.06</v>
      </c>
      <c r="G1590" s="34">
        <f t="shared" si="49"/>
        <v>6.77</v>
      </c>
    </row>
    <row r="1591" spans="2:7" ht="13.8" customHeight="1" x14ac:dyDescent="0.25">
      <c r="B1591" s="33" t="s">
        <v>8</v>
      </c>
      <c r="C1591" s="33">
        <v>2770690</v>
      </c>
      <c r="D1591" s="33">
        <v>12.05</v>
      </c>
      <c r="E1591" s="33" t="s">
        <v>280</v>
      </c>
      <c r="F1591" s="31" t="str">
        <f t="shared" si="48"/>
        <v>C1.14.01</v>
      </c>
      <c r="G1591" s="34">
        <f t="shared" si="49"/>
        <v>12.05</v>
      </c>
    </row>
    <row r="1592" spans="2:7" ht="13.8" customHeight="1" x14ac:dyDescent="0.25">
      <c r="B1592" s="33" t="s">
        <v>8</v>
      </c>
      <c r="C1592" s="33">
        <v>2770693</v>
      </c>
      <c r="D1592" s="33">
        <v>6.76</v>
      </c>
      <c r="E1592" s="33" t="s">
        <v>280</v>
      </c>
      <c r="F1592" s="31" t="str">
        <f t="shared" si="48"/>
        <v>C1.14.01</v>
      </c>
      <c r="G1592" s="34">
        <f t="shared" si="49"/>
        <v>6.76</v>
      </c>
    </row>
    <row r="1593" spans="2:7" ht="13.8" customHeight="1" x14ac:dyDescent="0.25">
      <c r="B1593" s="33" t="s">
        <v>8</v>
      </c>
      <c r="C1593" s="33">
        <v>2770816</v>
      </c>
      <c r="D1593" s="33">
        <v>7.62</v>
      </c>
      <c r="E1593" s="33" t="s">
        <v>282</v>
      </c>
      <c r="F1593" s="31" t="str">
        <f t="shared" si="48"/>
        <v>C1.14.03</v>
      </c>
      <c r="G1593" s="34">
        <f t="shared" si="49"/>
        <v>7.62</v>
      </c>
    </row>
    <row r="1594" spans="2:7" ht="13.8" customHeight="1" x14ac:dyDescent="0.25">
      <c r="B1594" s="33" t="s">
        <v>8</v>
      </c>
      <c r="C1594" s="33">
        <v>2770853</v>
      </c>
      <c r="D1594" s="33">
        <v>7.62</v>
      </c>
      <c r="E1594" s="33" t="s">
        <v>283</v>
      </c>
      <c r="F1594" s="31" t="str">
        <f t="shared" si="48"/>
        <v>C1.14.04</v>
      </c>
      <c r="G1594" s="34">
        <f t="shared" si="49"/>
        <v>7.62</v>
      </c>
    </row>
    <row r="1595" spans="2:7" ht="13.8" customHeight="1" x14ac:dyDescent="0.25">
      <c r="B1595" s="33" t="s">
        <v>8</v>
      </c>
      <c r="C1595" s="33">
        <v>2771307</v>
      </c>
      <c r="D1595" s="33">
        <v>6.35</v>
      </c>
      <c r="E1595" s="33" t="s">
        <v>290</v>
      </c>
      <c r="F1595" s="31" t="str">
        <f t="shared" si="48"/>
        <v>C1.09.08</v>
      </c>
      <c r="G1595" s="34">
        <f t="shared" si="49"/>
        <v>6.35</v>
      </c>
    </row>
    <row r="1596" spans="2:7" ht="13.8" customHeight="1" x14ac:dyDescent="0.25">
      <c r="B1596" s="33" t="s">
        <v>8</v>
      </c>
      <c r="C1596" s="33">
        <v>2771310</v>
      </c>
      <c r="D1596" s="33">
        <v>13.11</v>
      </c>
      <c r="E1596" s="33" t="s">
        <v>290</v>
      </c>
      <c r="F1596" s="31" t="str">
        <f t="shared" si="48"/>
        <v>C1.09.08</v>
      </c>
      <c r="G1596" s="34">
        <f t="shared" si="49"/>
        <v>13.11</v>
      </c>
    </row>
    <row r="1597" spans="2:7" ht="13.8" customHeight="1" x14ac:dyDescent="0.25">
      <c r="B1597" s="33" t="s">
        <v>8</v>
      </c>
      <c r="C1597" s="33">
        <v>2771377</v>
      </c>
      <c r="D1597" s="33">
        <v>6.35</v>
      </c>
      <c r="E1597" s="33" t="s">
        <v>291</v>
      </c>
      <c r="F1597" s="31" t="str">
        <f t="shared" si="48"/>
        <v>C1.09.07</v>
      </c>
      <c r="G1597" s="34">
        <f t="shared" si="49"/>
        <v>6.35</v>
      </c>
    </row>
    <row r="1598" spans="2:7" ht="13.8" customHeight="1" x14ac:dyDescent="0.25">
      <c r="B1598" s="33" t="s">
        <v>8</v>
      </c>
      <c r="C1598" s="33">
        <v>2771380</v>
      </c>
      <c r="D1598" s="33">
        <v>13.11</v>
      </c>
      <c r="E1598" s="33" t="s">
        <v>291</v>
      </c>
      <c r="F1598" s="31" t="str">
        <f t="shared" si="48"/>
        <v>C1.09.07</v>
      </c>
      <c r="G1598" s="34">
        <f t="shared" si="49"/>
        <v>13.11</v>
      </c>
    </row>
    <row r="1599" spans="2:7" ht="13.8" customHeight="1" x14ac:dyDescent="0.25">
      <c r="B1599" s="33" t="s">
        <v>8</v>
      </c>
      <c r="C1599" s="33">
        <v>2770767</v>
      </c>
      <c r="D1599" s="33">
        <v>8.61</v>
      </c>
      <c r="E1599" s="33" t="s">
        <v>281</v>
      </c>
      <c r="F1599" s="31" t="str">
        <f t="shared" si="48"/>
        <v>C1.14.02</v>
      </c>
      <c r="G1599" s="34">
        <f t="shared" si="49"/>
        <v>8.61</v>
      </c>
    </row>
    <row r="1600" spans="2:7" ht="13.8" customHeight="1" x14ac:dyDescent="0.25">
      <c r="B1600" s="33" t="s">
        <v>8</v>
      </c>
      <c r="C1600" s="33">
        <v>2770770</v>
      </c>
      <c r="D1600" s="33">
        <v>8.19</v>
      </c>
      <c r="E1600" s="33" t="s">
        <v>281</v>
      </c>
      <c r="F1600" s="31" t="str">
        <f t="shared" si="48"/>
        <v>C1.14.02</v>
      </c>
      <c r="G1600" s="34">
        <f t="shared" si="49"/>
        <v>8.19</v>
      </c>
    </row>
    <row r="1601" spans="2:7" ht="13.8" customHeight="1" x14ac:dyDescent="0.25">
      <c r="B1601" s="33" t="s">
        <v>5</v>
      </c>
      <c r="C1601" s="33">
        <v>2765513</v>
      </c>
      <c r="D1601" s="33">
        <v>2.5</v>
      </c>
      <c r="E1601" s="33" t="s">
        <v>205</v>
      </c>
      <c r="F1601" s="31" t="str">
        <f t="shared" si="48"/>
        <v>E2.01.04</v>
      </c>
      <c r="G1601" s="34">
        <f t="shared" si="49"/>
        <v>2.5</v>
      </c>
    </row>
    <row r="1602" spans="2:7" ht="13.8" customHeight="1" x14ac:dyDescent="0.25">
      <c r="B1602" s="33" t="s">
        <v>5</v>
      </c>
      <c r="C1602" s="33">
        <v>2765516</v>
      </c>
      <c r="D1602" s="33">
        <v>2.5</v>
      </c>
      <c r="E1602" s="33" t="s">
        <v>205</v>
      </c>
      <c r="F1602" s="31" t="str">
        <f t="shared" si="48"/>
        <v>E2.01.04</v>
      </c>
      <c r="G1602" s="34">
        <f t="shared" si="49"/>
        <v>2.5</v>
      </c>
    </row>
    <row r="1603" spans="2:7" ht="13.8" customHeight="1" x14ac:dyDescent="0.25">
      <c r="B1603" s="33" t="s">
        <v>5</v>
      </c>
      <c r="C1603" s="33">
        <v>2765581</v>
      </c>
      <c r="D1603" s="33">
        <v>2.5</v>
      </c>
      <c r="E1603" s="33" t="s">
        <v>206</v>
      </c>
      <c r="F1603" s="31" t="str">
        <f t="shared" si="48"/>
        <v>E2.01.03</v>
      </c>
      <c r="G1603" s="34">
        <f t="shared" si="49"/>
        <v>2.5</v>
      </c>
    </row>
    <row r="1604" spans="2:7" ht="13.8" customHeight="1" x14ac:dyDescent="0.25">
      <c r="B1604" s="33" t="s">
        <v>5</v>
      </c>
      <c r="C1604" s="33">
        <v>2765584</v>
      </c>
      <c r="D1604" s="33">
        <v>2.5</v>
      </c>
      <c r="E1604" s="33" t="s">
        <v>206</v>
      </c>
      <c r="F1604" s="31" t="str">
        <f t="shared" si="48"/>
        <v>E2.01.03</v>
      </c>
      <c r="G1604" s="34">
        <f t="shared" si="49"/>
        <v>2.5</v>
      </c>
    </row>
    <row r="1605" spans="2:7" ht="13.8" customHeight="1" x14ac:dyDescent="0.25">
      <c r="B1605" s="33" t="s">
        <v>5</v>
      </c>
      <c r="C1605" s="33">
        <v>2765587</v>
      </c>
      <c r="D1605" s="33">
        <v>2.5</v>
      </c>
      <c r="E1605" s="33" t="s">
        <v>206</v>
      </c>
      <c r="F1605" s="31" t="str">
        <f t="shared" si="48"/>
        <v>E2.01.03</v>
      </c>
      <c r="G1605" s="34">
        <f t="shared" si="49"/>
        <v>2.5</v>
      </c>
    </row>
    <row r="1606" spans="2:7" ht="13.8" customHeight="1" x14ac:dyDescent="0.25">
      <c r="B1606" s="33" t="s">
        <v>5</v>
      </c>
      <c r="C1606" s="33">
        <v>2765653</v>
      </c>
      <c r="D1606" s="33">
        <v>2.5</v>
      </c>
      <c r="E1606" s="33" t="s">
        <v>207</v>
      </c>
      <c r="F1606" s="31" t="str">
        <f t="shared" si="48"/>
        <v>E2.01.01</v>
      </c>
      <c r="G1606" s="34">
        <f t="shared" si="49"/>
        <v>2.5</v>
      </c>
    </row>
    <row r="1607" spans="2:7" ht="13.8" customHeight="1" x14ac:dyDescent="0.25">
      <c r="B1607" s="33" t="s">
        <v>5</v>
      </c>
      <c r="C1607" s="33">
        <v>2765656</v>
      </c>
      <c r="D1607" s="33">
        <v>2.5</v>
      </c>
      <c r="E1607" s="33" t="s">
        <v>207</v>
      </c>
      <c r="F1607" s="31" t="str">
        <f t="shared" ref="F1607:F1670" si="50">LEFT(E1607,8)</f>
        <v>E2.01.01</v>
      </c>
      <c r="G1607" s="34">
        <f t="shared" ref="G1607:G1670" si="51">D1607</f>
        <v>2.5</v>
      </c>
    </row>
    <row r="1608" spans="2:7" ht="13.8" customHeight="1" x14ac:dyDescent="0.25">
      <c r="B1608" s="33" t="s">
        <v>5</v>
      </c>
      <c r="C1608" s="33">
        <v>2765717</v>
      </c>
      <c r="D1608" s="33">
        <v>2.5</v>
      </c>
      <c r="E1608" s="33" t="s">
        <v>208</v>
      </c>
      <c r="F1608" s="31" t="str">
        <f t="shared" si="50"/>
        <v>E2.01.02</v>
      </c>
      <c r="G1608" s="34">
        <f t="shared" si="51"/>
        <v>2.5</v>
      </c>
    </row>
    <row r="1609" spans="2:7" ht="13.8" customHeight="1" x14ac:dyDescent="0.25">
      <c r="B1609" s="33" t="s">
        <v>5</v>
      </c>
      <c r="C1609" s="33">
        <v>2765784</v>
      </c>
      <c r="D1609" s="33">
        <v>2.5</v>
      </c>
      <c r="E1609" s="33" t="s">
        <v>209</v>
      </c>
      <c r="F1609" s="31" t="str">
        <f t="shared" si="50"/>
        <v>E2.15.02</v>
      </c>
      <c r="G1609" s="34">
        <f t="shared" si="51"/>
        <v>2.5</v>
      </c>
    </row>
    <row r="1610" spans="2:7" ht="13.8" customHeight="1" x14ac:dyDescent="0.25">
      <c r="B1610" s="33" t="s">
        <v>5</v>
      </c>
      <c r="C1610" s="33">
        <v>2765787</v>
      </c>
      <c r="D1610" s="33">
        <v>2.5</v>
      </c>
      <c r="E1610" s="33" t="s">
        <v>209</v>
      </c>
      <c r="F1610" s="31" t="str">
        <f t="shared" si="50"/>
        <v>E2.15.02</v>
      </c>
      <c r="G1610" s="34">
        <f t="shared" si="51"/>
        <v>2.5</v>
      </c>
    </row>
    <row r="1611" spans="2:7" ht="13.8" customHeight="1" x14ac:dyDescent="0.25">
      <c r="B1611" s="33" t="s">
        <v>5</v>
      </c>
      <c r="C1611" s="33">
        <v>2765870</v>
      </c>
      <c r="D1611" s="33">
        <v>2.5</v>
      </c>
      <c r="E1611" s="33" t="s">
        <v>210</v>
      </c>
      <c r="F1611" s="31" t="str">
        <f t="shared" si="50"/>
        <v>E2.15.03</v>
      </c>
      <c r="G1611" s="34">
        <f t="shared" si="51"/>
        <v>2.5</v>
      </c>
    </row>
    <row r="1612" spans="2:7" ht="13.8" customHeight="1" x14ac:dyDescent="0.25">
      <c r="B1612" s="33" t="s">
        <v>5</v>
      </c>
      <c r="C1612" s="33">
        <v>2765873</v>
      </c>
      <c r="D1612" s="33">
        <v>2.5</v>
      </c>
      <c r="E1612" s="33" t="s">
        <v>210</v>
      </c>
      <c r="F1612" s="31" t="str">
        <f t="shared" si="50"/>
        <v>E2.15.03</v>
      </c>
      <c r="G1612" s="34">
        <f t="shared" si="51"/>
        <v>2.5</v>
      </c>
    </row>
    <row r="1613" spans="2:7" ht="13.8" customHeight="1" x14ac:dyDescent="0.25">
      <c r="B1613" s="33" t="s">
        <v>5</v>
      </c>
      <c r="C1613" s="33">
        <v>2765941</v>
      </c>
      <c r="D1613" s="33">
        <v>2.5</v>
      </c>
      <c r="E1613" s="33" t="s">
        <v>211</v>
      </c>
      <c r="F1613" s="31" t="str">
        <f t="shared" si="50"/>
        <v>E2.15.01</v>
      </c>
      <c r="G1613" s="34">
        <f t="shared" si="51"/>
        <v>2.5</v>
      </c>
    </row>
    <row r="1614" spans="2:7" ht="13.8" customHeight="1" x14ac:dyDescent="0.25">
      <c r="B1614" s="33" t="s">
        <v>5</v>
      </c>
      <c r="C1614" s="33">
        <v>2765944</v>
      </c>
      <c r="D1614" s="33">
        <v>2.5</v>
      </c>
      <c r="E1614" s="33" t="s">
        <v>211</v>
      </c>
      <c r="F1614" s="31" t="str">
        <f t="shared" si="50"/>
        <v>E2.15.01</v>
      </c>
      <c r="G1614" s="34">
        <f t="shared" si="51"/>
        <v>2.5</v>
      </c>
    </row>
    <row r="1615" spans="2:7" ht="13.8" customHeight="1" x14ac:dyDescent="0.25">
      <c r="B1615" s="33" t="s">
        <v>5</v>
      </c>
      <c r="C1615" s="33">
        <v>2765947</v>
      </c>
      <c r="D1615" s="33">
        <v>2.5</v>
      </c>
      <c r="E1615" s="33" t="s">
        <v>211</v>
      </c>
      <c r="F1615" s="31" t="str">
        <f t="shared" si="50"/>
        <v>E2.15.01</v>
      </c>
      <c r="G1615" s="34">
        <f t="shared" si="51"/>
        <v>2.5</v>
      </c>
    </row>
    <row r="1616" spans="2:7" ht="13.8" customHeight="1" x14ac:dyDescent="0.25">
      <c r="B1616" s="33" t="s">
        <v>5</v>
      </c>
      <c r="C1616" s="33">
        <v>2766024</v>
      </c>
      <c r="D1616" s="33">
        <v>2.5</v>
      </c>
      <c r="E1616" s="33" t="s">
        <v>212</v>
      </c>
      <c r="F1616" s="31" t="str">
        <f t="shared" si="50"/>
        <v>E2.15.06</v>
      </c>
      <c r="G1616" s="34">
        <f t="shared" si="51"/>
        <v>2.5</v>
      </c>
    </row>
    <row r="1617" spans="2:7" ht="13.8" customHeight="1" x14ac:dyDescent="0.25">
      <c r="B1617" s="33" t="s">
        <v>5</v>
      </c>
      <c r="C1617" s="33">
        <v>2766027</v>
      </c>
      <c r="D1617" s="33">
        <v>2.5</v>
      </c>
      <c r="E1617" s="33" t="s">
        <v>212</v>
      </c>
      <c r="F1617" s="31" t="str">
        <f t="shared" si="50"/>
        <v>E2.15.06</v>
      </c>
      <c r="G1617" s="34">
        <f t="shared" si="51"/>
        <v>2.5</v>
      </c>
    </row>
    <row r="1618" spans="2:7" ht="13.8" customHeight="1" x14ac:dyDescent="0.25">
      <c r="B1618" s="33" t="s">
        <v>5</v>
      </c>
      <c r="C1618" s="33">
        <v>2766100</v>
      </c>
      <c r="D1618" s="33">
        <v>2.5</v>
      </c>
      <c r="E1618" s="33" t="s">
        <v>213</v>
      </c>
      <c r="F1618" s="31" t="str">
        <f t="shared" si="50"/>
        <v>E2.15.05</v>
      </c>
      <c r="G1618" s="34">
        <f t="shared" si="51"/>
        <v>2.5</v>
      </c>
    </row>
    <row r="1619" spans="2:7" ht="13.8" customHeight="1" x14ac:dyDescent="0.25">
      <c r="B1619" s="33" t="s">
        <v>5</v>
      </c>
      <c r="C1619" s="33">
        <v>2766103</v>
      </c>
      <c r="D1619" s="33">
        <v>2.5</v>
      </c>
      <c r="E1619" s="33" t="s">
        <v>213</v>
      </c>
      <c r="F1619" s="31" t="str">
        <f t="shared" si="50"/>
        <v>E2.15.05</v>
      </c>
      <c r="G1619" s="34">
        <f t="shared" si="51"/>
        <v>2.5</v>
      </c>
    </row>
    <row r="1620" spans="2:7" ht="13.8" customHeight="1" x14ac:dyDescent="0.25">
      <c r="B1620" s="33" t="s">
        <v>5</v>
      </c>
      <c r="C1620" s="33">
        <v>2766106</v>
      </c>
      <c r="D1620" s="33">
        <v>2.5</v>
      </c>
      <c r="E1620" s="33" t="s">
        <v>213</v>
      </c>
      <c r="F1620" s="31" t="str">
        <f t="shared" si="50"/>
        <v>E2.15.05</v>
      </c>
      <c r="G1620" s="34">
        <f t="shared" si="51"/>
        <v>2.5</v>
      </c>
    </row>
    <row r="1621" spans="2:7" ht="13.8" customHeight="1" x14ac:dyDescent="0.25">
      <c r="B1621" s="33" t="s">
        <v>5</v>
      </c>
      <c r="C1621" s="33">
        <v>2766176</v>
      </c>
      <c r="D1621" s="33">
        <v>2.5</v>
      </c>
      <c r="E1621" s="33" t="s">
        <v>214</v>
      </c>
      <c r="F1621" s="31" t="str">
        <f t="shared" si="50"/>
        <v>E2.15.07</v>
      </c>
      <c r="G1621" s="34">
        <f t="shared" si="51"/>
        <v>2.5</v>
      </c>
    </row>
    <row r="1622" spans="2:7" ht="13.8" customHeight="1" x14ac:dyDescent="0.25">
      <c r="B1622" s="33" t="s">
        <v>5</v>
      </c>
      <c r="C1622" s="33">
        <v>2766179</v>
      </c>
      <c r="D1622" s="33">
        <v>2.5</v>
      </c>
      <c r="E1622" s="33" t="s">
        <v>214</v>
      </c>
      <c r="F1622" s="31" t="str">
        <f t="shared" si="50"/>
        <v>E2.15.07</v>
      </c>
      <c r="G1622" s="34">
        <f t="shared" si="51"/>
        <v>2.5</v>
      </c>
    </row>
    <row r="1623" spans="2:7" ht="13.8" customHeight="1" x14ac:dyDescent="0.25">
      <c r="B1623" s="33" t="s">
        <v>5</v>
      </c>
      <c r="C1623" s="33">
        <v>2766243</v>
      </c>
      <c r="D1623" s="33">
        <v>2.5</v>
      </c>
      <c r="E1623" s="33" t="s">
        <v>215</v>
      </c>
      <c r="F1623" s="31" t="str">
        <f t="shared" si="50"/>
        <v>E2.15.04</v>
      </c>
      <c r="G1623" s="34">
        <f t="shared" si="51"/>
        <v>2.5</v>
      </c>
    </row>
    <row r="1624" spans="2:7" ht="13.8" customHeight="1" x14ac:dyDescent="0.25">
      <c r="B1624" s="33" t="s">
        <v>5</v>
      </c>
      <c r="C1624" s="33">
        <v>2766338</v>
      </c>
      <c r="D1624" s="33">
        <v>2.5</v>
      </c>
      <c r="E1624" s="33" t="s">
        <v>216</v>
      </c>
      <c r="F1624" s="31" t="str">
        <f t="shared" si="50"/>
        <v>E2.34.05</v>
      </c>
      <c r="G1624" s="34">
        <f t="shared" si="51"/>
        <v>2.5</v>
      </c>
    </row>
    <row r="1625" spans="2:7" ht="13.8" customHeight="1" x14ac:dyDescent="0.25">
      <c r="B1625" s="33" t="s">
        <v>5</v>
      </c>
      <c r="C1625" s="33">
        <v>2766340</v>
      </c>
      <c r="D1625" s="33">
        <v>2.5</v>
      </c>
      <c r="E1625" s="33" t="s">
        <v>216</v>
      </c>
      <c r="F1625" s="31" t="str">
        <f t="shared" si="50"/>
        <v>E2.34.05</v>
      </c>
      <c r="G1625" s="34">
        <f t="shared" si="51"/>
        <v>2.5</v>
      </c>
    </row>
    <row r="1626" spans="2:7" ht="13.8" customHeight="1" x14ac:dyDescent="0.25">
      <c r="B1626" s="33" t="s">
        <v>5</v>
      </c>
      <c r="C1626" s="33">
        <v>2766417</v>
      </c>
      <c r="D1626" s="33">
        <v>2.5</v>
      </c>
      <c r="E1626" s="33" t="s">
        <v>217</v>
      </c>
      <c r="F1626" s="31" t="str">
        <f t="shared" si="50"/>
        <v>E2.34.06</v>
      </c>
      <c r="G1626" s="34">
        <f t="shared" si="51"/>
        <v>2.5</v>
      </c>
    </row>
    <row r="1627" spans="2:7" ht="13.8" customHeight="1" x14ac:dyDescent="0.25">
      <c r="B1627" s="33" t="s">
        <v>5</v>
      </c>
      <c r="C1627" s="33">
        <v>2766419</v>
      </c>
      <c r="D1627" s="33">
        <v>2.5</v>
      </c>
      <c r="E1627" s="33" t="s">
        <v>217</v>
      </c>
      <c r="F1627" s="31" t="str">
        <f t="shared" si="50"/>
        <v>E2.34.06</v>
      </c>
      <c r="G1627" s="34">
        <f t="shared" si="51"/>
        <v>2.5</v>
      </c>
    </row>
    <row r="1628" spans="2:7" ht="13.8" customHeight="1" x14ac:dyDescent="0.25">
      <c r="B1628" s="33" t="s">
        <v>5</v>
      </c>
      <c r="C1628" s="33">
        <v>2766486</v>
      </c>
      <c r="D1628" s="33">
        <v>2.5</v>
      </c>
      <c r="E1628" s="33" t="s">
        <v>218</v>
      </c>
      <c r="F1628" s="31" t="str">
        <f t="shared" si="50"/>
        <v>E2.34.04</v>
      </c>
      <c r="G1628" s="34">
        <f t="shared" si="51"/>
        <v>2.5</v>
      </c>
    </row>
    <row r="1629" spans="2:7" ht="13.8" customHeight="1" x14ac:dyDescent="0.25">
      <c r="B1629" s="33" t="s">
        <v>5</v>
      </c>
      <c r="C1629" s="33">
        <v>2766488</v>
      </c>
      <c r="D1629" s="33">
        <v>2.5</v>
      </c>
      <c r="E1629" s="33" t="s">
        <v>218</v>
      </c>
      <c r="F1629" s="31" t="str">
        <f t="shared" si="50"/>
        <v>E2.34.04</v>
      </c>
      <c r="G1629" s="34">
        <f t="shared" si="51"/>
        <v>2.5</v>
      </c>
    </row>
    <row r="1630" spans="2:7" ht="13.8" customHeight="1" x14ac:dyDescent="0.25">
      <c r="B1630" s="33" t="s">
        <v>5</v>
      </c>
      <c r="C1630" s="33">
        <v>2766490</v>
      </c>
      <c r="D1630" s="33">
        <v>2.5</v>
      </c>
      <c r="E1630" s="33" t="s">
        <v>218</v>
      </c>
      <c r="F1630" s="31" t="str">
        <f t="shared" si="50"/>
        <v>E2.34.04</v>
      </c>
      <c r="G1630" s="34">
        <f t="shared" si="51"/>
        <v>2.5</v>
      </c>
    </row>
    <row r="1631" spans="2:7" ht="13.8" customHeight="1" x14ac:dyDescent="0.25">
      <c r="B1631" s="33" t="s">
        <v>5</v>
      </c>
      <c r="C1631" s="33">
        <v>2766557</v>
      </c>
      <c r="D1631" s="33">
        <v>2.5</v>
      </c>
      <c r="E1631" s="33" t="s">
        <v>219</v>
      </c>
      <c r="F1631" s="31" t="str">
        <f t="shared" si="50"/>
        <v>E2.34.01</v>
      </c>
      <c r="G1631" s="34">
        <f t="shared" si="51"/>
        <v>2.5</v>
      </c>
    </row>
    <row r="1632" spans="2:7" ht="13.8" customHeight="1" x14ac:dyDescent="0.25">
      <c r="B1632" s="33" t="s">
        <v>5</v>
      </c>
      <c r="C1632" s="33">
        <v>2766559</v>
      </c>
      <c r="D1632" s="33">
        <v>2.5</v>
      </c>
      <c r="E1632" s="33" t="s">
        <v>219</v>
      </c>
      <c r="F1632" s="31" t="str">
        <f t="shared" si="50"/>
        <v>E2.34.01</v>
      </c>
      <c r="G1632" s="34">
        <f t="shared" si="51"/>
        <v>2.5</v>
      </c>
    </row>
    <row r="1633" spans="2:7" ht="13.8" customHeight="1" x14ac:dyDescent="0.25">
      <c r="B1633" s="33" t="s">
        <v>5</v>
      </c>
      <c r="C1633" s="33">
        <v>2766561</v>
      </c>
      <c r="D1633" s="33">
        <v>2.5</v>
      </c>
      <c r="E1633" s="33" t="s">
        <v>219</v>
      </c>
      <c r="F1633" s="31" t="str">
        <f t="shared" si="50"/>
        <v>E2.34.01</v>
      </c>
      <c r="G1633" s="34">
        <f t="shared" si="51"/>
        <v>2.5</v>
      </c>
    </row>
    <row r="1634" spans="2:7" ht="13.8" customHeight="1" x14ac:dyDescent="0.25">
      <c r="B1634" s="33" t="s">
        <v>5</v>
      </c>
      <c r="C1634" s="33">
        <v>2766644</v>
      </c>
      <c r="D1634" s="33">
        <v>2.5</v>
      </c>
      <c r="E1634" s="33" t="s">
        <v>220</v>
      </c>
      <c r="F1634" s="31" t="str">
        <f t="shared" si="50"/>
        <v>E2.34.02</v>
      </c>
      <c r="G1634" s="34">
        <f t="shared" si="51"/>
        <v>2.5</v>
      </c>
    </row>
    <row r="1635" spans="2:7" ht="13.8" customHeight="1" x14ac:dyDescent="0.25">
      <c r="B1635" s="33" t="s">
        <v>5</v>
      </c>
      <c r="C1635" s="33">
        <v>2766646</v>
      </c>
      <c r="D1635" s="33">
        <v>2.5</v>
      </c>
      <c r="E1635" s="33" t="s">
        <v>220</v>
      </c>
      <c r="F1635" s="31" t="str">
        <f t="shared" si="50"/>
        <v>E2.34.02</v>
      </c>
      <c r="G1635" s="34">
        <f t="shared" si="51"/>
        <v>2.5</v>
      </c>
    </row>
    <row r="1636" spans="2:7" ht="13.8" customHeight="1" x14ac:dyDescent="0.25">
      <c r="B1636" s="33" t="s">
        <v>5</v>
      </c>
      <c r="C1636" s="33">
        <v>2766727</v>
      </c>
      <c r="D1636" s="33">
        <v>2.5</v>
      </c>
      <c r="E1636" s="33" t="s">
        <v>221</v>
      </c>
      <c r="F1636" s="31" t="str">
        <f t="shared" si="50"/>
        <v>E2.34.03</v>
      </c>
      <c r="G1636" s="34">
        <f t="shared" si="51"/>
        <v>2.5</v>
      </c>
    </row>
    <row r="1637" spans="2:7" ht="13.8" customHeight="1" x14ac:dyDescent="0.25">
      <c r="B1637" s="33" t="s">
        <v>5</v>
      </c>
      <c r="C1637" s="33">
        <v>2766729</v>
      </c>
      <c r="D1637" s="33">
        <v>2.5</v>
      </c>
      <c r="E1637" s="33" t="s">
        <v>221</v>
      </c>
      <c r="F1637" s="31" t="str">
        <f t="shared" si="50"/>
        <v>E2.34.03</v>
      </c>
      <c r="G1637" s="34">
        <f t="shared" si="51"/>
        <v>2.5</v>
      </c>
    </row>
    <row r="1638" spans="2:7" ht="13.8" customHeight="1" x14ac:dyDescent="0.25">
      <c r="B1638" s="33" t="s">
        <v>5</v>
      </c>
      <c r="C1638" s="33">
        <v>2766799</v>
      </c>
      <c r="D1638" s="33">
        <v>2.7</v>
      </c>
      <c r="E1638" s="33" t="s">
        <v>222</v>
      </c>
      <c r="F1638" s="31" t="str">
        <f t="shared" si="50"/>
        <v>D1.09.02</v>
      </c>
      <c r="G1638" s="34">
        <f t="shared" si="51"/>
        <v>2.7</v>
      </c>
    </row>
    <row r="1639" spans="2:7" ht="13.8" customHeight="1" x14ac:dyDescent="0.25">
      <c r="B1639" s="33" t="s">
        <v>5</v>
      </c>
      <c r="C1639" s="33">
        <v>2766801</v>
      </c>
      <c r="D1639" s="33">
        <v>2.7</v>
      </c>
      <c r="E1639" s="33" t="s">
        <v>222</v>
      </c>
      <c r="F1639" s="31" t="str">
        <f t="shared" si="50"/>
        <v>D1.09.02</v>
      </c>
      <c r="G1639" s="34">
        <f t="shared" si="51"/>
        <v>2.7</v>
      </c>
    </row>
    <row r="1640" spans="2:7" ht="13.8" customHeight="1" x14ac:dyDescent="0.25">
      <c r="B1640" s="33" t="s">
        <v>5</v>
      </c>
      <c r="C1640" s="33">
        <v>2766803</v>
      </c>
      <c r="D1640" s="33">
        <v>2.7</v>
      </c>
      <c r="E1640" s="33" t="s">
        <v>222</v>
      </c>
      <c r="F1640" s="31" t="str">
        <f t="shared" si="50"/>
        <v>D1.09.02</v>
      </c>
      <c r="G1640" s="34">
        <f t="shared" si="51"/>
        <v>2.7</v>
      </c>
    </row>
    <row r="1641" spans="2:7" ht="13.8" customHeight="1" x14ac:dyDescent="0.25">
      <c r="B1641" s="33" t="s">
        <v>5</v>
      </c>
      <c r="C1641" s="33">
        <v>2766862</v>
      </c>
      <c r="D1641" s="33">
        <v>2.7</v>
      </c>
      <c r="E1641" s="33" t="s">
        <v>223</v>
      </c>
      <c r="F1641" s="31" t="str">
        <f t="shared" si="50"/>
        <v>D1.09.03</v>
      </c>
      <c r="G1641" s="34">
        <f t="shared" si="51"/>
        <v>2.7</v>
      </c>
    </row>
    <row r="1642" spans="2:7" ht="13.8" customHeight="1" x14ac:dyDescent="0.25">
      <c r="B1642" s="33" t="s">
        <v>5</v>
      </c>
      <c r="C1642" s="33">
        <v>2766864</v>
      </c>
      <c r="D1642" s="33">
        <v>2.7</v>
      </c>
      <c r="E1642" s="33" t="s">
        <v>223</v>
      </c>
      <c r="F1642" s="31" t="str">
        <f t="shared" si="50"/>
        <v>D1.09.03</v>
      </c>
      <c r="G1642" s="34">
        <f t="shared" si="51"/>
        <v>2.7</v>
      </c>
    </row>
    <row r="1643" spans="2:7" ht="13.8" customHeight="1" x14ac:dyDescent="0.25">
      <c r="B1643" s="33" t="s">
        <v>5</v>
      </c>
      <c r="C1643" s="33">
        <v>2766927</v>
      </c>
      <c r="D1643" s="33">
        <v>2.7</v>
      </c>
      <c r="E1643" s="33" t="s">
        <v>224</v>
      </c>
      <c r="F1643" s="31" t="str">
        <f t="shared" si="50"/>
        <v>D1.12.01</v>
      </c>
      <c r="G1643" s="34">
        <f t="shared" si="51"/>
        <v>2.7</v>
      </c>
    </row>
    <row r="1644" spans="2:7" ht="13.8" customHeight="1" x14ac:dyDescent="0.25">
      <c r="B1644" s="33" t="s">
        <v>5</v>
      </c>
      <c r="C1644" s="33">
        <v>2766929</v>
      </c>
      <c r="D1644" s="33">
        <v>2.7</v>
      </c>
      <c r="E1644" s="33" t="s">
        <v>224</v>
      </c>
      <c r="F1644" s="31" t="str">
        <f t="shared" si="50"/>
        <v>D1.12.01</v>
      </c>
      <c r="G1644" s="34">
        <f t="shared" si="51"/>
        <v>2.7</v>
      </c>
    </row>
    <row r="1645" spans="2:7" ht="13.8" customHeight="1" x14ac:dyDescent="0.25">
      <c r="B1645" s="33" t="s">
        <v>5</v>
      </c>
      <c r="C1645" s="33">
        <v>2767019</v>
      </c>
      <c r="D1645" s="33">
        <v>2.7</v>
      </c>
      <c r="E1645" s="33" t="s">
        <v>226</v>
      </c>
      <c r="F1645" s="31" t="str">
        <f t="shared" si="50"/>
        <v>D1.08.04</v>
      </c>
      <c r="G1645" s="34">
        <f t="shared" si="51"/>
        <v>2.7</v>
      </c>
    </row>
    <row r="1646" spans="2:7" ht="13.8" customHeight="1" x14ac:dyDescent="0.25">
      <c r="B1646" s="33" t="s">
        <v>5</v>
      </c>
      <c r="C1646" s="33">
        <v>2767139</v>
      </c>
      <c r="D1646" s="33">
        <v>2.7</v>
      </c>
      <c r="E1646" s="33" t="s">
        <v>228</v>
      </c>
      <c r="F1646" s="31" t="str">
        <f t="shared" si="50"/>
        <v>D1.08.02</v>
      </c>
      <c r="G1646" s="34">
        <f t="shared" si="51"/>
        <v>2.7</v>
      </c>
    </row>
    <row r="1647" spans="2:7" ht="13.8" customHeight="1" x14ac:dyDescent="0.25">
      <c r="B1647" s="33" t="s">
        <v>5</v>
      </c>
      <c r="C1647" s="33">
        <v>2767142</v>
      </c>
      <c r="D1647" s="33">
        <v>2.7</v>
      </c>
      <c r="E1647" s="33" t="s">
        <v>228</v>
      </c>
      <c r="F1647" s="31" t="str">
        <f t="shared" si="50"/>
        <v>D1.08.02</v>
      </c>
      <c r="G1647" s="34">
        <f t="shared" si="51"/>
        <v>2.7</v>
      </c>
    </row>
    <row r="1648" spans="2:7" ht="13.8" customHeight="1" x14ac:dyDescent="0.25">
      <c r="B1648" s="33" t="s">
        <v>5</v>
      </c>
      <c r="C1648" s="33">
        <v>2767145</v>
      </c>
      <c r="D1648" s="33">
        <v>2.7</v>
      </c>
      <c r="E1648" s="33" t="s">
        <v>228</v>
      </c>
      <c r="F1648" s="31" t="str">
        <f t="shared" si="50"/>
        <v>D1.08.02</v>
      </c>
      <c r="G1648" s="34">
        <f t="shared" si="51"/>
        <v>2.7</v>
      </c>
    </row>
    <row r="1649" spans="2:7" ht="13.8" customHeight="1" x14ac:dyDescent="0.25">
      <c r="B1649" s="33" t="s">
        <v>5</v>
      </c>
      <c r="C1649" s="33">
        <v>2767196</v>
      </c>
      <c r="D1649" s="33">
        <v>2.7</v>
      </c>
      <c r="E1649" s="33" t="s">
        <v>229</v>
      </c>
      <c r="F1649" s="31" t="str">
        <f t="shared" si="50"/>
        <v>D1.08.01</v>
      </c>
      <c r="G1649" s="34">
        <f t="shared" si="51"/>
        <v>2.7</v>
      </c>
    </row>
    <row r="1650" spans="2:7" ht="13.8" customHeight="1" x14ac:dyDescent="0.25">
      <c r="B1650" s="33" t="s">
        <v>5</v>
      </c>
      <c r="C1650" s="33">
        <v>2767248</v>
      </c>
      <c r="D1650" s="33">
        <v>2.7</v>
      </c>
      <c r="E1650" s="33" t="s">
        <v>230</v>
      </c>
      <c r="F1650" s="31" t="str">
        <f t="shared" si="50"/>
        <v>D1.08.03</v>
      </c>
      <c r="G1650" s="34">
        <f t="shared" si="51"/>
        <v>2.7</v>
      </c>
    </row>
    <row r="1651" spans="2:7" ht="13.8" customHeight="1" x14ac:dyDescent="0.25">
      <c r="B1651" s="33" t="s">
        <v>5</v>
      </c>
      <c r="C1651" s="33">
        <v>2767251</v>
      </c>
      <c r="D1651" s="33">
        <v>2.7</v>
      </c>
      <c r="E1651" s="33" t="s">
        <v>230</v>
      </c>
      <c r="F1651" s="31" t="str">
        <f t="shared" si="50"/>
        <v>D1.08.03</v>
      </c>
      <c r="G1651" s="34">
        <f t="shared" si="51"/>
        <v>2.7</v>
      </c>
    </row>
    <row r="1652" spans="2:7" ht="13.8" customHeight="1" x14ac:dyDescent="0.25">
      <c r="B1652" s="33" t="s">
        <v>5</v>
      </c>
      <c r="C1652" s="33">
        <v>2767328</v>
      </c>
      <c r="D1652" s="33">
        <v>2.7</v>
      </c>
      <c r="E1652" s="33" t="s">
        <v>231</v>
      </c>
      <c r="F1652" s="31" t="str">
        <f t="shared" si="50"/>
        <v>B1.11.01</v>
      </c>
      <c r="G1652" s="34">
        <f t="shared" si="51"/>
        <v>2.7</v>
      </c>
    </row>
    <row r="1653" spans="2:7" ht="13.8" customHeight="1" x14ac:dyDescent="0.25">
      <c r="B1653" s="33" t="s">
        <v>5</v>
      </c>
      <c r="C1653" s="33">
        <v>2767330</v>
      </c>
      <c r="D1653" s="33">
        <v>2.7</v>
      </c>
      <c r="E1653" s="33" t="s">
        <v>231</v>
      </c>
      <c r="F1653" s="31" t="str">
        <f t="shared" si="50"/>
        <v>B1.11.01</v>
      </c>
      <c r="G1653" s="34">
        <f t="shared" si="51"/>
        <v>2.7</v>
      </c>
    </row>
    <row r="1654" spans="2:7" ht="13.8" customHeight="1" x14ac:dyDescent="0.25">
      <c r="B1654" s="33" t="s">
        <v>5</v>
      </c>
      <c r="C1654" s="33">
        <v>2767398</v>
      </c>
      <c r="D1654" s="33">
        <v>2.7</v>
      </c>
      <c r="E1654" s="33" t="s">
        <v>233</v>
      </c>
      <c r="F1654" s="31" t="str">
        <f t="shared" si="50"/>
        <v>B1.07.01</v>
      </c>
      <c r="G1654" s="34">
        <f t="shared" si="51"/>
        <v>2.7</v>
      </c>
    </row>
    <row r="1655" spans="2:7" ht="13.8" customHeight="1" x14ac:dyDescent="0.25">
      <c r="B1655" s="33" t="s">
        <v>5</v>
      </c>
      <c r="C1655" s="33">
        <v>2767461</v>
      </c>
      <c r="D1655" s="33">
        <v>2.7</v>
      </c>
      <c r="E1655" s="33" t="s">
        <v>234</v>
      </c>
      <c r="F1655" s="31" t="str">
        <f t="shared" si="50"/>
        <v>B1.07.02</v>
      </c>
      <c r="G1655" s="34">
        <f t="shared" si="51"/>
        <v>2.7</v>
      </c>
    </row>
    <row r="1656" spans="2:7" ht="13.8" customHeight="1" x14ac:dyDescent="0.25">
      <c r="B1656" s="33" t="s">
        <v>5</v>
      </c>
      <c r="C1656" s="33">
        <v>2767524</v>
      </c>
      <c r="D1656" s="33">
        <v>2.7</v>
      </c>
      <c r="E1656" s="33" t="s">
        <v>235</v>
      </c>
      <c r="F1656" s="31" t="str">
        <f t="shared" si="50"/>
        <v>B1.07.03</v>
      </c>
      <c r="G1656" s="34">
        <f t="shared" si="51"/>
        <v>2.7</v>
      </c>
    </row>
    <row r="1657" spans="2:7" ht="13.8" customHeight="1" x14ac:dyDescent="0.25">
      <c r="B1657" s="33" t="s">
        <v>5</v>
      </c>
      <c r="C1657" s="33">
        <v>2767673</v>
      </c>
      <c r="D1657" s="33">
        <v>2.7</v>
      </c>
      <c r="E1657" s="33" t="s">
        <v>238</v>
      </c>
      <c r="F1657" s="31" t="str">
        <f t="shared" si="50"/>
        <v>B1.08.02</v>
      </c>
      <c r="G1657" s="34">
        <f t="shared" si="51"/>
        <v>2.7</v>
      </c>
    </row>
    <row r="1658" spans="2:7" ht="13.8" customHeight="1" x14ac:dyDescent="0.25">
      <c r="B1658" s="33" t="s">
        <v>5</v>
      </c>
      <c r="C1658" s="33">
        <v>2767734</v>
      </c>
      <c r="D1658" s="33">
        <v>2.7</v>
      </c>
      <c r="E1658" s="33" t="s">
        <v>239</v>
      </c>
      <c r="F1658" s="31" t="str">
        <f t="shared" si="50"/>
        <v>B1.08.03</v>
      </c>
      <c r="G1658" s="34">
        <f t="shared" si="51"/>
        <v>2.7</v>
      </c>
    </row>
    <row r="1659" spans="2:7" ht="13.8" customHeight="1" x14ac:dyDescent="0.25">
      <c r="B1659" s="33" t="s">
        <v>5</v>
      </c>
      <c r="C1659" s="33">
        <v>2767786</v>
      </c>
      <c r="D1659" s="33">
        <v>2.5</v>
      </c>
      <c r="E1659" s="33" t="s">
        <v>240</v>
      </c>
      <c r="F1659" s="31" t="str">
        <f t="shared" si="50"/>
        <v>A3.10.01</v>
      </c>
      <c r="G1659" s="34">
        <f t="shared" si="51"/>
        <v>2.5</v>
      </c>
    </row>
    <row r="1660" spans="2:7" ht="13.8" customHeight="1" x14ac:dyDescent="0.25">
      <c r="B1660" s="33" t="s">
        <v>5</v>
      </c>
      <c r="C1660" s="33">
        <v>2767856</v>
      </c>
      <c r="D1660" s="33">
        <v>2.5</v>
      </c>
      <c r="E1660" s="33" t="s">
        <v>241</v>
      </c>
      <c r="F1660" s="31" t="str">
        <f t="shared" si="50"/>
        <v>A3.10.05</v>
      </c>
      <c r="G1660" s="34">
        <f t="shared" si="51"/>
        <v>2.5</v>
      </c>
    </row>
    <row r="1661" spans="2:7" ht="13.8" customHeight="1" x14ac:dyDescent="0.25">
      <c r="B1661" s="33" t="s">
        <v>5</v>
      </c>
      <c r="C1661" s="33">
        <v>2767969</v>
      </c>
      <c r="D1661" s="33">
        <v>2.5</v>
      </c>
      <c r="E1661" s="33" t="s">
        <v>243</v>
      </c>
      <c r="F1661" s="31" t="str">
        <f t="shared" si="50"/>
        <v>A3.10.03</v>
      </c>
      <c r="G1661" s="34">
        <f t="shared" si="51"/>
        <v>2.5</v>
      </c>
    </row>
    <row r="1662" spans="2:7" ht="13.8" customHeight="1" x14ac:dyDescent="0.25">
      <c r="B1662" s="33" t="s">
        <v>5</v>
      </c>
      <c r="C1662" s="33">
        <v>2768043</v>
      </c>
      <c r="D1662" s="33">
        <v>2.5</v>
      </c>
      <c r="E1662" s="33" t="s">
        <v>244</v>
      </c>
      <c r="F1662" s="31" t="str">
        <f t="shared" si="50"/>
        <v>A3.10.02</v>
      </c>
      <c r="G1662" s="34">
        <f t="shared" si="51"/>
        <v>2.5</v>
      </c>
    </row>
    <row r="1663" spans="2:7" ht="13.8" customHeight="1" x14ac:dyDescent="0.25">
      <c r="B1663" s="33" t="s">
        <v>5</v>
      </c>
      <c r="C1663" s="33">
        <v>2768106</v>
      </c>
      <c r="D1663" s="33">
        <v>2.5</v>
      </c>
      <c r="E1663" s="33" t="s">
        <v>245</v>
      </c>
      <c r="F1663" s="31" t="str">
        <f t="shared" si="50"/>
        <v>A3.07.05</v>
      </c>
      <c r="G1663" s="34">
        <f t="shared" si="51"/>
        <v>2.5</v>
      </c>
    </row>
    <row r="1664" spans="2:7" ht="13.8" customHeight="1" x14ac:dyDescent="0.25">
      <c r="B1664" s="33" t="s">
        <v>5</v>
      </c>
      <c r="C1664" s="33">
        <v>2768186</v>
      </c>
      <c r="D1664" s="33">
        <v>2.5</v>
      </c>
      <c r="E1664" s="33" t="s">
        <v>246</v>
      </c>
      <c r="F1664" s="31" t="str">
        <f t="shared" si="50"/>
        <v>A3.07.04</v>
      </c>
      <c r="G1664" s="34">
        <f t="shared" si="51"/>
        <v>2.5</v>
      </c>
    </row>
    <row r="1665" spans="2:7" ht="13.8" customHeight="1" x14ac:dyDescent="0.25">
      <c r="B1665" s="33" t="s">
        <v>5</v>
      </c>
      <c r="C1665" s="33">
        <v>2768258</v>
      </c>
      <c r="D1665" s="33">
        <v>2.5</v>
      </c>
      <c r="E1665" s="33" t="s">
        <v>247</v>
      </c>
      <c r="F1665" s="31" t="str">
        <f t="shared" si="50"/>
        <v>A3.07.08</v>
      </c>
      <c r="G1665" s="34">
        <f t="shared" si="51"/>
        <v>2.5</v>
      </c>
    </row>
    <row r="1666" spans="2:7" ht="13.8" customHeight="1" x14ac:dyDescent="0.25">
      <c r="B1666" s="33" t="s">
        <v>5</v>
      </c>
      <c r="C1666" s="33">
        <v>2768338</v>
      </c>
      <c r="D1666" s="33">
        <v>2.5</v>
      </c>
      <c r="E1666" s="33" t="s">
        <v>248</v>
      </c>
      <c r="F1666" s="31" t="str">
        <f t="shared" si="50"/>
        <v>A3.07.01</v>
      </c>
      <c r="G1666" s="34">
        <f t="shared" si="51"/>
        <v>2.5</v>
      </c>
    </row>
    <row r="1667" spans="2:7" ht="13.8" customHeight="1" x14ac:dyDescent="0.25">
      <c r="B1667" s="33" t="s">
        <v>5</v>
      </c>
      <c r="C1667" s="33">
        <v>2768426</v>
      </c>
      <c r="D1667" s="33">
        <v>2.5</v>
      </c>
      <c r="E1667" s="33" t="s">
        <v>249</v>
      </c>
      <c r="F1667" s="31" t="str">
        <f t="shared" si="50"/>
        <v>A3.07.02</v>
      </c>
      <c r="G1667" s="34">
        <f t="shared" si="51"/>
        <v>2.5</v>
      </c>
    </row>
    <row r="1668" spans="2:7" ht="13.8" customHeight="1" x14ac:dyDescent="0.25">
      <c r="B1668" s="33" t="s">
        <v>5</v>
      </c>
      <c r="C1668" s="33">
        <v>2768559</v>
      </c>
      <c r="D1668" s="33">
        <v>2.5</v>
      </c>
      <c r="E1668" s="33" t="s">
        <v>251</v>
      </c>
      <c r="F1668" s="31" t="str">
        <f t="shared" si="50"/>
        <v>A3.07.03</v>
      </c>
      <c r="G1668" s="34">
        <f t="shared" si="51"/>
        <v>2.5</v>
      </c>
    </row>
    <row r="1669" spans="2:7" ht="13.8" customHeight="1" x14ac:dyDescent="0.25">
      <c r="B1669" s="33" t="s">
        <v>5</v>
      </c>
      <c r="C1669" s="33">
        <v>2768716</v>
      </c>
      <c r="D1669" s="33">
        <v>2.5</v>
      </c>
      <c r="E1669" s="33" t="s">
        <v>253</v>
      </c>
      <c r="F1669" s="31" t="str">
        <f t="shared" si="50"/>
        <v>A6.10.04</v>
      </c>
      <c r="G1669" s="34">
        <f t="shared" si="51"/>
        <v>2.5</v>
      </c>
    </row>
    <row r="1670" spans="2:7" ht="13.8" customHeight="1" x14ac:dyDescent="0.25">
      <c r="B1670" s="33" t="s">
        <v>5</v>
      </c>
      <c r="C1670" s="33">
        <v>2768718</v>
      </c>
      <c r="D1670" s="33">
        <v>2.5</v>
      </c>
      <c r="E1670" s="33" t="s">
        <v>253</v>
      </c>
      <c r="F1670" s="31" t="str">
        <f t="shared" si="50"/>
        <v>A6.10.04</v>
      </c>
      <c r="G1670" s="34">
        <f t="shared" si="51"/>
        <v>2.5</v>
      </c>
    </row>
    <row r="1671" spans="2:7" ht="13.8" customHeight="1" x14ac:dyDescent="0.25">
      <c r="B1671" s="33" t="s">
        <v>5</v>
      </c>
      <c r="C1671" s="33">
        <v>2768804</v>
      </c>
      <c r="D1671" s="33">
        <v>2.5</v>
      </c>
      <c r="E1671" s="33" t="s">
        <v>254</v>
      </c>
      <c r="F1671" s="31" t="str">
        <f t="shared" ref="F1671:F1734" si="52">LEFT(E1671,8)</f>
        <v>A6.13.01</v>
      </c>
      <c r="G1671" s="34">
        <f t="shared" ref="G1671:G1734" si="53">D1671</f>
        <v>2.5</v>
      </c>
    </row>
    <row r="1672" spans="2:7" ht="13.8" customHeight="1" x14ac:dyDescent="0.25">
      <c r="B1672" s="33" t="s">
        <v>5</v>
      </c>
      <c r="C1672" s="33">
        <v>2768882</v>
      </c>
      <c r="D1672" s="33">
        <v>2.5</v>
      </c>
      <c r="E1672" s="33" t="s">
        <v>255</v>
      </c>
      <c r="F1672" s="31" t="str">
        <f t="shared" si="52"/>
        <v>A6.13.02</v>
      </c>
      <c r="G1672" s="34">
        <f t="shared" si="53"/>
        <v>2.5</v>
      </c>
    </row>
    <row r="1673" spans="2:7" ht="13.8" customHeight="1" x14ac:dyDescent="0.25">
      <c r="B1673" s="33" t="s">
        <v>5</v>
      </c>
      <c r="C1673" s="33">
        <v>2768952</v>
      </c>
      <c r="D1673" s="33">
        <v>2.5</v>
      </c>
      <c r="E1673" s="33" t="s">
        <v>256</v>
      </c>
      <c r="F1673" s="31" t="str">
        <f t="shared" si="52"/>
        <v>A6.13.03</v>
      </c>
      <c r="G1673" s="34">
        <f t="shared" si="53"/>
        <v>2.5</v>
      </c>
    </row>
    <row r="1674" spans="2:7" ht="13.8" customHeight="1" x14ac:dyDescent="0.25">
      <c r="B1674" s="33" t="s">
        <v>5</v>
      </c>
      <c r="C1674" s="33">
        <v>2769040</v>
      </c>
      <c r="D1674" s="33">
        <v>2.5</v>
      </c>
      <c r="E1674" s="33" t="s">
        <v>257</v>
      </c>
      <c r="F1674" s="31" t="str">
        <f t="shared" si="52"/>
        <v>A6.13.04</v>
      </c>
      <c r="G1674" s="34">
        <f t="shared" si="53"/>
        <v>2.5</v>
      </c>
    </row>
    <row r="1675" spans="2:7" ht="13.8" customHeight="1" x14ac:dyDescent="0.25">
      <c r="B1675" s="33" t="s">
        <v>5</v>
      </c>
      <c r="C1675" s="33">
        <v>2769121</v>
      </c>
      <c r="D1675" s="33">
        <v>2.5</v>
      </c>
      <c r="E1675" s="33" t="s">
        <v>258</v>
      </c>
      <c r="F1675" s="31" t="str">
        <f t="shared" si="52"/>
        <v>A6.09.06</v>
      </c>
      <c r="G1675" s="34">
        <f t="shared" si="53"/>
        <v>2.5</v>
      </c>
    </row>
    <row r="1676" spans="2:7" ht="13.8" customHeight="1" x14ac:dyDescent="0.25">
      <c r="B1676" s="33" t="s">
        <v>5</v>
      </c>
      <c r="C1676" s="33">
        <v>2769224</v>
      </c>
      <c r="D1676" s="33">
        <v>2.5</v>
      </c>
      <c r="E1676" s="33" t="s">
        <v>259</v>
      </c>
      <c r="F1676" s="31" t="str">
        <f t="shared" si="52"/>
        <v>A6.09.07</v>
      </c>
      <c r="G1676" s="34">
        <f t="shared" si="53"/>
        <v>2.5</v>
      </c>
    </row>
    <row r="1677" spans="2:7" ht="13.8" customHeight="1" x14ac:dyDescent="0.25">
      <c r="B1677" s="33" t="s">
        <v>5</v>
      </c>
      <c r="C1677" s="33">
        <v>2769314</v>
      </c>
      <c r="D1677" s="33">
        <v>2.5</v>
      </c>
      <c r="E1677" s="33" t="s">
        <v>260</v>
      </c>
      <c r="F1677" s="31" t="str">
        <f t="shared" si="52"/>
        <v>A6.09.02</v>
      </c>
      <c r="G1677" s="34">
        <f t="shared" si="53"/>
        <v>2.5</v>
      </c>
    </row>
    <row r="1678" spans="2:7" ht="13.8" customHeight="1" x14ac:dyDescent="0.25">
      <c r="B1678" s="33" t="s">
        <v>5</v>
      </c>
      <c r="C1678" s="33">
        <v>2769503</v>
      </c>
      <c r="D1678" s="33">
        <v>2.5</v>
      </c>
      <c r="E1678" s="33" t="s">
        <v>262</v>
      </c>
      <c r="F1678" s="31" t="str">
        <f t="shared" si="52"/>
        <v>A6.09.04</v>
      </c>
      <c r="G1678" s="34">
        <f t="shared" si="53"/>
        <v>2.5</v>
      </c>
    </row>
    <row r="1679" spans="2:7" ht="13.8" customHeight="1" x14ac:dyDescent="0.25">
      <c r="B1679" s="33" t="s">
        <v>5</v>
      </c>
      <c r="C1679" s="33">
        <v>2769506</v>
      </c>
      <c r="D1679" s="33">
        <v>2.5</v>
      </c>
      <c r="E1679" s="33" t="s">
        <v>262</v>
      </c>
      <c r="F1679" s="31" t="str">
        <f t="shared" si="52"/>
        <v>A6.09.04</v>
      </c>
      <c r="G1679" s="34">
        <f t="shared" si="53"/>
        <v>2.5</v>
      </c>
    </row>
    <row r="1680" spans="2:7" ht="13.8" customHeight="1" x14ac:dyDescent="0.25">
      <c r="B1680" s="33" t="s">
        <v>5</v>
      </c>
      <c r="C1680" s="33">
        <v>2769601</v>
      </c>
      <c r="D1680" s="33">
        <v>2.5</v>
      </c>
      <c r="E1680" s="33" t="s">
        <v>263</v>
      </c>
      <c r="F1680" s="31" t="str">
        <f t="shared" si="52"/>
        <v>A6.09.01</v>
      </c>
      <c r="G1680" s="34">
        <f t="shared" si="53"/>
        <v>2.5</v>
      </c>
    </row>
    <row r="1681" spans="2:7" ht="13.8" customHeight="1" x14ac:dyDescent="0.25">
      <c r="B1681" s="33" t="s">
        <v>5</v>
      </c>
      <c r="C1681" s="33">
        <v>2769783</v>
      </c>
      <c r="D1681" s="33">
        <v>2.7</v>
      </c>
      <c r="E1681" s="33" t="s">
        <v>266</v>
      </c>
      <c r="F1681" s="31" t="str">
        <f t="shared" si="52"/>
        <v>B1.02.02</v>
      </c>
      <c r="G1681" s="34">
        <f t="shared" si="53"/>
        <v>2.7</v>
      </c>
    </row>
    <row r="1682" spans="2:7" ht="13.8" customHeight="1" x14ac:dyDescent="0.25">
      <c r="B1682" s="33" t="s">
        <v>5</v>
      </c>
      <c r="C1682" s="33">
        <v>2769846</v>
      </c>
      <c r="D1682" s="33">
        <v>2.7</v>
      </c>
      <c r="E1682" s="33" t="s">
        <v>267</v>
      </c>
      <c r="F1682" s="31" t="str">
        <f t="shared" si="52"/>
        <v>D1.02.02</v>
      </c>
      <c r="G1682" s="34">
        <f t="shared" si="53"/>
        <v>2.7</v>
      </c>
    </row>
    <row r="1683" spans="2:7" ht="13.8" customHeight="1" x14ac:dyDescent="0.25">
      <c r="B1683" s="33" t="s">
        <v>5</v>
      </c>
      <c r="C1683" s="33">
        <v>2769849</v>
      </c>
      <c r="D1683" s="33">
        <v>2.7</v>
      </c>
      <c r="E1683" s="33" t="s">
        <v>267</v>
      </c>
      <c r="F1683" s="31" t="str">
        <f t="shared" si="52"/>
        <v>D1.02.02</v>
      </c>
      <c r="G1683" s="34">
        <f t="shared" si="53"/>
        <v>2.7</v>
      </c>
    </row>
    <row r="1684" spans="2:7" ht="13.8" customHeight="1" x14ac:dyDescent="0.25">
      <c r="B1684" s="33" t="s">
        <v>5</v>
      </c>
      <c r="C1684" s="33">
        <v>2769852</v>
      </c>
      <c r="D1684" s="33">
        <v>2.7</v>
      </c>
      <c r="E1684" s="33" t="s">
        <v>267</v>
      </c>
      <c r="F1684" s="31" t="str">
        <f t="shared" si="52"/>
        <v>D1.02.02</v>
      </c>
      <c r="G1684" s="34">
        <f t="shared" si="53"/>
        <v>2.7</v>
      </c>
    </row>
    <row r="1685" spans="2:7" ht="13.8" customHeight="1" x14ac:dyDescent="0.25">
      <c r="B1685" s="33" t="s">
        <v>5</v>
      </c>
      <c r="C1685" s="33">
        <v>2769898</v>
      </c>
      <c r="D1685" s="33">
        <v>2.7</v>
      </c>
      <c r="E1685" s="33" t="s">
        <v>268</v>
      </c>
      <c r="F1685" s="31" t="str">
        <f t="shared" si="52"/>
        <v>D1.02.01</v>
      </c>
      <c r="G1685" s="34">
        <f t="shared" si="53"/>
        <v>2.7</v>
      </c>
    </row>
    <row r="1686" spans="2:7" ht="13.8" customHeight="1" x14ac:dyDescent="0.25">
      <c r="B1686" s="33" t="s">
        <v>5</v>
      </c>
      <c r="C1686" s="33">
        <v>2769949</v>
      </c>
      <c r="D1686" s="33">
        <v>2.7</v>
      </c>
      <c r="E1686" s="33" t="s">
        <v>269</v>
      </c>
      <c r="F1686" s="31" t="str">
        <f t="shared" si="52"/>
        <v>D1.02.04</v>
      </c>
      <c r="G1686" s="34">
        <f t="shared" si="53"/>
        <v>2.7</v>
      </c>
    </row>
    <row r="1687" spans="2:7" ht="13.8" customHeight="1" x14ac:dyDescent="0.25">
      <c r="B1687" s="33" t="s">
        <v>5</v>
      </c>
      <c r="C1687" s="33">
        <v>2770008</v>
      </c>
      <c r="D1687" s="33">
        <v>2.7</v>
      </c>
      <c r="E1687" s="33" t="s">
        <v>270</v>
      </c>
      <c r="F1687" s="31" t="str">
        <f t="shared" si="52"/>
        <v>D1.02.03</v>
      </c>
      <c r="G1687" s="34">
        <f t="shared" si="53"/>
        <v>2.7</v>
      </c>
    </row>
    <row r="1688" spans="2:7" ht="13.8" customHeight="1" x14ac:dyDescent="0.25">
      <c r="B1688" s="33" t="s">
        <v>5</v>
      </c>
      <c r="C1688" s="33">
        <v>2770011</v>
      </c>
      <c r="D1688" s="33">
        <v>2.7</v>
      </c>
      <c r="E1688" s="33" t="s">
        <v>270</v>
      </c>
      <c r="F1688" s="31" t="str">
        <f t="shared" si="52"/>
        <v>D1.02.03</v>
      </c>
      <c r="G1688" s="34">
        <f t="shared" si="53"/>
        <v>2.7</v>
      </c>
    </row>
    <row r="1689" spans="2:7" ht="13.8" customHeight="1" x14ac:dyDescent="0.25">
      <c r="B1689" s="33" t="s">
        <v>5</v>
      </c>
      <c r="C1689" s="33">
        <v>2770105</v>
      </c>
      <c r="D1689" s="33">
        <v>2.5</v>
      </c>
      <c r="E1689" s="33" t="s">
        <v>272</v>
      </c>
      <c r="F1689" s="31" t="str">
        <f t="shared" si="52"/>
        <v>A6.01.01</v>
      </c>
      <c r="G1689" s="34">
        <f t="shared" si="53"/>
        <v>2.5</v>
      </c>
    </row>
    <row r="1690" spans="2:7" ht="13.8" customHeight="1" x14ac:dyDescent="0.25">
      <c r="B1690" s="33" t="s">
        <v>5</v>
      </c>
      <c r="C1690" s="33">
        <v>2770108</v>
      </c>
      <c r="D1690" s="33">
        <v>2.5</v>
      </c>
      <c r="E1690" s="33" t="s">
        <v>272</v>
      </c>
      <c r="F1690" s="31" t="str">
        <f t="shared" si="52"/>
        <v>A6.01.01</v>
      </c>
      <c r="G1690" s="34">
        <f t="shared" si="53"/>
        <v>2.5</v>
      </c>
    </row>
    <row r="1691" spans="2:7" ht="13.8" customHeight="1" x14ac:dyDescent="0.25">
      <c r="B1691" s="33" t="s">
        <v>5</v>
      </c>
      <c r="C1691" s="33">
        <v>2770234</v>
      </c>
      <c r="D1691" s="33">
        <v>2.5</v>
      </c>
      <c r="E1691" s="33" t="s">
        <v>274</v>
      </c>
      <c r="F1691" s="31" t="str">
        <f t="shared" si="52"/>
        <v>A3.01.02</v>
      </c>
      <c r="G1691" s="34">
        <f t="shared" si="53"/>
        <v>2.5</v>
      </c>
    </row>
    <row r="1692" spans="2:7" ht="13.8" customHeight="1" x14ac:dyDescent="0.25">
      <c r="B1692" s="33" t="s">
        <v>5</v>
      </c>
      <c r="C1692" s="33">
        <v>2770237</v>
      </c>
      <c r="D1692" s="33">
        <v>2.5</v>
      </c>
      <c r="E1692" s="33" t="s">
        <v>274</v>
      </c>
      <c r="F1692" s="31" t="str">
        <f t="shared" si="52"/>
        <v>A3.01.02</v>
      </c>
      <c r="G1692" s="34">
        <f t="shared" si="53"/>
        <v>2.5</v>
      </c>
    </row>
    <row r="1693" spans="2:7" ht="13.8" customHeight="1" x14ac:dyDescent="0.25">
      <c r="B1693" s="33" t="s">
        <v>5</v>
      </c>
      <c r="C1693" s="33">
        <v>2770297</v>
      </c>
      <c r="D1693" s="33">
        <v>2.5</v>
      </c>
      <c r="E1693" s="33" t="s">
        <v>275</v>
      </c>
      <c r="F1693" s="31" t="str">
        <f t="shared" si="52"/>
        <v>A3.01.01</v>
      </c>
      <c r="G1693" s="34">
        <f t="shared" si="53"/>
        <v>2.5</v>
      </c>
    </row>
    <row r="1694" spans="2:7" ht="13.8" customHeight="1" x14ac:dyDescent="0.25">
      <c r="B1694" s="35" t="s">
        <v>5</v>
      </c>
      <c r="C1694" s="35">
        <v>2770300</v>
      </c>
      <c r="D1694" s="35">
        <v>2.5</v>
      </c>
      <c r="E1694" s="35" t="s">
        <v>275</v>
      </c>
      <c r="F1694" s="31" t="str">
        <f t="shared" si="52"/>
        <v>A3.01.01</v>
      </c>
      <c r="G1694" s="34">
        <f t="shared" si="53"/>
        <v>2.5</v>
      </c>
    </row>
    <row r="1695" spans="2:7" ht="13.8" customHeight="1" x14ac:dyDescent="0.25">
      <c r="B1695" s="35" t="s">
        <v>5</v>
      </c>
      <c r="C1695" s="35">
        <v>2770386</v>
      </c>
      <c r="D1695" s="35">
        <v>2.5</v>
      </c>
      <c r="E1695" s="35" t="s">
        <v>276</v>
      </c>
      <c r="F1695" s="31" t="str">
        <f t="shared" si="52"/>
        <v>A3.08.03</v>
      </c>
      <c r="G1695" s="34">
        <f t="shared" si="53"/>
        <v>2.5</v>
      </c>
    </row>
    <row r="1696" spans="2:7" ht="13.8" customHeight="1" x14ac:dyDescent="0.25">
      <c r="B1696" s="35" t="s">
        <v>5</v>
      </c>
      <c r="C1696" s="35">
        <v>2770464</v>
      </c>
      <c r="D1696" s="35">
        <v>2.5</v>
      </c>
      <c r="E1696" s="35" t="s">
        <v>277</v>
      </c>
      <c r="F1696" s="31" t="str">
        <f t="shared" si="52"/>
        <v>A3.08.02</v>
      </c>
      <c r="G1696" s="34">
        <f t="shared" si="53"/>
        <v>2.5</v>
      </c>
    </row>
    <row r="1697" spans="2:7" ht="13.8" customHeight="1" x14ac:dyDescent="0.25">
      <c r="B1697" s="35" t="s">
        <v>5</v>
      </c>
      <c r="C1697" s="35">
        <v>2770538</v>
      </c>
      <c r="D1697" s="35">
        <v>2.5</v>
      </c>
      <c r="E1697" s="35" t="s">
        <v>278</v>
      </c>
      <c r="F1697" s="31" t="str">
        <f t="shared" si="52"/>
        <v>C1.14.05</v>
      </c>
      <c r="G1697" s="34">
        <f t="shared" si="53"/>
        <v>2.5</v>
      </c>
    </row>
    <row r="1698" spans="2:7" ht="13.8" customHeight="1" x14ac:dyDescent="0.25">
      <c r="B1698" s="35" t="s">
        <v>5</v>
      </c>
      <c r="C1698" s="35">
        <v>2770618</v>
      </c>
      <c r="D1698" s="35">
        <v>2.5</v>
      </c>
      <c r="E1698" s="35" t="s">
        <v>279</v>
      </c>
      <c r="F1698" s="31" t="str">
        <f t="shared" si="52"/>
        <v>C1.14.06</v>
      </c>
      <c r="G1698" s="34">
        <f t="shared" si="53"/>
        <v>2.5</v>
      </c>
    </row>
    <row r="1699" spans="2:7" ht="13.8" customHeight="1" x14ac:dyDescent="0.25">
      <c r="B1699" s="35" t="s">
        <v>5</v>
      </c>
      <c r="C1699" s="35">
        <v>2770695</v>
      </c>
      <c r="D1699" s="35">
        <v>2.5</v>
      </c>
      <c r="E1699" s="35" t="s">
        <v>280</v>
      </c>
      <c r="F1699" s="31" t="str">
        <f t="shared" si="52"/>
        <v>C1.14.01</v>
      </c>
      <c r="G1699" s="34">
        <f t="shared" si="53"/>
        <v>2.5</v>
      </c>
    </row>
    <row r="1700" spans="2:7" ht="13.8" customHeight="1" x14ac:dyDescent="0.25">
      <c r="B1700" s="35" t="s">
        <v>5</v>
      </c>
      <c r="C1700" s="35">
        <v>2770911</v>
      </c>
      <c r="D1700" s="35">
        <v>2.5</v>
      </c>
      <c r="E1700" s="35" t="s">
        <v>284</v>
      </c>
      <c r="F1700" s="31" t="str">
        <f t="shared" si="52"/>
        <v>C1.08.05</v>
      </c>
      <c r="G1700" s="34">
        <f t="shared" si="53"/>
        <v>2.5</v>
      </c>
    </row>
    <row r="1701" spans="2:7" ht="13.8" customHeight="1" x14ac:dyDescent="0.25">
      <c r="B1701" s="35" t="s">
        <v>5</v>
      </c>
      <c r="C1701" s="35">
        <v>2770987</v>
      </c>
      <c r="D1701" s="35">
        <v>2.5</v>
      </c>
      <c r="E1701" s="35" t="s">
        <v>285</v>
      </c>
      <c r="F1701" s="31" t="str">
        <f t="shared" si="52"/>
        <v>C1.08.06</v>
      </c>
      <c r="G1701" s="34">
        <f t="shared" si="53"/>
        <v>2.5</v>
      </c>
    </row>
    <row r="1702" spans="2:7" ht="13.8" customHeight="1" x14ac:dyDescent="0.25">
      <c r="B1702" s="35" t="s">
        <v>5</v>
      </c>
      <c r="C1702" s="35">
        <v>2771073</v>
      </c>
      <c r="D1702" s="35">
        <v>2.5</v>
      </c>
      <c r="E1702" s="35" t="s">
        <v>286</v>
      </c>
      <c r="F1702" s="31" t="str">
        <f t="shared" si="52"/>
        <v>C1.08.02</v>
      </c>
      <c r="G1702" s="34">
        <f t="shared" si="53"/>
        <v>2.5</v>
      </c>
    </row>
    <row r="1703" spans="2:7" ht="13.8" customHeight="1" x14ac:dyDescent="0.25">
      <c r="B1703" s="35" t="s">
        <v>5</v>
      </c>
      <c r="C1703" s="35">
        <v>2771229</v>
      </c>
      <c r="D1703" s="35">
        <v>2.5</v>
      </c>
      <c r="E1703" s="35" t="s">
        <v>289</v>
      </c>
      <c r="F1703" s="31" t="str">
        <f t="shared" si="52"/>
        <v>C1.08.01</v>
      </c>
      <c r="G1703" s="34">
        <f t="shared" si="53"/>
        <v>2.5</v>
      </c>
    </row>
    <row r="1704" spans="2:7" ht="13.8" customHeight="1" x14ac:dyDescent="0.25">
      <c r="B1704" s="35" t="s">
        <v>5</v>
      </c>
      <c r="C1704" s="35">
        <v>2771312</v>
      </c>
      <c r="D1704" s="35">
        <v>2.5</v>
      </c>
      <c r="E1704" s="35" t="s">
        <v>290</v>
      </c>
      <c r="F1704" s="31" t="str">
        <f t="shared" si="52"/>
        <v>C1.09.08</v>
      </c>
      <c r="G1704" s="34">
        <f t="shared" si="53"/>
        <v>2.5</v>
      </c>
    </row>
    <row r="1705" spans="2:7" ht="13.8" customHeight="1" x14ac:dyDescent="0.25">
      <c r="B1705" s="35" t="s">
        <v>5</v>
      </c>
      <c r="C1705" s="35">
        <v>2771382</v>
      </c>
      <c r="D1705" s="35">
        <v>2.5</v>
      </c>
      <c r="E1705" s="35" t="s">
        <v>291</v>
      </c>
      <c r="F1705" s="31" t="str">
        <f t="shared" si="52"/>
        <v>C1.09.07</v>
      </c>
      <c r="G1705" s="34">
        <f t="shared" si="53"/>
        <v>2.5</v>
      </c>
    </row>
    <row r="1706" spans="2:7" ht="13.8" customHeight="1" x14ac:dyDescent="0.25">
      <c r="B1706" s="35" t="s">
        <v>5</v>
      </c>
      <c r="C1706" s="35">
        <v>2771447</v>
      </c>
      <c r="D1706" s="35">
        <v>2.5</v>
      </c>
      <c r="E1706" s="35" t="s">
        <v>292</v>
      </c>
      <c r="F1706" s="31" t="str">
        <f t="shared" si="52"/>
        <v>C1.08.08</v>
      </c>
      <c r="G1706" s="34">
        <f t="shared" si="53"/>
        <v>2.5</v>
      </c>
    </row>
    <row r="1707" spans="2:7" ht="13.8" customHeight="1" x14ac:dyDescent="0.25">
      <c r="B1707" s="35" t="s">
        <v>5</v>
      </c>
      <c r="C1707" s="35">
        <v>2771521</v>
      </c>
      <c r="D1707" s="35">
        <v>2.5</v>
      </c>
      <c r="E1707" s="35" t="s">
        <v>293</v>
      </c>
      <c r="F1707" s="31" t="str">
        <f t="shared" si="52"/>
        <v>C1.08.07</v>
      </c>
      <c r="G1707" s="34">
        <f t="shared" si="53"/>
        <v>2.5</v>
      </c>
    </row>
    <row r="1708" spans="2:7" ht="13.8" customHeight="1" x14ac:dyDescent="0.25">
      <c r="B1708" s="35" t="s">
        <v>5</v>
      </c>
      <c r="C1708" s="35">
        <v>2771595</v>
      </c>
      <c r="D1708" s="35">
        <v>2.5</v>
      </c>
      <c r="E1708" s="35" t="s">
        <v>294</v>
      </c>
      <c r="F1708" s="31" t="str">
        <f t="shared" si="52"/>
        <v>C1.01.02</v>
      </c>
      <c r="G1708" s="34">
        <f t="shared" si="53"/>
        <v>2.5</v>
      </c>
    </row>
    <row r="1709" spans="2:7" ht="13.8" customHeight="1" x14ac:dyDescent="0.25">
      <c r="B1709" s="35" t="s">
        <v>5</v>
      </c>
      <c r="C1709" s="35">
        <v>2771714</v>
      </c>
      <c r="D1709" s="35">
        <v>2.5</v>
      </c>
      <c r="E1709" s="35" t="s">
        <v>297</v>
      </c>
      <c r="F1709" s="31" t="str">
        <f t="shared" si="52"/>
        <v>C1.01.05</v>
      </c>
      <c r="G1709" s="34">
        <f t="shared" si="53"/>
        <v>2.5</v>
      </c>
    </row>
    <row r="1710" spans="2:7" ht="13.8" customHeight="1" x14ac:dyDescent="0.25">
      <c r="B1710" s="35" t="s">
        <v>5</v>
      </c>
      <c r="C1710" s="35">
        <v>2771830</v>
      </c>
      <c r="D1710" s="35">
        <v>2.5</v>
      </c>
      <c r="E1710" s="35" t="s">
        <v>299</v>
      </c>
      <c r="F1710" s="31" t="str">
        <f t="shared" si="52"/>
        <v>C1.01.01</v>
      </c>
      <c r="G1710" s="34">
        <f t="shared" si="53"/>
        <v>2.5</v>
      </c>
    </row>
    <row r="1711" spans="2:7" ht="13.8" customHeight="1" x14ac:dyDescent="0.25">
      <c r="B1711" s="35" t="s">
        <v>5</v>
      </c>
      <c r="C1711" s="35">
        <v>2770772</v>
      </c>
      <c r="D1711" s="35">
        <v>2.5</v>
      </c>
      <c r="E1711" s="35" t="s">
        <v>281</v>
      </c>
      <c r="F1711" s="31" t="str">
        <f t="shared" si="52"/>
        <v>C1.14.02</v>
      </c>
      <c r="G1711" s="34">
        <f t="shared" si="53"/>
        <v>2.5</v>
      </c>
    </row>
    <row r="1712" spans="2:7" ht="13.8" customHeight="1" x14ac:dyDescent="0.25">
      <c r="B1712" s="35" t="s">
        <v>6</v>
      </c>
      <c r="C1712" s="35">
        <v>2765519</v>
      </c>
      <c r="D1712" s="35">
        <v>2.5</v>
      </c>
      <c r="E1712" s="35" t="s">
        <v>205</v>
      </c>
      <c r="F1712" s="31" t="str">
        <f t="shared" si="52"/>
        <v>E2.01.04</v>
      </c>
      <c r="G1712" s="34">
        <f t="shared" si="53"/>
        <v>2.5</v>
      </c>
    </row>
    <row r="1713" spans="2:7" ht="13.8" customHeight="1" x14ac:dyDescent="0.25">
      <c r="B1713" s="35" t="s">
        <v>6</v>
      </c>
      <c r="C1713" s="35">
        <v>2765590</v>
      </c>
      <c r="D1713" s="35">
        <v>2.5</v>
      </c>
      <c r="E1713" s="35" t="s">
        <v>206</v>
      </c>
      <c r="F1713" s="31" t="str">
        <f t="shared" si="52"/>
        <v>E2.01.03</v>
      </c>
      <c r="G1713" s="34">
        <f t="shared" si="53"/>
        <v>2.5</v>
      </c>
    </row>
    <row r="1714" spans="2:7" ht="13.8" customHeight="1" x14ac:dyDescent="0.25">
      <c r="B1714" s="35" t="s">
        <v>6</v>
      </c>
      <c r="C1714" s="35">
        <v>2765659</v>
      </c>
      <c r="D1714" s="35">
        <v>2.5</v>
      </c>
      <c r="E1714" s="35" t="s">
        <v>207</v>
      </c>
      <c r="F1714" s="31" t="str">
        <f t="shared" si="52"/>
        <v>E2.01.01</v>
      </c>
      <c r="G1714" s="34">
        <f t="shared" si="53"/>
        <v>2.5</v>
      </c>
    </row>
    <row r="1715" spans="2:7" ht="13.8" customHeight="1" x14ac:dyDescent="0.25">
      <c r="B1715" s="35" t="s">
        <v>6</v>
      </c>
      <c r="C1715" s="35">
        <v>2765720</v>
      </c>
      <c r="D1715" s="35">
        <v>2.5</v>
      </c>
      <c r="E1715" s="35" t="s">
        <v>208</v>
      </c>
      <c r="F1715" s="31" t="str">
        <f t="shared" si="52"/>
        <v>E2.01.02</v>
      </c>
      <c r="G1715" s="34">
        <f t="shared" si="53"/>
        <v>2.5</v>
      </c>
    </row>
    <row r="1716" spans="2:7" ht="13.8" customHeight="1" x14ac:dyDescent="0.25">
      <c r="B1716" s="35" t="s">
        <v>6</v>
      </c>
      <c r="C1716" s="35">
        <v>2765790</v>
      </c>
      <c r="D1716" s="35">
        <v>2.5</v>
      </c>
      <c r="E1716" s="35" t="s">
        <v>209</v>
      </c>
      <c r="F1716" s="31" t="str">
        <f t="shared" si="52"/>
        <v>E2.15.02</v>
      </c>
      <c r="G1716" s="34">
        <f t="shared" si="53"/>
        <v>2.5</v>
      </c>
    </row>
    <row r="1717" spans="2:7" ht="13.8" customHeight="1" x14ac:dyDescent="0.25">
      <c r="B1717" s="35" t="s">
        <v>6</v>
      </c>
      <c r="C1717" s="35">
        <v>2765876</v>
      </c>
      <c r="D1717" s="35">
        <v>2.5</v>
      </c>
      <c r="E1717" s="35" t="s">
        <v>210</v>
      </c>
      <c r="F1717" s="31" t="str">
        <f t="shared" si="52"/>
        <v>E2.15.03</v>
      </c>
      <c r="G1717" s="34">
        <f t="shared" si="53"/>
        <v>2.5</v>
      </c>
    </row>
    <row r="1718" spans="2:7" ht="13.8" customHeight="1" x14ac:dyDescent="0.25">
      <c r="B1718" s="35" t="s">
        <v>6</v>
      </c>
      <c r="C1718" s="35">
        <v>2765950</v>
      </c>
      <c r="D1718" s="35">
        <v>2.5</v>
      </c>
      <c r="E1718" s="35" t="s">
        <v>211</v>
      </c>
      <c r="F1718" s="31" t="str">
        <f t="shared" si="52"/>
        <v>E2.15.01</v>
      </c>
      <c r="G1718" s="34">
        <f t="shared" si="53"/>
        <v>2.5</v>
      </c>
    </row>
    <row r="1719" spans="2:7" ht="13.8" customHeight="1" x14ac:dyDescent="0.25">
      <c r="B1719" s="35" t="s">
        <v>6</v>
      </c>
      <c r="C1719" s="35">
        <v>2766030</v>
      </c>
      <c r="D1719" s="35">
        <v>2.5</v>
      </c>
      <c r="E1719" s="35" t="s">
        <v>212</v>
      </c>
      <c r="F1719" s="31" t="str">
        <f t="shared" si="52"/>
        <v>E2.15.06</v>
      </c>
      <c r="G1719" s="34">
        <f t="shared" si="53"/>
        <v>2.5</v>
      </c>
    </row>
    <row r="1720" spans="2:7" ht="13.8" customHeight="1" x14ac:dyDescent="0.25">
      <c r="B1720" s="35" t="s">
        <v>6</v>
      </c>
      <c r="C1720" s="35">
        <v>2766109</v>
      </c>
      <c r="D1720" s="35">
        <v>2.5</v>
      </c>
      <c r="E1720" s="35" t="s">
        <v>213</v>
      </c>
      <c r="F1720" s="31" t="str">
        <f t="shared" si="52"/>
        <v>E2.15.05</v>
      </c>
      <c r="G1720" s="34">
        <f t="shared" si="53"/>
        <v>2.5</v>
      </c>
    </row>
    <row r="1721" spans="2:7" ht="13.8" customHeight="1" x14ac:dyDescent="0.25">
      <c r="B1721" s="35" t="s">
        <v>6</v>
      </c>
      <c r="C1721" s="35">
        <v>2766182</v>
      </c>
      <c r="D1721" s="35">
        <v>2.5</v>
      </c>
      <c r="E1721" s="35" t="s">
        <v>214</v>
      </c>
      <c r="F1721" s="31" t="str">
        <f t="shared" si="52"/>
        <v>E2.15.07</v>
      </c>
      <c r="G1721" s="34">
        <f t="shared" si="53"/>
        <v>2.5</v>
      </c>
    </row>
    <row r="1722" spans="2:7" ht="13.8" customHeight="1" x14ac:dyDescent="0.25">
      <c r="B1722" s="35" t="s">
        <v>6</v>
      </c>
      <c r="C1722" s="35">
        <v>2766246</v>
      </c>
      <c r="D1722" s="35">
        <v>2.5</v>
      </c>
      <c r="E1722" s="35" t="s">
        <v>215</v>
      </c>
      <c r="F1722" s="31" t="str">
        <f t="shared" si="52"/>
        <v>E2.15.04</v>
      </c>
      <c r="G1722" s="34">
        <f t="shared" si="53"/>
        <v>2.5</v>
      </c>
    </row>
    <row r="1723" spans="2:7" ht="13.8" customHeight="1" x14ac:dyDescent="0.25">
      <c r="B1723" s="35" t="s">
        <v>6</v>
      </c>
      <c r="C1723" s="35">
        <v>2766342</v>
      </c>
      <c r="D1723" s="35">
        <v>2.5</v>
      </c>
      <c r="E1723" s="35" t="s">
        <v>216</v>
      </c>
      <c r="F1723" s="31" t="str">
        <f t="shared" si="52"/>
        <v>E2.34.05</v>
      </c>
      <c r="G1723" s="34">
        <f t="shared" si="53"/>
        <v>2.5</v>
      </c>
    </row>
    <row r="1724" spans="2:7" ht="13.8" customHeight="1" x14ac:dyDescent="0.25">
      <c r="B1724" s="35" t="s">
        <v>6</v>
      </c>
      <c r="C1724" s="35">
        <v>2766421</v>
      </c>
      <c r="D1724" s="35">
        <v>2.5</v>
      </c>
      <c r="E1724" s="35" t="s">
        <v>217</v>
      </c>
      <c r="F1724" s="31" t="str">
        <f t="shared" si="52"/>
        <v>E2.34.06</v>
      </c>
      <c r="G1724" s="34">
        <f t="shared" si="53"/>
        <v>2.5</v>
      </c>
    </row>
    <row r="1725" spans="2:7" ht="13.8" customHeight="1" x14ac:dyDescent="0.25">
      <c r="B1725" s="35" t="s">
        <v>6</v>
      </c>
      <c r="C1725" s="35">
        <v>2766492</v>
      </c>
      <c r="D1725" s="35">
        <v>2.5</v>
      </c>
      <c r="E1725" s="35" t="s">
        <v>218</v>
      </c>
      <c r="F1725" s="31" t="str">
        <f t="shared" si="52"/>
        <v>E2.34.04</v>
      </c>
      <c r="G1725" s="34">
        <f t="shared" si="53"/>
        <v>2.5</v>
      </c>
    </row>
    <row r="1726" spans="2:7" ht="13.8" customHeight="1" x14ac:dyDescent="0.25">
      <c r="B1726" s="35" t="s">
        <v>6</v>
      </c>
      <c r="C1726" s="35">
        <v>2766563</v>
      </c>
      <c r="D1726" s="35">
        <v>2.5</v>
      </c>
      <c r="E1726" s="35" t="s">
        <v>219</v>
      </c>
      <c r="F1726" s="31" t="str">
        <f t="shared" si="52"/>
        <v>E2.34.01</v>
      </c>
      <c r="G1726" s="34">
        <f t="shared" si="53"/>
        <v>2.5</v>
      </c>
    </row>
    <row r="1727" spans="2:7" ht="13.8" customHeight="1" x14ac:dyDescent="0.25">
      <c r="B1727" s="35" t="s">
        <v>6</v>
      </c>
      <c r="C1727" s="35">
        <v>2766648</v>
      </c>
      <c r="D1727" s="35">
        <v>2.5</v>
      </c>
      <c r="E1727" s="35" t="s">
        <v>220</v>
      </c>
      <c r="F1727" s="31" t="str">
        <f t="shared" si="52"/>
        <v>E2.34.02</v>
      </c>
      <c r="G1727" s="34">
        <f t="shared" si="53"/>
        <v>2.5</v>
      </c>
    </row>
    <row r="1728" spans="2:7" ht="13.8" customHeight="1" x14ac:dyDescent="0.25">
      <c r="B1728" s="35" t="s">
        <v>6</v>
      </c>
      <c r="C1728" s="35">
        <v>2766731</v>
      </c>
      <c r="D1728" s="35">
        <v>2.5</v>
      </c>
      <c r="E1728" s="35" t="s">
        <v>221</v>
      </c>
      <c r="F1728" s="31" t="str">
        <f t="shared" si="52"/>
        <v>E2.34.03</v>
      </c>
      <c r="G1728" s="34">
        <f t="shared" si="53"/>
        <v>2.5</v>
      </c>
    </row>
    <row r="1729" spans="2:7" ht="13.8" customHeight="1" x14ac:dyDescent="0.25">
      <c r="B1729" s="35" t="s">
        <v>6</v>
      </c>
      <c r="C1729" s="35">
        <v>2767022</v>
      </c>
      <c r="D1729" s="35">
        <v>2.7</v>
      </c>
      <c r="E1729" s="35" t="s">
        <v>226</v>
      </c>
      <c r="F1729" s="31" t="str">
        <f t="shared" si="52"/>
        <v>D1.08.04</v>
      </c>
      <c r="G1729" s="34">
        <f t="shared" si="53"/>
        <v>2.7</v>
      </c>
    </row>
    <row r="1730" spans="2:7" ht="13.8" customHeight="1" x14ac:dyDescent="0.25">
      <c r="B1730" s="35" t="s">
        <v>6</v>
      </c>
      <c r="C1730" s="35">
        <v>2769124</v>
      </c>
      <c r="D1730" s="35">
        <v>2.5</v>
      </c>
      <c r="E1730" s="35" t="s">
        <v>258</v>
      </c>
      <c r="F1730" s="31" t="str">
        <f t="shared" si="52"/>
        <v>A6.09.06</v>
      </c>
      <c r="G1730" s="34">
        <f t="shared" si="53"/>
        <v>2.5</v>
      </c>
    </row>
    <row r="1731" spans="2:7" ht="13.8" customHeight="1" x14ac:dyDescent="0.25">
      <c r="B1731" s="35" t="s">
        <v>6</v>
      </c>
      <c r="C1731" s="35">
        <v>2769317</v>
      </c>
      <c r="D1731" s="35">
        <v>2.5</v>
      </c>
      <c r="E1731" s="35" t="s">
        <v>260</v>
      </c>
      <c r="F1731" s="31" t="str">
        <f t="shared" si="52"/>
        <v>A6.09.02</v>
      </c>
      <c r="G1731" s="34">
        <f t="shared" si="53"/>
        <v>2.5</v>
      </c>
    </row>
    <row r="1732" spans="2:7" ht="13.8" customHeight="1" x14ac:dyDescent="0.25">
      <c r="B1732" s="35" t="s">
        <v>6</v>
      </c>
      <c r="C1732" s="35">
        <v>2769952</v>
      </c>
      <c r="D1732" s="35">
        <v>2.7</v>
      </c>
      <c r="E1732" s="35" t="s">
        <v>269</v>
      </c>
      <c r="F1732" s="31" t="str">
        <f t="shared" si="52"/>
        <v>D1.02.04</v>
      </c>
      <c r="G1732" s="34">
        <f t="shared" si="53"/>
        <v>2.7</v>
      </c>
    </row>
    <row r="1733" spans="2:7" ht="13.8" customHeight="1" x14ac:dyDescent="0.25">
      <c r="B1733" s="35" t="s">
        <v>6</v>
      </c>
      <c r="C1733" s="35">
        <v>2770111</v>
      </c>
      <c r="D1733" s="35">
        <v>2.5</v>
      </c>
      <c r="E1733" s="35" t="s">
        <v>272</v>
      </c>
      <c r="F1733" s="31" t="str">
        <f t="shared" si="52"/>
        <v>A6.01.01</v>
      </c>
      <c r="G1733" s="34">
        <f t="shared" si="53"/>
        <v>2.5</v>
      </c>
    </row>
    <row r="1734" spans="2:7" ht="13.8" customHeight="1" x14ac:dyDescent="0.25">
      <c r="B1734" s="35" t="s">
        <v>6</v>
      </c>
      <c r="C1734" s="35">
        <v>2770166</v>
      </c>
      <c r="D1734" s="35">
        <v>2.5</v>
      </c>
      <c r="E1734" s="35" t="s">
        <v>273</v>
      </c>
      <c r="F1734" s="31" t="str">
        <f t="shared" si="52"/>
        <v>A6.01.02</v>
      </c>
      <c r="G1734" s="34">
        <f t="shared" si="53"/>
        <v>2.5</v>
      </c>
    </row>
    <row r="1735" spans="2:7" ht="13.8" customHeight="1" x14ac:dyDescent="0.25">
      <c r="B1735" s="35" t="s">
        <v>6</v>
      </c>
      <c r="C1735" s="35">
        <v>2770240</v>
      </c>
      <c r="D1735" s="35">
        <v>2.5</v>
      </c>
      <c r="E1735" s="35" t="s">
        <v>274</v>
      </c>
      <c r="F1735" s="31" t="str">
        <f t="shared" ref="F1735:F1798" si="54">LEFT(E1735,8)</f>
        <v>A3.01.02</v>
      </c>
      <c r="G1735" s="34">
        <f t="shared" ref="G1735:G1798" si="55">D1735</f>
        <v>2.5</v>
      </c>
    </row>
    <row r="1736" spans="2:7" ht="13.8" customHeight="1" x14ac:dyDescent="0.25">
      <c r="B1736" s="35" t="s">
        <v>6</v>
      </c>
      <c r="C1736" s="35">
        <v>2770303</v>
      </c>
      <c r="D1736" s="35">
        <v>2.5</v>
      </c>
      <c r="E1736" s="35" t="s">
        <v>275</v>
      </c>
      <c r="F1736" s="31" t="str">
        <f t="shared" si="54"/>
        <v>A3.01.01</v>
      </c>
      <c r="G1736" s="34">
        <f t="shared" si="55"/>
        <v>2.5</v>
      </c>
    </row>
    <row r="1737" spans="2:7" ht="13.8" customHeight="1" x14ac:dyDescent="0.25">
      <c r="B1737" s="35" t="s">
        <v>47</v>
      </c>
      <c r="C1737" s="35">
        <v>2765522</v>
      </c>
      <c r="D1737" s="35">
        <v>2.5</v>
      </c>
      <c r="E1737" s="35" t="s">
        <v>205</v>
      </c>
      <c r="F1737" s="31" t="str">
        <f t="shared" si="54"/>
        <v>E2.01.04</v>
      </c>
      <c r="G1737" s="34">
        <f t="shared" si="55"/>
        <v>2.5</v>
      </c>
    </row>
    <row r="1738" spans="2:7" ht="13.8" customHeight="1" x14ac:dyDescent="0.25">
      <c r="B1738" s="35" t="s">
        <v>47</v>
      </c>
      <c r="C1738" s="35">
        <v>2765593</v>
      </c>
      <c r="D1738" s="35">
        <v>2.5</v>
      </c>
      <c r="E1738" s="35" t="s">
        <v>206</v>
      </c>
      <c r="F1738" s="31" t="str">
        <f t="shared" si="54"/>
        <v>E2.01.03</v>
      </c>
      <c r="G1738" s="34">
        <f t="shared" si="55"/>
        <v>2.5</v>
      </c>
    </row>
    <row r="1739" spans="2:7" ht="13.8" customHeight="1" x14ac:dyDescent="0.25">
      <c r="B1739" s="35" t="s">
        <v>47</v>
      </c>
      <c r="C1739" s="35">
        <v>2765662</v>
      </c>
      <c r="D1739" s="35">
        <v>2.5</v>
      </c>
      <c r="E1739" s="35" t="s">
        <v>207</v>
      </c>
      <c r="F1739" s="31" t="str">
        <f t="shared" si="54"/>
        <v>E2.01.01</v>
      </c>
      <c r="G1739" s="34">
        <f t="shared" si="55"/>
        <v>2.5</v>
      </c>
    </row>
    <row r="1740" spans="2:7" ht="13.8" customHeight="1" x14ac:dyDescent="0.25">
      <c r="B1740" s="35" t="s">
        <v>47</v>
      </c>
      <c r="C1740" s="35">
        <v>2765723</v>
      </c>
      <c r="D1740" s="35">
        <v>2.5</v>
      </c>
      <c r="E1740" s="35" t="s">
        <v>208</v>
      </c>
      <c r="F1740" s="31" t="str">
        <f t="shared" si="54"/>
        <v>E2.01.02</v>
      </c>
      <c r="G1740" s="34">
        <f t="shared" si="55"/>
        <v>2.5</v>
      </c>
    </row>
    <row r="1741" spans="2:7" ht="13.8" customHeight="1" x14ac:dyDescent="0.25">
      <c r="B1741" s="35" t="s">
        <v>47</v>
      </c>
      <c r="C1741" s="35">
        <v>2765726</v>
      </c>
      <c r="D1741" s="35">
        <v>2.5</v>
      </c>
      <c r="E1741" s="35" t="s">
        <v>208</v>
      </c>
      <c r="F1741" s="31" t="str">
        <f t="shared" si="54"/>
        <v>E2.01.02</v>
      </c>
      <c r="G1741" s="34">
        <f t="shared" si="55"/>
        <v>2.5</v>
      </c>
    </row>
    <row r="1742" spans="2:7" ht="13.8" customHeight="1" x14ac:dyDescent="0.25">
      <c r="B1742" s="35" t="s">
        <v>47</v>
      </c>
      <c r="C1742" s="35">
        <v>2765793</v>
      </c>
      <c r="D1742" s="35">
        <v>2.5</v>
      </c>
      <c r="E1742" s="35" t="s">
        <v>209</v>
      </c>
      <c r="F1742" s="31" t="str">
        <f t="shared" si="54"/>
        <v>E2.15.02</v>
      </c>
      <c r="G1742" s="34">
        <f t="shared" si="55"/>
        <v>2.5</v>
      </c>
    </row>
    <row r="1743" spans="2:7" ht="13.8" customHeight="1" x14ac:dyDescent="0.25">
      <c r="B1743" s="35" t="s">
        <v>47</v>
      </c>
      <c r="C1743" s="35">
        <v>2765879</v>
      </c>
      <c r="D1743" s="35">
        <v>2.5</v>
      </c>
      <c r="E1743" s="35" t="s">
        <v>210</v>
      </c>
      <c r="F1743" s="31" t="str">
        <f t="shared" si="54"/>
        <v>E2.15.03</v>
      </c>
      <c r="G1743" s="34">
        <f t="shared" si="55"/>
        <v>2.5</v>
      </c>
    </row>
    <row r="1744" spans="2:7" ht="13.8" customHeight="1" x14ac:dyDescent="0.25">
      <c r="B1744" s="35" t="s">
        <v>47</v>
      </c>
      <c r="C1744" s="35">
        <v>2765882</v>
      </c>
      <c r="D1744" s="35">
        <v>2.5</v>
      </c>
      <c r="E1744" s="35" t="s">
        <v>210</v>
      </c>
      <c r="F1744" s="31" t="str">
        <f t="shared" si="54"/>
        <v>E2.15.03</v>
      </c>
      <c r="G1744" s="34">
        <f t="shared" si="55"/>
        <v>2.5</v>
      </c>
    </row>
    <row r="1745" spans="2:7" ht="13.8" customHeight="1" x14ac:dyDescent="0.25">
      <c r="B1745" s="35" t="s">
        <v>47</v>
      </c>
      <c r="C1745" s="35">
        <v>2765953</v>
      </c>
      <c r="D1745" s="35">
        <v>2.5</v>
      </c>
      <c r="E1745" s="35" t="s">
        <v>211</v>
      </c>
      <c r="F1745" s="31" t="str">
        <f t="shared" si="54"/>
        <v>E2.15.01</v>
      </c>
      <c r="G1745" s="34">
        <f t="shared" si="55"/>
        <v>2.5</v>
      </c>
    </row>
    <row r="1746" spans="2:7" ht="13.8" customHeight="1" x14ac:dyDescent="0.25">
      <c r="B1746" s="35" t="s">
        <v>47</v>
      </c>
      <c r="C1746" s="35">
        <v>2766036</v>
      </c>
      <c r="D1746" s="35">
        <v>2.5</v>
      </c>
      <c r="E1746" s="35" t="s">
        <v>212</v>
      </c>
      <c r="F1746" s="31" t="str">
        <f t="shared" si="54"/>
        <v>E2.15.06</v>
      </c>
      <c r="G1746" s="34">
        <f t="shared" si="55"/>
        <v>2.5</v>
      </c>
    </row>
    <row r="1747" spans="2:7" ht="13.8" customHeight="1" x14ac:dyDescent="0.25">
      <c r="B1747" s="35" t="s">
        <v>47</v>
      </c>
      <c r="C1747" s="35">
        <v>2766112</v>
      </c>
      <c r="D1747" s="35">
        <v>2.5</v>
      </c>
      <c r="E1747" s="35" t="s">
        <v>213</v>
      </c>
      <c r="F1747" s="31" t="str">
        <f t="shared" si="54"/>
        <v>E2.15.05</v>
      </c>
      <c r="G1747" s="34">
        <f t="shared" si="55"/>
        <v>2.5</v>
      </c>
    </row>
    <row r="1748" spans="2:7" ht="13.8" customHeight="1" x14ac:dyDescent="0.25">
      <c r="B1748" s="35" t="s">
        <v>47</v>
      </c>
      <c r="C1748" s="35">
        <v>2766185</v>
      </c>
      <c r="D1748" s="35">
        <v>2.5</v>
      </c>
      <c r="E1748" s="35" t="s">
        <v>214</v>
      </c>
      <c r="F1748" s="31" t="str">
        <f t="shared" si="54"/>
        <v>E2.15.07</v>
      </c>
      <c r="G1748" s="34">
        <f t="shared" si="55"/>
        <v>2.5</v>
      </c>
    </row>
    <row r="1749" spans="2:7" ht="13.8" customHeight="1" x14ac:dyDescent="0.25">
      <c r="B1749" s="35" t="s">
        <v>47</v>
      </c>
      <c r="C1749" s="35">
        <v>2766188</v>
      </c>
      <c r="D1749" s="35">
        <v>2.5</v>
      </c>
      <c r="E1749" s="35" t="s">
        <v>214</v>
      </c>
      <c r="F1749" s="31" t="str">
        <f t="shared" si="54"/>
        <v>E2.15.07</v>
      </c>
      <c r="G1749" s="34">
        <f t="shared" si="55"/>
        <v>2.5</v>
      </c>
    </row>
    <row r="1750" spans="2:7" ht="13.8" customHeight="1" x14ac:dyDescent="0.25">
      <c r="B1750" s="35" t="s">
        <v>47</v>
      </c>
      <c r="C1750" s="35">
        <v>2766249</v>
      </c>
      <c r="D1750" s="35">
        <v>2.5</v>
      </c>
      <c r="E1750" s="35" t="s">
        <v>215</v>
      </c>
      <c r="F1750" s="31" t="str">
        <f t="shared" si="54"/>
        <v>E2.15.04</v>
      </c>
      <c r="G1750" s="34">
        <f t="shared" si="55"/>
        <v>2.5</v>
      </c>
    </row>
    <row r="1751" spans="2:7" ht="13.8" customHeight="1" x14ac:dyDescent="0.25">
      <c r="B1751" s="35" t="s">
        <v>47</v>
      </c>
      <c r="C1751" s="35">
        <v>2766252</v>
      </c>
      <c r="D1751" s="35">
        <v>2.5</v>
      </c>
      <c r="E1751" s="35" t="s">
        <v>215</v>
      </c>
      <c r="F1751" s="31" t="str">
        <f t="shared" si="54"/>
        <v>E2.15.04</v>
      </c>
      <c r="G1751" s="34">
        <f t="shared" si="55"/>
        <v>2.5</v>
      </c>
    </row>
    <row r="1752" spans="2:7" ht="13.8" customHeight="1" x14ac:dyDescent="0.25">
      <c r="B1752" s="35" t="s">
        <v>47</v>
      </c>
      <c r="C1752" s="35">
        <v>2766346</v>
      </c>
      <c r="D1752" s="35">
        <v>2.5</v>
      </c>
      <c r="E1752" s="35" t="s">
        <v>216</v>
      </c>
      <c r="F1752" s="31" t="str">
        <f t="shared" si="54"/>
        <v>E2.34.05</v>
      </c>
      <c r="G1752" s="34">
        <f t="shared" si="55"/>
        <v>2.5</v>
      </c>
    </row>
    <row r="1753" spans="2:7" ht="13.8" customHeight="1" x14ac:dyDescent="0.25">
      <c r="B1753" s="35" t="s">
        <v>47</v>
      </c>
      <c r="C1753" s="35">
        <v>2766423</v>
      </c>
      <c r="D1753" s="35">
        <v>2.5</v>
      </c>
      <c r="E1753" s="35" t="s">
        <v>217</v>
      </c>
      <c r="F1753" s="31" t="str">
        <f t="shared" si="54"/>
        <v>E2.34.06</v>
      </c>
      <c r="G1753" s="34">
        <f t="shared" si="55"/>
        <v>2.5</v>
      </c>
    </row>
    <row r="1754" spans="2:7" ht="13.8" customHeight="1" x14ac:dyDescent="0.25">
      <c r="B1754" s="35" t="s">
        <v>47</v>
      </c>
      <c r="C1754" s="35">
        <v>2766425</v>
      </c>
      <c r="D1754" s="35">
        <v>2.5</v>
      </c>
      <c r="E1754" s="35" t="s">
        <v>217</v>
      </c>
      <c r="F1754" s="31" t="str">
        <f t="shared" si="54"/>
        <v>E2.34.06</v>
      </c>
      <c r="G1754" s="34">
        <f t="shared" si="55"/>
        <v>2.5</v>
      </c>
    </row>
    <row r="1755" spans="2:7" ht="13.8" customHeight="1" x14ac:dyDescent="0.25">
      <c r="B1755" s="35" t="s">
        <v>47</v>
      </c>
      <c r="C1755" s="35">
        <v>2766494</v>
      </c>
      <c r="D1755" s="35">
        <v>2.5</v>
      </c>
      <c r="E1755" s="35" t="s">
        <v>218</v>
      </c>
      <c r="F1755" s="31" t="str">
        <f t="shared" si="54"/>
        <v>E2.34.04</v>
      </c>
      <c r="G1755" s="34">
        <f t="shared" si="55"/>
        <v>2.5</v>
      </c>
    </row>
    <row r="1756" spans="2:7" ht="13.8" customHeight="1" x14ac:dyDescent="0.25">
      <c r="B1756" s="35" t="s">
        <v>47</v>
      </c>
      <c r="C1756" s="35">
        <v>2766565</v>
      </c>
      <c r="D1756" s="35">
        <v>2.5</v>
      </c>
      <c r="E1756" s="35" t="s">
        <v>219</v>
      </c>
      <c r="F1756" s="31" t="str">
        <f t="shared" si="54"/>
        <v>E2.34.01</v>
      </c>
      <c r="G1756" s="34">
        <f t="shared" si="55"/>
        <v>2.5</v>
      </c>
    </row>
    <row r="1757" spans="2:7" ht="13.8" customHeight="1" x14ac:dyDescent="0.25">
      <c r="B1757" s="35" t="s">
        <v>47</v>
      </c>
      <c r="C1757" s="35">
        <v>2766653</v>
      </c>
      <c r="D1757" s="35">
        <v>2.5</v>
      </c>
      <c r="E1757" s="35" t="s">
        <v>220</v>
      </c>
      <c r="F1757" s="31" t="str">
        <f t="shared" si="54"/>
        <v>E2.34.02</v>
      </c>
      <c r="G1757" s="34">
        <f t="shared" si="55"/>
        <v>2.5</v>
      </c>
    </row>
    <row r="1758" spans="2:7" ht="13.8" customHeight="1" x14ac:dyDescent="0.25">
      <c r="B1758" s="35" t="s">
        <v>47</v>
      </c>
      <c r="C1758" s="35">
        <v>2766733</v>
      </c>
      <c r="D1758" s="35">
        <v>2.5</v>
      </c>
      <c r="E1758" s="35" t="s">
        <v>221</v>
      </c>
      <c r="F1758" s="31" t="str">
        <f t="shared" si="54"/>
        <v>E2.34.03</v>
      </c>
      <c r="G1758" s="34">
        <f t="shared" si="55"/>
        <v>2.5</v>
      </c>
    </row>
    <row r="1759" spans="2:7" ht="13.8" customHeight="1" x14ac:dyDescent="0.25">
      <c r="B1759" s="35" t="s">
        <v>47</v>
      </c>
      <c r="C1759" s="35">
        <v>2766735</v>
      </c>
      <c r="D1759" s="35">
        <v>2.5</v>
      </c>
      <c r="E1759" s="35" t="s">
        <v>221</v>
      </c>
      <c r="F1759" s="31" t="str">
        <f t="shared" si="54"/>
        <v>E2.34.03</v>
      </c>
      <c r="G1759" s="34">
        <f t="shared" si="55"/>
        <v>2.5</v>
      </c>
    </row>
    <row r="1760" spans="2:7" ht="13.8" customHeight="1" x14ac:dyDescent="0.25">
      <c r="B1760" s="35" t="s">
        <v>47</v>
      </c>
      <c r="C1760" s="35">
        <v>2766807</v>
      </c>
      <c r="D1760" s="35">
        <v>2.7</v>
      </c>
      <c r="E1760" s="35" t="s">
        <v>222</v>
      </c>
      <c r="F1760" s="31" t="str">
        <f t="shared" si="54"/>
        <v>D1.09.02</v>
      </c>
      <c r="G1760" s="34">
        <f t="shared" si="55"/>
        <v>2.7</v>
      </c>
    </row>
    <row r="1761" spans="2:7" ht="13.8" customHeight="1" x14ac:dyDescent="0.25">
      <c r="B1761" s="35" t="s">
        <v>47</v>
      </c>
      <c r="C1761" s="35">
        <v>2766868</v>
      </c>
      <c r="D1761" s="35">
        <v>2.7</v>
      </c>
      <c r="E1761" s="35" t="s">
        <v>223</v>
      </c>
      <c r="F1761" s="31" t="str">
        <f t="shared" si="54"/>
        <v>D1.09.03</v>
      </c>
      <c r="G1761" s="34">
        <f t="shared" si="55"/>
        <v>2.7</v>
      </c>
    </row>
    <row r="1762" spans="2:7" ht="13.8" customHeight="1" x14ac:dyDescent="0.25">
      <c r="B1762" s="35" t="s">
        <v>47</v>
      </c>
      <c r="C1762" s="35">
        <v>2766931</v>
      </c>
      <c r="D1762" s="35">
        <v>2.7</v>
      </c>
      <c r="E1762" s="35" t="s">
        <v>224</v>
      </c>
      <c r="F1762" s="31" t="str">
        <f t="shared" si="54"/>
        <v>D1.12.01</v>
      </c>
      <c r="G1762" s="34">
        <f t="shared" si="55"/>
        <v>2.7</v>
      </c>
    </row>
    <row r="1763" spans="2:7" ht="13.8" customHeight="1" x14ac:dyDescent="0.25">
      <c r="B1763" s="35" t="s">
        <v>47</v>
      </c>
      <c r="C1763" s="35">
        <v>2766933</v>
      </c>
      <c r="D1763" s="35">
        <v>2.7</v>
      </c>
      <c r="E1763" s="35" t="s">
        <v>224</v>
      </c>
      <c r="F1763" s="31" t="str">
        <f t="shared" si="54"/>
        <v>D1.12.01</v>
      </c>
      <c r="G1763" s="34">
        <f t="shared" si="55"/>
        <v>2.7</v>
      </c>
    </row>
    <row r="1764" spans="2:7" ht="13.8" customHeight="1" x14ac:dyDescent="0.25">
      <c r="B1764" s="35" t="s">
        <v>47</v>
      </c>
      <c r="C1764" s="35">
        <v>2766980</v>
      </c>
      <c r="D1764" s="35">
        <v>2.7</v>
      </c>
      <c r="E1764" s="35" t="s">
        <v>225</v>
      </c>
      <c r="F1764" s="31" t="str">
        <f t="shared" si="54"/>
        <v>D1.12.02</v>
      </c>
      <c r="G1764" s="34">
        <f t="shared" si="55"/>
        <v>2.7</v>
      </c>
    </row>
    <row r="1765" spans="2:7" ht="13.8" customHeight="1" x14ac:dyDescent="0.25">
      <c r="B1765" s="35" t="s">
        <v>47</v>
      </c>
      <c r="C1765" s="35">
        <v>2766982</v>
      </c>
      <c r="D1765" s="35">
        <v>2.7</v>
      </c>
      <c r="E1765" s="35" t="s">
        <v>225</v>
      </c>
      <c r="F1765" s="31" t="str">
        <f t="shared" si="54"/>
        <v>D1.12.02</v>
      </c>
      <c r="G1765" s="34">
        <f t="shared" si="55"/>
        <v>2.7</v>
      </c>
    </row>
    <row r="1766" spans="2:7" ht="13.8" customHeight="1" x14ac:dyDescent="0.25">
      <c r="B1766" s="35" t="s">
        <v>47</v>
      </c>
      <c r="C1766" s="35">
        <v>2767025</v>
      </c>
      <c r="D1766" s="35">
        <v>2.7</v>
      </c>
      <c r="E1766" s="35" t="s">
        <v>226</v>
      </c>
      <c r="F1766" s="31" t="str">
        <f t="shared" si="54"/>
        <v>D1.08.04</v>
      </c>
      <c r="G1766" s="34">
        <f t="shared" si="55"/>
        <v>2.7</v>
      </c>
    </row>
    <row r="1767" spans="2:7" ht="13.8" customHeight="1" x14ac:dyDescent="0.25">
      <c r="B1767" s="35" t="s">
        <v>47</v>
      </c>
      <c r="C1767" s="35">
        <v>2767028</v>
      </c>
      <c r="D1767" s="35">
        <v>2.7</v>
      </c>
      <c r="E1767" s="35" t="s">
        <v>226</v>
      </c>
      <c r="F1767" s="31" t="str">
        <f t="shared" si="54"/>
        <v>D1.08.04</v>
      </c>
      <c r="G1767" s="34">
        <f t="shared" si="55"/>
        <v>2.7</v>
      </c>
    </row>
    <row r="1768" spans="2:7" ht="13.8" customHeight="1" x14ac:dyDescent="0.25">
      <c r="B1768" s="35" t="s">
        <v>47</v>
      </c>
      <c r="C1768" s="35">
        <v>2767080</v>
      </c>
      <c r="D1768" s="35">
        <v>2.7</v>
      </c>
      <c r="E1768" s="35" t="s">
        <v>227</v>
      </c>
      <c r="F1768" s="31" t="str">
        <f t="shared" si="54"/>
        <v>D1.08.05</v>
      </c>
      <c r="G1768" s="34">
        <f t="shared" si="55"/>
        <v>2.7</v>
      </c>
    </row>
    <row r="1769" spans="2:7" ht="13.8" customHeight="1" x14ac:dyDescent="0.25">
      <c r="B1769" s="35" t="s">
        <v>47</v>
      </c>
      <c r="C1769" s="35">
        <v>2767083</v>
      </c>
      <c r="D1769" s="35">
        <v>2.7</v>
      </c>
      <c r="E1769" s="35" t="s">
        <v>227</v>
      </c>
      <c r="F1769" s="31" t="str">
        <f t="shared" si="54"/>
        <v>D1.08.05</v>
      </c>
      <c r="G1769" s="34">
        <f t="shared" si="55"/>
        <v>2.7</v>
      </c>
    </row>
    <row r="1770" spans="2:7" ht="13.8" customHeight="1" x14ac:dyDescent="0.25">
      <c r="B1770" s="35" t="s">
        <v>47</v>
      </c>
      <c r="C1770" s="35">
        <v>2767151</v>
      </c>
      <c r="D1770" s="35">
        <v>2.7</v>
      </c>
      <c r="E1770" s="35" t="s">
        <v>228</v>
      </c>
      <c r="F1770" s="31" t="str">
        <f t="shared" si="54"/>
        <v>D1.08.02</v>
      </c>
      <c r="G1770" s="34">
        <f t="shared" si="55"/>
        <v>2.7</v>
      </c>
    </row>
    <row r="1771" spans="2:7" ht="13.8" customHeight="1" x14ac:dyDescent="0.25">
      <c r="B1771" s="35" t="s">
        <v>47</v>
      </c>
      <c r="C1771" s="35">
        <v>2767199</v>
      </c>
      <c r="D1771" s="35">
        <v>2.7</v>
      </c>
      <c r="E1771" s="35" t="s">
        <v>229</v>
      </c>
      <c r="F1771" s="31" t="str">
        <f t="shared" si="54"/>
        <v>D1.08.01</v>
      </c>
      <c r="G1771" s="34">
        <f t="shared" si="55"/>
        <v>2.7</v>
      </c>
    </row>
    <row r="1772" spans="2:7" ht="13.8" customHeight="1" x14ac:dyDescent="0.25">
      <c r="B1772" s="35" t="s">
        <v>47</v>
      </c>
      <c r="C1772" s="35">
        <v>2767202</v>
      </c>
      <c r="D1772" s="35">
        <v>2.7</v>
      </c>
      <c r="E1772" s="35" t="s">
        <v>229</v>
      </c>
      <c r="F1772" s="31" t="str">
        <f t="shared" si="54"/>
        <v>D1.08.01</v>
      </c>
      <c r="G1772" s="34">
        <f t="shared" si="55"/>
        <v>2.7</v>
      </c>
    </row>
    <row r="1773" spans="2:7" ht="13.8" customHeight="1" x14ac:dyDescent="0.25">
      <c r="B1773" s="35" t="s">
        <v>47</v>
      </c>
      <c r="C1773" s="35">
        <v>2767257</v>
      </c>
      <c r="D1773" s="35">
        <v>2.7</v>
      </c>
      <c r="E1773" s="35" t="s">
        <v>230</v>
      </c>
      <c r="F1773" s="31" t="str">
        <f t="shared" si="54"/>
        <v>D1.08.03</v>
      </c>
      <c r="G1773" s="34">
        <f t="shared" si="55"/>
        <v>2.7</v>
      </c>
    </row>
    <row r="1774" spans="2:7" ht="13.8" customHeight="1" x14ac:dyDescent="0.25">
      <c r="B1774" s="35" t="s">
        <v>47</v>
      </c>
      <c r="C1774" s="35">
        <v>2767332</v>
      </c>
      <c r="D1774" s="35">
        <v>2.7</v>
      </c>
      <c r="E1774" s="35" t="s">
        <v>231</v>
      </c>
      <c r="F1774" s="31" t="str">
        <f t="shared" si="54"/>
        <v>B1.11.01</v>
      </c>
      <c r="G1774" s="34">
        <f t="shared" si="55"/>
        <v>2.7</v>
      </c>
    </row>
    <row r="1775" spans="2:7" ht="13.8" customHeight="1" x14ac:dyDescent="0.25">
      <c r="B1775" s="35" t="s">
        <v>47</v>
      </c>
      <c r="C1775" s="35">
        <v>2767366</v>
      </c>
      <c r="D1775" s="35">
        <v>2.7</v>
      </c>
      <c r="E1775" s="35" t="s">
        <v>232</v>
      </c>
      <c r="F1775" s="31" t="str">
        <f t="shared" si="54"/>
        <v>B1.11.02</v>
      </c>
      <c r="G1775" s="34">
        <f t="shared" si="55"/>
        <v>2.7</v>
      </c>
    </row>
    <row r="1776" spans="2:7" ht="13.8" customHeight="1" x14ac:dyDescent="0.25">
      <c r="B1776" s="35" t="s">
        <v>47</v>
      </c>
      <c r="C1776" s="35">
        <v>2767368</v>
      </c>
      <c r="D1776" s="35">
        <v>2.7</v>
      </c>
      <c r="E1776" s="35" t="s">
        <v>232</v>
      </c>
      <c r="F1776" s="31" t="str">
        <f t="shared" si="54"/>
        <v>B1.11.02</v>
      </c>
      <c r="G1776" s="34">
        <f t="shared" si="55"/>
        <v>2.7</v>
      </c>
    </row>
    <row r="1777" spans="2:7" ht="13.8" customHeight="1" x14ac:dyDescent="0.25">
      <c r="B1777" s="35" t="s">
        <v>47</v>
      </c>
      <c r="C1777" s="35">
        <v>2767401</v>
      </c>
      <c r="D1777" s="35">
        <v>2.7</v>
      </c>
      <c r="E1777" s="35" t="s">
        <v>233</v>
      </c>
      <c r="F1777" s="31" t="str">
        <f t="shared" si="54"/>
        <v>B1.07.01</v>
      </c>
      <c r="G1777" s="34">
        <f t="shared" si="55"/>
        <v>2.7</v>
      </c>
    </row>
    <row r="1778" spans="2:7" ht="13.8" customHeight="1" x14ac:dyDescent="0.25">
      <c r="B1778" s="35" t="s">
        <v>47</v>
      </c>
      <c r="C1778" s="35">
        <v>2767404</v>
      </c>
      <c r="D1778" s="35">
        <v>2.7</v>
      </c>
      <c r="E1778" s="35" t="s">
        <v>233</v>
      </c>
      <c r="F1778" s="31" t="str">
        <f t="shared" si="54"/>
        <v>B1.07.01</v>
      </c>
      <c r="G1778" s="34">
        <f t="shared" si="55"/>
        <v>2.7</v>
      </c>
    </row>
    <row r="1779" spans="2:7" ht="13.8" customHeight="1" x14ac:dyDescent="0.25">
      <c r="B1779" s="35" t="s">
        <v>47</v>
      </c>
      <c r="C1779" s="35">
        <v>2767464</v>
      </c>
      <c r="D1779" s="35">
        <v>2.7</v>
      </c>
      <c r="E1779" s="35" t="s">
        <v>234</v>
      </c>
      <c r="F1779" s="31" t="str">
        <f t="shared" si="54"/>
        <v>B1.07.02</v>
      </c>
      <c r="G1779" s="34">
        <f t="shared" si="55"/>
        <v>2.7</v>
      </c>
    </row>
    <row r="1780" spans="2:7" ht="13.8" customHeight="1" x14ac:dyDescent="0.25">
      <c r="B1780" s="35" t="s">
        <v>47</v>
      </c>
      <c r="C1780" s="35">
        <v>2767467</v>
      </c>
      <c r="D1780" s="35">
        <v>2.7</v>
      </c>
      <c r="E1780" s="35" t="s">
        <v>234</v>
      </c>
      <c r="F1780" s="31" t="str">
        <f t="shared" si="54"/>
        <v>B1.07.02</v>
      </c>
      <c r="G1780" s="34">
        <f t="shared" si="55"/>
        <v>2.7</v>
      </c>
    </row>
    <row r="1781" spans="2:7" ht="13.8" customHeight="1" x14ac:dyDescent="0.25">
      <c r="B1781" s="35" t="s">
        <v>47</v>
      </c>
      <c r="C1781" s="35">
        <v>2767527</v>
      </c>
      <c r="D1781" s="35">
        <v>2.7</v>
      </c>
      <c r="E1781" s="35" t="s">
        <v>235</v>
      </c>
      <c r="F1781" s="31" t="str">
        <f t="shared" si="54"/>
        <v>B1.07.03</v>
      </c>
      <c r="G1781" s="34">
        <f t="shared" si="55"/>
        <v>2.7</v>
      </c>
    </row>
    <row r="1782" spans="2:7" ht="13.8" customHeight="1" x14ac:dyDescent="0.25">
      <c r="B1782" s="35" t="s">
        <v>47</v>
      </c>
      <c r="C1782" s="35">
        <v>2767530</v>
      </c>
      <c r="D1782" s="35">
        <v>2.7</v>
      </c>
      <c r="E1782" s="35" t="s">
        <v>235</v>
      </c>
      <c r="F1782" s="31" t="str">
        <f t="shared" si="54"/>
        <v>B1.07.03</v>
      </c>
      <c r="G1782" s="34">
        <f t="shared" si="55"/>
        <v>2.7</v>
      </c>
    </row>
    <row r="1783" spans="2:7" ht="13.8" customHeight="1" x14ac:dyDescent="0.25">
      <c r="B1783" s="35" t="s">
        <v>47</v>
      </c>
      <c r="C1783" s="35">
        <v>2767564</v>
      </c>
      <c r="D1783" s="35">
        <v>2.7</v>
      </c>
      <c r="E1783" s="35" t="s">
        <v>236</v>
      </c>
      <c r="F1783" s="31" t="str">
        <f t="shared" si="54"/>
        <v>B1.07.04</v>
      </c>
      <c r="G1783" s="34">
        <f t="shared" si="55"/>
        <v>2.7</v>
      </c>
    </row>
    <row r="1784" spans="2:7" ht="13.8" customHeight="1" x14ac:dyDescent="0.25">
      <c r="B1784" s="35" t="s">
        <v>47</v>
      </c>
      <c r="C1784" s="35">
        <v>2767567</v>
      </c>
      <c r="D1784" s="35">
        <v>2.7</v>
      </c>
      <c r="E1784" s="35" t="s">
        <v>236</v>
      </c>
      <c r="F1784" s="31" t="str">
        <f t="shared" si="54"/>
        <v>B1.07.04</v>
      </c>
      <c r="G1784" s="34">
        <f t="shared" si="55"/>
        <v>2.7</v>
      </c>
    </row>
    <row r="1785" spans="2:7" ht="13.8" customHeight="1" x14ac:dyDescent="0.25">
      <c r="B1785" s="35" t="s">
        <v>47</v>
      </c>
      <c r="C1785" s="35">
        <v>2767605</v>
      </c>
      <c r="D1785" s="35">
        <v>2.7</v>
      </c>
      <c r="E1785" s="35" t="s">
        <v>237</v>
      </c>
      <c r="F1785" s="31" t="str">
        <f t="shared" si="54"/>
        <v>B1.07.05</v>
      </c>
      <c r="G1785" s="34">
        <f t="shared" si="55"/>
        <v>2.7</v>
      </c>
    </row>
    <row r="1786" spans="2:7" ht="13.8" customHeight="1" x14ac:dyDescent="0.25">
      <c r="B1786" s="35" t="s">
        <v>47</v>
      </c>
      <c r="C1786" s="35">
        <v>2767608</v>
      </c>
      <c r="D1786" s="35">
        <v>2.7</v>
      </c>
      <c r="E1786" s="35" t="s">
        <v>237</v>
      </c>
      <c r="F1786" s="31" t="str">
        <f t="shared" si="54"/>
        <v>B1.07.05</v>
      </c>
      <c r="G1786" s="34">
        <f t="shared" si="55"/>
        <v>2.7</v>
      </c>
    </row>
    <row r="1787" spans="2:7" ht="13.8" customHeight="1" x14ac:dyDescent="0.25">
      <c r="B1787" s="35" t="s">
        <v>47</v>
      </c>
      <c r="C1787" s="35">
        <v>2767675</v>
      </c>
      <c r="D1787" s="35">
        <v>2.7</v>
      </c>
      <c r="E1787" s="35" t="s">
        <v>238</v>
      </c>
      <c r="F1787" s="31" t="str">
        <f t="shared" si="54"/>
        <v>B1.08.02</v>
      </c>
      <c r="G1787" s="34">
        <f t="shared" si="55"/>
        <v>2.7</v>
      </c>
    </row>
    <row r="1788" spans="2:7" ht="13.8" customHeight="1" x14ac:dyDescent="0.25">
      <c r="B1788" s="35" t="s">
        <v>47</v>
      </c>
      <c r="C1788" s="35">
        <v>2767677</v>
      </c>
      <c r="D1788" s="35">
        <v>2.7</v>
      </c>
      <c r="E1788" s="35" t="s">
        <v>238</v>
      </c>
      <c r="F1788" s="31" t="str">
        <f t="shared" si="54"/>
        <v>B1.08.02</v>
      </c>
      <c r="G1788" s="34">
        <f t="shared" si="55"/>
        <v>2.7</v>
      </c>
    </row>
    <row r="1789" spans="2:7" ht="13.8" customHeight="1" x14ac:dyDescent="0.25">
      <c r="B1789" s="35" t="s">
        <v>47</v>
      </c>
      <c r="C1789" s="35">
        <v>2767736</v>
      </c>
      <c r="D1789" s="35">
        <v>2.7</v>
      </c>
      <c r="E1789" s="35" t="s">
        <v>239</v>
      </c>
      <c r="F1789" s="31" t="str">
        <f t="shared" si="54"/>
        <v>B1.08.03</v>
      </c>
      <c r="G1789" s="34">
        <f t="shared" si="55"/>
        <v>2.7</v>
      </c>
    </row>
    <row r="1790" spans="2:7" ht="13.8" customHeight="1" x14ac:dyDescent="0.25">
      <c r="B1790" s="35" t="s">
        <v>47</v>
      </c>
      <c r="C1790" s="35">
        <v>2767738</v>
      </c>
      <c r="D1790" s="35">
        <v>2.7</v>
      </c>
      <c r="E1790" s="35" t="s">
        <v>239</v>
      </c>
      <c r="F1790" s="31" t="str">
        <f t="shared" si="54"/>
        <v>B1.08.03</v>
      </c>
      <c r="G1790" s="34">
        <f t="shared" si="55"/>
        <v>2.7</v>
      </c>
    </row>
    <row r="1791" spans="2:7" ht="13.8" customHeight="1" x14ac:dyDescent="0.25">
      <c r="B1791" s="35" t="s">
        <v>47</v>
      </c>
      <c r="C1791" s="35">
        <v>2767788</v>
      </c>
      <c r="D1791" s="35">
        <v>2.5</v>
      </c>
      <c r="E1791" s="35" t="s">
        <v>240</v>
      </c>
      <c r="F1791" s="31" t="str">
        <f t="shared" si="54"/>
        <v>A3.10.01</v>
      </c>
      <c r="G1791" s="34">
        <f t="shared" si="55"/>
        <v>2.5</v>
      </c>
    </row>
    <row r="1792" spans="2:7" ht="13.8" customHeight="1" x14ac:dyDescent="0.25">
      <c r="B1792" s="35" t="s">
        <v>47</v>
      </c>
      <c r="C1792" s="35">
        <v>2767790</v>
      </c>
      <c r="D1792" s="35">
        <v>2.5</v>
      </c>
      <c r="E1792" s="35" t="s">
        <v>240</v>
      </c>
      <c r="F1792" s="31" t="str">
        <f t="shared" si="54"/>
        <v>A3.10.01</v>
      </c>
      <c r="G1792" s="34">
        <f t="shared" si="55"/>
        <v>2.5</v>
      </c>
    </row>
    <row r="1793" spans="2:7" ht="13.8" customHeight="1" x14ac:dyDescent="0.25">
      <c r="B1793" s="35" t="s">
        <v>47</v>
      </c>
      <c r="C1793" s="35">
        <v>2767858</v>
      </c>
      <c r="D1793" s="35">
        <v>2.5</v>
      </c>
      <c r="E1793" s="35" t="s">
        <v>241</v>
      </c>
      <c r="F1793" s="31" t="str">
        <f t="shared" si="54"/>
        <v>A3.10.05</v>
      </c>
      <c r="G1793" s="34">
        <f t="shared" si="55"/>
        <v>2.5</v>
      </c>
    </row>
    <row r="1794" spans="2:7" ht="13.8" customHeight="1" x14ac:dyDescent="0.25">
      <c r="B1794" s="35" t="s">
        <v>47</v>
      </c>
      <c r="C1794" s="35">
        <v>2767860</v>
      </c>
      <c r="D1794" s="35">
        <v>2.5</v>
      </c>
      <c r="E1794" s="35" t="s">
        <v>241</v>
      </c>
      <c r="F1794" s="31" t="str">
        <f t="shared" si="54"/>
        <v>A3.10.05</v>
      </c>
      <c r="G1794" s="34">
        <f t="shared" si="55"/>
        <v>2.5</v>
      </c>
    </row>
    <row r="1795" spans="2:7" ht="13.8" customHeight="1" x14ac:dyDescent="0.25">
      <c r="B1795" s="35" t="s">
        <v>47</v>
      </c>
      <c r="C1795" s="35">
        <v>2767917</v>
      </c>
      <c r="D1795" s="35">
        <v>2.5</v>
      </c>
      <c r="E1795" s="35" t="s">
        <v>242</v>
      </c>
      <c r="F1795" s="31" t="str">
        <f t="shared" si="54"/>
        <v>A3.10.04</v>
      </c>
      <c r="G1795" s="34">
        <f t="shared" si="55"/>
        <v>2.5</v>
      </c>
    </row>
    <row r="1796" spans="2:7" ht="13.8" customHeight="1" x14ac:dyDescent="0.25">
      <c r="B1796" s="35" t="s">
        <v>47</v>
      </c>
      <c r="C1796" s="35">
        <v>2767919</v>
      </c>
      <c r="D1796" s="35">
        <v>2.5</v>
      </c>
      <c r="E1796" s="35" t="s">
        <v>242</v>
      </c>
      <c r="F1796" s="31" t="str">
        <f t="shared" si="54"/>
        <v>A3.10.04</v>
      </c>
      <c r="G1796" s="34">
        <f t="shared" si="55"/>
        <v>2.5</v>
      </c>
    </row>
    <row r="1797" spans="2:7" ht="13.8" customHeight="1" x14ac:dyDescent="0.25">
      <c r="B1797" s="35" t="s">
        <v>47</v>
      </c>
      <c r="C1797" s="35">
        <v>2767971</v>
      </c>
      <c r="D1797" s="35">
        <v>2.5</v>
      </c>
      <c r="E1797" s="35" t="s">
        <v>243</v>
      </c>
      <c r="F1797" s="31" t="str">
        <f t="shared" si="54"/>
        <v>A3.10.03</v>
      </c>
      <c r="G1797" s="34">
        <f t="shared" si="55"/>
        <v>2.5</v>
      </c>
    </row>
    <row r="1798" spans="2:7" ht="13.8" customHeight="1" x14ac:dyDescent="0.25">
      <c r="B1798" s="35" t="s">
        <v>47</v>
      </c>
      <c r="C1798" s="35">
        <v>2767973</v>
      </c>
      <c r="D1798" s="35">
        <v>2.5</v>
      </c>
      <c r="E1798" s="35" t="s">
        <v>243</v>
      </c>
      <c r="F1798" s="31" t="str">
        <f t="shared" si="54"/>
        <v>A3.10.03</v>
      </c>
      <c r="G1798" s="34">
        <f t="shared" si="55"/>
        <v>2.5</v>
      </c>
    </row>
    <row r="1799" spans="2:7" ht="13.8" customHeight="1" x14ac:dyDescent="0.25">
      <c r="B1799" s="35" t="s">
        <v>47</v>
      </c>
      <c r="C1799" s="35">
        <v>2768045</v>
      </c>
      <c r="D1799" s="35">
        <v>2.5</v>
      </c>
      <c r="E1799" s="35" t="s">
        <v>244</v>
      </c>
      <c r="F1799" s="31" t="str">
        <f t="shared" ref="F1799:F1862" si="56">LEFT(E1799,8)</f>
        <v>A3.10.02</v>
      </c>
      <c r="G1799" s="34">
        <f t="shared" ref="G1799:G1862" si="57">D1799</f>
        <v>2.5</v>
      </c>
    </row>
    <row r="1800" spans="2:7" ht="13.8" customHeight="1" x14ac:dyDescent="0.25">
      <c r="B1800" s="35" t="s">
        <v>47</v>
      </c>
      <c r="C1800" s="35">
        <v>2768047</v>
      </c>
      <c r="D1800" s="35">
        <v>2.5</v>
      </c>
      <c r="E1800" s="35" t="s">
        <v>244</v>
      </c>
      <c r="F1800" s="31" t="str">
        <f t="shared" si="56"/>
        <v>A3.10.02</v>
      </c>
      <c r="G1800" s="34">
        <f t="shared" si="57"/>
        <v>2.5</v>
      </c>
    </row>
    <row r="1801" spans="2:7" ht="13.8" customHeight="1" x14ac:dyDescent="0.25">
      <c r="B1801" s="35" t="s">
        <v>47</v>
      </c>
      <c r="C1801" s="35">
        <v>2768109</v>
      </c>
      <c r="D1801" s="35">
        <v>2.5</v>
      </c>
      <c r="E1801" s="35" t="s">
        <v>245</v>
      </c>
      <c r="F1801" s="31" t="str">
        <f t="shared" si="56"/>
        <v>A3.07.05</v>
      </c>
      <c r="G1801" s="34">
        <f t="shared" si="57"/>
        <v>2.5</v>
      </c>
    </row>
    <row r="1802" spans="2:7" ht="13.8" customHeight="1" x14ac:dyDescent="0.25">
      <c r="B1802" s="35" t="s">
        <v>47</v>
      </c>
      <c r="C1802" s="35">
        <v>2768189</v>
      </c>
      <c r="D1802" s="35">
        <v>2.5</v>
      </c>
      <c r="E1802" s="35" t="s">
        <v>246</v>
      </c>
      <c r="F1802" s="31" t="str">
        <f t="shared" si="56"/>
        <v>A3.07.04</v>
      </c>
      <c r="G1802" s="34">
        <f t="shared" si="57"/>
        <v>2.5</v>
      </c>
    </row>
    <row r="1803" spans="2:7" ht="13.8" customHeight="1" x14ac:dyDescent="0.25">
      <c r="B1803" s="35" t="s">
        <v>47</v>
      </c>
      <c r="C1803" s="35">
        <v>2768192</v>
      </c>
      <c r="D1803" s="35">
        <v>2.5</v>
      </c>
      <c r="E1803" s="35" t="s">
        <v>246</v>
      </c>
      <c r="F1803" s="31" t="str">
        <f t="shared" si="56"/>
        <v>A3.07.04</v>
      </c>
      <c r="G1803" s="34">
        <f t="shared" si="57"/>
        <v>2.5</v>
      </c>
    </row>
    <row r="1804" spans="2:7" ht="13.8" customHeight="1" x14ac:dyDescent="0.25">
      <c r="B1804" s="35" t="s">
        <v>47</v>
      </c>
      <c r="C1804" s="35">
        <v>2768261</v>
      </c>
      <c r="D1804" s="35">
        <v>2.5</v>
      </c>
      <c r="E1804" s="35" t="s">
        <v>247</v>
      </c>
      <c r="F1804" s="31" t="str">
        <f t="shared" si="56"/>
        <v>A3.07.08</v>
      </c>
      <c r="G1804" s="34">
        <f t="shared" si="57"/>
        <v>2.5</v>
      </c>
    </row>
    <row r="1805" spans="2:7" ht="13.8" customHeight="1" x14ac:dyDescent="0.25">
      <c r="B1805" s="35" t="s">
        <v>47</v>
      </c>
      <c r="C1805" s="35">
        <v>2768341</v>
      </c>
      <c r="D1805" s="35">
        <v>2.5</v>
      </c>
      <c r="E1805" s="35" t="s">
        <v>248</v>
      </c>
      <c r="F1805" s="31" t="str">
        <f t="shared" si="56"/>
        <v>A3.07.01</v>
      </c>
      <c r="G1805" s="34">
        <f t="shared" si="57"/>
        <v>2.5</v>
      </c>
    </row>
    <row r="1806" spans="2:7" ht="13.8" customHeight="1" x14ac:dyDescent="0.25">
      <c r="B1806" s="35" t="s">
        <v>47</v>
      </c>
      <c r="C1806" s="35">
        <v>2768344</v>
      </c>
      <c r="D1806" s="35">
        <v>2.5</v>
      </c>
      <c r="E1806" s="35" t="s">
        <v>248</v>
      </c>
      <c r="F1806" s="31" t="str">
        <f t="shared" si="56"/>
        <v>A3.07.01</v>
      </c>
      <c r="G1806" s="34">
        <f t="shared" si="57"/>
        <v>2.5</v>
      </c>
    </row>
    <row r="1807" spans="2:7" ht="13.8" customHeight="1" x14ac:dyDescent="0.25">
      <c r="B1807" s="35" t="s">
        <v>47</v>
      </c>
      <c r="C1807" s="35">
        <v>2768429</v>
      </c>
      <c r="D1807" s="35">
        <v>2.5</v>
      </c>
      <c r="E1807" s="35" t="s">
        <v>249</v>
      </c>
      <c r="F1807" s="31" t="str">
        <f t="shared" si="56"/>
        <v>A3.07.02</v>
      </c>
      <c r="G1807" s="34">
        <f t="shared" si="57"/>
        <v>2.5</v>
      </c>
    </row>
    <row r="1808" spans="2:7" ht="13.8" customHeight="1" x14ac:dyDescent="0.25">
      <c r="B1808" s="35" t="s">
        <v>47</v>
      </c>
      <c r="C1808" s="35">
        <v>2768432</v>
      </c>
      <c r="D1808" s="35">
        <v>2.5</v>
      </c>
      <c r="E1808" s="35" t="s">
        <v>249</v>
      </c>
      <c r="F1808" s="31" t="str">
        <f t="shared" si="56"/>
        <v>A3.07.02</v>
      </c>
      <c r="G1808" s="34">
        <f t="shared" si="57"/>
        <v>2.5</v>
      </c>
    </row>
    <row r="1809" spans="2:7" ht="13.8" customHeight="1" x14ac:dyDescent="0.25">
      <c r="B1809" s="35" t="s">
        <v>47</v>
      </c>
      <c r="C1809" s="35">
        <v>2768487</v>
      </c>
      <c r="D1809" s="35">
        <v>2.5</v>
      </c>
      <c r="E1809" s="35" t="s">
        <v>250</v>
      </c>
      <c r="F1809" s="31" t="str">
        <f t="shared" si="56"/>
        <v>A3.07.07</v>
      </c>
      <c r="G1809" s="34">
        <f t="shared" si="57"/>
        <v>2.5</v>
      </c>
    </row>
    <row r="1810" spans="2:7" ht="13.8" customHeight="1" x14ac:dyDescent="0.25">
      <c r="B1810" s="35" t="s">
        <v>47</v>
      </c>
      <c r="C1810" s="35">
        <v>2768562</v>
      </c>
      <c r="D1810" s="35">
        <v>2.5</v>
      </c>
      <c r="E1810" s="35" t="s">
        <v>251</v>
      </c>
      <c r="F1810" s="31" t="str">
        <f t="shared" si="56"/>
        <v>A3.07.03</v>
      </c>
      <c r="G1810" s="34">
        <f t="shared" si="57"/>
        <v>2.5</v>
      </c>
    </row>
    <row r="1811" spans="2:7" ht="13.8" customHeight="1" x14ac:dyDescent="0.25">
      <c r="B1811" s="35" t="s">
        <v>47</v>
      </c>
      <c r="C1811" s="35">
        <v>2768565</v>
      </c>
      <c r="D1811" s="35">
        <v>2.5</v>
      </c>
      <c r="E1811" s="35" t="s">
        <v>251</v>
      </c>
      <c r="F1811" s="31" t="str">
        <f t="shared" si="56"/>
        <v>A3.07.03</v>
      </c>
      <c r="G1811" s="34">
        <f t="shared" si="57"/>
        <v>2.5</v>
      </c>
    </row>
    <row r="1812" spans="2:7" ht="13.8" customHeight="1" x14ac:dyDescent="0.25">
      <c r="B1812" s="35" t="s">
        <v>47</v>
      </c>
      <c r="C1812" s="35">
        <v>2768616</v>
      </c>
      <c r="D1812" s="35">
        <v>2.5</v>
      </c>
      <c r="E1812" s="35" t="s">
        <v>252</v>
      </c>
      <c r="F1812" s="31" t="str">
        <f t="shared" si="56"/>
        <v>A3.07.06</v>
      </c>
      <c r="G1812" s="34">
        <f t="shared" si="57"/>
        <v>2.5</v>
      </c>
    </row>
    <row r="1813" spans="2:7" ht="13.8" customHeight="1" x14ac:dyDescent="0.25">
      <c r="B1813" s="35" t="s">
        <v>47</v>
      </c>
      <c r="C1813" s="35">
        <v>2768720</v>
      </c>
      <c r="D1813" s="35">
        <v>2.5</v>
      </c>
      <c r="E1813" s="35" t="s">
        <v>253</v>
      </c>
      <c r="F1813" s="31" t="str">
        <f t="shared" si="56"/>
        <v>A6.10.04</v>
      </c>
      <c r="G1813" s="34">
        <f t="shared" si="57"/>
        <v>2.5</v>
      </c>
    </row>
    <row r="1814" spans="2:7" ht="13.8" customHeight="1" x14ac:dyDescent="0.25">
      <c r="B1814" s="35" t="s">
        <v>47</v>
      </c>
      <c r="C1814" s="35">
        <v>2768722</v>
      </c>
      <c r="D1814" s="35">
        <v>2.5</v>
      </c>
      <c r="E1814" s="35" t="s">
        <v>253</v>
      </c>
      <c r="F1814" s="31" t="str">
        <f t="shared" si="56"/>
        <v>A6.10.04</v>
      </c>
      <c r="G1814" s="34">
        <f t="shared" si="57"/>
        <v>2.5</v>
      </c>
    </row>
    <row r="1815" spans="2:7" ht="13.8" customHeight="1" x14ac:dyDescent="0.25">
      <c r="B1815" s="35" t="s">
        <v>47</v>
      </c>
      <c r="C1815" s="35">
        <v>2768806</v>
      </c>
      <c r="D1815" s="35">
        <v>2.5</v>
      </c>
      <c r="E1815" s="35" t="s">
        <v>254</v>
      </c>
      <c r="F1815" s="31" t="str">
        <f t="shared" si="56"/>
        <v>A6.13.01</v>
      </c>
      <c r="G1815" s="34">
        <f t="shared" si="57"/>
        <v>2.5</v>
      </c>
    </row>
    <row r="1816" spans="2:7" ht="13.8" customHeight="1" x14ac:dyDescent="0.25">
      <c r="B1816" s="35" t="s">
        <v>47</v>
      </c>
      <c r="C1816" s="35">
        <v>2768808</v>
      </c>
      <c r="D1816" s="35">
        <v>2.5</v>
      </c>
      <c r="E1816" s="35" t="s">
        <v>254</v>
      </c>
      <c r="F1816" s="31" t="str">
        <f t="shared" si="56"/>
        <v>A6.13.01</v>
      </c>
      <c r="G1816" s="34">
        <f t="shared" si="57"/>
        <v>2.5</v>
      </c>
    </row>
    <row r="1817" spans="2:7" ht="13.8" customHeight="1" x14ac:dyDescent="0.25">
      <c r="B1817" s="35" t="s">
        <v>47</v>
      </c>
      <c r="C1817" s="35">
        <v>2768884</v>
      </c>
      <c r="D1817" s="35">
        <v>2.5</v>
      </c>
      <c r="E1817" s="35" t="s">
        <v>255</v>
      </c>
      <c r="F1817" s="31" t="str">
        <f t="shared" si="56"/>
        <v>A6.13.02</v>
      </c>
      <c r="G1817" s="34">
        <f t="shared" si="57"/>
        <v>2.5</v>
      </c>
    </row>
    <row r="1818" spans="2:7" ht="13.8" customHeight="1" x14ac:dyDescent="0.25">
      <c r="B1818" s="35" t="s">
        <v>47</v>
      </c>
      <c r="C1818" s="35">
        <v>2768886</v>
      </c>
      <c r="D1818" s="35">
        <v>2.5</v>
      </c>
      <c r="E1818" s="35" t="s">
        <v>255</v>
      </c>
      <c r="F1818" s="31" t="str">
        <f t="shared" si="56"/>
        <v>A6.13.02</v>
      </c>
      <c r="G1818" s="34">
        <f t="shared" si="57"/>
        <v>2.5</v>
      </c>
    </row>
    <row r="1819" spans="2:7" ht="13.8" customHeight="1" x14ac:dyDescent="0.25">
      <c r="B1819" s="35" t="s">
        <v>47</v>
      </c>
      <c r="C1819" s="35">
        <v>2768954</v>
      </c>
      <c r="D1819" s="35">
        <v>2.5</v>
      </c>
      <c r="E1819" s="35" t="s">
        <v>256</v>
      </c>
      <c r="F1819" s="31" t="str">
        <f t="shared" si="56"/>
        <v>A6.13.03</v>
      </c>
      <c r="G1819" s="34">
        <f t="shared" si="57"/>
        <v>2.5</v>
      </c>
    </row>
    <row r="1820" spans="2:7" ht="13.8" customHeight="1" x14ac:dyDescent="0.25">
      <c r="B1820" s="35" t="s">
        <v>47</v>
      </c>
      <c r="C1820" s="35">
        <v>2768956</v>
      </c>
      <c r="D1820" s="35">
        <v>2.5</v>
      </c>
      <c r="E1820" s="35" t="s">
        <v>256</v>
      </c>
      <c r="F1820" s="31" t="str">
        <f t="shared" si="56"/>
        <v>A6.13.03</v>
      </c>
      <c r="G1820" s="34">
        <f t="shared" si="57"/>
        <v>2.5</v>
      </c>
    </row>
    <row r="1821" spans="2:7" ht="13.8" customHeight="1" x14ac:dyDescent="0.25">
      <c r="B1821" s="35" t="s">
        <v>47</v>
      </c>
      <c r="C1821" s="35">
        <v>2769042</v>
      </c>
      <c r="D1821" s="35">
        <v>2.5</v>
      </c>
      <c r="E1821" s="35" t="s">
        <v>257</v>
      </c>
      <c r="F1821" s="31" t="str">
        <f t="shared" si="56"/>
        <v>A6.13.04</v>
      </c>
      <c r="G1821" s="34">
        <f t="shared" si="57"/>
        <v>2.5</v>
      </c>
    </row>
    <row r="1822" spans="2:7" ht="13.8" customHeight="1" x14ac:dyDescent="0.25">
      <c r="B1822" s="35" t="s">
        <v>47</v>
      </c>
      <c r="C1822" s="35">
        <v>2769044</v>
      </c>
      <c r="D1822" s="35">
        <v>2.5</v>
      </c>
      <c r="E1822" s="35" t="s">
        <v>257</v>
      </c>
      <c r="F1822" s="31" t="str">
        <f t="shared" si="56"/>
        <v>A6.13.04</v>
      </c>
      <c r="G1822" s="34">
        <f t="shared" si="57"/>
        <v>2.5</v>
      </c>
    </row>
    <row r="1823" spans="2:7" ht="13.8" customHeight="1" x14ac:dyDescent="0.25">
      <c r="B1823" s="35" t="s">
        <v>47</v>
      </c>
      <c r="C1823" s="35">
        <v>2769127</v>
      </c>
      <c r="D1823" s="35">
        <v>2.5</v>
      </c>
      <c r="E1823" s="35" t="s">
        <v>258</v>
      </c>
      <c r="F1823" s="31" t="str">
        <f t="shared" si="56"/>
        <v>A6.09.06</v>
      </c>
      <c r="G1823" s="34">
        <f t="shared" si="57"/>
        <v>2.5</v>
      </c>
    </row>
    <row r="1824" spans="2:7" ht="13.8" customHeight="1" x14ac:dyDescent="0.25">
      <c r="B1824" s="35" t="s">
        <v>47</v>
      </c>
      <c r="C1824" s="35">
        <v>2769130</v>
      </c>
      <c r="D1824" s="35">
        <v>2.5</v>
      </c>
      <c r="E1824" s="35" t="s">
        <v>258</v>
      </c>
      <c r="F1824" s="31" t="str">
        <f t="shared" si="56"/>
        <v>A6.09.06</v>
      </c>
      <c r="G1824" s="34">
        <f t="shared" si="57"/>
        <v>2.5</v>
      </c>
    </row>
    <row r="1825" spans="2:7" ht="13.8" customHeight="1" x14ac:dyDescent="0.25">
      <c r="B1825" s="35" t="s">
        <v>47</v>
      </c>
      <c r="C1825" s="35">
        <v>2769227</v>
      </c>
      <c r="D1825" s="35">
        <v>2.5</v>
      </c>
      <c r="E1825" s="35" t="s">
        <v>259</v>
      </c>
      <c r="F1825" s="31" t="str">
        <f t="shared" si="56"/>
        <v>A6.09.07</v>
      </c>
      <c r="G1825" s="34">
        <f t="shared" si="57"/>
        <v>2.5</v>
      </c>
    </row>
    <row r="1826" spans="2:7" ht="13.8" customHeight="1" x14ac:dyDescent="0.25">
      <c r="B1826" s="35" t="s">
        <v>47</v>
      </c>
      <c r="C1826" s="35">
        <v>2769230</v>
      </c>
      <c r="D1826" s="35">
        <v>2.5</v>
      </c>
      <c r="E1826" s="35" t="s">
        <v>259</v>
      </c>
      <c r="F1826" s="31" t="str">
        <f t="shared" si="56"/>
        <v>A6.09.07</v>
      </c>
      <c r="G1826" s="34">
        <f t="shared" si="57"/>
        <v>2.5</v>
      </c>
    </row>
    <row r="1827" spans="2:7" ht="13.8" customHeight="1" x14ac:dyDescent="0.25">
      <c r="B1827" s="35" t="s">
        <v>47</v>
      </c>
      <c r="C1827" s="35">
        <v>2769320</v>
      </c>
      <c r="D1827" s="35">
        <v>2.5</v>
      </c>
      <c r="E1827" s="35" t="s">
        <v>260</v>
      </c>
      <c r="F1827" s="31" t="str">
        <f t="shared" si="56"/>
        <v>A6.09.02</v>
      </c>
      <c r="G1827" s="34">
        <f t="shared" si="57"/>
        <v>2.5</v>
      </c>
    </row>
    <row r="1828" spans="2:7" ht="13.8" customHeight="1" x14ac:dyDescent="0.25">
      <c r="B1828" s="35" t="s">
        <v>47</v>
      </c>
      <c r="C1828" s="35">
        <v>2769323</v>
      </c>
      <c r="D1828" s="35">
        <v>2.5</v>
      </c>
      <c r="E1828" s="35" t="s">
        <v>260</v>
      </c>
      <c r="F1828" s="31" t="str">
        <f t="shared" si="56"/>
        <v>A6.09.02</v>
      </c>
      <c r="G1828" s="34">
        <f t="shared" si="57"/>
        <v>2.5</v>
      </c>
    </row>
    <row r="1829" spans="2:7" ht="13.8" customHeight="1" x14ac:dyDescent="0.25">
      <c r="B1829" s="35" t="s">
        <v>47</v>
      </c>
      <c r="C1829" s="35">
        <v>2769406</v>
      </c>
      <c r="D1829" s="35">
        <v>2.5</v>
      </c>
      <c r="E1829" s="35" t="s">
        <v>261</v>
      </c>
      <c r="F1829" s="31" t="str">
        <f t="shared" si="56"/>
        <v>A6.09.03</v>
      </c>
      <c r="G1829" s="34">
        <f t="shared" si="57"/>
        <v>2.5</v>
      </c>
    </row>
    <row r="1830" spans="2:7" ht="13.8" customHeight="1" x14ac:dyDescent="0.25">
      <c r="B1830" s="35" t="s">
        <v>47</v>
      </c>
      <c r="C1830" s="35">
        <v>2769409</v>
      </c>
      <c r="D1830" s="35">
        <v>2.5</v>
      </c>
      <c r="E1830" s="35" t="s">
        <v>261</v>
      </c>
      <c r="F1830" s="31" t="str">
        <f t="shared" si="56"/>
        <v>A6.09.03</v>
      </c>
      <c r="G1830" s="34">
        <f t="shared" si="57"/>
        <v>2.5</v>
      </c>
    </row>
    <row r="1831" spans="2:7" ht="13.8" customHeight="1" x14ac:dyDescent="0.25">
      <c r="B1831" s="35" t="s">
        <v>47</v>
      </c>
      <c r="C1831" s="35">
        <v>2769509</v>
      </c>
      <c r="D1831" s="35">
        <v>2.5</v>
      </c>
      <c r="E1831" s="35" t="s">
        <v>262</v>
      </c>
      <c r="F1831" s="31" t="str">
        <f t="shared" si="56"/>
        <v>A6.09.04</v>
      </c>
      <c r="G1831" s="34">
        <f t="shared" si="57"/>
        <v>2.5</v>
      </c>
    </row>
    <row r="1832" spans="2:7" ht="13.8" customHeight="1" x14ac:dyDescent="0.25">
      <c r="B1832" s="35" t="s">
        <v>47</v>
      </c>
      <c r="C1832" s="35">
        <v>2769512</v>
      </c>
      <c r="D1832" s="35">
        <v>2.5</v>
      </c>
      <c r="E1832" s="35" t="s">
        <v>262</v>
      </c>
      <c r="F1832" s="31" t="str">
        <f t="shared" si="56"/>
        <v>A6.09.04</v>
      </c>
      <c r="G1832" s="34">
        <f t="shared" si="57"/>
        <v>2.5</v>
      </c>
    </row>
    <row r="1833" spans="2:7" ht="13.8" customHeight="1" x14ac:dyDescent="0.25">
      <c r="B1833" s="35" t="s">
        <v>47</v>
      </c>
      <c r="C1833" s="35">
        <v>2769604</v>
      </c>
      <c r="D1833" s="35">
        <v>2.5</v>
      </c>
      <c r="E1833" s="35" t="s">
        <v>263</v>
      </c>
      <c r="F1833" s="31" t="str">
        <f t="shared" si="56"/>
        <v>A6.09.01</v>
      </c>
      <c r="G1833" s="34">
        <f t="shared" si="57"/>
        <v>2.5</v>
      </c>
    </row>
    <row r="1834" spans="2:7" ht="13.8" customHeight="1" x14ac:dyDescent="0.25">
      <c r="B1834" s="35" t="s">
        <v>47</v>
      </c>
      <c r="C1834" s="35">
        <v>2769607</v>
      </c>
      <c r="D1834" s="35">
        <v>2.5</v>
      </c>
      <c r="E1834" s="35" t="s">
        <v>263</v>
      </c>
      <c r="F1834" s="31" t="str">
        <f t="shared" si="56"/>
        <v>A6.09.01</v>
      </c>
      <c r="G1834" s="34">
        <f t="shared" si="57"/>
        <v>2.5</v>
      </c>
    </row>
    <row r="1835" spans="2:7" ht="13.8" customHeight="1" x14ac:dyDescent="0.25">
      <c r="B1835" s="35" t="s">
        <v>47</v>
      </c>
      <c r="C1835" s="35">
        <v>2769674</v>
      </c>
      <c r="D1835" s="35">
        <v>2.5</v>
      </c>
      <c r="E1835" s="35" t="s">
        <v>264</v>
      </c>
      <c r="F1835" s="31" t="str">
        <f t="shared" si="56"/>
        <v>A6.09.05</v>
      </c>
      <c r="G1835" s="34">
        <f t="shared" si="57"/>
        <v>2.5</v>
      </c>
    </row>
    <row r="1836" spans="2:7" ht="13.8" customHeight="1" x14ac:dyDescent="0.25">
      <c r="B1836" s="35" t="s">
        <v>47</v>
      </c>
      <c r="C1836" s="35">
        <v>2769677</v>
      </c>
      <c r="D1836" s="35">
        <v>2.5</v>
      </c>
      <c r="E1836" s="35" t="s">
        <v>264</v>
      </c>
      <c r="F1836" s="31" t="str">
        <f t="shared" si="56"/>
        <v>A6.09.05</v>
      </c>
      <c r="G1836" s="34">
        <f t="shared" si="57"/>
        <v>2.5</v>
      </c>
    </row>
    <row r="1837" spans="2:7" ht="13.8" customHeight="1" x14ac:dyDescent="0.25">
      <c r="B1837" s="35" t="s">
        <v>47</v>
      </c>
      <c r="C1837" s="35">
        <v>2769726</v>
      </c>
      <c r="D1837" s="35">
        <v>2.7</v>
      </c>
      <c r="E1837" s="35" t="s">
        <v>265</v>
      </c>
      <c r="F1837" s="31" t="str">
        <f t="shared" si="56"/>
        <v>B1.02.01</v>
      </c>
      <c r="G1837" s="34">
        <f t="shared" si="57"/>
        <v>2.7</v>
      </c>
    </row>
    <row r="1838" spans="2:7" ht="13.8" customHeight="1" x14ac:dyDescent="0.25">
      <c r="B1838" s="35" t="s">
        <v>47</v>
      </c>
      <c r="C1838" s="35">
        <v>2769729</v>
      </c>
      <c r="D1838" s="35">
        <v>2.7</v>
      </c>
      <c r="E1838" s="35" t="s">
        <v>265</v>
      </c>
      <c r="F1838" s="31" t="str">
        <f t="shared" si="56"/>
        <v>B1.02.01</v>
      </c>
      <c r="G1838" s="34">
        <f t="shared" si="57"/>
        <v>2.7</v>
      </c>
    </row>
    <row r="1839" spans="2:7" ht="13.8" customHeight="1" x14ac:dyDescent="0.25">
      <c r="B1839" s="35" t="s">
        <v>47</v>
      </c>
      <c r="C1839" s="35">
        <v>2769786</v>
      </c>
      <c r="D1839" s="35">
        <v>2.7</v>
      </c>
      <c r="E1839" s="35" t="s">
        <v>266</v>
      </c>
      <c r="F1839" s="31" t="str">
        <f t="shared" si="56"/>
        <v>B1.02.02</v>
      </c>
      <c r="G1839" s="34">
        <f t="shared" si="57"/>
        <v>2.7</v>
      </c>
    </row>
    <row r="1840" spans="2:7" ht="13.8" customHeight="1" x14ac:dyDescent="0.25">
      <c r="B1840" s="35" t="s">
        <v>47</v>
      </c>
      <c r="C1840" s="35">
        <v>2769789</v>
      </c>
      <c r="D1840" s="35">
        <v>2.7</v>
      </c>
      <c r="E1840" s="35" t="s">
        <v>266</v>
      </c>
      <c r="F1840" s="31" t="str">
        <f t="shared" si="56"/>
        <v>B1.02.02</v>
      </c>
      <c r="G1840" s="34">
        <f t="shared" si="57"/>
        <v>2.7</v>
      </c>
    </row>
    <row r="1841" spans="2:7" ht="13.8" customHeight="1" x14ac:dyDescent="0.25">
      <c r="B1841" s="35" t="s">
        <v>47</v>
      </c>
      <c r="C1841" s="35">
        <v>2769858</v>
      </c>
      <c r="D1841" s="35">
        <v>2.7</v>
      </c>
      <c r="E1841" s="35" t="s">
        <v>267</v>
      </c>
      <c r="F1841" s="31" t="str">
        <f t="shared" si="56"/>
        <v>D1.02.02</v>
      </c>
      <c r="G1841" s="34">
        <f t="shared" si="57"/>
        <v>2.7</v>
      </c>
    </row>
    <row r="1842" spans="2:7" ht="13.8" customHeight="1" x14ac:dyDescent="0.25">
      <c r="B1842" s="35" t="s">
        <v>47</v>
      </c>
      <c r="C1842" s="35">
        <v>2769901</v>
      </c>
      <c r="D1842" s="35">
        <v>2.7</v>
      </c>
      <c r="E1842" s="35" t="s">
        <v>268</v>
      </c>
      <c r="F1842" s="31" t="str">
        <f t="shared" si="56"/>
        <v>D1.02.01</v>
      </c>
      <c r="G1842" s="34">
        <f t="shared" si="57"/>
        <v>2.7</v>
      </c>
    </row>
    <row r="1843" spans="2:7" ht="13.8" customHeight="1" x14ac:dyDescent="0.25">
      <c r="B1843" s="35" t="s">
        <v>47</v>
      </c>
      <c r="C1843" s="35">
        <v>2769955</v>
      </c>
      <c r="D1843" s="35">
        <v>2.7</v>
      </c>
      <c r="E1843" s="35" t="s">
        <v>269</v>
      </c>
      <c r="F1843" s="31" t="str">
        <f t="shared" si="56"/>
        <v>D1.02.04</v>
      </c>
      <c r="G1843" s="34">
        <f t="shared" si="57"/>
        <v>2.7</v>
      </c>
    </row>
    <row r="1844" spans="2:7" ht="13.8" customHeight="1" x14ac:dyDescent="0.25">
      <c r="B1844" s="35" t="s">
        <v>47</v>
      </c>
      <c r="C1844" s="35">
        <v>2769958</v>
      </c>
      <c r="D1844" s="35">
        <v>2.7</v>
      </c>
      <c r="E1844" s="35" t="s">
        <v>269</v>
      </c>
      <c r="F1844" s="31" t="str">
        <f t="shared" si="56"/>
        <v>D1.02.04</v>
      </c>
      <c r="G1844" s="34">
        <f t="shared" si="57"/>
        <v>2.7</v>
      </c>
    </row>
    <row r="1845" spans="2:7" ht="13.8" customHeight="1" x14ac:dyDescent="0.25">
      <c r="B1845" s="35" t="s">
        <v>47</v>
      </c>
      <c r="C1845" s="35">
        <v>2770017</v>
      </c>
      <c r="D1845" s="35">
        <v>2.7</v>
      </c>
      <c r="E1845" s="35" t="s">
        <v>270</v>
      </c>
      <c r="F1845" s="31" t="str">
        <f t="shared" si="56"/>
        <v>D1.02.03</v>
      </c>
      <c r="G1845" s="34">
        <f t="shared" si="57"/>
        <v>2.7</v>
      </c>
    </row>
    <row r="1846" spans="2:7" ht="13.8" customHeight="1" x14ac:dyDescent="0.25">
      <c r="B1846" s="35" t="s">
        <v>47</v>
      </c>
      <c r="C1846" s="35">
        <v>2770065</v>
      </c>
      <c r="D1846" s="35">
        <v>2.7</v>
      </c>
      <c r="E1846" s="35" t="s">
        <v>271</v>
      </c>
      <c r="F1846" s="31" t="str">
        <f t="shared" si="56"/>
        <v>D1.02.05</v>
      </c>
      <c r="G1846" s="34">
        <f t="shared" si="57"/>
        <v>2.7</v>
      </c>
    </row>
    <row r="1847" spans="2:7" ht="13.8" customHeight="1" x14ac:dyDescent="0.25">
      <c r="B1847" s="35" t="s">
        <v>47</v>
      </c>
      <c r="C1847" s="35">
        <v>2770068</v>
      </c>
      <c r="D1847" s="35">
        <v>2.7</v>
      </c>
      <c r="E1847" s="35" t="s">
        <v>271</v>
      </c>
      <c r="F1847" s="31" t="str">
        <f t="shared" si="56"/>
        <v>D1.02.05</v>
      </c>
      <c r="G1847" s="34">
        <f t="shared" si="57"/>
        <v>2.7</v>
      </c>
    </row>
    <row r="1848" spans="2:7" ht="13.8" customHeight="1" x14ac:dyDescent="0.25">
      <c r="B1848" s="35" t="s">
        <v>47</v>
      </c>
      <c r="C1848" s="35">
        <v>2770114</v>
      </c>
      <c r="D1848" s="35">
        <v>2.5</v>
      </c>
      <c r="E1848" s="35" t="s">
        <v>272</v>
      </c>
      <c r="F1848" s="31" t="str">
        <f t="shared" si="56"/>
        <v>A6.01.01</v>
      </c>
      <c r="G1848" s="34">
        <f t="shared" si="57"/>
        <v>2.5</v>
      </c>
    </row>
    <row r="1849" spans="2:7" ht="13.8" customHeight="1" x14ac:dyDescent="0.25">
      <c r="B1849" s="35" t="s">
        <v>47</v>
      </c>
      <c r="C1849" s="35">
        <v>2770117</v>
      </c>
      <c r="D1849" s="35">
        <v>2.5</v>
      </c>
      <c r="E1849" s="35" t="s">
        <v>272</v>
      </c>
      <c r="F1849" s="31" t="str">
        <f t="shared" si="56"/>
        <v>A6.01.01</v>
      </c>
      <c r="G1849" s="34">
        <f t="shared" si="57"/>
        <v>2.5</v>
      </c>
    </row>
    <row r="1850" spans="2:7" ht="13.8" customHeight="1" x14ac:dyDescent="0.25">
      <c r="B1850" s="35" t="s">
        <v>47</v>
      </c>
      <c r="C1850" s="35">
        <v>2770169</v>
      </c>
      <c r="D1850" s="35">
        <v>2.5</v>
      </c>
      <c r="E1850" s="35" t="s">
        <v>273</v>
      </c>
      <c r="F1850" s="31" t="str">
        <f t="shared" si="56"/>
        <v>A6.01.02</v>
      </c>
      <c r="G1850" s="34">
        <f t="shared" si="57"/>
        <v>2.5</v>
      </c>
    </row>
    <row r="1851" spans="2:7" ht="13.8" customHeight="1" x14ac:dyDescent="0.25">
      <c r="B1851" s="35" t="s">
        <v>47</v>
      </c>
      <c r="C1851" s="35">
        <v>2770172</v>
      </c>
      <c r="D1851" s="35">
        <v>2.5</v>
      </c>
      <c r="E1851" s="35" t="s">
        <v>273</v>
      </c>
      <c r="F1851" s="31" t="str">
        <f t="shared" si="56"/>
        <v>A6.01.02</v>
      </c>
      <c r="G1851" s="34">
        <f t="shared" si="57"/>
        <v>2.5</v>
      </c>
    </row>
    <row r="1852" spans="2:7" ht="13.8" customHeight="1" x14ac:dyDescent="0.25">
      <c r="B1852" s="35" t="s">
        <v>47</v>
      </c>
      <c r="C1852" s="35">
        <v>2770175</v>
      </c>
      <c r="D1852" s="35">
        <v>2.5</v>
      </c>
      <c r="E1852" s="35" t="s">
        <v>273</v>
      </c>
      <c r="F1852" s="31" t="str">
        <f t="shared" si="56"/>
        <v>A6.01.02</v>
      </c>
      <c r="G1852" s="34">
        <f t="shared" si="57"/>
        <v>2.5</v>
      </c>
    </row>
    <row r="1853" spans="2:7" ht="13.8" customHeight="1" x14ac:dyDescent="0.25">
      <c r="B1853" s="35" t="s">
        <v>47</v>
      </c>
      <c r="C1853" s="35">
        <v>2770178</v>
      </c>
      <c r="D1853" s="35">
        <v>2.5</v>
      </c>
      <c r="E1853" s="35" t="s">
        <v>273</v>
      </c>
      <c r="F1853" s="31" t="str">
        <f t="shared" si="56"/>
        <v>A6.01.02</v>
      </c>
      <c r="G1853" s="34">
        <f t="shared" si="57"/>
        <v>2.5</v>
      </c>
    </row>
    <row r="1854" spans="2:7" ht="13.8" customHeight="1" x14ac:dyDescent="0.25">
      <c r="B1854" s="35" t="s">
        <v>47</v>
      </c>
      <c r="C1854" s="35">
        <v>2770243</v>
      </c>
      <c r="D1854" s="35">
        <v>2.5</v>
      </c>
      <c r="E1854" s="35" t="s">
        <v>274</v>
      </c>
      <c r="F1854" s="31" t="str">
        <f t="shared" si="56"/>
        <v>A3.01.02</v>
      </c>
      <c r="G1854" s="34">
        <f t="shared" si="57"/>
        <v>2.5</v>
      </c>
    </row>
    <row r="1855" spans="2:7" ht="13.8" customHeight="1" x14ac:dyDescent="0.25">
      <c r="B1855" s="35" t="s">
        <v>47</v>
      </c>
      <c r="C1855" s="35">
        <v>2770246</v>
      </c>
      <c r="D1855" s="35">
        <v>2.5</v>
      </c>
      <c r="E1855" s="35" t="s">
        <v>274</v>
      </c>
      <c r="F1855" s="31" t="str">
        <f t="shared" si="56"/>
        <v>A3.01.02</v>
      </c>
      <c r="G1855" s="34">
        <f t="shared" si="57"/>
        <v>2.5</v>
      </c>
    </row>
    <row r="1856" spans="2:7" ht="13.8" customHeight="1" x14ac:dyDescent="0.25">
      <c r="B1856" s="35" t="s">
        <v>47</v>
      </c>
      <c r="C1856" s="35">
        <v>2770306</v>
      </c>
      <c r="D1856" s="35">
        <v>2.5</v>
      </c>
      <c r="E1856" s="35" t="s">
        <v>275</v>
      </c>
      <c r="F1856" s="31" t="str">
        <f t="shared" si="56"/>
        <v>A3.01.01</v>
      </c>
      <c r="G1856" s="34">
        <f t="shared" si="57"/>
        <v>2.5</v>
      </c>
    </row>
    <row r="1857" spans="2:7" ht="13.8" customHeight="1" x14ac:dyDescent="0.25">
      <c r="B1857" s="35" t="s">
        <v>47</v>
      </c>
      <c r="C1857" s="35">
        <v>2770309</v>
      </c>
      <c r="D1857" s="35">
        <v>2.5</v>
      </c>
      <c r="E1857" s="35" t="s">
        <v>275</v>
      </c>
      <c r="F1857" s="31" t="str">
        <f t="shared" si="56"/>
        <v>A3.01.01</v>
      </c>
      <c r="G1857" s="34">
        <f t="shared" si="57"/>
        <v>2.5</v>
      </c>
    </row>
    <row r="1858" spans="2:7" ht="13.8" customHeight="1" x14ac:dyDescent="0.25">
      <c r="B1858" s="35" t="s">
        <v>47</v>
      </c>
      <c r="C1858" s="35">
        <v>2770388</v>
      </c>
      <c r="D1858" s="35">
        <v>2.5</v>
      </c>
      <c r="E1858" s="35" t="s">
        <v>276</v>
      </c>
      <c r="F1858" s="31" t="str">
        <f t="shared" si="56"/>
        <v>A3.08.03</v>
      </c>
      <c r="G1858" s="34">
        <f t="shared" si="57"/>
        <v>2.5</v>
      </c>
    </row>
    <row r="1859" spans="2:7" ht="13.8" customHeight="1" x14ac:dyDescent="0.25">
      <c r="B1859" s="35" t="s">
        <v>47</v>
      </c>
      <c r="C1859" s="35">
        <v>2770390</v>
      </c>
      <c r="D1859" s="35">
        <v>2.5</v>
      </c>
      <c r="E1859" s="35" t="s">
        <v>276</v>
      </c>
      <c r="F1859" s="31" t="str">
        <f t="shared" si="56"/>
        <v>A3.08.03</v>
      </c>
      <c r="G1859" s="34">
        <f t="shared" si="57"/>
        <v>2.5</v>
      </c>
    </row>
    <row r="1860" spans="2:7" ht="13.8" customHeight="1" x14ac:dyDescent="0.25">
      <c r="B1860" s="35" t="s">
        <v>47</v>
      </c>
      <c r="C1860" s="35">
        <v>2770466</v>
      </c>
      <c r="D1860" s="35">
        <v>2.5</v>
      </c>
      <c r="E1860" s="35" t="s">
        <v>277</v>
      </c>
      <c r="F1860" s="31" t="str">
        <f t="shared" si="56"/>
        <v>A3.08.02</v>
      </c>
      <c r="G1860" s="34">
        <f t="shared" si="57"/>
        <v>2.5</v>
      </c>
    </row>
    <row r="1861" spans="2:7" ht="13.8" customHeight="1" x14ac:dyDescent="0.25">
      <c r="B1861" s="35" t="s">
        <v>47</v>
      </c>
      <c r="C1861" s="35">
        <v>2770468</v>
      </c>
      <c r="D1861" s="35">
        <v>2.5</v>
      </c>
      <c r="E1861" s="35" t="s">
        <v>277</v>
      </c>
      <c r="F1861" s="31" t="str">
        <f t="shared" si="56"/>
        <v>A3.08.02</v>
      </c>
      <c r="G1861" s="34">
        <f t="shared" si="57"/>
        <v>2.5</v>
      </c>
    </row>
    <row r="1862" spans="2:7" ht="13.8" customHeight="1" x14ac:dyDescent="0.25">
      <c r="B1862" s="35" t="s">
        <v>47</v>
      </c>
      <c r="C1862" s="35">
        <v>2770540</v>
      </c>
      <c r="D1862" s="35">
        <v>2.5</v>
      </c>
      <c r="E1862" s="35" t="s">
        <v>278</v>
      </c>
      <c r="F1862" s="31" t="str">
        <f t="shared" si="56"/>
        <v>C1.14.05</v>
      </c>
      <c r="G1862" s="34">
        <f t="shared" si="57"/>
        <v>2.5</v>
      </c>
    </row>
    <row r="1863" spans="2:7" ht="13.8" customHeight="1" x14ac:dyDescent="0.25">
      <c r="B1863" s="35" t="s">
        <v>47</v>
      </c>
      <c r="C1863" s="35">
        <v>2770543</v>
      </c>
      <c r="D1863" s="35">
        <v>2.5</v>
      </c>
      <c r="E1863" s="35" t="s">
        <v>278</v>
      </c>
      <c r="F1863" s="31" t="str">
        <f t="shared" ref="F1863:F1926" si="58">LEFT(E1863,8)</f>
        <v>C1.14.05</v>
      </c>
      <c r="G1863" s="34">
        <f t="shared" ref="G1863:G1926" si="59">D1863</f>
        <v>2.5</v>
      </c>
    </row>
    <row r="1864" spans="2:7" ht="13.8" customHeight="1" x14ac:dyDescent="0.25">
      <c r="B1864" s="35" t="s">
        <v>47</v>
      </c>
      <c r="C1864" s="35">
        <v>2770620</v>
      </c>
      <c r="D1864" s="35">
        <v>2.5</v>
      </c>
      <c r="E1864" s="35" t="s">
        <v>279</v>
      </c>
      <c r="F1864" s="31" t="str">
        <f t="shared" si="58"/>
        <v>C1.14.06</v>
      </c>
      <c r="G1864" s="34">
        <f t="shared" si="59"/>
        <v>2.5</v>
      </c>
    </row>
    <row r="1865" spans="2:7" ht="13.8" customHeight="1" x14ac:dyDescent="0.25">
      <c r="B1865" s="35" t="s">
        <v>47</v>
      </c>
      <c r="C1865" s="35">
        <v>2770622</v>
      </c>
      <c r="D1865" s="35">
        <v>2.5</v>
      </c>
      <c r="E1865" s="35" t="s">
        <v>279</v>
      </c>
      <c r="F1865" s="31" t="str">
        <f t="shared" si="58"/>
        <v>C1.14.06</v>
      </c>
      <c r="G1865" s="34">
        <f t="shared" si="59"/>
        <v>2.5</v>
      </c>
    </row>
    <row r="1866" spans="2:7" ht="13.8" customHeight="1" x14ac:dyDescent="0.25">
      <c r="B1866" s="35" t="s">
        <v>47</v>
      </c>
      <c r="C1866" s="35">
        <v>2770697</v>
      </c>
      <c r="D1866" s="35">
        <v>2.5</v>
      </c>
      <c r="E1866" s="35" t="s">
        <v>280</v>
      </c>
      <c r="F1866" s="31" t="str">
        <f t="shared" si="58"/>
        <v>C1.14.01</v>
      </c>
      <c r="G1866" s="34">
        <f t="shared" si="59"/>
        <v>2.5</v>
      </c>
    </row>
    <row r="1867" spans="2:7" ht="13.8" customHeight="1" x14ac:dyDescent="0.25">
      <c r="B1867" s="35" t="s">
        <v>47</v>
      </c>
      <c r="C1867" s="35">
        <v>2770699</v>
      </c>
      <c r="D1867" s="35">
        <v>2.5</v>
      </c>
      <c r="E1867" s="35" t="s">
        <v>280</v>
      </c>
      <c r="F1867" s="31" t="str">
        <f t="shared" si="58"/>
        <v>C1.14.01</v>
      </c>
      <c r="G1867" s="34">
        <f t="shared" si="59"/>
        <v>2.5</v>
      </c>
    </row>
    <row r="1868" spans="2:7" ht="13.8" customHeight="1" x14ac:dyDescent="0.25">
      <c r="B1868" s="35" t="s">
        <v>47</v>
      </c>
      <c r="C1868" s="35">
        <v>2770819</v>
      </c>
      <c r="D1868" s="35">
        <v>2.5</v>
      </c>
      <c r="E1868" s="35" t="s">
        <v>282</v>
      </c>
      <c r="F1868" s="31" t="str">
        <f t="shared" si="58"/>
        <v>C1.14.03</v>
      </c>
      <c r="G1868" s="34">
        <f t="shared" si="59"/>
        <v>2.5</v>
      </c>
    </row>
    <row r="1869" spans="2:7" ht="13.8" customHeight="1" x14ac:dyDescent="0.25">
      <c r="B1869" s="35" t="s">
        <v>47</v>
      </c>
      <c r="C1869" s="35">
        <v>2770821</v>
      </c>
      <c r="D1869" s="35">
        <v>2.5</v>
      </c>
      <c r="E1869" s="35" t="s">
        <v>282</v>
      </c>
      <c r="F1869" s="31" t="str">
        <f t="shared" si="58"/>
        <v>C1.14.03</v>
      </c>
      <c r="G1869" s="34">
        <f t="shared" si="59"/>
        <v>2.5</v>
      </c>
    </row>
    <row r="1870" spans="2:7" ht="13.8" customHeight="1" x14ac:dyDescent="0.25">
      <c r="B1870" s="35" t="s">
        <v>47</v>
      </c>
      <c r="C1870" s="35">
        <v>2770856</v>
      </c>
      <c r="D1870" s="35">
        <v>2.5</v>
      </c>
      <c r="E1870" s="35" t="s">
        <v>283</v>
      </c>
      <c r="F1870" s="31" t="str">
        <f t="shared" si="58"/>
        <v>C1.14.04</v>
      </c>
      <c r="G1870" s="34">
        <f t="shared" si="59"/>
        <v>2.5</v>
      </c>
    </row>
    <row r="1871" spans="2:7" ht="13.8" customHeight="1" x14ac:dyDescent="0.25">
      <c r="B1871" s="35" t="s">
        <v>47</v>
      </c>
      <c r="C1871" s="35">
        <v>2770858</v>
      </c>
      <c r="D1871" s="35">
        <v>2.5</v>
      </c>
      <c r="E1871" s="35" t="s">
        <v>283</v>
      </c>
      <c r="F1871" s="31" t="str">
        <f t="shared" si="58"/>
        <v>C1.14.04</v>
      </c>
      <c r="G1871" s="34">
        <f t="shared" si="59"/>
        <v>2.5</v>
      </c>
    </row>
    <row r="1872" spans="2:7" ht="13.8" customHeight="1" x14ac:dyDescent="0.25">
      <c r="B1872" s="35" t="s">
        <v>47</v>
      </c>
      <c r="C1872" s="35">
        <v>2770914</v>
      </c>
      <c r="D1872" s="35">
        <v>2.5</v>
      </c>
      <c r="E1872" s="35" t="s">
        <v>284</v>
      </c>
      <c r="F1872" s="31" t="str">
        <f t="shared" si="58"/>
        <v>C1.08.05</v>
      </c>
      <c r="G1872" s="34">
        <f t="shared" si="59"/>
        <v>2.5</v>
      </c>
    </row>
    <row r="1873" spans="2:7" ht="13.8" customHeight="1" x14ac:dyDescent="0.25">
      <c r="B1873" s="35" t="s">
        <v>47</v>
      </c>
      <c r="C1873" s="35">
        <v>2770917</v>
      </c>
      <c r="D1873" s="35">
        <v>2.5</v>
      </c>
      <c r="E1873" s="35" t="s">
        <v>284</v>
      </c>
      <c r="F1873" s="31" t="str">
        <f t="shared" si="58"/>
        <v>C1.08.05</v>
      </c>
      <c r="G1873" s="34">
        <f t="shared" si="59"/>
        <v>2.5</v>
      </c>
    </row>
    <row r="1874" spans="2:7" ht="13.8" customHeight="1" x14ac:dyDescent="0.25">
      <c r="B1874" s="35" t="s">
        <v>47</v>
      </c>
      <c r="C1874" s="35">
        <v>2770990</v>
      </c>
      <c r="D1874" s="35">
        <v>2.5</v>
      </c>
      <c r="E1874" s="35" t="s">
        <v>285</v>
      </c>
      <c r="F1874" s="31" t="str">
        <f t="shared" si="58"/>
        <v>C1.08.06</v>
      </c>
      <c r="G1874" s="34">
        <f t="shared" si="59"/>
        <v>2.5</v>
      </c>
    </row>
    <row r="1875" spans="2:7" ht="13.8" customHeight="1" x14ac:dyDescent="0.25">
      <c r="B1875" s="35" t="s">
        <v>47</v>
      </c>
      <c r="C1875" s="35">
        <v>2770993</v>
      </c>
      <c r="D1875" s="35">
        <v>2.5</v>
      </c>
      <c r="E1875" s="35" t="s">
        <v>285</v>
      </c>
      <c r="F1875" s="31" t="str">
        <f t="shared" si="58"/>
        <v>C1.08.06</v>
      </c>
      <c r="G1875" s="34">
        <f t="shared" si="59"/>
        <v>2.5</v>
      </c>
    </row>
    <row r="1876" spans="2:7" ht="13.8" customHeight="1" x14ac:dyDescent="0.25">
      <c r="B1876" s="35" t="s">
        <v>47</v>
      </c>
      <c r="C1876" s="35">
        <v>2771076</v>
      </c>
      <c r="D1876" s="35">
        <v>2.5</v>
      </c>
      <c r="E1876" s="35" t="s">
        <v>286</v>
      </c>
      <c r="F1876" s="31" t="str">
        <f t="shared" si="58"/>
        <v>C1.08.02</v>
      </c>
      <c r="G1876" s="34">
        <f t="shared" si="59"/>
        <v>2.5</v>
      </c>
    </row>
    <row r="1877" spans="2:7" ht="13.8" customHeight="1" x14ac:dyDescent="0.25">
      <c r="B1877" s="35" t="s">
        <v>47</v>
      </c>
      <c r="C1877" s="35">
        <v>2771079</v>
      </c>
      <c r="D1877" s="35">
        <v>2.5</v>
      </c>
      <c r="E1877" s="35" t="s">
        <v>286</v>
      </c>
      <c r="F1877" s="31" t="str">
        <f t="shared" si="58"/>
        <v>C1.08.02</v>
      </c>
      <c r="G1877" s="34">
        <f t="shared" si="59"/>
        <v>2.5</v>
      </c>
    </row>
    <row r="1878" spans="2:7" ht="13.8" customHeight="1" x14ac:dyDescent="0.25">
      <c r="B1878" s="35" t="s">
        <v>47</v>
      </c>
      <c r="C1878" s="35">
        <v>2771126</v>
      </c>
      <c r="D1878" s="35">
        <v>2.5</v>
      </c>
      <c r="E1878" s="35" t="s">
        <v>287</v>
      </c>
      <c r="F1878" s="31" t="str">
        <f t="shared" si="58"/>
        <v>C1.08.03</v>
      </c>
      <c r="G1878" s="34">
        <f t="shared" si="59"/>
        <v>2.5</v>
      </c>
    </row>
    <row r="1879" spans="2:7" ht="13.8" customHeight="1" x14ac:dyDescent="0.25">
      <c r="B1879" s="35" t="s">
        <v>47</v>
      </c>
      <c r="C1879" s="35">
        <v>2771129</v>
      </c>
      <c r="D1879" s="35">
        <v>2.5</v>
      </c>
      <c r="E1879" s="35" t="s">
        <v>287</v>
      </c>
      <c r="F1879" s="31" t="str">
        <f t="shared" si="58"/>
        <v>C1.08.03</v>
      </c>
      <c r="G1879" s="34">
        <f t="shared" si="59"/>
        <v>2.5</v>
      </c>
    </row>
    <row r="1880" spans="2:7" ht="13.8" customHeight="1" x14ac:dyDescent="0.25">
      <c r="B1880" s="35" t="s">
        <v>47</v>
      </c>
      <c r="C1880" s="35">
        <v>2771167</v>
      </c>
      <c r="D1880" s="35">
        <v>2.5</v>
      </c>
      <c r="E1880" s="35" t="s">
        <v>288</v>
      </c>
      <c r="F1880" s="31" t="str">
        <f t="shared" si="58"/>
        <v>C1.08.04</v>
      </c>
      <c r="G1880" s="34">
        <f t="shared" si="59"/>
        <v>2.5</v>
      </c>
    </row>
    <row r="1881" spans="2:7" ht="13.8" customHeight="1" x14ac:dyDescent="0.25">
      <c r="B1881" s="35" t="s">
        <v>47</v>
      </c>
      <c r="C1881" s="35">
        <v>2771170</v>
      </c>
      <c r="D1881" s="35">
        <v>2.5</v>
      </c>
      <c r="E1881" s="35" t="s">
        <v>288</v>
      </c>
      <c r="F1881" s="31" t="str">
        <f t="shared" si="58"/>
        <v>C1.08.04</v>
      </c>
      <c r="G1881" s="34">
        <f t="shared" si="59"/>
        <v>2.5</v>
      </c>
    </row>
    <row r="1882" spans="2:7" ht="13.8" customHeight="1" x14ac:dyDescent="0.25">
      <c r="B1882" s="35" t="s">
        <v>47</v>
      </c>
      <c r="C1882" s="35">
        <v>2771232</v>
      </c>
      <c r="D1882" s="35">
        <v>2.5</v>
      </c>
      <c r="E1882" s="35" t="s">
        <v>289</v>
      </c>
      <c r="F1882" s="31" t="str">
        <f t="shared" si="58"/>
        <v>C1.08.01</v>
      </c>
      <c r="G1882" s="34">
        <f t="shared" si="59"/>
        <v>2.5</v>
      </c>
    </row>
    <row r="1883" spans="2:7" ht="13.8" customHeight="1" x14ac:dyDescent="0.25">
      <c r="B1883" s="35" t="s">
        <v>47</v>
      </c>
      <c r="C1883" s="35">
        <v>2771235</v>
      </c>
      <c r="D1883" s="35">
        <v>2.5</v>
      </c>
      <c r="E1883" s="35" t="s">
        <v>289</v>
      </c>
      <c r="F1883" s="31" t="str">
        <f t="shared" si="58"/>
        <v>C1.08.01</v>
      </c>
      <c r="G1883" s="34">
        <f t="shared" si="59"/>
        <v>2.5</v>
      </c>
    </row>
    <row r="1884" spans="2:7" ht="13.8" customHeight="1" x14ac:dyDescent="0.25">
      <c r="B1884" s="35" t="s">
        <v>47</v>
      </c>
      <c r="C1884" s="35">
        <v>2771314</v>
      </c>
      <c r="D1884" s="35">
        <v>2.5</v>
      </c>
      <c r="E1884" s="35" t="s">
        <v>290</v>
      </c>
      <c r="F1884" s="31" t="str">
        <f t="shared" si="58"/>
        <v>C1.09.08</v>
      </c>
      <c r="G1884" s="34">
        <f t="shared" si="59"/>
        <v>2.5</v>
      </c>
    </row>
    <row r="1885" spans="2:7" ht="13.8" customHeight="1" x14ac:dyDescent="0.25">
      <c r="B1885" s="35" t="s">
        <v>47</v>
      </c>
      <c r="C1885" s="35">
        <v>2771316</v>
      </c>
      <c r="D1885" s="35">
        <v>2.5</v>
      </c>
      <c r="E1885" s="35" t="s">
        <v>290</v>
      </c>
      <c r="F1885" s="31" t="str">
        <f t="shared" si="58"/>
        <v>C1.09.08</v>
      </c>
      <c r="G1885" s="34">
        <f t="shared" si="59"/>
        <v>2.5</v>
      </c>
    </row>
    <row r="1886" spans="2:7" ht="13.8" customHeight="1" x14ac:dyDescent="0.25">
      <c r="B1886" s="35" t="s">
        <v>47</v>
      </c>
      <c r="C1886" s="35">
        <v>2771384</v>
      </c>
      <c r="D1886" s="35">
        <v>2.5</v>
      </c>
      <c r="E1886" s="35" t="s">
        <v>291</v>
      </c>
      <c r="F1886" s="31" t="str">
        <f t="shared" si="58"/>
        <v>C1.09.07</v>
      </c>
      <c r="G1886" s="34">
        <f t="shared" si="59"/>
        <v>2.5</v>
      </c>
    </row>
    <row r="1887" spans="2:7" ht="13.8" customHeight="1" x14ac:dyDescent="0.25">
      <c r="B1887" s="35" t="s">
        <v>47</v>
      </c>
      <c r="C1887" s="35">
        <v>2771386</v>
      </c>
      <c r="D1887" s="35">
        <v>2.5</v>
      </c>
      <c r="E1887" s="35" t="s">
        <v>291</v>
      </c>
      <c r="F1887" s="31" t="str">
        <f t="shared" si="58"/>
        <v>C1.09.07</v>
      </c>
      <c r="G1887" s="34">
        <f t="shared" si="59"/>
        <v>2.5</v>
      </c>
    </row>
    <row r="1888" spans="2:7" ht="13.8" customHeight="1" x14ac:dyDescent="0.25">
      <c r="B1888" s="35" t="s">
        <v>47</v>
      </c>
      <c r="C1888" s="35">
        <v>2771450</v>
      </c>
      <c r="D1888" s="35">
        <v>2.5</v>
      </c>
      <c r="E1888" s="35" t="s">
        <v>292</v>
      </c>
      <c r="F1888" s="31" t="str">
        <f t="shared" si="58"/>
        <v>C1.08.08</v>
      </c>
      <c r="G1888" s="34">
        <f t="shared" si="59"/>
        <v>2.5</v>
      </c>
    </row>
    <row r="1889" spans="2:7" ht="13.8" customHeight="1" x14ac:dyDescent="0.25">
      <c r="B1889" s="35" t="s">
        <v>47</v>
      </c>
      <c r="C1889" s="35">
        <v>2771453</v>
      </c>
      <c r="D1889" s="35">
        <v>2.5</v>
      </c>
      <c r="E1889" s="35" t="s">
        <v>292</v>
      </c>
      <c r="F1889" s="31" t="str">
        <f t="shared" si="58"/>
        <v>C1.08.08</v>
      </c>
      <c r="G1889" s="34">
        <f t="shared" si="59"/>
        <v>2.5</v>
      </c>
    </row>
    <row r="1890" spans="2:7" ht="13.8" customHeight="1" x14ac:dyDescent="0.25">
      <c r="B1890" s="35" t="s">
        <v>47</v>
      </c>
      <c r="C1890" s="35">
        <v>2771524</v>
      </c>
      <c r="D1890" s="35">
        <v>2.5</v>
      </c>
      <c r="E1890" s="35" t="s">
        <v>293</v>
      </c>
      <c r="F1890" s="31" t="str">
        <f t="shared" si="58"/>
        <v>C1.08.07</v>
      </c>
      <c r="G1890" s="34">
        <f t="shared" si="59"/>
        <v>2.5</v>
      </c>
    </row>
    <row r="1891" spans="2:7" ht="13.8" customHeight="1" x14ac:dyDescent="0.25">
      <c r="B1891" s="35" t="s">
        <v>47</v>
      </c>
      <c r="C1891" s="35">
        <v>2771527</v>
      </c>
      <c r="D1891" s="35">
        <v>2.5</v>
      </c>
      <c r="E1891" s="35" t="s">
        <v>293</v>
      </c>
      <c r="F1891" s="31" t="str">
        <f t="shared" si="58"/>
        <v>C1.08.07</v>
      </c>
      <c r="G1891" s="34">
        <f t="shared" si="59"/>
        <v>2.5</v>
      </c>
    </row>
    <row r="1892" spans="2:7" ht="13.8" customHeight="1" x14ac:dyDescent="0.25">
      <c r="B1892" s="35" t="s">
        <v>47</v>
      </c>
      <c r="C1892" s="35">
        <v>2771598</v>
      </c>
      <c r="D1892" s="35">
        <v>2.5</v>
      </c>
      <c r="E1892" s="35" t="s">
        <v>294</v>
      </c>
      <c r="F1892" s="31" t="str">
        <f t="shared" si="58"/>
        <v>C1.01.02</v>
      </c>
      <c r="G1892" s="34">
        <f t="shared" si="59"/>
        <v>2.5</v>
      </c>
    </row>
    <row r="1893" spans="2:7" ht="13.8" customHeight="1" x14ac:dyDescent="0.25">
      <c r="B1893" s="35" t="s">
        <v>47</v>
      </c>
      <c r="C1893" s="35">
        <v>2771601</v>
      </c>
      <c r="D1893" s="35">
        <v>2.5</v>
      </c>
      <c r="E1893" s="35" t="s">
        <v>294</v>
      </c>
      <c r="F1893" s="31" t="str">
        <f t="shared" si="58"/>
        <v>C1.01.02</v>
      </c>
      <c r="G1893" s="34">
        <f t="shared" si="59"/>
        <v>2.5</v>
      </c>
    </row>
    <row r="1894" spans="2:7" ht="13.8" customHeight="1" x14ac:dyDescent="0.25">
      <c r="B1894" s="35" t="s">
        <v>47</v>
      </c>
      <c r="C1894" s="35">
        <v>2771639</v>
      </c>
      <c r="D1894" s="35">
        <v>2.5</v>
      </c>
      <c r="E1894" s="35" t="s">
        <v>295</v>
      </c>
      <c r="F1894" s="31" t="str">
        <f t="shared" si="58"/>
        <v>C1.01.03</v>
      </c>
      <c r="G1894" s="34">
        <f t="shared" si="59"/>
        <v>2.5</v>
      </c>
    </row>
    <row r="1895" spans="2:7" ht="13.8" customHeight="1" x14ac:dyDescent="0.25">
      <c r="B1895" s="35" t="s">
        <v>47</v>
      </c>
      <c r="C1895" s="35">
        <v>2771642</v>
      </c>
      <c r="D1895" s="35">
        <v>2.5</v>
      </c>
      <c r="E1895" s="35" t="s">
        <v>295</v>
      </c>
      <c r="F1895" s="31" t="str">
        <f t="shared" si="58"/>
        <v>C1.01.03</v>
      </c>
      <c r="G1895" s="34">
        <f t="shared" si="59"/>
        <v>2.5</v>
      </c>
    </row>
    <row r="1896" spans="2:7" ht="13.8" customHeight="1" x14ac:dyDescent="0.25">
      <c r="B1896" s="35" t="s">
        <v>47</v>
      </c>
      <c r="C1896" s="35">
        <v>2771673</v>
      </c>
      <c r="D1896" s="35">
        <v>2.5</v>
      </c>
      <c r="E1896" s="35" t="s">
        <v>296</v>
      </c>
      <c r="F1896" s="31" t="str">
        <f t="shared" si="58"/>
        <v>C1.01.04</v>
      </c>
      <c r="G1896" s="34">
        <f t="shared" si="59"/>
        <v>2.5</v>
      </c>
    </row>
    <row r="1897" spans="2:7" ht="13.8" customHeight="1" x14ac:dyDescent="0.25">
      <c r="B1897" s="35" t="s">
        <v>47</v>
      </c>
      <c r="C1897" s="35">
        <v>2771676</v>
      </c>
      <c r="D1897" s="35">
        <v>2.5</v>
      </c>
      <c r="E1897" s="35" t="s">
        <v>296</v>
      </c>
      <c r="F1897" s="31" t="str">
        <f t="shared" si="58"/>
        <v>C1.01.04</v>
      </c>
      <c r="G1897" s="34">
        <f t="shared" si="59"/>
        <v>2.5</v>
      </c>
    </row>
    <row r="1898" spans="2:7" ht="13.8" customHeight="1" x14ac:dyDescent="0.25">
      <c r="B1898" s="35" t="s">
        <v>47</v>
      </c>
      <c r="C1898" s="35">
        <v>2771717</v>
      </c>
      <c r="D1898" s="35">
        <v>2.5</v>
      </c>
      <c r="E1898" s="35" t="s">
        <v>297</v>
      </c>
      <c r="F1898" s="31" t="str">
        <f t="shared" si="58"/>
        <v>C1.01.05</v>
      </c>
      <c r="G1898" s="34">
        <f t="shared" si="59"/>
        <v>2.5</v>
      </c>
    </row>
    <row r="1899" spans="2:7" ht="13.8" customHeight="1" x14ac:dyDescent="0.25">
      <c r="B1899" s="35" t="s">
        <v>47</v>
      </c>
      <c r="C1899" s="35">
        <v>2771720</v>
      </c>
      <c r="D1899" s="35">
        <v>2.5</v>
      </c>
      <c r="E1899" s="35" t="s">
        <v>297</v>
      </c>
      <c r="F1899" s="31" t="str">
        <f t="shared" si="58"/>
        <v>C1.01.05</v>
      </c>
      <c r="G1899" s="34">
        <f t="shared" si="59"/>
        <v>2.5</v>
      </c>
    </row>
    <row r="1900" spans="2:7" ht="13.8" customHeight="1" x14ac:dyDescent="0.25">
      <c r="B1900" s="35" t="s">
        <v>47</v>
      </c>
      <c r="C1900" s="35">
        <v>2771764</v>
      </c>
      <c r="D1900" s="35">
        <v>2.5</v>
      </c>
      <c r="E1900" s="35" t="s">
        <v>298</v>
      </c>
      <c r="F1900" s="31" t="str">
        <f t="shared" si="58"/>
        <v>C1.01.06</v>
      </c>
      <c r="G1900" s="34">
        <f t="shared" si="59"/>
        <v>2.5</v>
      </c>
    </row>
    <row r="1901" spans="2:7" ht="13.8" customHeight="1" x14ac:dyDescent="0.25">
      <c r="B1901" s="35" t="s">
        <v>47</v>
      </c>
      <c r="C1901" s="35">
        <v>2771767</v>
      </c>
      <c r="D1901" s="35">
        <v>2.5</v>
      </c>
      <c r="E1901" s="35" t="s">
        <v>298</v>
      </c>
      <c r="F1901" s="31" t="str">
        <f t="shared" si="58"/>
        <v>C1.01.06</v>
      </c>
      <c r="G1901" s="34">
        <f t="shared" si="59"/>
        <v>2.5</v>
      </c>
    </row>
    <row r="1902" spans="2:7" ht="13.8" customHeight="1" x14ac:dyDescent="0.25">
      <c r="B1902" s="35" t="s">
        <v>47</v>
      </c>
      <c r="C1902" s="35">
        <v>2771833</v>
      </c>
      <c r="D1902" s="35">
        <v>2.5</v>
      </c>
      <c r="E1902" s="35" t="s">
        <v>299</v>
      </c>
      <c r="F1902" s="31" t="str">
        <f t="shared" si="58"/>
        <v>C1.01.01</v>
      </c>
      <c r="G1902" s="34">
        <f t="shared" si="59"/>
        <v>2.5</v>
      </c>
    </row>
    <row r="1903" spans="2:7" ht="13.8" customHeight="1" x14ac:dyDescent="0.25">
      <c r="B1903" s="35" t="s">
        <v>47</v>
      </c>
      <c r="C1903" s="35">
        <v>2770774</v>
      </c>
      <c r="D1903" s="35">
        <v>2.5</v>
      </c>
      <c r="E1903" s="35" t="s">
        <v>281</v>
      </c>
      <c r="F1903" s="31" t="str">
        <f t="shared" si="58"/>
        <v>C1.14.02</v>
      </c>
      <c r="G1903" s="34">
        <f t="shared" si="59"/>
        <v>2.5</v>
      </c>
    </row>
    <row r="1904" spans="2:7" ht="13.8" customHeight="1" x14ac:dyDescent="0.25">
      <c r="B1904" s="35" t="s">
        <v>47</v>
      </c>
      <c r="C1904" s="35">
        <v>2770776</v>
      </c>
      <c r="D1904" s="35">
        <v>2.5</v>
      </c>
      <c r="E1904" s="35" t="s">
        <v>281</v>
      </c>
      <c r="F1904" s="31" t="str">
        <f t="shared" si="58"/>
        <v>C1.14.02</v>
      </c>
      <c r="G1904" s="34">
        <f t="shared" si="59"/>
        <v>2.5</v>
      </c>
    </row>
    <row r="1905" spans="2:7" ht="13.8" customHeight="1" x14ac:dyDescent="0.25">
      <c r="B1905" s="35" t="s">
        <v>55</v>
      </c>
      <c r="C1905" s="35">
        <v>2765539</v>
      </c>
      <c r="D1905" s="35">
        <v>3.47</v>
      </c>
      <c r="E1905" s="35" t="s">
        <v>205</v>
      </c>
      <c r="F1905" s="31" t="str">
        <f t="shared" si="58"/>
        <v>E2.01.04</v>
      </c>
      <c r="G1905" s="34">
        <f t="shared" si="59"/>
        <v>3.47</v>
      </c>
    </row>
    <row r="1906" spans="2:7" ht="13.8" customHeight="1" x14ac:dyDescent="0.25">
      <c r="B1906" s="35" t="s">
        <v>55</v>
      </c>
      <c r="C1906" s="35">
        <v>2765540</v>
      </c>
      <c r="D1906" s="35">
        <v>7.43</v>
      </c>
      <c r="E1906" s="35" t="s">
        <v>205</v>
      </c>
      <c r="F1906" s="31" t="str">
        <f t="shared" si="58"/>
        <v>E2.01.04</v>
      </c>
      <c r="G1906" s="34">
        <f t="shared" si="59"/>
        <v>7.43</v>
      </c>
    </row>
    <row r="1907" spans="2:7" ht="13.8" customHeight="1" x14ac:dyDescent="0.25">
      <c r="B1907" s="35" t="s">
        <v>55</v>
      </c>
      <c r="C1907" s="35">
        <v>2765604</v>
      </c>
      <c r="D1907" s="35">
        <v>4.7300000000000004</v>
      </c>
      <c r="E1907" s="35" t="s">
        <v>206</v>
      </c>
      <c r="F1907" s="31" t="str">
        <f t="shared" si="58"/>
        <v>E2.01.03</v>
      </c>
      <c r="G1907" s="34">
        <f t="shared" si="59"/>
        <v>4.7300000000000004</v>
      </c>
    </row>
    <row r="1908" spans="2:7" ht="13.8" customHeight="1" x14ac:dyDescent="0.25">
      <c r="B1908" s="35" t="s">
        <v>55</v>
      </c>
      <c r="C1908" s="35">
        <v>2765605</v>
      </c>
      <c r="D1908" s="35">
        <v>4.0599999999999996</v>
      </c>
      <c r="E1908" s="35" t="s">
        <v>206</v>
      </c>
      <c r="F1908" s="31" t="str">
        <f t="shared" si="58"/>
        <v>E2.01.03</v>
      </c>
      <c r="G1908" s="34">
        <f t="shared" si="59"/>
        <v>4.0599999999999996</v>
      </c>
    </row>
    <row r="1909" spans="2:7" ht="13.8" customHeight="1" x14ac:dyDescent="0.25">
      <c r="B1909" s="35" t="s">
        <v>55</v>
      </c>
      <c r="C1909" s="35">
        <v>2765673</v>
      </c>
      <c r="D1909" s="35">
        <v>6.54</v>
      </c>
      <c r="E1909" s="35" t="s">
        <v>207</v>
      </c>
      <c r="F1909" s="31" t="str">
        <f t="shared" si="58"/>
        <v>E2.01.01</v>
      </c>
      <c r="G1909" s="34">
        <f t="shared" si="59"/>
        <v>6.54</v>
      </c>
    </row>
    <row r="1910" spans="2:7" ht="13.8" customHeight="1" x14ac:dyDescent="0.25">
      <c r="B1910" s="35" t="s">
        <v>55</v>
      </c>
      <c r="C1910" s="35">
        <v>2765676</v>
      </c>
      <c r="D1910" s="35">
        <v>3.81</v>
      </c>
      <c r="E1910" s="35" t="s">
        <v>207</v>
      </c>
      <c r="F1910" s="31" t="str">
        <f t="shared" si="58"/>
        <v>E2.01.01</v>
      </c>
      <c r="G1910" s="34">
        <f t="shared" si="59"/>
        <v>3.81</v>
      </c>
    </row>
    <row r="1911" spans="2:7" ht="13.8" customHeight="1" x14ac:dyDescent="0.25">
      <c r="B1911" s="35" t="s">
        <v>55</v>
      </c>
      <c r="C1911" s="35">
        <v>2773256</v>
      </c>
      <c r="D1911" s="35">
        <v>4.96</v>
      </c>
      <c r="E1911" s="35" t="s">
        <v>207</v>
      </c>
      <c r="F1911" s="31" t="str">
        <f t="shared" si="58"/>
        <v>E2.01.01</v>
      </c>
      <c r="G1911" s="34">
        <f t="shared" si="59"/>
        <v>4.96</v>
      </c>
    </row>
    <row r="1912" spans="2:7" ht="13.8" customHeight="1" x14ac:dyDescent="0.25">
      <c r="B1912" s="35" t="s">
        <v>55</v>
      </c>
      <c r="C1912" s="35">
        <v>2765738</v>
      </c>
      <c r="D1912" s="35">
        <v>4.7</v>
      </c>
      <c r="E1912" s="35" t="s">
        <v>208</v>
      </c>
      <c r="F1912" s="31" t="str">
        <f t="shared" si="58"/>
        <v>E2.01.02</v>
      </c>
      <c r="G1912" s="34">
        <f t="shared" si="59"/>
        <v>4.7</v>
      </c>
    </row>
    <row r="1913" spans="2:7" ht="13.8" customHeight="1" x14ac:dyDescent="0.25">
      <c r="B1913" s="35" t="s">
        <v>55</v>
      </c>
      <c r="C1913" s="35">
        <v>2773293</v>
      </c>
      <c r="D1913" s="35">
        <v>1.45</v>
      </c>
      <c r="E1913" s="35" t="s">
        <v>208</v>
      </c>
      <c r="F1913" s="31" t="str">
        <f t="shared" si="58"/>
        <v>E2.01.02</v>
      </c>
      <c r="G1913" s="34">
        <f t="shared" si="59"/>
        <v>1.45</v>
      </c>
    </row>
    <row r="1914" spans="2:7" ht="13.8" customHeight="1" x14ac:dyDescent="0.25">
      <c r="B1914" s="35" t="s">
        <v>55</v>
      </c>
      <c r="C1914" s="35">
        <v>2769742</v>
      </c>
      <c r="D1914" s="35">
        <v>3.82</v>
      </c>
      <c r="E1914" s="35" t="s">
        <v>265</v>
      </c>
      <c r="F1914" s="31" t="str">
        <f t="shared" si="58"/>
        <v>B1.02.01</v>
      </c>
      <c r="G1914" s="34">
        <f t="shared" si="59"/>
        <v>3.82</v>
      </c>
    </row>
    <row r="1915" spans="2:7" ht="13.8" customHeight="1" x14ac:dyDescent="0.25">
      <c r="B1915" s="35" t="s">
        <v>55</v>
      </c>
      <c r="C1915" s="35">
        <v>2769799</v>
      </c>
      <c r="D1915" s="35">
        <v>5.6</v>
      </c>
      <c r="E1915" s="35" t="s">
        <v>266</v>
      </c>
      <c r="F1915" s="31" t="str">
        <f t="shared" si="58"/>
        <v>B1.02.02</v>
      </c>
      <c r="G1915" s="34">
        <f t="shared" si="59"/>
        <v>5.6</v>
      </c>
    </row>
    <row r="1916" spans="2:7" ht="13.8" customHeight="1" x14ac:dyDescent="0.25">
      <c r="B1916" s="35" t="s">
        <v>55</v>
      </c>
      <c r="C1916" s="35">
        <v>2769800</v>
      </c>
      <c r="D1916" s="35">
        <v>6.7</v>
      </c>
      <c r="E1916" s="35" t="s">
        <v>266</v>
      </c>
      <c r="F1916" s="31" t="str">
        <f t="shared" si="58"/>
        <v>B1.02.02</v>
      </c>
      <c r="G1916" s="34">
        <f t="shared" si="59"/>
        <v>6.7</v>
      </c>
    </row>
    <row r="1917" spans="2:7" ht="13.8" customHeight="1" x14ac:dyDescent="0.25">
      <c r="B1917" s="35" t="s">
        <v>55</v>
      </c>
      <c r="C1917" s="35">
        <v>2769864</v>
      </c>
      <c r="D1917" s="35">
        <v>1.1100000000000001</v>
      </c>
      <c r="E1917" s="35" t="s">
        <v>267</v>
      </c>
      <c r="F1917" s="31" t="str">
        <f t="shared" si="58"/>
        <v>D1.02.02</v>
      </c>
      <c r="G1917" s="34">
        <f t="shared" si="59"/>
        <v>1.1100000000000001</v>
      </c>
    </row>
    <row r="1918" spans="2:7" ht="13.8" customHeight="1" x14ac:dyDescent="0.25">
      <c r="B1918" s="35" t="s">
        <v>55</v>
      </c>
      <c r="C1918" s="35">
        <v>2769865</v>
      </c>
      <c r="D1918" s="35">
        <v>1.01</v>
      </c>
      <c r="E1918" s="35" t="s">
        <v>267</v>
      </c>
      <c r="F1918" s="31" t="str">
        <f t="shared" si="58"/>
        <v>D1.02.02</v>
      </c>
      <c r="G1918" s="34">
        <f t="shared" si="59"/>
        <v>1.01</v>
      </c>
    </row>
    <row r="1919" spans="2:7" ht="13.8" customHeight="1" x14ac:dyDescent="0.25">
      <c r="B1919" s="35" t="s">
        <v>55</v>
      </c>
      <c r="C1919" s="35">
        <v>2769866</v>
      </c>
      <c r="D1919" s="35">
        <v>10.039999999999999</v>
      </c>
      <c r="E1919" s="35" t="s">
        <v>267</v>
      </c>
      <c r="F1919" s="31" t="str">
        <f t="shared" si="58"/>
        <v>D1.02.02</v>
      </c>
      <c r="G1919" s="34">
        <f t="shared" si="59"/>
        <v>10.039999999999999</v>
      </c>
    </row>
    <row r="1920" spans="2:7" ht="13.8" customHeight="1" x14ac:dyDescent="0.25">
      <c r="B1920" s="35" t="s">
        <v>55</v>
      </c>
      <c r="C1920" s="35">
        <v>2769881</v>
      </c>
      <c r="D1920" s="35">
        <v>1.22</v>
      </c>
      <c r="E1920" s="35" t="s">
        <v>267</v>
      </c>
      <c r="F1920" s="31" t="str">
        <f t="shared" si="58"/>
        <v>D1.02.02</v>
      </c>
      <c r="G1920" s="34">
        <f t="shared" si="59"/>
        <v>1.22</v>
      </c>
    </row>
    <row r="1921" spans="2:7" ht="13.8" customHeight="1" x14ac:dyDescent="0.25">
      <c r="B1921" s="35" t="s">
        <v>55</v>
      </c>
      <c r="C1921" s="35">
        <v>2769970</v>
      </c>
      <c r="D1921" s="35">
        <v>5.88</v>
      </c>
      <c r="E1921" s="35" t="s">
        <v>269</v>
      </c>
      <c r="F1921" s="31" t="str">
        <f t="shared" si="58"/>
        <v>D1.02.04</v>
      </c>
      <c r="G1921" s="34">
        <f t="shared" si="59"/>
        <v>5.88</v>
      </c>
    </row>
    <row r="1922" spans="2:7" ht="13.8" customHeight="1" x14ac:dyDescent="0.25">
      <c r="B1922" s="35" t="s">
        <v>55</v>
      </c>
      <c r="C1922" s="35">
        <v>2769971</v>
      </c>
      <c r="D1922" s="35">
        <v>2.02</v>
      </c>
      <c r="E1922" s="35" t="s">
        <v>269</v>
      </c>
      <c r="F1922" s="31" t="str">
        <f t="shared" si="58"/>
        <v>D1.02.04</v>
      </c>
      <c r="G1922" s="34">
        <f t="shared" si="59"/>
        <v>2.02</v>
      </c>
    </row>
    <row r="1923" spans="2:7" ht="13.8" customHeight="1" x14ac:dyDescent="0.25">
      <c r="B1923" s="35" t="s">
        <v>55</v>
      </c>
      <c r="C1923" s="35">
        <v>2770029</v>
      </c>
      <c r="D1923" s="35">
        <v>8.1199999999999992</v>
      </c>
      <c r="E1923" s="35" t="s">
        <v>270</v>
      </c>
      <c r="F1923" s="31" t="str">
        <f t="shared" si="58"/>
        <v>D1.02.03</v>
      </c>
      <c r="G1923" s="34">
        <f t="shared" si="59"/>
        <v>8.1199999999999992</v>
      </c>
    </row>
    <row r="1924" spans="2:7" ht="13.8" customHeight="1" x14ac:dyDescent="0.25">
      <c r="B1924" s="35" t="s">
        <v>55</v>
      </c>
      <c r="C1924" s="35">
        <v>2770030</v>
      </c>
      <c r="D1924" s="35">
        <v>1.1000000000000001</v>
      </c>
      <c r="E1924" s="35" t="s">
        <v>270</v>
      </c>
      <c r="F1924" s="31" t="str">
        <f t="shared" si="58"/>
        <v>D1.02.03</v>
      </c>
      <c r="G1924" s="34">
        <f t="shared" si="59"/>
        <v>1.1000000000000001</v>
      </c>
    </row>
    <row r="1925" spans="2:7" ht="13.8" customHeight="1" x14ac:dyDescent="0.25">
      <c r="B1925" s="35" t="s">
        <v>55</v>
      </c>
      <c r="C1925" s="35">
        <v>2770076</v>
      </c>
      <c r="D1925" s="35">
        <v>0.34</v>
      </c>
      <c r="E1925" s="35" t="s">
        <v>271</v>
      </c>
      <c r="F1925" s="31" t="str">
        <f t="shared" si="58"/>
        <v>D1.02.05</v>
      </c>
      <c r="G1925" s="34">
        <f t="shared" si="59"/>
        <v>0.34</v>
      </c>
    </row>
    <row r="1926" spans="2:7" ht="13.8" customHeight="1" x14ac:dyDescent="0.25">
      <c r="B1926" s="35" t="s">
        <v>55</v>
      </c>
      <c r="C1926" s="35">
        <v>2773371</v>
      </c>
      <c r="D1926" s="35">
        <v>7.67</v>
      </c>
      <c r="E1926" s="35" t="s">
        <v>271</v>
      </c>
      <c r="F1926" s="31" t="str">
        <f t="shared" si="58"/>
        <v>D1.02.05</v>
      </c>
      <c r="G1926" s="34">
        <f t="shared" si="59"/>
        <v>7.67</v>
      </c>
    </row>
    <row r="1927" spans="2:7" ht="13.8" customHeight="1" x14ac:dyDescent="0.25">
      <c r="B1927" s="35" t="s">
        <v>55</v>
      </c>
      <c r="C1927" s="35">
        <v>2773372</v>
      </c>
      <c r="D1927" s="35">
        <v>2.2599999999999998</v>
      </c>
      <c r="E1927" s="35" t="s">
        <v>271</v>
      </c>
      <c r="F1927" s="31" t="str">
        <f t="shared" ref="F1927:F1990" si="60">LEFT(E1927,8)</f>
        <v>D1.02.05</v>
      </c>
      <c r="G1927" s="34">
        <f t="shared" ref="G1927:G1990" si="61">D1927</f>
        <v>2.2599999999999998</v>
      </c>
    </row>
    <row r="1928" spans="2:7" ht="13.8" customHeight="1" x14ac:dyDescent="0.25">
      <c r="B1928" s="35" t="s">
        <v>55</v>
      </c>
      <c r="C1928" s="35">
        <v>2770131</v>
      </c>
      <c r="D1928" s="35">
        <v>8.59</v>
      </c>
      <c r="E1928" s="35" t="s">
        <v>272</v>
      </c>
      <c r="F1928" s="31" t="str">
        <f t="shared" si="60"/>
        <v>A6.01.01</v>
      </c>
      <c r="G1928" s="34">
        <f t="shared" si="61"/>
        <v>8.59</v>
      </c>
    </row>
    <row r="1929" spans="2:7" ht="13.8" customHeight="1" x14ac:dyDescent="0.25">
      <c r="B1929" s="35" t="s">
        <v>55</v>
      </c>
      <c r="C1929" s="35">
        <v>2770133</v>
      </c>
      <c r="D1929" s="35">
        <v>4.74</v>
      </c>
      <c r="E1929" s="35" t="s">
        <v>272</v>
      </c>
      <c r="F1929" s="31" t="str">
        <f t="shared" si="60"/>
        <v>A6.01.01</v>
      </c>
      <c r="G1929" s="34">
        <f t="shared" si="61"/>
        <v>4.74</v>
      </c>
    </row>
    <row r="1930" spans="2:7" ht="13.8" customHeight="1" x14ac:dyDescent="0.25">
      <c r="B1930" s="35" t="s">
        <v>55</v>
      </c>
      <c r="C1930" s="35">
        <v>2770134</v>
      </c>
      <c r="D1930" s="35">
        <v>1.93</v>
      </c>
      <c r="E1930" s="35" t="s">
        <v>272</v>
      </c>
      <c r="F1930" s="31" t="str">
        <f t="shared" si="60"/>
        <v>A6.01.01</v>
      </c>
      <c r="G1930" s="34">
        <f t="shared" si="61"/>
        <v>1.93</v>
      </c>
    </row>
    <row r="1931" spans="2:7" ht="13.8" customHeight="1" x14ac:dyDescent="0.25">
      <c r="B1931" s="35" t="s">
        <v>55</v>
      </c>
      <c r="C1931" s="35">
        <v>2770197</v>
      </c>
      <c r="D1931" s="35">
        <v>8.59</v>
      </c>
      <c r="E1931" s="35" t="s">
        <v>273</v>
      </c>
      <c r="F1931" s="31" t="str">
        <f t="shared" si="60"/>
        <v>A6.01.02</v>
      </c>
      <c r="G1931" s="34">
        <f t="shared" si="61"/>
        <v>8.59</v>
      </c>
    </row>
    <row r="1932" spans="2:7" ht="13.8" customHeight="1" x14ac:dyDescent="0.25">
      <c r="B1932" s="35" t="s">
        <v>55</v>
      </c>
      <c r="C1932" s="35">
        <v>2772131</v>
      </c>
      <c r="D1932" s="35">
        <v>4.74</v>
      </c>
      <c r="E1932" s="35" t="s">
        <v>273</v>
      </c>
      <c r="F1932" s="31" t="str">
        <f t="shared" si="60"/>
        <v>A6.01.02</v>
      </c>
      <c r="G1932" s="34">
        <f t="shared" si="61"/>
        <v>4.74</v>
      </c>
    </row>
    <row r="1933" spans="2:7" ht="13.8" customHeight="1" x14ac:dyDescent="0.25">
      <c r="B1933" s="35" t="s">
        <v>55</v>
      </c>
      <c r="C1933" s="35">
        <v>2772134</v>
      </c>
      <c r="D1933" s="35">
        <v>0.36</v>
      </c>
      <c r="E1933" s="35" t="s">
        <v>273</v>
      </c>
      <c r="F1933" s="31" t="str">
        <f t="shared" si="60"/>
        <v>A6.01.02</v>
      </c>
      <c r="G1933" s="34">
        <f t="shared" si="61"/>
        <v>0.36</v>
      </c>
    </row>
    <row r="1934" spans="2:7" ht="13.8" customHeight="1" x14ac:dyDescent="0.25">
      <c r="B1934" s="35" t="s">
        <v>55</v>
      </c>
      <c r="C1934" s="35">
        <v>2770263</v>
      </c>
      <c r="D1934" s="35">
        <v>4.74</v>
      </c>
      <c r="E1934" s="35" t="s">
        <v>274</v>
      </c>
      <c r="F1934" s="31" t="str">
        <f t="shared" si="60"/>
        <v>A3.01.02</v>
      </c>
      <c r="G1934" s="34">
        <f t="shared" si="61"/>
        <v>4.74</v>
      </c>
    </row>
    <row r="1935" spans="2:7" ht="13.8" customHeight="1" x14ac:dyDescent="0.25">
      <c r="B1935" s="35" t="s">
        <v>55</v>
      </c>
      <c r="C1935" s="35">
        <v>2770264</v>
      </c>
      <c r="D1935" s="35">
        <v>1.93</v>
      </c>
      <c r="E1935" s="35" t="s">
        <v>274</v>
      </c>
      <c r="F1935" s="31" t="str">
        <f t="shared" si="60"/>
        <v>A3.01.02</v>
      </c>
      <c r="G1935" s="34">
        <f t="shared" si="61"/>
        <v>1.93</v>
      </c>
    </row>
    <row r="1936" spans="2:7" ht="13.8" customHeight="1" x14ac:dyDescent="0.25">
      <c r="B1936" s="35" t="s">
        <v>55</v>
      </c>
      <c r="C1936" s="35">
        <v>2770265</v>
      </c>
      <c r="D1936" s="35">
        <v>8.59</v>
      </c>
      <c r="E1936" s="35" t="s">
        <v>274</v>
      </c>
      <c r="F1936" s="31" t="str">
        <f t="shared" si="60"/>
        <v>A3.01.02</v>
      </c>
      <c r="G1936" s="34">
        <f t="shared" si="61"/>
        <v>8.59</v>
      </c>
    </row>
    <row r="1937" spans="2:7" ht="13.8" customHeight="1" x14ac:dyDescent="0.25">
      <c r="B1937" s="35" t="s">
        <v>55</v>
      </c>
      <c r="C1937" s="35">
        <v>2770324</v>
      </c>
      <c r="D1937" s="35">
        <v>8.59</v>
      </c>
      <c r="E1937" s="35" t="s">
        <v>275</v>
      </c>
      <c r="F1937" s="31" t="str">
        <f t="shared" si="60"/>
        <v>A3.01.01</v>
      </c>
      <c r="G1937" s="34">
        <f t="shared" si="61"/>
        <v>8.59</v>
      </c>
    </row>
    <row r="1938" spans="2:7" ht="13.8" customHeight="1" x14ac:dyDescent="0.25">
      <c r="B1938" s="35" t="s">
        <v>55</v>
      </c>
      <c r="C1938" s="35">
        <v>2770325</v>
      </c>
      <c r="D1938" s="35">
        <v>4.74</v>
      </c>
      <c r="E1938" s="35" t="s">
        <v>275</v>
      </c>
      <c r="F1938" s="31" t="str">
        <f t="shared" si="60"/>
        <v>A3.01.01</v>
      </c>
      <c r="G1938" s="34">
        <f t="shared" si="61"/>
        <v>4.74</v>
      </c>
    </row>
    <row r="1939" spans="2:7" ht="13.8" customHeight="1" x14ac:dyDescent="0.25">
      <c r="B1939" s="35" t="s">
        <v>55</v>
      </c>
      <c r="C1939" s="35">
        <v>2770326</v>
      </c>
      <c r="D1939" s="35">
        <v>1.93</v>
      </c>
      <c r="E1939" s="35" t="s">
        <v>275</v>
      </c>
      <c r="F1939" s="31" t="str">
        <f t="shared" si="60"/>
        <v>A3.01.01</v>
      </c>
      <c r="G1939" s="34">
        <f t="shared" si="61"/>
        <v>1.93</v>
      </c>
    </row>
    <row r="1940" spans="2:7" ht="13.8" customHeight="1" x14ac:dyDescent="0.25">
      <c r="B1940" s="35" t="s">
        <v>55</v>
      </c>
      <c r="C1940" s="35">
        <v>2771612</v>
      </c>
      <c r="D1940" s="35">
        <v>8.19</v>
      </c>
      <c r="E1940" s="35" t="s">
        <v>294</v>
      </c>
      <c r="F1940" s="31" t="str">
        <f t="shared" si="60"/>
        <v>C1.01.02</v>
      </c>
      <c r="G1940" s="34">
        <f t="shared" si="61"/>
        <v>8.19</v>
      </c>
    </row>
    <row r="1941" spans="2:7" ht="13.8" customHeight="1" x14ac:dyDescent="0.25">
      <c r="B1941" s="35" t="s">
        <v>55</v>
      </c>
      <c r="C1941" s="35">
        <v>2771732</v>
      </c>
      <c r="D1941" s="35">
        <v>3.83</v>
      </c>
      <c r="E1941" s="35" t="s">
        <v>297</v>
      </c>
      <c r="F1941" s="31" t="str">
        <f t="shared" si="60"/>
        <v>C1.01.05</v>
      </c>
      <c r="G1941" s="34">
        <f t="shared" si="61"/>
        <v>3.83</v>
      </c>
    </row>
    <row r="1942" spans="2:7" ht="13.8" customHeight="1" x14ac:dyDescent="0.25">
      <c r="B1942" s="35" t="s">
        <v>55</v>
      </c>
      <c r="C1942" s="35">
        <v>2771789</v>
      </c>
      <c r="D1942" s="35">
        <v>4.78</v>
      </c>
      <c r="E1942" s="35" t="s">
        <v>298</v>
      </c>
      <c r="F1942" s="31" t="str">
        <f t="shared" si="60"/>
        <v>C1.01.06</v>
      </c>
      <c r="G1942" s="34">
        <f t="shared" si="61"/>
        <v>4.78</v>
      </c>
    </row>
    <row r="1943" spans="2:7" ht="13.8" customHeight="1" x14ac:dyDescent="0.25">
      <c r="B1943" s="35" t="s">
        <v>55</v>
      </c>
      <c r="C1943" s="35">
        <v>2771846</v>
      </c>
      <c r="D1943" s="35">
        <v>6.76</v>
      </c>
      <c r="E1943" s="35" t="s">
        <v>299</v>
      </c>
      <c r="F1943" s="31" t="str">
        <f t="shared" si="60"/>
        <v>C1.01.01</v>
      </c>
      <c r="G1943" s="34">
        <f t="shared" si="61"/>
        <v>6.76</v>
      </c>
    </row>
    <row r="1944" spans="2:7" ht="13.8" customHeight="1" x14ac:dyDescent="0.25">
      <c r="B1944" s="35" t="s">
        <v>55</v>
      </c>
      <c r="C1944" s="35">
        <v>2771847</v>
      </c>
      <c r="D1944" s="35">
        <v>5.77</v>
      </c>
      <c r="E1944" s="35" t="s">
        <v>299</v>
      </c>
      <c r="F1944" s="31" t="str">
        <f t="shared" si="60"/>
        <v>C1.01.01</v>
      </c>
      <c r="G1944" s="34">
        <f t="shared" si="61"/>
        <v>5.77</v>
      </c>
    </row>
    <row r="1945" spans="2:7" ht="13.8" customHeight="1" x14ac:dyDescent="0.25">
      <c r="B1945" s="35" t="s">
        <v>55</v>
      </c>
      <c r="C1945" s="35">
        <v>2773186</v>
      </c>
      <c r="D1945" s="35">
        <v>2.15</v>
      </c>
      <c r="E1945" s="35" t="s">
        <v>299</v>
      </c>
      <c r="F1945" s="31" t="str">
        <f t="shared" si="60"/>
        <v>C1.01.01</v>
      </c>
      <c r="G1945" s="34">
        <f t="shared" si="61"/>
        <v>2.15</v>
      </c>
    </row>
    <row r="1946" spans="2:7" ht="13.8" customHeight="1" x14ac:dyDescent="0.25">
      <c r="B1946" s="35" t="s">
        <v>55</v>
      </c>
      <c r="C1946" s="35">
        <v>2773188</v>
      </c>
      <c r="D1946" s="35">
        <v>2.89</v>
      </c>
      <c r="E1946" s="35" t="s">
        <v>299</v>
      </c>
      <c r="F1946" s="31" t="str">
        <f t="shared" si="60"/>
        <v>C1.01.01</v>
      </c>
      <c r="G1946" s="34">
        <f t="shared" si="61"/>
        <v>2.89</v>
      </c>
    </row>
    <row r="1947" spans="2:7" ht="13.8" customHeight="1" x14ac:dyDescent="0.25">
      <c r="B1947" s="35" t="s">
        <v>1</v>
      </c>
      <c r="C1947" s="35">
        <v>2765528</v>
      </c>
      <c r="D1947" s="35">
        <v>1.86</v>
      </c>
      <c r="E1947" s="35" t="s">
        <v>205</v>
      </c>
      <c r="F1947" s="31" t="str">
        <f t="shared" si="60"/>
        <v>E2.01.04</v>
      </c>
      <c r="G1947" s="34">
        <f t="shared" si="61"/>
        <v>1.86</v>
      </c>
    </row>
    <row r="1948" spans="2:7" ht="13.8" customHeight="1" x14ac:dyDescent="0.25">
      <c r="B1948" s="35" t="s">
        <v>1</v>
      </c>
      <c r="C1948" s="35">
        <v>2765531</v>
      </c>
      <c r="D1948" s="35">
        <v>7.5</v>
      </c>
      <c r="E1948" s="35" t="s">
        <v>205</v>
      </c>
      <c r="F1948" s="31" t="str">
        <f t="shared" si="60"/>
        <v>E2.01.04</v>
      </c>
      <c r="G1948" s="34">
        <f t="shared" si="61"/>
        <v>7.5</v>
      </c>
    </row>
    <row r="1949" spans="2:7" ht="13.8" customHeight="1" x14ac:dyDescent="0.25">
      <c r="B1949" s="35" t="s">
        <v>1</v>
      </c>
      <c r="C1949" s="35">
        <v>2765532</v>
      </c>
      <c r="D1949" s="35">
        <v>2.0699999999999998</v>
      </c>
      <c r="E1949" s="35" t="s">
        <v>205</v>
      </c>
      <c r="F1949" s="31" t="str">
        <f t="shared" si="60"/>
        <v>E2.01.04</v>
      </c>
      <c r="G1949" s="34">
        <f t="shared" si="61"/>
        <v>2.0699999999999998</v>
      </c>
    </row>
    <row r="1950" spans="2:7" ht="13.8" customHeight="1" x14ac:dyDescent="0.25">
      <c r="B1950" s="35" t="s">
        <v>1</v>
      </c>
      <c r="C1950" s="35">
        <v>2765534</v>
      </c>
      <c r="D1950" s="35">
        <v>0.18</v>
      </c>
      <c r="E1950" s="35" t="s">
        <v>205</v>
      </c>
      <c r="F1950" s="31" t="str">
        <f t="shared" si="60"/>
        <v>E2.01.04</v>
      </c>
      <c r="G1950" s="34">
        <f t="shared" si="61"/>
        <v>0.18</v>
      </c>
    </row>
    <row r="1951" spans="2:7" ht="13.8" customHeight="1" x14ac:dyDescent="0.25">
      <c r="B1951" s="35" t="s">
        <v>1</v>
      </c>
      <c r="C1951" s="35">
        <v>2765536</v>
      </c>
      <c r="D1951" s="35">
        <v>5.54</v>
      </c>
      <c r="E1951" s="35" t="s">
        <v>205</v>
      </c>
      <c r="F1951" s="31" t="str">
        <f t="shared" si="60"/>
        <v>E2.01.04</v>
      </c>
      <c r="G1951" s="34">
        <f t="shared" si="61"/>
        <v>5.54</v>
      </c>
    </row>
    <row r="1952" spans="2:7" ht="13.8" customHeight="1" x14ac:dyDescent="0.25">
      <c r="B1952" s="35" t="s">
        <v>1</v>
      </c>
      <c r="C1952" s="35">
        <v>2765538</v>
      </c>
      <c r="D1952" s="35">
        <v>3.84</v>
      </c>
      <c r="E1952" s="35" t="s">
        <v>205</v>
      </c>
      <c r="F1952" s="31" t="str">
        <f t="shared" si="60"/>
        <v>E2.01.04</v>
      </c>
      <c r="G1952" s="34">
        <f t="shared" si="61"/>
        <v>3.84</v>
      </c>
    </row>
    <row r="1953" spans="2:7" ht="13.8" customHeight="1" x14ac:dyDescent="0.25">
      <c r="B1953" s="35" t="s">
        <v>1</v>
      </c>
      <c r="C1953" s="35">
        <v>2765599</v>
      </c>
      <c r="D1953" s="35">
        <v>6.91</v>
      </c>
      <c r="E1953" s="35" t="s">
        <v>206</v>
      </c>
      <c r="F1953" s="31" t="str">
        <f t="shared" si="60"/>
        <v>E2.01.03</v>
      </c>
      <c r="G1953" s="34">
        <f t="shared" si="61"/>
        <v>6.91</v>
      </c>
    </row>
    <row r="1954" spans="2:7" ht="13.8" customHeight="1" x14ac:dyDescent="0.25">
      <c r="B1954" s="35" t="s">
        <v>1</v>
      </c>
      <c r="C1954" s="35">
        <v>2765602</v>
      </c>
      <c r="D1954" s="35">
        <v>3.96</v>
      </c>
      <c r="E1954" s="35" t="s">
        <v>206</v>
      </c>
      <c r="F1954" s="31" t="str">
        <f t="shared" si="60"/>
        <v>E2.01.03</v>
      </c>
      <c r="G1954" s="34">
        <f t="shared" si="61"/>
        <v>3.96</v>
      </c>
    </row>
    <row r="1955" spans="2:7" ht="13.8" customHeight="1" x14ac:dyDescent="0.25">
      <c r="B1955" s="35" t="s">
        <v>1</v>
      </c>
      <c r="C1955" s="35">
        <v>2765603</v>
      </c>
      <c r="D1955" s="35">
        <v>1.92</v>
      </c>
      <c r="E1955" s="35" t="s">
        <v>206</v>
      </c>
      <c r="F1955" s="31" t="str">
        <f t="shared" si="60"/>
        <v>E2.01.03</v>
      </c>
      <c r="G1955" s="34">
        <f t="shared" si="61"/>
        <v>1.92</v>
      </c>
    </row>
    <row r="1956" spans="2:7" ht="13.8" customHeight="1" x14ac:dyDescent="0.25">
      <c r="B1956" s="35" t="s">
        <v>1</v>
      </c>
      <c r="C1956" s="35">
        <v>2773285</v>
      </c>
      <c r="D1956" s="35">
        <v>1.52</v>
      </c>
      <c r="E1956" s="35" t="s">
        <v>206</v>
      </c>
      <c r="F1956" s="31" t="str">
        <f t="shared" si="60"/>
        <v>E2.01.03</v>
      </c>
      <c r="G1956" s="34">
        <f t="shared" si="61"/>
        <v>1.52</v>
      </c>
    </row>
    <row r="1957" spans="2:7" ht="13.8" customHeight="1" x14ac:dyDescent="0.25">
      <c r="B1957" s="35" t="s">
        <v>1</v>
      </c>
      <c r="C1957" s="35">
        <v>2765665</v>
      </c>
      <c r="D1957" s="35">
        <v>4.0599999999999996</v>
      </c>
      <c r="E1957" s="35" t="s">
        <v>207</v>
      </c>
      <c r="F1957" s="31" t="str">
        <f t="shared" si="60"/>
        <v>E2.01.01</v>
      </c>
      <c r="G1957" s="34">
        <f t="shared" si="61"/>
        <v>4.0599999999999996</v>
      </c>
    </row>
    <row r="1958" spans="2:7" ht="13.8" customHeight="1" x14ac:dyDescent="0.25">
      <c r="B1958" s="35" t="s">
        <v>1</v>
      </c>
      <c r="C1958" s="35">
        <v>2765668</v>
      </c>
      <c r="D1958" s="35">
        <v>0.4</v>
      </c>
      <c r="E1958" s="35" t="s">
        <v>207</v>
      </c>
      <c r="F1958" s="31" t="str">
        <f t="shared" si="60"/>
        <v>E2.01.01</v>
      </c>
      <c r="G1958" s="34">
        <f t="shared" si="61"/>
        <v>0.4</v>
      </c>
    </row>
    <row r="1959" spans="2:7" ht="13.8" customHeight="1" x14ac:dyDescent="0.25">
      <c r="B1959" s="35" t="s">
        <v>1</v>
      </c>
      <c r="C1959" s="35">
        <v>2765670</v>
      </c>
      <c r="D1959" s="35">
        <v>2.8</v>
      </c>
      <c r="E1959" s="35" t="s">
        <v>207</v>
      </c>
      <c r="F1959" s="31" t="str">
        <f t="shared" si="60"/>
        <v>E2.01.01</v>
      </c>
      <c r="G1959" s="34">
        <f t="shared" si="61"/>
        <v>2.8</v>
      </c>
    </row>
    <row r="1960" spans="2:7" ht="13.8" customHeight="1" x14ac:dyDescent="0.25">
      <c r="B1960" s="35" t="s">
        <v>1</v>
      </c>
      <c r="C1960" s="35">
        <v>2765671</v>
      </c>
      <c r="D1960" s="35">
        <v>4.2300000000000004</v>
      </c>
      <c r="E1960" s="35" t="s">
        <v>207</v>
      </c>
      <c r="F1960" s="31" t="str">
        <f t="shared" si="60"/>
        <v>E2.01.01</v>
      </c>
      <c r="G1960" s="34">
        <f t="shared" si="61"/>
        <v>4.2300000000000004</v>
      </c>
    </row>
    <row r="1961" spans="2:7" ht="13.8" customHeight="1" x14ac:dyDescent="0.25">
      <c r="B1961" s="35" t="s">
        <v>1</v>
      </c>
      <c r="C1961" s="35">
        <v>2765729</v>
      </c>
      <c r="D1961" s="35">
        <v>11.35</v>
      </c>
      <c r="E1961" s="35" t="s">
        <v>208</v>
      </c>
      <c r="F1961" s="31" t="str">
        <f t="shared" si="60"/>
        <v>E2.01.02</v>
      </c>
      <c r="G1961" s="34">
        <f t="shared" si="61"/>
        <v>11.35</v>
      </c>
    </row>
    <row r="1962" spans="2:7" ht="13.8" customHeight="1" x14ac:dyDescent="0.25">
      <c r="B1962" s="35" t="s">
        <v>1</v>
      </c>
      <c r="C1962" s="35">
        <v>2765732</v>
      </c>
      <c r="D1962" s="35">
        <v>3.96</v>
      </c>
      <c r="E1962" s="35" t="s">
        <v>208</v>
      </c>
      <c r="F1962" s="31" t="str">
        <f t="shared" si="60"/>
        <v>E2.01.02</v>
      </c>
      <c r="G1962" s="34">
        <f t="shared" si="61"/>
        <v>3.96</v>
      </c>
    </row>
    <row r="1963" spans="2:7" ht="13.8" customHeight="1" x14ac:dyDescent="0.25">
      <c r="B1963" s="35" t="s">
        <v>1</v>
      </c>
      <c r="C1963" s="35">
        <v>2765733</v>
      </c>
      <c r="D1963" s="35">
        <v>3.16</v>
      </c>
      <c r="E1963" s="35" t="s">
        <v>208</v>
      </c>
      <c r="F1963" s="31" t="str">
        <f t="shared" si="60"/>
        <v>E2.01.02</v>
      </c>
      <c r="G1963" s="34">
        <f t="shared" si="61"/>
        <v>3.16</v>
      </c>
    </row>
    <row r="1964" spans="2:7" ht="13.8" customHeight="1" x14ac:dyDescent="0.25">
      <c r="B1964" s="35" t="s">
        <v>1</v>
      </c>
      <c r="C1964" s="35">
        <v>2765735</v>
      </c>
      <c r="D1964" s="35">
        <v>0.4</v>
      </c>
      <c r="E1964" s="35" t="s">
        <v>208</v>
      </c>
      <c r="F1964" s="31" t="str">
        <f t="shared" si="60"/>
        <v>E2.01.02</v>
      </c>
      <c r="G1964" s="34">
        <f t="shared" si="61"/>
        <v>0.4</v>
      </c>
    </row>
    <row r="1965" spans="2:7" ht="13.8" customHeight="1" x14ac:dyDescent="0.25">
      <c r="B1965" s="35" t="s">
        <v>1</v>
      </c>
      <c r="C1965" s="35">
        <v>2765737</v>
      </c>
      <c r="D1965" s="35">
        <v>3.7</v>
      </c>
      <c r="E1965" s="35" t="s">
        <v>208</v>
      </c>
      <c r="F1965" s="31" t="str">
        <f t="shared" si="60"/>
        <v>E2.01.02</v>
      </c>
      <c r="G1965" s="34">
        <f t="shared" si="61"/>
        <v>3.7</v>
      </c>
    </row>
    <row r="1966" spans="2:7" ht="13.8" customHeight="1" x14ac:dyDescent="0.25">
      <c r="B1966" s="35" t="s">
        <v>1</v>
      </c>
      <c r="C1966" s="35">
        <v>2773297</v>
      </c>
      <c r="D1966" s="35">
        <v>1.78</v>
      </c>
      <c r="E1966" s="35" t="s">
        <v>208</v>
      </c>
      <c r="F1966" s="31" t="str">
        <f t="shared" si="60"/>
        <v>E2.01.02</v>
      </c>
      <c r="G1966" s="34">
        <f t="shared" si="61"/>
        <v>1.78</v>
      </c>
    </row>
    <row r="1967" spans="2:7" ht="13.8" customHeight="1" x14ac:dyDescent="0.25">
      <c r="B1967" s="35" t="s">
        <v>1</v>
      </c>
      <c r="C1967" s="35">
        <v>2765799</v>
      </c>
      <c r="D1967" s="35">
        <v>1.86</v>
      </c>
      <c r="E1967" s="35" t="s">
        <v>209</v>
      </c>
      <c r="F1967" s="31" t="str">
        <f t="shared" si="60"/>
        <v>E2.15.02</v>
      </c>
      <c r="G1967" s="34">
        <f t="shared" si="61"/>
        <v>1.86</v>
      </c>
    </row>
    <row r="1968" spans="2:7" ht="13.8" customHeight="1" x14ac:dyDescent="0.25">
      <c r="B1968" s="35" t="s">
        <v>1</v>
      </c>
      <c r="C1968" s="35">
        <v>2765802</v>
      </c>
      <c r="D1968" s="35">
        <v>7.5</v>
      </c>
      <c r="E1968" s="35" t="s">
        <v>209</v>
      </c>
      <c r="F1968" s="31" t="str">
        <f t="shared" si="60"/>
        <v>E2.15.02</v>
      </c>
      <c r="G1968" s="34">
        <f t="shared" si="61"/>
        <v>7.5</v>
      </c>
    </row>
    <row r="1969" spans="2:7" ht="13.8" customHeight="1" x14ac:dyDescent="0.25">
      <c r="B1969" s="35" t="s">
        <v>1</v>
      </c>
      <c r="C1969" s="35">
        <v>2765803</v>
      </c>
      <c r="D1969" s="35">
        <v>2.0699999999999998</v>
      </c>
      <c r="E1969" s="35" t="s">
        <v>209</v>
      </c>
      <c r="F1969" s="31" t="str">
        <f t="shared" si="60"/>
        <v>E2.15.02</v>
      </c>
      <c r="G1969" s="34">
        <f t="shared" si="61"/>
        <v>2.0699999999999998</v>
      </c>
    </row>
    <row r="1970" spans="2:7" ht="13.8" customHeight="1" x14ac:dyDescent="0.25">
      <c r="B1970" s="35" t="s">
        <v>1</v>
      </c>
      <c r="C1970" s="35">
        <v>2765805</v>
      </c>
      <c r="D1970" s="35">
        <v>0.18</v>
      </c>
      <c r="E1970" s="35" t="s">
        <v>209</v>
      </c>
      <c r="F1970" s="31" t="str">
        <f t="shared" si="60"/>
        <v>E2.15.02</v>
      </c>
      <c r="G1970" s="34">
        <f t="shared" si="61"/>
        <v>0.18</v>
      </c>
    </row>
    <row r="1971" spans="2:7" ht="13.8" customHeight="1" x14ac:dyDescent="0.25">
      <c r="B1971" s="35" t="s">
        <v>1</v>
      </c>
      <c r="C1971" s="35">
        <v>2765807</v>
      </c>
      <c r="D1971" s="35">
        <v>5.54</v>
      </c>
      <c r="E1971" s="35" t="s">
        <v>209</v>
      </c>
      <c r="F1971" s="31" t="str">
        <f t="shared" si="60"/>
        <v>E2.15.02</v>
      </c>
      <c r="G1971" s="34">
        <f t="shared" si="61"/>
        <v>5.54</v>
      </c>
    </row>
    <row r="1972" spans="2:7" ht="13.8" customHeight="1" x14ac:dyDescent="0.25">
      <c r="B1972" s="35" t="s">
        <v>1</v>
      </c>
      <c r="C1972" s="35">
        <v>2765809</v>
      </c>
      <c r="D1972" s="35">
        <v>3.84</v>
      </c>
      <c r="E1972" s="35" t="s">
        <v>209</v>
      </c>
      <c r="F1972" s="31" t="str">
        <f t="shared" si="60"/>
        <v>E2.15.02</v>
      </c>
      <c r="G1972" s="34">
        <f t="shared" si="61"/>
        <v>3.84</v>
      </c>
    </row>
    <row r="1973" spans="2:7" ht="13.8" customHeight="1" x14ac:dyDescent="0.25">
      <c r="B1973" s="35" t="s">
        <v>1</v>
      </c>
      <c r="C1973" s="35">
        <v>2765810</v>
      </c>
      <c r="D1973" s="35">
        <v>1.86</v>
      </c>
      <c r="E1973" s="35" t="s">
        <v>209</v>
      </c>
      <c r="F1973" s="31" t="str">
        <f t="shared" si="60"/>
        <v>E2.15.02</v>
      </c>
      <c r="G1973" s="34">
        <f t="shared" si="61"/>
        <v>1.86</v>
      </c>
    </row>
    <row r="1974" spans="2:7" ht="13.8" customHeight="1" x14ac:dyDescent="0.25">
      <c r="B1974" s="35" t="s">
        <v>1</v>
      </c>
      <c r="C1974" s="35">
        <v>2765813</v>
      </c>
      <c r="D1974" s="35">
        <v>7.5</v>
      </c>
      <c r="E1974" s="35" t="s">
        <v>209</v>
      </c>
      <c r="F1974" s="31" t="str">
        <f t="shared" si="60"/>
        <v>E2.15.02</v>
      </c>
      <c r="G1974" s="34">
        <f t="shared" si="61"/>
        <v>7.5</v>
      </c>
    </row>
    <row r="1975" spans="2:7" ht="13.8" customHeight="1" x14ac:dyDescent="0.25">
      <c r="B1975" s="35" t="s">
        <v>1</v>
      </c>
      <c r="C1975" s="35">
        <v>2765814</v>
      </c>
      <c r="D1975" s="35">
        <v>2.0699999999999998</v>
      </c>
      <c r="E1975" s="35" t="s">
        <v>209</v>
      </c>
      <c r="F1975" s="31" t="str">
        <f t="shared" si="60"/>
        <v>E2.15.02</v>
      </c>
      <c r="G1975" s="34">
        <f t="shared" si="61"/>
        <v>2.0699999999999998</v>
      </c>
    </row>
    <row r="1976" spans="2:7" ht="13.8" customHeight="1" x14ac:dyDescent="0.25">
      <c r="B1976" s="35" t="s">
        <v>1</v>
      </c>
      <c r="C1976" s="35">
        <v>2765816</v>
      </c>
      <c r="D1976" s="35">
        <v>0.18</v>
      </c>
      <c r="E1976" s="35" t="s">
        <v>209</v>
      </c>
      <c r="F1976" s="31" t="str">
        <f t="shared" si="60"/>
        <v>E2.15.02</v>
      </c>
      <c r="G1976" s="34">
        <f t="shared" si="61"/>
        <v>0.18</v>
      </c>
    </row>
    <row r="1977" spans="2:7" ht="13.8" customHeight="1" x14ac:dyDescent="0.25">
      <c r="B1977" s="35" t="s">
        <v>1</v>
      </c>
      <c r="C1977" s="35">
        <v>2765818</v>
      </c>
      <c r="D1977" s="35">
        <v>5.54</v>
      </c>
      <c r="E1977" s="35" t="s">
        <v>209</v>
      </c>
      <c r="F1977" s="31" t="str">
        <f t="shared" si="60"/>
        <v>E2.15.02</v>
      </c>
      <c r="G1977" s="34">
        <f t="shared" si="61"/>
        <v>5.54</v>
      </c>
    </row>
    <row r="1978" spans="2:7" ht="13.8" customHeight="1" x14ac:dyDescent="0.25">
      <c r="B1978" s="35" t="s">
        <v>1</v>
      </c>
      <c r="C1978" s="35">
        <v>2765820</v>
      </c>
      <c r="D1978" s="35">
        <v>3.84</v>
      </c>
      <c r="E1978" s="35" t="s">
        <v>209</v>
      </c>
      <c r="F1978" s="31" t="str">
        <f t="shared" si="60"/>
        <v>E2.15.02</v>
      </c>
      <c r="G1978" s="34">
        <f t="shared" si="61"/>
        <v>3.84</v>
      </c>
    </row>
    <row r="1979" spans="2:7" ht="13.8" customHeight="1" x14ac:dyDescent="0.25">
      <c r="B1979" s="35" t="s">
        <v>1</v>
      </c>
      <c r="C1979" s="35">
        <v>2765885</v>
      </c>
      <c r="D1979" s="35">
        <v>9.19</v>
      </c>
      <c r="E1979" s="35" t="s">
        <v>210</v>
      </c>
      <c r="F1979" s="31" t="str">
        <f t="shared" si="60"/>
        <v>E2.15.03</v>
      </c>
      <c r="G1979" s="34">
        <f t="shared" si="61"/>
        <v>9.19</v>
      </c>
    </row>
    <row r="1980" spans="2:7" ht="13.8" customHeight="1" x14ac:dyDescent="0.25">
      <c r="B1980" s="35" t="s">
        <v>1</v>
      </c>
      <c r="C1980" s="35">
        <v>2765887</v>
      </c>
      <c r="D1980" s="35">
        <v>4.0599999999999996</v>
      </c>
      <c r="E1980" s="35" t="s">
        <v>210</v>
      </c>
      <c r="F1980" s="31" t="str">
        <f t="shared" si="60"/>
        <v>E2.15.03</v>
      </c>
      <c r="G1980" s="34">
        <f t="shared" si="61"/>
        <v>4.0599999999999996</v>
      </c>
    </row>
    <row r="1981" spans="2:7" ht="13.8" customHeight="1" x14ac:dyDescent="0.25">
      <c r="B1981" s="35" t="s">
        <v>1</v>
      </c>
      <c r="C1981" s="35">
        <v>2765889</v>
      </c>
      <c r="D1981" s="35">
        <v>0.4</v>
      </c>
      <c r="E1981" s="35" t="s">
        <v>210</v>
      </c>
      <c r="F1981" s="31" t="str">
        <f t="shared" si="60"/>
        <v>E2.15.03</v>
      </c>
      <c r="G1981" s="34">
        <f t="shared" si="61"/>
        <v>0.4</v>
      </c>
    </row>
    <row r="1982" spans="2:7" ht="13.8" customHeight="1" x14ac:dyDescent="0.25">
      <c r="B1982" s="35" t="s">
        <v>1</v>
      </c>
      <c r="C1982" s="35">
        <v>2765891</v>
      </c>
      <c r="D1982" s="35">
        <v>2.8</v>
      </c>
      <c r="E1982" s="35" t="s">
        <v>210</v>
      </c>
      <c r="F1982" s="31" t="str">
        <f t="shared" si="60"/>
        <v>E2.15.03</v>
      </c>
      <c r="G1982" s="34">
        <f t="shared" si="61"/>
        <v>2.8</v>
      </c>
    </row>
    <row r="1983" spans="2:7" ht="13.8" customHeight="1" x14ac:dyDescent="0.25">
      <c r="B1983" s="35" t="s">
        <v>1</v>
      </c>
      <c r="C1983" s="35">
        <v>2765892</v>
      </c>
      <c r="D1983" s="35">
        <v>9.19</v>
      </c>
      <c r="E1983" s="35" t="s">
        <v>210</v>
      </c>
      <c r="F1983" s="31" t="str">
        <f t="shared" si="60"/>
        <v>E2.15.03</v>
      </c>
      <c r="G1983" s="34">
        <f t="shared" si="61"/>
        <v>9.19</v>
      </c>
    </row>
    <row r="1984" spans="2:7" ht="13.8" customHeight="1" x14ac:dyDescent="0.25">
      <c r="B1984" s="35" t="s">
        <v>1</v>
      </c>
      <c r="C1984" s="35">
        <v>2765894</v>
      </c>
      <c r="D1984" s="35">
        <v>4.0599999999999996</v>
      </c>
      <c r="E1984" s="35" t="s">
        <v>210</v>
      </c>
      <c r="F1984" s="31" t="str">
        <f t="shared" si="60"/>
        <v>E2.15.03</v>
      </c>
      <c r="G1984" s="34">
        <f t="shared" si="61"/>
        <v>4.0599999999999996</v>
      </c>
    </row>
    <row r="1985" spans="2:7" ht="13.8" customHeight="1" x14ac:dyDescent="0.25">
      <c r="B1985" s="35" t="s">
        <v>1</v>
      </c>
      <c r="C1985" s="35">
        <v>2765896</v>
      </c>
      <c r="D1985" s="35">
        <v>0.4</v>
      </c>
      <c r="E1985" s="35" t="s">
        <v>210</v>
      </c>
      <c r="F1985" s="31" t="str">
        <f t="shared" si="60"/>
        <v>E2.15.03</v>
      </c>
      <c r="G1985" s="34">
        <f t="shared" si="61"/>
        <v>0.4</v>
      </c>
    </row>
    <row r="1986" spans="2:7" ht="13.8" customHeight="1" x14ac:dyDescent="0.25">
      <c r="B1986" s="35" t="s">
        <v>1</v>
      </c>
      <c r="C1986" s="35">
        <v>2765898</v>
      </c>
      <c r="D1986" s="35">
        <v>2.8</v>
      </c>
      <c r="E1986" s="35" t="s">
        <v>210</v>
      </c>
      <c r="F1986" s="31" t="str">
        <f t="shared" si="60"/>
        <v>E2.15.03</v>
      </c>
      <c r="G1986" s="34">
        <f t="shared" si="61"/>
        <v>2.8</v>
      </c>
    </row>
    <row r="1987" spans="2:7" ht="13.8" customHeight="1" x14ac:dyDescent="0.25">
      <c r="B1987" s="35" t="s">
        <v>1</v>
      </c>
      <c r="C1987" s="35">
        <v>2765959</v>
      </c>
      <c r="D1987" s="35">
        <v>6.92</v>
      </c>
      <c r="E1987" s="35" t="s">
        <v>211</v>
      </c>
      <c r="F1987" s="31" t="str">
        <f t="shared" si="60"/>
        <v>E2.15.01</v>
      </c>
      <c r="G1987" s="34">
        <f t="shared" si="61"/>
        <v>6.92</v>
      </c>
    </row>
    <row r="1988" spans="2:7" ht="13.8" customHeight="1" x14ac:dyDescent="0.25">
      <c r="B1988" s="35" t="s">
        <v>1</v>
      </c>
      <c r="C1988" s="35">
        <v>2765962</v>
      </c>
      <c r="D1988" s="35">
        <v>6.92</v>
      </c>
      <c r="E1988" s="35" t="s">
        <v>211</v>
      </c>
      <c r="F1988" s="31" t="str">
        <f t="shared" si="60"/>
        <v>E2.15.01</v>
      </c>
      <c r="G1988" s="34">
        <f t="shared" si="61"/>
        <v>6.92</v>
      </c>
    </row>
    <row r="1989" spans="2:7" ht="13.8" customHeight="1" x14ac:dyDescent="0.25">
      <c r="B1989" s="35" t="s">
        <v>1</v>
      </c>
      <c r="C1989" s="35">
        <v>2765965</v>
      </c>
      <c r="D1989" s="35">
        <v>3.96</v>
      </c>
      <c r="E1989" s="35" t="s">
        <v>211</v>
      </c>
      <c r="F1989" s="31" t="str">
        <f t="shared" si="60"/>
        <v>E2.15.01</v>
      </c>
      <c r="G1989" s="34">
        <f t="shared" si="61"/>
        <v>3.96</v>
      </c>
    </row>
    <row r="1990" spans="2:7" ht="13.8" customHeight="1" x14ac:dyDescent="0.25">
      <c r="B1990" s="35" t="s">
        <v>1</v>
      </c>
      <c r="C1990" s="35">
        <v>2765966</v>
      </c>
      <c r="D1990" s="35">
        <v>1.92</v>
      </c>
      <c r="E1990" s="35" t="s">
        <v>211</v>
      </c>
      <c r="F1990" s="31" t="str">
        <f t="shared" si="60"/>
        <v>E2.15.01</v>
      </c>
      <c r="G1990" s="34">
        <f t="shared" si="61"/>
        <v>1.92</v>
      </c>
    </row>
    <row r="1991" spans="2:7" ht="13.8" customHeight="1" x14ac:dyDescent="0.25">
      <c r="B1991" s="35" t="s">
        <v>1</v>
      </c>
      <c r="C1991" s="35">
        <v>2765967</v>
      </c>
      <c r="D1991" s="35">
        <v>3.96</v>
      </c>
      <c r="E1991" s="35" t="s">
        <v>211</v>
      </c>
      <c r="F1991" s="31" t="str">
        <f t="shared" ref="F1991:F2054" si="62">LEFT(E1991,8)</f>
        <v>E2.15.01</v>
      </c>
      <c r="G1991" s="34">
        <f t="shared" ref="G1991:G2054" si="63">D1991</f>
        <v>3.96</v>
      </c>
    </row>
    <row r="1992" spans="2:7" ht="13.8" customHeight="1" x14ac:dyDescent="0.25">
      <c r="B1992" s="35" t="s">
        <v>1</v>
      </c>
      <c r="C1992" s="35">
        <v>2765968</v>
      </c>
      <c r="D1992" s="35">
        <v>1.92</v>
      </c>
      <c r="E1992" s="35" t="s">
        <v>211</v>
      </c>
      <c r="F1992" s="31" t="str">
        <f t="shared" si="62"/>
        <v>E2.15.01</v>
      </c>
      <c r="G1992" s="34">
        <f t="shared" si="63"/>
        <v>1.92</v>
      </c>
    </row>
    <row r="1993" spans="2:7" ht="13.8" customHeight="1" x14ac:dyDescent="0.25">
      <c r="B1993" s="35" t="s">
        <v>1</v>
      </c>
      <c r="C1993" s="35">
        <v>2766039</v>
      </c>
      <c r="D1993" s="35">
        <v>0.18</v>
      </c>
      <c r="E1993" s="35" t="s">
        <v>212</v>
      </c>
      <c r="F1993" s="31" t="str">
        <f t="shared" si="62"/>
        <v>E2.15.06</v>
      </c>
      <c r="G1993" s="34">
        <f t="shared" si="63"/>
        <v>0.18</v>
      </c>
    </row>
    <row r="1994" spans="2:7" ht="13.8" customHeight="1" x14ac:dyDescent="0.25">
      <c r="B1994" s="35" t="s">
        <v>1</v>
      </c>
      <c r="C1994" s="35">
        <v>2766042</v>
      </c>
      <c r="D1994" s="35">
        <v>1.02</v>
      </c>
      <c r="E1994" s="35" t="s">
        <v>212</v>
      </c>
      <c r="F1994" s="31" t="str">
        <f t="shared" si="62"/>
        <v>E2.15.06</v>
      </c>
      <c r="G1994" s="34">
        <f t="shared" si="63"/>
        <v>1.02</v>
      </c>
    </row>
    <row r="1995" spans="2:7" ht="13.8" customHeight="1" x14ac:dyDescent="0.25">
      <c r="B1995" s="35" t="s">
        <v>1</v>
      </c>
      <c r="C1995" s="35">
        <v>2766045</v>
      </c>
      <c r="D1995" s="35">
        <v>0.18</v>
      </c>
      <c r="E1995" s="35" t="s">
        <v>212</v>
      </c>
      <c r="F1995" s="31" t="str">
        <f t="shared" si="62"/>
        <v>E2.15.06</v>
      </c>
      <c r="G1995" s="34">
        <f t="shared" si="63"/>
        <v>0.18</v>
      </c>
    </row>
    <row r="1996" spans="2:7" ht="13.8" customHeight="1" x14ac:dyDescent="0.25">
      <c r="B1996" s="35" t="s">
        <v>1</v>
      </c>
      <c r="C1996" s="35">
        <v>2766048</v>
      </c>
      <c r="D1996" s="35">
        <v>1.02</v>
      </c>
      <c r="E1996" s="35" t="s">
        <v>212</v>
      </c>
      <c r="F1996" s="31" t="str">
        <f t="shared" si="62"/>
        <v>E2.15.06</v>
      </c>
      <c r="G1996" s="34">
        <f t="shared" si="63"/>
        <v>1.02</v>
      </c>
    </row>
    <row r="1997" spans="2:7" ht="13.8" customHeight="1" x14ac:dyDescent="0.25">
      <c r="B1997" s="35" t="s">
        <v>1</v>
      </c>
      <c r="C1997" s="35">
        <v>2766051</v>
      </c>
      <c r="D1997" s="35">
        <v>2.0699999999999998</v>
      </c>
      <c r="E1997" s="35" t="s">
        <v>212</v>
      </c>
      <c r="F1997" s="31" t="str">
        <f t="shared" si="62"/>
        <v>E2.15.06</v>
      </c>
      <c r="G1997" s="34">
        <f t="shared" si="63"/>
        <v>2.0699999999999998</v>
      </c>
    </row>
    <row r="1998" spans="2:7" ht="13.8" customHeight="1" x14ac:dyDescent="0.25">
      <c r="B1998" s="35" t="s">
        <v>1</v>
      </c>
      <c r="C1998" s="35">
        <v>2766052</v>
      </c>
      <c r="D1998" s="35">
        <v>7.4</v>
      </c>
      <c r="E1998" s="35" t="s">
        <v>212</v>
      </c>
      <c r="F1998" s="31" t="str">
        <f t="shared" si="62"/>
        <v>E2.15.06</v>
      </c>
      <c r="G1998" s="34">
        <f t="shared" si="63"/>
        <v>7.4</v>
      </c>
    </row>
    <row r="1999" spans="2:7" ht="13.8" customHeight="1" x14ac:dyDescent="0.25">
      <c r="B1999" s="35" t="s">
        <v>1</v>
      </c>
      <c r="C1999" s="35">
        <v>2766053</v>
      </c>
      <c r="D1999" s="35">
        <v>2.0699999999999998</v>
      </c>
      <c r="E1999" s="35" t="s">
        <v>212</v>
      </c>
      <c r="F1999" s="31" t="str">
        <f t="shared" si="62"/>
        <v>E2.15.06</v>
      </c>
      <c r="G1999" s="34">
        <f t="shared" si="63"/>
        <v>2.0699999999999998</v>
      </c>
    </row>
    <row r="2000" spans="2:7" ht="13.8" customHeight="1" x14ac:dyDescent="0.25">
      <c r="B2000" s="35" t="s">
        <v>1</v>
      </c>
      <c r="C2000" s="35">
        <v>2766054</v>
      </c>
      <c r="D2000" s="35">
        <v>4.5199999999999996</v>
      </c>
      <c r="E2000" s="35" t="s">
        <v>212</v>
      </c>
      <c r="F2000" s="31" t="str">
        <f t="shared" si="62"/>
        <v>E2.15.06</v>
      </c>
      <c r="G2000" s="34">
        <f t="shared" si="63"/>
        <v>4.5199999999999996</v>
      </c>
    </row>
    <row r="2001" spans="2:7" ht="13.8" customHeight="1" x14ac:dyDescent="0.25">
      <c r="B2001" s="35" t="s">
        <v>1</v>
      </c>
      <c r="C2001" s="35">
        <v>2766055</v>
      </c>
      <c r="D2001" s="35">
        <v>7.4</v>
      </c>
      <c r="E2001" s="35" t="s">
        <v>212</v>
      </c>
      <c r="F2001" s="31" t="str">
        <f t="shared" si="62"/>
        <v>E2.15.06</v>
      </c>
      <c r="G2001" s="34">
        <f t="shared" si="63"/>
        <v>7.4</v>
      </c>
    </row>
    <row r="2002" spans="2:7" ht="13.8" customHeight="1" x14ac:dyDescent="0.25">
      <c r="B2002" s="35" t="s">
        <v>1</v>
      </c>
      <c r="C2002" s="35">
        <v>2766056</v>
      </c>
      <c r="D2002" s="35">
        <v>4.5199999999999996</v>
      </c>
      <c r="E2002" s="35" t="s">
        <v>212</v>
      </c>
      <c r="F2002" s="31" t="str">
        <f t="shared" si="62"/>
        <v>E2.15.06</v>
      </c>
      <c r="G2002" s="34">
        <f t="shared" si="63"/>
        <v>4.5199999999999996</v>
      </c>
    </row>
    <row r="2003" spans="2:7" ht="13.8" customHeight="1" x14ac:dyDescent="0.25">
      <c r="B2003" s="35" t="s">
        <v>1</v>
      </c>
      <c r="C2003" s="35">
        <v>2766118</v>
      </c>
      <c r="D2003" s="35">
        <v>6.91</v>
      </c>
      <c r="E2003" s="35" t="s">
        <v>213</v>
      </c>
      <c r="F2003" s="31" t="str">
        <f t="shared" si="62"/>
        <v>E2.15.05</v>
      </c>
      <c r="G2003" s="34">
        <f t="shared" si="63"/>
        <v>6.91</v>
      </c>
    </row>
    <row r="2004" spans="2:7" ht="13.8" customHeight="1" x14ac:dyDescent="0.25">
      <c r="B2004" s="35" t="s">
        <v>1</v>
      </c>
      <c r="C2004" s="35">
        <v>2766121</v>
      </c>
      <c r="D2004" s="35">
        <v>6.91</v>
      </c>
      <c r="E2004" s="35" t="s">
        <v>213</v>
      </c>
      <c r="F2004" s="31" t="str">
        <f t="shared" si="62"/>
        <v>E2.15.05</v>
      </c>
      <c r="G2004" s="34">
        <f t="shared" si="63"/>
        <v>6.91</v>
      </c>
    </row>
    <row r="2005" spans="2:7" ht="13.8" customHeight="1" x14ac:dyDescent="0.25">
      <c r="B2005" s="35" t="s">
        <v>1</v>
      </c>
      <c r="C2005" s="35">
        <v>2766124</v>
      </c>
      <c r="D2005" s="35">
        <v>3.96</v>
      </c>
      <c r="E2005" s="35" t="s">
        <v>213</v>
      </c>
      <c r="F2005" s="31" t="str">
        <f t="shared" si="62"/>
        <v>E2.15.05</v>
      </c>
      <c r="G2005" s="34">
        <f t="shared" si="63"/>
        <v>3.96</v>
      </c>
    </row>
    <row r="2006" spans="2:7" ht="13.8" customHeight="1" x14ac:dyDescent="0.25">
      <c r="B2006" s="35" t="s">
        <v>1</v>
      </c>
      <c r="C2006" s="35">
        <v>2766125</v>
      </c>
      <c r="D2006" s="35">
        <v>1.92</v>
      </c>
      <c r="E2006" s="35" t="s">
        <v>213</v>
      </c>
      <c r="F2006" s="31" t="str">
        <f t="shared" si="62"/>
        <v>E2.15.05</v>
      </c>
      <c r="G2006" s="34">
        <f t="shared" si="63"/>
        <v>1.92</v>
      </c>
    </row>
    <row r="2007" spans="2:7" ht="13.8" customHeight="1" x14ac:dyDescent="0.25">
      <c r="B2007" s="35" t="s">
        <v>1</v>
      </c>
      <c r="C2007" s="35">
        <v>2766126</v>
      </c>
      <c r="D2007" s="35">
        <v>3.96</v>
      </c>
      <c r="E2007" s="35" t="s">
        <v>213</v>
      </c>
      <c r="F2007" s="31" t="str">
        <f t="shared" si="62"/>
        <v>E2.15.05</v>
      </c>
      <c r="G2007" s="34">
        <f t="shared" si="63"/>
        <v>3.96</v>
      </c>
    </row>
    <row r="2008" spans="2:7" ht="13.8" customHeight="1" x14ac:dyDescent="0.25">
      <c r="B2008" s="35" t="s">
        <v>1</v>
      </c>
      <c r="C2008" s="35">
        <v>2766127</v>
      </c>
      <c r="D2008" s="35">
        <v>1.92</v>
      </c>
      <c r="E2008" s="35" t="s">
        <v>213</v>
      </c>
      <c r="F2008" s="31" t="str">
        <f t="shared" si="62"/>
        <v>E2.15.05</v>
      </c>
      <c r="G2008" s="34">
        <f t="shared" si="63"/>
        <v>1.92</v>
      </c>
    </row>
    <row r="2009" spans="2:7" ht="13.8" customHeight="1" x14ac:dyDescent="0.25">
      <c r="B2009" s="35" t="s">
        <v>1</v>
      </c>
      <c r="C2009" s="35">
        <v>2766191</v>
      </c>
      <c r="D2009" s="35">
        <v>3.96</v>
      </c>
      <c r="E2009" s="35" t="s">
        <v>214</v>
      </c>
      <c r="F2009" s="31" t="str">
        <f t="shared" si="62"/>
        <v>E2.15.07</v>
      </c>
      <c r="G2009" s="34">
        <f t="shared" si="63"/>
        <v>3.96</v>
      </c>
    </row>
    <row r="2010" spans="2:7" ht="13.8" customHeight="1" x14ac:dyDescent="0.25">
      <c r="B2010" s="35" t="s">
        <v>1</v>
      </c>
      <c r="C2010" s="35">
        <v>2766193</v>
      </c>
      <c r="D2010" s="35">
        <v>3.96</v>
      </c>
      <c r="E2010" s="35" t="s">
        <v>214</v>
      </c>
      <c r="F2010" s="31" t="str">
        <f t="shared" si="62"/>
        <v>E2.15.07</v>
      </c>
      <c r="G2010" s="34">
        <f t="shared" si="63"/>
        <v>3.96</v>
      </c>
    </row>
    <row r="2011" spans="2:7" ht="13.8" customHeight="1" x14ac:dyDescent="0.25">
      <c r="B2011" s="35" t="s">
        <v>1</v>
      </c>
      <c r="C2011" s="35">
        <v>2766195</v>
      </c>
      <c r="D2011" s="35">
        <v>10.44</v>
      </c>
      <c r="E2011" s="35" t="s">
        <v>214</v>
      </c>
      <c r="F2011" s="31" t="str">
        <f t="shared" si="62"/>
        <v>E2.15.07</v>
      </c>
      <c r="G2011" s="34">
        <f t="shared" si="63"/>
        <v>10.44</v>
      </c>
    </row>
    <row r="2012" spans="2:7" ht="13.8" customHeight="1" x14ac:dyDescent="0.25">
      <c r="B2012" s="35" t="s">
        <v>1</v>
      </c>
      <c r="C2012" s="35">
        <v>2766197</v>
      </c>
      <c r="D2012" s="35">
        <v>10.44</v>
      </c>
      <c r="E2012" s="35" t="s">
        <v>214</v>
      </c>
      <c r="F2012" s="31" t="str">
        <f t="shared" si="62"/>
        <v>E2.15.07</v>
      </c>
      <c r="G2012" s="34">
        <f t="shared" si="63"/>
        <v>10.44</v>
      </c>
    </row>
    <row r="2013" spans="2:7" ht="13.8" customHeight="1" x14ac:dyDescent="0.25">
      <c r="B2013" s="35" t="s">
        <v>1</v>
      </c>
      <c r="C2013" s="35">
        <v>2766199</v>
      </c>
      <c r="D2013" s="35">
        <v>4.37</v>
      </c>
      <c r="E2013" s="35" t="s">
        <v>214</v>
      </c>
      <c r="F2013" s="31" t="str">
        <f t="shared" si="62"/>
        <v>E2.15.07</v>
      </c>
      <c r="G2013" s="34">
        <f t="shared" si="63"/>
        <v>4.37</v>
      </c>
    </row>
    <row r="2014" spans="2:7" ht="13.8" customHeight="1" x14ac:dyDescent="0.25">
      <c r="B2014" s="35" t="s">
        <v>1</v>
      </c>
      <c r="C2014" s="35">
        <v>2766200</v>
      </c>
      <c r="D2014" s="35">
        <v>4.37</v>
      </c>
      <c r="E2014" s="35" t="s">
        <v>214</v>
      </c>
      <c r="F2014" s="31" t="str">
        <f t="shared" si="62"/>
        <v>E2.15.07</v>
      </c>
      <c r="G2014" s="34">
        <f t="shared" si="63"/>
        <v>4.37</v>
      </c>
    </row>
    <row r="2015" spans="2:7" ht="13.8" customHeight="1" x14ac:dyDescent="0.25">
      <c r="B2015" s="35" t="s">
        <v>1</v>
      </c>
      <c r="C2015" s="35">
        <v>2766255</v>
      </c>
      <c r="D2015" s="35">
        <v>11.35</v>
      </c>
      <c r="E2015" s="35" t="s">
        <v>215</v>
      </c>
      <c r="F2015" s="31" t="str">
        <f t="shared" si="62"/>
        <v>E2.15.04</v>
      </c>
      <c r="G2015" s="34">
        <f t="shared" si="63"/>
        <v>11.35</v>
      </c>
    </row>
    <row r="2016" spans="2:7" ht="13.8" customHeight="1" x14ac:dyDescent="0.25">
      <c r="B2016" s="35" t="s">
        <v>1</v>
      </c>
      <c r="C2016" s="35">
        <v>2766258</v>
      </c>
      <c r="D2016" s="35">
        <v>11.35</v>
      </c>
      <c r="E2016" s="35" t="s">
        <v>215</v>
      </c>
      <c r="F2016" s="31" t="str">
        <f t="shared" si="62"/>
        <v>E2.15.04</v>
      </c>
      <c r="G2016" s="34">
        <f t="shared" si="63"/>
        <v>11.35</v>
      </c>
    </row>
    <row r="2017" spans="2:7" ht="13.8" customHeight="1" x14ac:dyDescent="0.25">
      <c r="B2017" s="35" t="s">
        <v>1</v>
      </c>
      <c r="C2017" s="35">
        <v>2766261</v>
      </c>
      <c r="D2017" s="35">
        <v>3.96</v>
      </c>
      <c r="E2017" s="35" t="s">
        <v>215</v>
      </c>
      <c r="F2017" s="31" t="str">
        <f t="shared" si="62"/>
        <v>E2.15.04</v>
      </c>
      <c r="G2017" s="34">
        <f t="shared" si="63"/>
        <v>3.96</v>
      </c>
    </row>
    <row r="2018" spans="2:7" ht="13.8" customHeight="1" x14ac:dyDescent="0.25">
      <c r="B2018" s="35" t="s">
        <v>1</v>
      </c>
      <c r="C2018" s="35">
        <v>2766262</v>
      </c>
      <c r="D2018" s="35">
        <v>3.16</v>
      </c>
      <c r="E2018" s="35" t="s">
        <v>215</v>
      </c>
      <c r="F2018" s="31" t="str">
        <f t="shared" si="62"/>
        <v>E2.15.04</v>
      </c>
      <c r="G2018" s="34">
        <f t="shared" si="63"/>
        <v>3.16</v>
      </c>
    </row>
    <row r="2019" spans="2:7" ht="13.8" customHeight="1" x14ac:dyDescent="0.25">
      <c r="B2019" s="35" t="s">
        <v>1</v>
      </c>
      <c r="C2019" s="35">
        <v>2766264</v>
      </c>
      <c r="D2019" s="35">
        <v>0.4</v>
      </c>
      <c r="E2019" s="35" t="s">
        <v>215</v>
      </c>
      <c r="F2019" s="31" t="str">
        <f t="shared" si="62"/>
        <v>E2.15.04</v>
      </c>
      <c r="G2019" s="34">
        <f t="shared" si="63"/>
        <v>0.4</v>
      </c>
    </row>
    <row r="2020" spans="2:7" ht="13.8" customHeight="1" x14ac:dyDescent="0.25">
      <c r="B2020" s="35" t="s">
        <v>1</v>
      </c>
      <c r="C2020" s="35">
        <v>2766266</v>
      </c>
      <c r="D2020" s="35">
        <v>3.7</v>
      </c>
      <c r="E2020" s="35" t="s">
        <v>215</v>
      </c>
      <c r="F2020" s="31" t="str">
        <f t="shared" si="62"/>
        <v>E2.15.04</v>
      </c>
      <c r="G2020" s="34">
        <f t="shared" si="63"/>
        <v>3.7</v>
      </c>
    </row>
    <row r="2021" spans="2:7" ht="13.8" customHeight="1" x14ac:dyDescent="0.25">
      <c r="B2021" s="35" t="s">
        <v>1</v>
      </c>
      <c r="C2021" s="35">
        <v>2766267</v>
      </c>
      <c r="D2021" s="35">
        <v>3.96</v>
      </c>
      <c r="E2021" s="35" t="s">
        <v>215</v>
      </c>
      <c r="F2021" s="31" t="str">
        <f t="shared" si="62"/>
        <v>E2.15.04</v>
      </c>
      <c r="G2021" s="34">
        <f t="shared" si="63"/>
        <v>3.96</v>
      </c>
    </row>
    <row r="2022" spans="2:7" ht="13.8" customHeight="1" x14ac:dyDescent="0.25">
      <c r="B2022" s="35" t="s">
        <v>1</v>
      </c>
      <c r="C2022" s="35">
        <v>2766268</v>
      </c>
      <c r="D2022" s="35">
        <v>3.16</v>
      </c>
      <c r="E2022" s="35" t="s">
        <v>215</v>
      </c>
      <c r="F2022" s="31" t="str">
        <f t="shared" si="62"/>
        <v>E2.15.04</v>
      </c>
      <c r="G2022" s="34">
        <f t="shared" si="63"/>
        <v>3.16</v>
      </c>
    </row>
    <row r="2023" spans="2:7" ht="13.8" customHeight="1" x14ac:dyDescent="0.25">
      <c r="B2023" s="35" t="s">
        <v>1</v>
      </c>
      <c r="C2023" s="35">
        <v>2766270</v>
      </c>
      <c r="D2023" s="35">
        <v>0.4</v>
      </c>
      <c r="E2023" s="35" t="s">
        <v>215</v>
      </c>
      <c r="F2023" s="31" t="str">
        <f t="shared" si="62"/>
        <v>E2.15.04</v>
      </c>
      <c r="G2023" s="34">
        <f t="shared" si="63"/>
        <v>0.4</v>
      </c>
    </row>
    <row r="2024" spans="2:7" ht="13.8" customHeight="1" x14ac:dyDescent="0.25">
      <c r="B2024" s="35" t="s">
        <v>1</v>
      </c>
      <c r="C2024" s="35">
        <v>2766272</v>
      </c>
      <c r="D2024" s="35">
        <v>3.7</v>
      </c>
      <c r="E2024" s="35" t="s">
        <v>215</v>
      </c>
      <c r="F2024" s="31" t="str">
        <f t="shared" si="62"/>
        <v>E2.15.04</v>
      </c>
      <c r="G2024" s="34">
        <f t="shared" si="63"/>
        <v>3.7</v>
      </c>
    </row>
    <row r="2025" spans="2:7" ht="13.8" customHeight="1" x14ac:dyDescent="0.25">
      <c r="B2025" s="35" t="s">
        <v>1</v>
      </c>
      <c r="C2025" s="35">
        <v>2766348</v>
      </c>
      <c r="D2025" s="35">
        <v>2.0699999999999998</v>
      </c>
      <c r="E2025" s="35" t="s">
        <v>216</v>
      </c>
      <c r="F2025" s="31" t="str">
        <f t="shared" si="62"/>
        <v>E2.34.05</v>
      </c>
      <c r="G2025" s="34">
        <f t="shared" si="63"/>
        <v>2.0699999999999998</v>
      </c>
    </row>
    <row r="2026" spans="2:7" ht="13.8" customHeight="1" x14ac:dyDescent="0.25">
      <c r="B2026" s="35" t="s">
        <v>1</v>
      </c>
      <c r="C2026" s="35">
        <v>2766350</v>
      </c>
      <c r="D2026" s="35">
        <v>0.18</v>
      </c>
      <c r="E2026" s="35" t="s">
        <v>216</v>
      </c>
      <c r="F2026" s="31" t="str">
        <f t="shared" si="62"/>
        <v>E2.34.05</v>
      </c>
      <c r="G2026" s="34">
        <f t="shared" si="63"/>
        <v>0.18</v>
      </c>
    </row>
    <row r="2027" spans="2:7" ht="13.8" customHeight="1" x14ac:dyDescent="0.25">
      <c r="B2027" s="35" t="s">
        <v>1</v>
      </c>
      <c r="C2027" s="35">
        <v>2766352</v>
      </c>
      <c r="D2027" s="35">
        <v>7.4</v>
      </c>
      <c r="E2027" s="35" t="s">
        <v>216</v>
      </c>
      <c r="F2027" s="31" t="str">
        <f t="shared" si="62"/>
        <v>E2.34.05</v>
      </c>
      <c r="G2027" s="34">
        <f t="shared" si="63"/>
        <v>7.4</v>
      </c>
    </row>
    <row r="2028" spans="2:7" ht="13.8" customHeight="1" x14ac:dyDescent="0.25">
      <c r="B2028" s="35" t="s">
        <v>1</v>
      </c>
      <c r="C2028" s="35">
        <v>2766354</v>
      </c>
      <c r="D2028" s="35">
        <v>1.02</v>
      </c>
      <c r="E2028" s="35" t="s">
        <v>216</v>
      </c>
      <c r="F2028" s="31" t="str">
        <f t="shared" si="62"/>
        <v>E2.34.05</v>
      </c>
      <c r="G2028" s="34">
        <f t="shared" si="63"/>
        <v>1.02</v>
      </c>
    </row>
    <row r="2029" spans="2:7" ht="13.8" customHeight="1" x14ac:dyDescent="0.25">
      <c r="B2029" s="35" t="s">
        <v>1</v>
      </c>
      <c r="C2029" s="35">
        <v>2766356</v>
      </c>
      <c r="D2029" s="35">
        <v>4.5199999999999996</v>
      </c>
      <c r="E2029" s="35" t="s">
        <v>216</v>
      </c>
      <c r="F2029" s="31" t="str">
        <f t="shared" si="62"/>
        <v>E2.34.05</v>
      </c>
      <c r="G2029" s="34">
        <f t="shared" si="63"/>
        <v>4.5199999999999996</v>
      </c>
    </row>
    <row r="2030" spans="2:7" ht="13.8" customHeight="1" x14ac:dyDescent="0.25">
      <c r="B2030" s="35" t="s">
        <v>1</v>
      </c>
      <c r="C2030" s="35">
        <v>2766427</v>
      </c>
      <c r="D2030" s="35">
        <v>3.96</v>
      </c>
      <c r="E2030" s="35" t="s">
        <v>217</v>
      </c>
      <c r="F2030" s="31" t="str">
        <f t="shared" si="62"/>
        <v>E2.34.06</v>
      </c>
      <c r="G2030" s="34">
        <f t="shared" si="63"/>
        <v>3.96</v>
      </c>
    </row>
    <row r="2031" spans="2:7" ht="13.8" customHeight="1" x14ac:dyDescent="0.25">
      <c r="B2031" s="35" t="s">
        <v>1</v>
      </c>
      <c r="C2031" s="35">
        <v>2766429</v>
      </c>
      <c r="D2031" s="35">
        <v>10.44</v>
      </c>
      <c r="E2031" s="35" t="s">
        <v>217</v>
      </c>
      <c r="F2031" s="31" t="str">
        <f t="shared" si="62"/>
        <v>E2.34.06</v>
      </c>
      <c r="G2031" s="34">
        <f t="shared" si="63"/>
        <v>10.44</v>
      </c>
    </row>
    <row r="2032" spans="2:7" ht="13.8" customHeight="1" x14ac:dyDescent="0.25">
      <c r="B2032" s="35" t="s">
        <v>1</v>
      </c>
      <c r="C2032" s="35">
        <v>2766431</v>
      </c>
      <c r="D2032" s="35">
        <v>4.37</v>
      </c>
      <c r="E2032" s="35" t="s">
        <v>217</v>
      </c>
      <c r="F2032" s="31" t="str">
        <f t="shared" si="62"/>
        <v>E2.34.06</v>
      </c>
      <c r="G2032" s="34">
        <f t="shared" si="63"/>
        <v>4.37</v>
      </c>
    </row>
    <row r="2033" spans="2:7" ht="13.8" customHeight="1" x14ac:dyDescent="0.25">
      <c r="B2033" s="35" t="s">
        <v>1</v>
      </c>
      <c r="C2033" s="35">
        <v>2766498</v>
      </c>
      <c r="D2033" s="35">
        <v>3.96</v>
      </c>
      <c r="E2033" s="35" t="s">
        <v>218</v>
      </c>
      <c r="F2033" s="31" t="str">
        <f t="shared" si="62"/>
        <v>E2.34.04</v>
      </c>
      <c r="G2033" s="34">
        <f t="shared" si="63"/>
        <v>3.96</v>
      </c>
    </row>
    <row r="2034" spans="2:7" ht="13.8" customHeight="1" x14ac:dyDescent="0.25">
      <c r="B2034" s="35" t="s">
        <v>1</v>
      </c>
      <c r="C2034" s="35">
        <v>2766500</v>
      </c>
      <c r="D2034" s="35">
        <v>6.91</v>
      </c>
      <c r="E2034" s="35" t="s">
        <v>218</v>
      </c>
      <c r="F2034" s="31" t="str">
        <f t="shared" si="62"/>
        <v>E2.34.04</v>
      </c>
      <c r="G2034" s="34">
        <f t="shared" si="63"/>
        <v>6.91</v>
      </c>
    </row>
    <row r="2035" spans="2:7" ht="13.8" customHeight="1" x14ac:dyDescent="0.25">
      <c r="B2035" s="35" t="s">
        <v>1</v>
      </c>
      <c r="C2035" s="35">
        <v>2766502</v>
      </c>
      <c r="D2035" s="35">
        <v>1.92</v>
      </c>
      <c r="E2035" s="35" t="s">
        <v>218</v>
      </c>
      <c r="F2035" s="31" t="str">
        <f t="shared" si="62"/>
        <v>E2.34.04</v>
      </c>
      <c r="G2035" s="34">
        <f t="shared" si="63"/>
        <v>1.92</v>
      </c>
    </row>
    <row r="2036" spans="2:7" ht="13.8" customHeight="1" x14ac:dyDescent="0.25">
      <c r="B2036" s="35" t="s">
        <v>1</v>
      </c>
      <c r="C2036" s="35">
        <v>2766569</v>
      </c>
      <c r="D2036" s="35">
        <v>6.92</v>
      </c>
      <c r="E2036" s="35" t="s">
        <v>219</v>
      </c>
      <c r="F2036" s="31" t="str">
        <f t="shared" si="62"/>
        <v>E2.34.01</v>
      </c>
      <c r="G2036" s="34">
        <f t="shared" si="63"/>
        <v>6.92</v>
      </c>
    </row>
    <row r="2037" spans="2:7" ht="13.8" customHeight="1" x14ac:dyDescent="0.25">
      <c r="B2037" s="35" t="s">
        <v>1</v>
      </c>
      <c r="C2037" s="35">
        <v>2766572</v>
      </c>
      <c r="D2037" s="35">
        <v>3.96</v>
      </c>
      <c r="E2037" s="35" t="s">
        <v>219</v>
      </c>
      <c r="F2037" s="31" t="str">
        <f t="shared" si="62"/>
        <v>E2.34.01</v>
      </c>
      <c r="G2037" s="34">
        <f t="shared" si="63"/>
        <v>3.96</v>
      </c>
    </row>
    <row r="2038" spans="2:7" ht="13.8" customHeight="1" x14ac:dyDescent="0.25">
      <c r="B2038" s="35" t="s">
        <v>1</v>
      </c>
      <c r="C2038" s="35">
        <v>2766573</v>
      </c>
      <c r="D2038" s="35">
        <v>1.92</v>
      </c>
      <c r="E2038" s="35" t="s">
        <v>219</v>
      </c>
      <c r="F2038" s="31" t="str">
        <f t="shared" si="62"/>
        <v>E2.34.01</v>
      </c>
      <c r="G2038" s="34">
        <f t="shared" si="63"/>
        <v>1.92</v>
      </c>
    </row>
    <row r="2039" spans="2:7" ht="13.8" customHeight="1" x14ac:dyDescent="0.25">
      <c r="B2039" s="35" t="s">
        <v>1</v>
      </c>
      <c r="C2039" s="35">
        <v>2766655</v>
      </c>
      <c r="D2039" s="35">
        <v>1.02</v>
      </c>
      <c r="E2039" s="35" t="s">
        <v>220</v>
      </c>
      <c r="F2039" s="31" t="str">
        <f t="shared" si="62"/>
        <v>E2.34.02</v>
      </c>
      <c r="G2039" s="34">
        <f t="shared" si="63"/>
        <v>1.02</v>
      </c>
    </row>
    <row r="2040" spans="2:7" ht="13.8" customHeight="1" x14ac:dyDescent="0.25">
      <c r="B2040" s="35" t="s">
        <v>1</v>
      </c>
      <c r="C2040" s="35">
        <v>2766658</v>
      </c>
      <c r="D2040" s="35">
        <v>0.18</v>
      </c>
      <c r="E2040" s="35" t="s">
        <v>220</v>
      </c>
      <c r="F2040" s="31" t="str">
        <f t="shared" si="62"/>
        <v>E2.34.02</v>
      </c>
      <c r="G2040" s="34">
        <f t="shared" si="63"/>
        <v>0.18</v>
      </c>
    </row>
    <row r="2041" spans="2:7" ht="13.8" customHeight="1" x14ac:dyDescent="0.25">
      <c r="B2041" s="35" t="s">
        <v>1</v>
      </c>
      <c r="C2041" s="35">
        <v>2766661</v>
      </c>
      <c r="D2041" s="35">
        <v>4.53</v>
      </c>
      <c r="E2041" s="35" t="s">
        <v>220</v>
      </c>
      <c r="F2041" s="31" t="str">
        <f t="shared" si="62"/>
        <v>E2.34.02</v>
      </c>
      <c r="G2041" s="34">
        <f t="shared" si="63"/>
        <v>4.53</v>
      </c>
    </row>
    <row r="2042" spans="2:7" ht="13.8" customHeight="1" x14ac:dyDescent="0.25">
      <c r="B2042" s="35" t="s">
        <v>1</v>
      </c>
      <c r="C2042" s="35">
        <v>2766662</v>
      </c>
      <c r="D2042" s="35">
        <v>2.0699999999999998</v>
      </c>
      <c r="E2042" s="35" t="s">
        <v>220</v>
      </c>
      <c r="F2042" s="31" t="str">
        <f t="shared" si="62"/>
        <v>E2.34.02</v>
      </c>
      <c r="G2042" s="34">
        <f t="shared" si="63"/>
        <v>2.0699999999999998</v>
      </c>
    </row>
    <row r="2043" spans="2:7" ht="13.8" customHeight="1" x14ac:dyDescent="0.25">
      <c r="B2043" s="35" t="s">
        <v>1</v>
      </c>
      <c r="C2043" s="35">
        <v>2766663</v>
      </c>
      <c r="D2043" s="35">
        <v>7.4</v>
      </c>
      <c r="E2043" s="35" t="s">
        <v>220</v>
      </c>
      <c r="F2043" s="31" t="str">
        <f t="shared" si="62"/>
        <v>E2.34.02</v>
      </c>
      <c r="G2043" s="34">
        <f t="shared" si="63"/>
        <v>7.4</v>
      </c>
    </row>
    <row r="2044" spans="2:7" ht="13.8" customHeight="1" x14ac:dyDescent="0.25">
      <c r="B2044" s="35" t="s">
        <v>1</v>
      </c>
      <c r="C2044" s="35">
        <v>2766737</v>
      </c>
      <c r="D2044" s="35">
        <v>10.42</v>
      </c>
      <c r="E2044" s="35" t="s">
        <v>221</v>
      </c>
      <c r="F2044" s="31" t="str">
        <f t="shared" si="62"/>
        <v>E2.34.03</v>
      </c>
      <c r="G2044" s="34">
        <f t="shared" si="63"/>
        <v>10.42</v>
      </c>
    </row>
    <row r="2045" spans="2:7" ht="13.8" customHeight="1" x14ac:dyDescent="0.25">
      <c r="B2045" s="35" t="s">
        <v>1</v>
      </c>
      <c r="C2045" s="35">
        <v>2766740</v>
      </c>
      <c r="D2045" s="35">
        <v>3.96</v>
      </c>
      <c r="E2045" s="35" t="s">
        <v>221</v>
      </c>
      <c r="F2045" s="31" t="str">
        <f t="shared" si="62"/>
        <v>E2.34.03</v>
      </c>
      <c r="G2045" s="34">
        <f t="shared" si="63"/>
        <v>3.96</v>
      </c>
    </row>
    <row r="2046" spans="2:7" ht="13.8" customHeight="1" x14ac:dyDescent="0.25">
      <c r="B2046" s="35" t="s">
        <v>1</v>
      </c>
      <c r="C2046" s="35">
        <v>2766741</v>
      </c>
      <c r="D2046" s="35">
        <v>4.38</v>
      </c>
      <c r="E2046" s="35" t="s">
        <v>221</v>
      </c>
      <c r="F2046" s="31" t="str">
        <f t="shared" si="62"/>
        <v>E2.34.03</v>
      </c>
      <c r="G2046" s="34">
        <f t="shared" si="63"/>
        <v>4.38</v>
      </c>
    </row>
    <row r="2047" spans="2:7" ht="13.8" customHeight="1" x14ac:dyDescent="0.25">
      <c r="B2047" s="35" t="s">
        <v>1</v>
      </c>
      <c r="C2047" s="35">
        <v>2766809</v>
      </c>
      <c r="D2047" s="35">
        <v>12.49</v>
      </c>
      <c r="E2047" s="35" t="s">
        <v>222</v>
      </c>
      <c r="F2047" s="31" t="str">
        <f t="shared" si="62"/>
        <v>D1.09.02</v>
      </c>
      <c r="G2047" s="34">
        <f t="shared" si="63"/>
        <v>12.49</v>
      </c>
    </row>
    <row r="2048" spans="2:7" ht="13.8" customHeight="1" x14ac:dyDescent="0.25">
      <c r="B2048" s="35" t="s">
        <v>1</v>
      </c>
      <c r="C2048" s="35">
        <v>2766811</v>
      </c>
      <c r="D2048" s="35">
        <v>6.6</v>
      </c>
      <c r="E2048" s="35" t="s">
        <v>222</v>
      </c>
      <c r="F2048" s="31" t="str">
        <f t="shared" si="62"/>
        <v>D1.09.02</v>
      </c>
      <c r="G2048" s="34">
        <f t="shared" si="63"/>
        <v>6.6</v>
      </c>
    </row>
    <row r="2049" spans="2:7" ht="13.8" customHeight="1" x14ac:dyDescent="0.25">
      <c r="B2049" s="35" t="s">
        <v>1</v>
      </c>
      <c r="C2049" s="35">
        <v>2766870</v>
      </c>
      <c r="D2049" s="35">
        <v>1.86</v>
      </c>
      <c r="E2049" s="35" t="s">
        <v>223</v>
      </c>
      <c r="F2049" s="31" t="str">
        <f t="shared" si="62"/>
        <v>D1.09.03</v>
      </c>
      <c r="G2049" s="34">
        <f t="shared" si="63"/>
        <v>1.86</v>
      </c>
    </row>
    <row r="2050" spans="2:7" ht="13.8" customHeight="1" x14ac:dyDescent="0.25">
      <c r="B2050" s="35" t="s">
        <v>1</v>
      </c>
      <c r="C2050" s="35">
        <v>2766873</v>
      </c>
      <c r="D2050" s="35">
        <v>5.03</v>
      </c>
      <c r="E2050" s="35" t="s">
        <v>223</v>
      </c>
      <c r="F2050" s="31" t="str">
        <f t="shared" si="62"/>
        <v>D1.09.03</v>
      </c>
      <c r="G2050" s="34">
        <f t="shared" si="63"/>
        <v>5.03</v>
      </c>
    </row>
    <row r="2051" spans="2:7" ht="13.8" customHeight="1" x14ac:dyDescent="0.25">
      <c r="B2051" s="35" t="s">
        <v>1</v>
      </c>
      <c r="C2051" s="35">
        <v>2766875</v>
      </c>
      <c r="D2051" s="35">
        <v>6.24</v>
      </c>
      <c r="E2051" s="35" t="s">
        <v>223</v>
      </c>
      <c r="F2051" s="31" t="str">
        <f t="shared" si="62"/>
        <v>D1.09.03</v>
      </c>
      <c r="G2051" s="34">
        <f t="shared" si="63"/>
        <v>6.24</v>
      </c>
    </row>
    <row r="2052" spans="2:7" ht="13.8" customHeight="1" x14ac:dyDescent="0.25">
      <c r="B2052" s="35" t="s">
        <v>1</v>
      </c>
      <c r="C2052" s="35">
        <v>2766876</v>
      </c>
      <c r="D2052" s="35">
        <v>6.6</v>
      </c>
      <c r="E2052" s="35" t="s">
        <v>223</v>
      </c>
      <c r="F2052" s="31" t="str">
        <f t="shared" si="62"/>
        <v>D1.09.03</v>
      </c>
      <c r="G2052" s="34">
        <f t="shared" si="63"/>
        <v>6.6</v>
      </c>
    </row>
    <row r="2053" spans="2:7" ht="13.8" customHeight="1" x14ac:dyDescent="0.25">
      <c r="B2053" s="35" t="s">
        <v>1</v>
      </c>
      <c r="C2053" s="35">
        <v>2766935</v>
      </c>
      <c r="D2053" s="35">
        <v>2.84</v>
      </c>
      <c r="E2053" s="35" t="s">
        <v>224</v>
      </c>
      <c r="F2053" s="31" t="str">
        <f t="shared" si="62"/>
        <v>D1.12.01</v>
      </c>
      <c r="G2053" s="34">
        <f t="shared" si="63"/>
        <v>2.84</v>
      </c>
    </row>
    <row r="2054" spans="2:7" ht="13.8" customHeight="1" x14ac:dyDescent="0.25">
      <c r="B2054" s="35" t="s">
        <v>1</v>
      </c>
      <c r="C2054" s="35">
        <v>2766938</v>
      </c>
      <c r="D2054" s="35">
        <v>6.6</v>
      </c>
      <c r="E2054" s="35" t="s">
        <v>224</v>
      </c>
      <c r="F2054" s="31" t="str">
        <f t="shared" si="62"/>
        <v>D1.12.01</v>
      </c>
      <c r="G2054" s="34">
        <f t="shared" si="63"/>
        <v>6.6</v>
      </c>
    </row>
    <row r="2055" spans="2:7" ht="13.8" customHeight="1" x14ac:dyDescent="0.25">
      <c r="B2055" s="35" t="s">
        <v>1</v>
      </c>
      <c r="C2055" s="35">
        <v>2766939</v>
      </c>
      <c r="D2055" s="35">
        <v>2.12</v>
      </c>
      <c r="E2055" s="35" t="s">
        <v>224</v>
      </c>
      <c r="F2055" s="31" t="str">
        <f t="shared" ref="F2055:F2118" si="64">LEFT(E2055,8)</f>
        <v>D1.12.01</v>
      </c>
      <c r="G2055" s="34">
        <f t="shared" ref="G2055:G2118" si="65">D2055</f>
        <v>2.12</v>
      </c>
    </row>
    <row r="2056" spans="2:7" ht="13.8" customHeight="1" x14ac:dyDescent="0.25">
      <c r="B2056" s="35" t="s">
        <v>1</v>
      </c>
      <c r="C2056" s="35">
        <v>2766942</v>
      </c>
      <c r="D2056" s="35">
        <v>9.7200000000000006</v>
      </c>
      <c r="E2056" s="35" t="s">
        <v>224</v>
      </c>
      <c r="F2056" s="31" t="str">
        <f t="shared" si="64"/>
        <v>D1.12.01</v>
      </c>
      <c r="G2056" s="34">
        <f t="shared" si="65"/>
        <v>9.7200000000000006</v>
      </c>
    </row>
    <row r="2057" spans="2:7" ht="13.8" customHeight="1" x14ac:dyDescent="0.25">
      <c r="B2057" s="35" t="s">
        <v>1</v>
      </c>
      <c r="C2057" s="35">
        <v>2766943</v>
      </c>
      <c r="D2057" s="35">
        <v>0.9</v>
      </c>
      <c r="E2057" s="35" t="s">
        <v>224</v>
      </c>
      <c r="F2057" s="31" t="str">
        <f t="shared" si="64"/>
        <v>D1.12.01</v>
      </c>
      <c r="G2057" s="34">
        <f t="shared" si="65"/>
        <v>0.9</v>
      </c>
    </row>
    <row r="2058" spans="2:7" ht="13.8" customHeight="1" x14ac:dyDescent="0.25">
      <c r="B2058" s="35" t="s">
        <v>1</v>
      </c>
      <c r="C2058" s="35">
        <v>2766984</v>
      </c>
      <c r="D2058" s="35">
        <v>6.6</v>
      </c>
      <c r="E2058" s="35" t="s">
        <v>225</v>
      </c>
      <c r="F2058" s="31" t="str">
        <f t="shared" si="64"/>
        <v>D1.12.02</v>
      </c>
      <c r="G2058" s="34">
        <f t="shared" si="65"/>
        <v>6.6</v>
      </c>
    </row>
    <row r="2059" spans="2:7" ht="13.8" customHeight="1" x14ac:dyDescent="0.25">
      <c r="B2059" s="35" t="s">
        <v>1</v>
      </c>
      <c r="C2059" s="35">
        <v>2766986</v>
      </c>
      <c r="D2059" s="35">
        <v>5.96</v>
      </c>
      <c r="E2059" s="35" t="s">
        <v>225</v>
      </c>
      <c r="F2059" s="31" t="str">
        <f t="shared" si="64"/>
        <v>D1.12.02</v>
      </c>
      <c r="G2059" s="34">
        <f t="shared" si="65"/>
        <v>5.96</v>
      </c>
    </row>
    <row r="2060" spans="2:7" ht="13.8" customHeight="1" x14ac:dyDescent="0.25">
      <c r="B2060" s="35" t="s">
        <v>1</v>
      </c>
      <c r="C2060" s="35">
        <v>2766988</v>
      </c>
      <c r="D2060" s="35">
        <v>6.6</v>
      </c>
      <c r="E2060" s="35" t="s">
        <v>225</v>
      </c>
      <c r="F2060" s="31" t="str">
        <f t="shared" si="64"/>
        <v>D1.12.02</v>
      </c>
      <c r="G2060" s="34">
        <f t="shared" si="65"/>
        <v>6.6</v>
      </c>
    </row>
    <row r="2061" spans="2:7" ht="13.8" customHeight="1" x14ac:dyDescent="0.25">
      <c r="B2061" s="35" t="s">
        <v>1</v>
      </c>
      <c r="C2061" s="35">
        <v>2767031</v>
      </c>
      <c r="D2061" s="35">
        <v>2.5</v>
      </c>
      <c r="E2061" s="35" t="s">
        <v>226</v>
      </c>
      <c r="F2061" s="31" t="str">
        <f t="shared" si="64"/>
        <v>D1.08.04</v>
      </c>
      <c r="G2061" s="34">
        <f t="shared" si="65"/>
        <v>2.5</v>
      </c>
    </row>
    <row r="2062" spans="2:7" ht="13.8" customHeight="1" x14ac:dyDescent="0.25">
      <c r="B2062" s="35" t="s">
        <v>1</v>
      </c>
      <c r="C2062" s="35">
        <v>2767034</v>
      </c>
      <c r="D2062" s="35">
        <v>2.5</v>
      </c>
      <c r="E2062" s="35" t="s">
        <v>226</v>
      </c>
      <c r="F2062" s="31" t="str">
        <f t="shared" si="64"/>
        <v>D1.08.04</v>
      </c>
      <c r="G2062" s="34">
        <f t="shared" si="65"/>
        <v>2.5</v>
      </c>
    </row>
    <row r="2063" spans="2:7" ht="13.8" customHeight="1" x14ac:dyDescent="0.25">
      <c r="B2063" s="35" t="s">
        <v>1</v>
      </c>
      <c r="C2063" s="35">
        <v>2767037</v>
      </c>
      <c r="D2063" s="35">
        <v>6.6</v>
      </c>
      <c r="E2063" s="35" t="s">
        <v>226</v>
      </c>
      <c r="F2063" s="31" t="str">
        <f t="shared" si="64"/>
        <v>D1.08.04</v>
      </c>
      <c r="G2063" s="34">
        <f t="shared" si="65"/>
        <v>6.6</v>
      </c>
    </row>
    <row r="2064" spans="2:7" ht="13.8" customHeight="1" x14ac:dyDescent="0.25">
      <c r="B2064" s="35" t="s">
        <v>1</v>
      </c>
      <c r="C2064" s="35">
        <v>2767039</v>
      </c>
      <c r="D2064" s="35">
        <v>6.6</v>
      </c>
      <c r="E2064" s="35" t="s">
        <v>226</v>
      </c>
      <c r="F2064" s="31" t="str">
        <f t="shared" si="64"/>
        <v>D1.08.04</v>
      </c>
      <c r="G2064" s="34">
        <f t="shared" si="65"/>
        <v>6.6</v>
      </c>
    </row>
    <row r="2065" spans="2:7" ht="13.8" customHeight="1" x14ac:dyDescent="0.25">
      <c r="B2065" s="35" t="s">
        <v>1</v>
      </c>
      <c r="C2065" s="35">
        <v>2767040</v>
      </c>
      <c r="D2065" s="35">
        <v>2.02</v>
      </c>
      <c r="E2065" s="35" t="s">
        <v>226</v>
      </c>
      <c r="F2065" s="31" t="str">
        <f t="shared" si="64"/>
        <v>D1.08.04</v>
      </c>
      <c r="G2065" s="34">
        <f t="shared" si="65"/>
        <v>2.02</v>
      </c>
    </row>
    <row r="2066" spans="2:7" ht="13.8" customHeight="1" x14ac:dyDescent="0.25">
      <c r="B2066" s="35" t="s">
        <v>1</v>
      </c>
      <c r="C2066" s="35">
        <v>2767042</v>
      </c>
      <c r="D2066" s="35">
        <v>7.27</v>
      </c>
      <c r="E2066" s="35" t="s">
        <v>226</v>
      </c>
      <c r="F2066" s="31" t="str">
        <f t="shared" si="64"/>
        <v>D1.08.04</v>
      </c>
      <c r="G2066" s="34">
        <f t="shared" si="65"/>
        <v>7.27</v>
      </c>
    </row>
    <row r="2067" spans="2:7" ht="13.8" customHeight="1" x14ac:dyDescent="0.25">
      <c r="B2067" s="35" t="s">
        <v>1</v>
      </c>
      <c r="C2067" s="35">
        <v>2767043</v>
      </c>
      <c r="D2067" s="35">
        <v>6.6</v>
      </c>
      <c r="E2067" s="35" t="s">
        <v>226</v>
      </c>
      <c r="F2067" s="31" t="str">
        <f t="shared" si="64"/>
        <v>D1.08.04</v>
      </c>
      <c r="G2067" s="34">
        <f t="shared" si="65"/>
        <v>6.6</v>
      </c>
    </row>
    <row r="2068" spans="2:7" ht="13.8" customHeight="1" x14ac:dyDescent="0.25">
      <c r="B2068" s="35" t="s">
        <v>1</v>
      </c>
      <c r="C2068" s="35">
        <v>2767045</v>
      </c>
      <c r="D2068" s="35">
        <v>7.27</v>
      </c>
      <c r="E2068" s="35" t="s">
        <v>226</v>
      </c>
      <c r="F2068" s="31" t="str">
        <f t="shared" si="64"/>
        <v>D1.08.04</v>
      </c>
      <c r="G2068" s="34">
        <f t="shared" si="65"/>
        <v>7.27</v>
      </c>
    </row>
    <row r="2069" spans="2:7" ht="13.8" customHeight="1" x14ac:dyDescent="0.25">
      <c r="B2069" s="35" t="s">
        <v>1</v>
      </c>
      <c r="C2069" s="35">
        <v>2767047</v>
      </c>
      <c r="D2069" s="35">
        <v>2.02</v>
      </c>
      <c r="E2069" s="35" t="s">
        <v>226</v>
      </c>
      <c r="F2069" s="31" t="str">
        <f t="shared" si="64"/>
        <v>D1.08.04</v>
      </c>
      <c r="G2069" s="34">
        <f t="shared" si="65"/>
        <v>2.02</v>
      </c>
    </row>
    <row r="2070" spans="2:7" ht="13.8" customHeight="1" x14ac:dyDescent="0.25">
      <c r="B2070" s="35" t="s">
        <v>1</v>
      </c>
      <c r="C2070" s="35">
        <v>2767048</v>
      </c>
      <c r="D2070" s="35">
        <v>6.6</v>
      </c>
      <c r="E2070" s="35" t="s">
        <v>226</v>
      </c>
      <c r="F2070" s="31" t="str">
        <f t="shared" si="64"/>
        <v>D1.08.04</v>
      </c>
      <c r="G2070" s="34">
        <f t="shared" si="65"/>
        <v>6.6</v>
      </c>
    </row>
    <row r="2071" spans="2:7" ht="13.8" customHeight="1" x14ac:dyDescent="0.25">
      <c r="B2071" s="35" t="s">
        <v>1</v>
      </c>
      <c r="C2071" s="35">
        <v>2767086</v>
      </c>
      <c r="D2071" s="35">
        <v>6.6</v>
      </c>
      <c r="E2071" s="35" t="s">
        <v>227</v>
      </c>
      <c r="F2071" s="31" t="str">
        <f t="shared" si="64"/>
        <v>D1.08.05</v>
      </c>
      <c r="G2071" s="34">
        <f t="shared" si="65"/>
        <v>6.6</v>
      </c>
    </row>
    <row r="2072" spans="2:7" ht="13.8" customHeight="1" x14ac:dyDescent="0.25">
      <c r="B2072" s="35" t="s">
        <v>1</v>
      </c>
      <c r="C2072" s="35">
        <v>2767088</v>
      </c>
      <c r="D2072" s="35">
        <v>6.6</v>
      </c>
      <c r="E2072" s="35" t="s">
        <v>227</v>
      </c>
      <c r="F2072" s="31" t="str">
        <f t="shared" si="64"/>
        <v>D1.08.05</v>
      </c>
      <c r="G2072" s="34">
        <f t="shared" si="65"/>
        <v>6.6</v>
      </c>
    </row>
    <row r="2073" spans="2:7" ht="13.8" customHeight="1" x14ac:dyDescent="0.25">
      <c r="B2073" s="35" t="s">
        <v>1</v>
      </c>
      <c r="C2073" s="35">
        <v>2767090</v>
      </c>
      <c r="D2073" s="35">
        <v>10.27</v>
      </c>
      <c r="E2073" s="35" t="s">
        <v>227</v>
      </c>
      <c r="F2073" s="31" t="str">
        <f t="shared" si="64"/>
        <v>D1.08.05</v>
      </c>
      <c r="G2073" s="34">
        <f t="shared" si="65"/>
        <v>10.27</v>
      </c>
    </row>
    <row r="2074" spans="2:7" ht="13.8" customHeight="1" x14ac:dyDescent="0.25">
      <c r="B2074" s="35" t="s">
        <v>1</v>
      </c>
      <c r="C2074" s="35">
        <v>2767091</v>
      </c>
      <c r="D2074" s="35">
        <v>10.27</v>
      </c>
      <c r="E2074" s="35" t="s">
        <v>227</v>
      </c>
      <c r="F2074" s="31" t="str">
        <f t="shared" si="64"/>
        <v>D1.08.05</v>
      </c>
      <c r="G2074" s="34">
        <f t="shared" si="65"/>
        <v>10.27</v>
      </c>
    </row>
    <row r="2075" spans="2:7" ht="13.8" customHeight="1" x14ac:dyDescent="0.25">
      <c r="B2075" s="35" t="s">
        <v>1</v>
      </c>
      <c r="C2075" s="35">
        <v>2767094</v>
      </c>
      <c r="D2075" s="35">
        <v>6.6</v>
      </c>
      <c r="E2075" s="35" t="s">
        <v>227</v>
      </c>
      <c r="F2075" s="31" t="str">
        <f t="shared" si="64"/>
        <v>D1.08.05</v>
      </c>
      <c r="G2075" s="34">
        <f t="shared" si="65"/>
        <v>6.6</v>
      </c>
    </row>
    <row r="2076" spans="2:7" ht="13.8" customHeight="1" x14ac:dyDescent="0.25">
      <c r="B2076" s="35" t="s">
        <v>1</v>
      </c>
      <c r="C2076" s="35">
        <v>2767095</v>
      </c>
      <c r="D2076" s="35">
        <v>6.6</v>
      </c>
      <c r="E2076" s="35" t="s">
        <v>227</v>
      </c>
      <c r="F2076" s="31" t="str">
        <f t="shared" si="64"/>
        <v>D1.08.05</v>
      </c>
      <c r="G2076" s="34">
        <f t="shared" si="65"/>
        <v>6.6</v>
      </c>
    </row>
    <row r="2077" spans="2:7" ht="13.8" customHeight="1" x14ac:dyDescent="0.25">
      <c r="B2077" s="35" t="s">
        <v>1</v>
      </c>
      <c r="C2077" s="35">
        <v>2767154</v>
      </c>
      <c r="D2077" s="35">
        <v>12.49</v>
      </c>
      <c r="E2077" s="35" t="s">
        <v>228</v>
      </c>
      <c r="F2077" s="31" t="str">
        <f t="shared" si="64"/>
        <v>D1.08.02</v>
      </c>
      <c r="G2077" s="34">
        <f t="shared" si="65"/>
        <v>12.49</v>
      </c>
    </row>
    <row r="2078" spans="2:7" ht="13.8" customHeight="1" x14ac:dyDescent="0.25">
      <c r="B2078" s="35" t="s">
        <v>1</v>
      </c>
      <c r="C2078" s="35">
        <v>2767156</v>
      </c>
      <c r="D2078" s="35">
        <v>12.49</v>
      </c>
      <c r="E2078" s="35" t="s">
        <v>228</v>
      </c>
      <c r="F2078" s="31" t="str">
        <f t="shared" si="64"/>
        <v>D1.08.02</v>
      </c>
      <c r="G2078" s="34">
        <f t="shared" si="65"/>
        <v>12.49</v>
      </c>
    </row>
    <row r="2079" spans="2:7" ht="13.8" customHeight="1" x14ac:dyDescent="0.25">
      <c r="B2079" s="35" t="s">
        <v>1</v>
      </c>
      <c r="C2079" s="35">
        <v>2767158</v>
      </c>
      <c r="D2079" s="35">
        <v>6.6</v>
      </c>
      <c r="E2079" s="35" t="s">
        <v>228</v>
      </c>
      <c r="F2079" s="31" t="str">
        <f t="shared" si="64"/>
        <v>D1.08.02</v>
      </c>
      <c r="G2079" s="34">
        <f t="shared" si="65"/>
        <v>6.6</v>
      </c>
    </row>
    <row r="2080" spans="2:7" ht="13.8" customHeight="1" x14ac:dyDescent="0.25">
      <c r="B2080" s="35" t="s">
        <v>1</v>
      </c>
      <c r="C2080" s="35">
        <v>2767159</v>
      </c>
      <c r="D2080" s="35">
        <v>6.6</v>
      </c>
      <c r="E2080" s="35" t="s">
        <v>228</v>
      </c>
      <c r="F2080" s="31" t="str">
        <f t="shared" si="64"/>
        <v>D1.08.02</v>
      </c>
      <c r="G2080" s="34">
        <f t="shared" si="65"/>
        <v>6.6</v>
      </c>
    </row>
    <row r="2081" spans="2:7" ht="13.8" customHeight="1" x14ac:dyDescent="0.25">
      <c r="B2081" s="35" t="s">
        <v>1</v>
      </c>
      <c r="C2081" s="35">
        <v>2767205</v>
      </c>
      <c r="D2081" s="35">
        <v>7.57</v>
      </c>
      <c r="E2081" s="35" t="s">
        <v>229</v>
      </c>
      <c r="F2081" s="31" t="str">
        <f t="shared" si="64"/>
        <v>D1.08.01</v>
      </c>
      <c r="G2081" s="34">
        <f t="shared" si="65"/>
        <v>7.57</v>
      </c>
    </row>
    <row r="2082" spans="2:7" ht="13.8" customHeight="1" x14ac:dyDescent="0.25">
      <c r="B2082" s="35" t="s">
        <v>1</v>
      </c>
      <c r="C2082" s="35">
        <v>2767208</v>
      </c>
      <c r="D2082" s="35">
        <v>7.57</v>
      </c>
      <c r="E2082" s="35" t="s">
        <v>229</v>
      </c>
      <c r="F2082" s="31" t="str">
        <f t="shared" si="64"/>
        <v>D1.08.01</v>
      </c>
      <c r="G2082" s="34">
        <f t="shared" si="65"/>
        <v>7.57</v>
      </c>
    </row>
    <row r="2083" spans="2:7" ht="13.8" customHeight="1" x14ac:dyDescent="0.25">
      <c r="B2083" s="35" t="s">
        <v>1</v>
      </c>
      <c r="C2083" s="35">
        <v>2767211</v>
      </c>
      <c r="D2083" s="35">
        <v>6.6</v>
      </c>
      <c r="E2083" s="35" t="s">
        <v>229</v>
      </c>
      <c r="F2083" s="31" t="str">
        <f t="shared" si="64"/>
        <v>D1.08.01</v>
      </c>
      <c r="G2083" s="34">
        <f t="shared" si="65"/>
        <v>6.6</v>
      </c>
    </row>
    <row r="2084" spans="2:7" ht="13.8" customHeight="1" x14ac:dyDescent="0.25">
      <c r="B2084" s="35" t="s">
        <v>1</v>
      </c>
      <c r="C2084" s="35">
        <v>2767212</v>
      </c>
      <c r="D2084" s="35">
        <v>6.6</v>
      </c>
      <c r="E2084" s="35" t="s">
        <v>229</v>
      </c>
      <c r="F2084" s="31" t="str">
        <f t="shared" si="64"/>
        <v>D1.08.01</v>
      </c>
      <c r="G2084" s="34">
        <f t="shared" si="65"/>
        <v>6.6</v>
      </c>
    </row>
    <row r="2085" spans="2:7" ht="13.8" customHeight="1" x14ac:dyDescent="0.25">
      <c r="B2085" s="35" t="s">
        <v>1</v>
      </c>
      <c r="C2085" s="35">
        <v>2767213</v>
      </c>
      <c r="D2085" s="35">
        <v>6.6</v>
      </c>
      <c r="E2085" s="35" t="s">
        <v>229</v>
      </c>
      <c r="F2085" s="31" t="str">
        <f t="shared" si="64"/>
        <v>D1.08.01</v>
      </c>
      <c r="G2085" s="34">
        <f t="shared" si="65"/>
        <v>6.6</v>
      </c>
    </row>
    <row r="2086" spans="2:7" ht="13.8" customHeight="1" x14ac:dyDescent="0.25">
      <c r="B2086" s="35" t="s">
        <v>1</v>
      </c>
      <c r="C2086" s="35">
        <v>2767214</v>
      </c>
      <c r="D2086" s="35">
        <v>6.6</v>
      </c>
      <c r="E2086" s="35" t="s">
        <v>229</v>
      </c>
      <c r="F2086" s="31" t="str">
        <f t="shared" si="64"/>
        <v>D1.08.01</v>
      </c>
      <c r="G2086" s="34">
        <f t="shared" si="65"/>
        <v>6.6</v>
      </c>
    </row>
    <row r="2087" spans="2:7" ht="13.8" customHeight="1" x14ac:dyDescent="0.25">
      <c r="B2087" s="35" t="s">
        <v>1</v>
      </c>
      <c r="C2087" s="35">
        <v>2767260</v>
      </c>
      <c r="D2087" s="35">
        <v>5.03</v>
      </c>
      <c r="E2087" s="35" t="s">
        <v>230</v>
      </c>
      <c r="F2087" s="31" t="str">
        <f t="shared" si="64"/>
        <v>D1.08.03</v>
      </c>
      <c r="G2087" s="34">
        <f t="shared" si="65"/>
        <v>5.03</v>
      </c>
    </row>
    <row r="2088" spans="2:7" ht="13.8" customHeight="1" x14ac:dyDescent="0.25">
      <c r="B2088" s="35" t="s">
        <v>1</v>
      </c>
      <c r="C2088" s="35">
        <v>2767263</v>
      </c>
      <c r="D2088" s="35">
        <v>5.03</v>
      </c>
      <c r="E2088" s="35" t="s">
        <v>230</v>
      </c>
      <c r="F2088" s="31" t="str">
        <f t="shared" si="64"/>
        <v>D1.08.03</v>
      </c>
      <c r="G2088" s="34">
        <f t="shared" si="65"/>
        <v>5.03</v>
      </c>
    </row>
    <row r="2089" spans="2:7" ht="13.8" customHeight="1" x14ac:dyDescent="0.25">
      <c r="B2089" s="35" t="s">
        <v>1</v>
      </c>
      <c r="C2089" s="35">
        <v>2767266</v>
      </c>
      <c r="D2089" s="35">
        <v>1.86</v>
      </c>
      <c r="E2089" s="35" t="s">
        <v>230</v>
      </c>
      <c r="F2089" s="31" t="str">
        <f t="shared" si="64"/>
        <v>D1.08.03</v>
      </c>
      <c r="G2089" s="34">
        <f t="shared" si="65"/>
        <v>1.86</v>
      </c>
    </row>
    <row r="2090" spans="2:7" ht="13.8" customHeight="1" x14ac:dyDescent="0.25">
      <c r="B2090" s="35" t="s">
        <v>1</v>
      </c>
      <c r="C2090" s="35">
        <v>2767268</v>
      </c>
      <c r="D2090" s="35">
        <v>1.86</v>
      </c>
      <c r="E2090" s="35" t="s">
        <v>230</v>
      </c>
      <c r="F2090" s="31" t="str">
        <f t="shared" si="64"/>
        <v>D1.08.03</v>
      </c>
      <c r="G2090" s="34">
        <f t="shared" si="65"/>
        <v>1.86</v>
      </c>
    </row>
    <row r="2091" spans="2:7" ht="13.8" customHeight="1" x14ac:dyDescent="0.25">
      <c r="B2091" s="35" t="s">
        <v>1</v>
      </c>
      <c r="C2091" s="35">
        <v>2767270</v>
      </c>
      <c r="D2091" s="35">
        <v>6.6</v>
      </c>
      <c r="E2091" s="35" t="s">
        <v>230</v>
      </c>
      <c r="F2091" s="31" t="str">
        <f t="shared" si="64"/>
        <v>D1.08.03</v>
      </c>
      <c r="G2091" s="34">
        <f t="shared" si="65"/>
        <v>6.6</v>
      </c>
    </row>
    <row r="2092" spans="2:7" ht="13.8" customHeight="1" x14ac:dyDescent="0.25">
      <c r="B2092" s="35" t="s">
        <v>1</v>
      </c>
      <c r="C2092" s="35">
        <v>2767271</v>
      </c>
      <c r="D2092" s="35">
        <v>6.24</v>
      </c>
      <c r="E2092" s="35" t="s">
        <v>230</v>
      </c>
      <c r="F2092" s="31" t="str">
        <f t="shared" si="64"/>
        <v>D1.08.03</v>
      </c>
      <c r="G2092" s="34">
        <f t="shared" si="65"/>
        <v>6.24</v>
      </c>
    </row>
    <row r="2093" spans="2:7" ht="13.8" customHeight="1" x14ac:dyDescent="0.25">
      <c r="B2093" s="35" t="s">
        <v>1</v>
      </c>
      <c r="C2093" s="35">
        <v>2767272</v>
      </c>
      <c r="D2093" s="35">
        <v>6.24</v>
      </c>
      <c r="E2093" s="35" t="s">
        <v>230</v>
      </c>
      <c r="F2093" s="31" t="str">
        <f t="shared" si="64"/>
        <v>D1.08.03</v>
      </c>
      <c r="G2093" s="34">
        <f t="shared" si="65"/>
        <v>6.24</v>
      </c>
    </row>
    <row r="2094" spans="2:7" ht="13.8" customHeight="1" x14ac:dyDescent="0.25">
      <c r="B2094" s="35" t="s">
        <v>1</v>
      </c>
      <c r="C2094" s="35">
        <v>2767273</v>
      </c>
      <c r="D2094" s="35">
        <v>6.6</v>
      </c>
      <c r="E2094" s="35" t="s">
        <v>230</v>
      </c>
      <c r="F2094" s="31" t="str">
        <f t="shared" si="64"/>
        <v>D1.08.03</v>
      </c>
      <c r="G2094" s="34">
        <f t="shared" si="65"/>
        <v>6.6</v>
      </c>
    </row>
    <row r="2095" spans="2:7" ht="13.8" customHeight="1" x14ac:dyDescent="0.25">
      <c r="B2095" s="35" t="s">
        <v>1</v>
      </c>
      <c r="C2095" s="35">
        <v>2767336</v>
      </c>
      <c r="D2095" s="35">
        <v>6.6</v>
      </c>
      <c r="E2095" s="35" t="s">
        <v>231</v>
      </c>
      <c r="F2095" s="31" t="str">
        <f t="shared" si="64"/>
        <v>B1.11.01</v>
      </c>
      <c r="G2095" s="34">
        <f t="shared" si="65"/>
        <v>6.6</v>
      </c>
    </row>
    <row r="2096" spans="2:7" ht="13.8" customHeight="1" x14ac:dyDescent="0.25">
      <c r="B2096" s="35" t="s">
        <v>1</v>
      </c>
      <c r="C2096" s="35">
        <v>2767338</v>
      </c>
      <c r="D2096" s="35">
        <v>7.57</v>
      </c>
      <c r="E2096" s="35" t="s">
        <v>231</v>
      </c>
      <c r="F2096" s="31" t="str">
        <f t="shared" si="64"/>
        <v>B1.11.01</v>
      </c>
      <c r="G2096" s="34">
        <f t="shared" si="65"/>
        <v>7.57</v>
      </c>
    </row>
    <row r="2097" spans="2:7" ht="13.8" customHeight="1" x14ac:dyDescent="0.25">
      <c r="B2097" s="35" t="s">
        <v>1</v>
      </c>
      <c r="C2097" s="35">
        <v>2767370</v>
      </c>
      <c r="D2097" s="35">
        <v>7.57</v>
      </c>
      <c r="E2097" s="35" t="s">
        <v>232</v>
      </c>
      <c r="F2097" s="31" t="str">
        <f t="shared" si="64"/>
        <v>B1.11.02</v>
      </c>
      <c r="G2097" s="34">
        <f t="shared" si="65"/>
        <v>7.57</v>
      </c>
    </row>
    <row r="2098" spans="2:7" ht="13.8" customHeight="1" x14ac:dyDescent="0.25">
      <c r="B2098" s="35" t="s">
        <v>1</v>
      </c>
      <c r="C2098" s="35">
        <v>2767373</v>
      </c>
      <c r="D2098" s="35">
        <v>6.6</v>
      </c>
      <c r="E2098" s="35" t="s">
        <v>232</v>
      </c>
      <c r="F2098" s="31" t="str">
        <f t="shared" si="64"/>
        <v>B1.11.02</v>
      </c>
      <c r="G2098" s="34">
        <f t="shared" si="65"/>
        <v>6.6</v>
      </c>
    </row>
    <row r="2099" spans="2:7" ht="13.8" customHeight="1" x14ac:dyDescent="0.25">
      <c r="B2099" s="35" t="s">
        <v>1</v>
      </c>
      <c r="C2099" s="35">
        <v>2767374</v>
      </c>
      <c r="D2099" s="35">
        <v>6.6</v>
      </c>
      <c r="E2099" s="35" t="s">
        <v>232</v>
      </c>
      <c r="F2099" s="31" t="str">
        <f t="shared" si="64"/>
        <v>B1.11.02</v>
      </c>
      <c r="G2099" s="34">
        <f t="shared" si="65"/>
        <v>6.6</v>
      </c>
    </row>
    <row r="2100" spans="2:7" ht="13.8" customHeight="1" x14ac:dyDescent="0.25">
      <c r="B2100" s="35" t="s">
        <v>1</v>
      </c>
      <c r="C2100" s="35">
        <v>2767407</v>
      </c>
      <c r="D2100" s="35">
        <v>7.57</v>
      </c>
      <c r="E2100" s="35" t="s">
        <v>233</v>
      </c>
      <c r="F2100" s="31" t="str">
        <f t="shared" si="64"/>
        <v>B1.07.01</v>
      </c>
      <c r="G2100" s="34">
        <f t="shared" si="65"/>
        <v>7.57</v>
      </c>
    </row>
    <row r="2101" spans="2:7" ht="13.8" customHeight="1" x14ac:dyDescent="0.25">
      <c r="B2101" s="35" t="s">
        <v>1</v>
      </c>
      <c r="C2101" s="35">
        <v>2767409</v>
      </c>
      <c r="D2101" s="35">
        <v>6.6</v>
      </c>
      <c r="E2101" s="35" t="s">
        <v>233</v>
      </c>
      <c r="F2101" s="31" t="str">
        <f t="shared" si="64"/>
        <v>B1.07.01</v>
      </c>
      <c r="G2101" s="34">
        <f t="shared" si="65"/>
        <v>6.6</v>
      </c>
    </row>
    <row r="2102" spans="2:7" ht="13.8" customHeight="1" x14ac:dyDescent="0.25">
      <c r="B2102" s="35" t="s">
        <v>1</v>
      </c>
      <c r="C2102" s="35">
        <v>2767410</v>
      </c>
      <c r="D2102" s="35">
        <v>7.57</v>
      </c>
      <c r="E2102" s="35" t="s">
        <v>233</v>
      </c>
      <c r="F2102" s="31" t="str">
        <f t="shared" si="64"/>
        <v>B1.07.01</v>
      </c>
      <c r="G2102" s="34">
        <f t="shared" si="65"/>
        <v>7.57</v>
      </c>
    </row>
    <row r="2103" spans="2:7" ht="13.8" customHeight="1" x14ac:dyDescent="0.25">
      <c r="B2103" s="35" t="s">
        <v>1</v>
      </c>
      <c r="C2103" s="35">
        <v>2767412</v>
      </c>
      <c r="D2103" s="35">
        <v>6.6</v>
      </c>
      <c r="E2103" s="35" t="s">
        <v>233</v>
      </c>
      <c r="F2103" s="31" t="str">
        <f t="shared" si="64"/>
        <v>B1.07.01</v>
      </c>
      <c r="G2103" s="34">
        <f t="shared" si="65"/>
        <v>6.6</v>
      </c>
    </row>
    <row r="2104" spans="2:7" ht="13.8" customHeight="1" x14ac:dyDescent="0.25">
      <c r="B2104" s="35" t="s">
        <v>1</v>
      </c>
      <c r="C2104" s="35">
        <v>2767470</v>
      </c>
      <c r="D2104" s="35">
        <v>9.16</v>
      </c>
      <c r="E2104" s="35" t="s">
        <v>234</v>
      </c>
      <c r="F2104" s="31" t="str">
        <f t="shared" si="64"/>
        <v>B1.07.02</v>
      </c>
      <c r="G2104" s="34">
        <f t="shared" si="65"/>
        <v>9.16</v>
      </c>
    </row>
    <row r="2105" spans="2:7" ht="13.8" customHeight="1" x14ac:dyDescent="0.25">
      <c r="B2105" s="35" t="s">
        <v>1</v>
      </c>
      <c r="C2105" s="35">
        <v>2767473</v>
      </c>
      <c r="D2105" s="35">
        <v>9.16</v>
      </c>
      <c r="E2105" s="35" t="s">
        <v>234</v>
      </c>
      <c r="F2105" s="31" t="str">
        <f t="shared" si="64"/>
        <v>B1.07.02</v>
      </c>
      <c r="G2105" s="34">
        <f t="shared" si="65"/>
        <v>9.16</v>
      </c>
    </row>
    <row r="2106" spans="2:7" ht="13.8" customHeight="1" x14ac:dyDescent="0.25">
      <c r="B2106" s="35" t="s">
        <v>1</v>
      </c>
      <c r="C2106" s="35">
        <v>2767476</v>
      </c>
      <c r="D2106" s="35">
        <v>1</v>
      </c>
      <c r="E2106" s="35" t="s">
        <v>234</v>
      </c>
      <c r="F2106" s="31" t="str">
        <f t="shared" si="64"/>
        <v>B1.07.02</v>
      </c>
      <c r="G2106" s="34">
        <f t="shared" si="65"/>
        <v>1</v>
      </c>
    </row>
    <row r="2107" spans="2:7" ht="13.8" customHeight="1" x14ac:dyDescent="0.25">
      <c r="B2107" s="35" t="s">
        <v>1</v>
      </c>
      <c r="C2107" s="35">
        <v>2767478</v>
      </c>
      <c r="D2107" s="35">
        <v>1.36</v>
      </c>
      <c r="E2107" s="35" t="s">
        <v>234</v>
      </c>
      <c r="F2107" s="31" t="str">
        <f t="shared" si="64"/>
        <v>B1.07.02</v>
      </c>
      <c r="G2107" s="34">
        <f t="shared" si="65"/>
        <v>1.36</v>
      </c>
    </row>
    <row r="2108" spans="2:7" ht="13.8" customHeight="1" x14ac:dyDescent="0.25">
      <c r="B2108" s="35" t="s">
        <v>1</v>
      </c>
      <c r="C2108" s="35">
        <v>2767479</v>
      </c>
      <c r="D2108" s="35">
        <v>6.6</v>
      </c>
      <c r="E2108" s="35" t="s">
        <v>234</v>
      </c>
      <c r="F2108" s="31" t="str">
        <f t="shared" si="64"/>
        <v>B1.07.02</v>
      </c>
      <c r="G2108" s="34">
        <f t="shared" si="65"/>
        <v>6.6</v>
      </c>
    </row>
    <row r="2109" spans="2:7" ht="13.8" customHeight="1" x14ac:dyDescent="0.25">
      <c r="B2109" s="35" t="s">
        <v>1</v>
      </c>
      <c r="C2109" s="35">
        <v>2767480</v>
      </c>
      <c r="D2109" s="35">
        <v>1</v>
      </c>
      <c r="E2109" s="35" t="s">
        <v>234</v>
      </c>
      <c r="F2109" s="31" t="str">
        <f t="shared" si="64"/>
        <v>B1.07.02</v>
      </c>
      <c r="G2109" s="34">
        <f t="shared" si="65"/>
        <v>1</v>
      </c>
    </row>
    <row r="2110" spans="2:7" ht="13.8" customHeight="1" x14ac:dyDescent="0.25">
      <c r="B2110" s="35" t="s">
        <v>1</v>
      </c>
      <c r="C2110" s="35">
        <v>2767482</v>
      </c>
      <c r="D2110" s="35">
        <v>1.36</v>
      </c>
      <c r="E2110" s="35" t="s">
        <v>234</v>
      </c>
      <c r="F2110" s="31" t="str">
        <f t="shared" si="64"/>
        <v>B1.07.02</v>
      </c>
      <c r="G2110" s="34">
        <f t="shared" si="65"/>
        <v>1.36</v>
      </c>
    </row>
    <row r="2111" spans="2:7" ht="13.8" customHeight="1" x14ac:dyDescent="0.25">
      <c r="B2111" s="35" t="s">
        <v>1</v>
      </c>
      <c r="C2111" s="35">
        <v>2767483</v>
      </c>
      <c r="D2111" s="35">
        <v>6.6</v>
      </c>
      <c r="E2111" s="35" t="s">
        <v>234</v>
      </c>
      <c r="F2111" s="31" t="str">
        <f t="shared" si="64"/>
        <v>B1.07.02</v>
      </c>
      <c r="G2111" s="34">
        <f t="shared" si="65"/>
        <v>6.6</v>
      </c>
    </row>
    <row r="2112" spans="2:7" ht="13.8" customHeight="1" x14ac:dyDescent="0.25">
      <c r="B2112" s="35" t="s">
        <v>1</v>
      </c>
      <c r="C2112" s="35">
        <v>2767533</v>
      </c>
      <c r="D2112" s="35">
        <v>6.6</v>
      </c>
      <c r="E2112" s="35" t="s">
        <v>235</v>
      </c>
      <c r="F2112" s="31" t="str">
        <f t="shared" si="64"/>
        <v>B1.07.03</v>
      </c>
      <c r="G2112" s="34">
        <f t="shared" si="65"/>
        <v>6.6</v>
      </c>
    </row>
    <row r="2113" spans="2:7" ht="13.8" customHeight="1" x14ac:dyDescent="0.25">
      <c r="B2113" s="35" t="s">
        <v>1</v>
      </c>
      <c r="C2113" s="35">
        <v>2767535</v>
      </c>
      <c r="D2113" s="35">
        <v>7.61</v>
      </c>
      <c r="E2113" s="35" t="s">
        <v>235</v>
      </c>
      <c r="F2113" s="31" t="str">
        <f t="shared" si="64"/>
        <v>B1.07.03</v>
      </c>
      <c r="G2113" s="34">
        <f t="shared" si="65"/>
        <v>7.61</v>
      </c>
    </row>
    <row r="2114" spans="2:7" ht="13.8" customHeight="1" x14ac:dyDescent="0.25">
      <c r="B2114" s="35" t="s">
        <v>1</v>
      </c>
      <c r="C2114" s="35">
        <v>2767536</v>
      </c>
      <c r="D2114" s="35">
        <v>6.6</v>
      </c>
      <c r="E2114" s="35" t="s">
        <v>235</v>
      </c>
      <c r="F2114" s="31" t="str">
        <f t="shared" si="64"/>
        <v>B1.07.03</v>
      </c>
      <c r="G2114" s="34">
        <f t="shared" si="65"/>
        <v>6.6</v>
      </c>
    </row>
    <row r="2115" spans="2:7" ht="13.8" customHeight="1" x14ac:dyDescent="0.25">
      <c r="B2115" s="35" t="s">
        <v>1</v>
      </c>
      <c r="C2115" s="35">
        <v>2767538</v>
      </c>
      <c r="D2115" s="35">
        <v>7.61</v>
      </c>
      <c r="E2115" s="35" t="s">
        <v>235</v>
      </c>
      <c r="F2115" s="31" t="str">
        <f t="shared" si="64"/>
        <v>B1.07.03</v>
      </c>
      <c r="G2115" s="34">
        <f t="shared" si="65"/>
        <v>7.61</v>
      </c>
    </row>
    <row r="2116" spans="2:7" ht="13.8" customHeight="1" x14ac:dyDescent="0.25">
      <c r="B2116" s="35" t="s">
        <v>1</v>
      </c>
      <c r="C2116" s="35">
        <v>2767570</v>
      </c>
      <c r="D2116" s="35">
        <v>7.57</v>
      </c>
      <c r="E2116" s="35" t="s">
        <v>236</v>
      </c>
      <c r="F2116" s="31" t="str">
        <f t="shared" si="64"/>
        <v>B1.07.04</v>
      </c>
      <c r="G2116" s="34">
        <f t="shared" si="65"/>
        <v>7.57</v>
      </c>
    </row>
    <row r="2117" spans="2:7" ht="13.8" customHeight="1" x14ac:dyDescent="0.25">
      <c r="B2117" s="35" t="s">
        <v>1</v>
      </c>
      <c r="C2117" s="35">
        <v>2767573</v>
      </c>
      <c r="D2117" s="35">
        <v>7.57</v>
      </c>
      <c r="E2117" s="35" t="s">
        <v>236</v>
      </c>
      <c r="F2117" s="31" t="str">
        <f t="shared" si="64"/>
        <v>B1.07.04</v>
      </c>
      <c r="G2117" s="34">
        <f t="shared" si="65"/>
        <v>7.57</v>
      </c>
    </row>
    <row r="2118" spans="2:7" ht="13.8" customHeight="1" x14ac:dyDescent="0.25">
      <c r="B2118" s="35" t="s">
        <v>1</v>
      </c>
      <c r="C2118" s="35">
        <v>2767576</v>
      </c>
      <c r="D2118" s="35">
        <v>6.6</v>
      </c>
      <c r="E2118" s="35" t="s">
        <v>236</v>
      </c>
      <c r="F2118" s="31" t="str">
        <f t="shared" si="64"/>
        <v>B1.07.04</v>
      </c>
      <c r="G2118" s="34">
        <f t="shared" si="65"/>
        <v>6.6</v>
      </c>
    </row>
    <row r="2119" spans="2:7" ht="13.8" customHeight="1" x14ac:dyDescent="0.25">
      <c r="B2119" s="35" t="s">
        <v>1</v>
      </c>
      <c r="C2119" s="35">
        <v>2767577</v>
      </c>
      <c r="D2119" s="35">
        <v>6.6</v>
      </c>
      <c r="E2119" s="35" t="s">
        <v>236</v>
      </c>
      <c r="F2119" s="31" t="str">
        <f t="shared" ref="F2119:F2182" si="66">LEFT(E2119,8)</f>
        <v>B1.07.04</v>
      </c>
      <c r="G2119" s="34">
        <f t="shared" ref="G2119:G2182" si="67">D2119</f>
        <v>6.6</v>
      </c>
    </row>
    <row r="2120" spans="2:7" ht="13.8" customHeight="1" x14ac:dyDescent="0.25">
      <c r="B2120" s="35" t="s">
        <v>1</v>
      </c>
      <c r="C2120" s="35">
        <v>2767578</v>
      </c>
      <c r="D2120" s="35">
        <v>6.6</v>
      </c>
      <c r="E2120" s="35" t="s">
        <v>236</v>
      </c>
      <c r="F2120" s="31" t="str">
        <f t="shared" si="66"/>
        <v>B1.07.04</v>
      </c>
      <c r="G2120" s="34">
        <f t="shared" si="67"/>
        <v>6.6</v>
      </c>
    </row>
    <row r="2121" spans="2:7" ht="13.8" customHeight="1" x14ac:dyDescent="0.25">
      <c r="B2121" s="35" t="s">
        <v>1</v>
      </c>
      <c r="C2121" s="35">
        <v>2767579</v>
      </c>
      <c r="D2121" s="35">
        <v>6.6</v>
      </c>
      <c r="E2121" s="35" t="s">
        <v>236</v>
      </c>
      <c r="F2121" s="31" t="str">
        <f t="shared" si="66"/>
        <v>B1.07.04</v>
      </c>
      <c r="G2121" s="34">
        <f t="shared" si="67"/>
        <v>6.6</v>
      </c>
    </row>
    <row r="2122" spans="2:7" ht="13.8" customHeight="1" x14ac:dyDescent="0.25">
      <c r="B2122" s="35" t="s">
        <v>1</v>
      </c>
      <c r="C2122" s="35">
        <v>2767611</v>
      </c>
      <c r="D2122" s="35">
        <v>7.57</v>
      </c>
      <c r="E2122" s="35" t="s">
        <v>237</v>
      </c>
      <c r="F2122" s="31" t="str">
        <f t="shared" si="66"/>
        <v>B1.07.05</v>
      </c>
      <c r="G2122" s="34">
        <f t="shared" si="67"/>
        <v>7.57</v>
      </c>
    </row>
    <row r="2123" spans="2:7" ht="13.8" customHeight="1" x14ac:dyDescent="0.25">
      <c r="B2123" s="35" t="s">
        <v>1</v>
      </c>
      <c r="C2123" s="35">
        <v>2767614</v>
      </c>
      <c r="D2123" s="35">
        <v>7.57</v>
      </c>
      <c r="E2123" s="35" t="s">
        <v>237</v>
      </c>
      <c r="F2123" s="31" t="str">
        <f t="shared" si="66"/>
        <v>B1.07.05</v>
      </c>
      <c r="G2123" s="34">
        <f t="shared" si="67"/>
        <v>7.57</v>
      </c>
    </row>
    <row r="2124" spans="2:7" ht="13.8" customHeight="1" x14ac:dyDescent="0.25">
      <c r="B2124" s="35" t="s">
        <v>1</v>
      </c>
      <c r="C2124" s="35">
        <v>2767617</v>
      </c>
      <c r="D2124" s="35">
        <v>6.6</v>
      </c>
      <c r="E2124" s="35" t="s">
        <v>237</v>
      </c>
      <c r="F2124" s="31" t="str">
        <f t="shared" si="66"/>
        <v>B1.07.05</v>
      </c>
      <c r="G2124" s="34">
        <f t="shared" si="67"/>
        <v>6.6</v>
      </c>
    </row>
    <row r="2125" spans="2:7" ht="13.8" customHeight="1" x14ac:dyDescent="0.25">
      <c r="B2125" s="35" t="s">
        <v>1</v>
      </c>
      <c r="C2125" s="35">
        <v>2767618</v>
      </c>
      <c r="D2125" s="35">
        <v>6.6</v>
      </c>
      <c r="E2125" s="35" t="s">
        <v>237</v>
      </c>
      <c r="F2125" s="31" t="str">
        <f t="shared" si="66"/>
        <v>B1.07.05</v>
      </c>
      <c r="G2125" s="34">
        <f t="shared" si="67"/>
        <v>6.6</v>
      </c>
    </row>
    <row r="2126" spans="2:7" ht="13.8" customHeight="1" x14ac:dyDescent="0.25">
      <c r="B2126" s="35" t="s">
        <v>1</v>
      </c>
      <c r="C2126" s="35">
        <v>2767619</v>
      </c>
      <c r="D2126" s="35">
        <v>6.6</v>
      </c>
      <c r="E2126" s="35" t="s">
        <v>237</v>
      </c>
      <c r="F2126" s="31" t="str">
        <f t="shared" si="66"/>
        <v>B1.07.05</v>
      </c>
      <c r="G2126" s="34">
        <f t="shared" si="67"/>
        <v>6.6</v>
      </c>
    </row>
    <row r="2127" spans="2:7" ht="13.8" customHeight="1" x14ac:dyDescent="0.25">
      <c r="B2127" s="35" t="s">
        <v>1</v>
      </c>
      <c r="C2127" s="35">
        <v>2767620</v>
      </c>
      <c r="D2127" s="35">
        <v>6.6</v>
      </c>
      <c r="E2127" s="35" t="s">
        <v>237</v>
      </c>
      <c r="F2127" s="31" t="str">
        <f t="shared" si="66"/>
        <v>B1.07.05</v>
      </c>
      <c r="G2127" s="34">
        <f t="shared" si="67"/>
        <v>6.6</v>
      </c>
    </row>
    <row r="2128" spans="2:7" ht="13.8" customHeight="1" x14ac:dyDescent="0.25">
      <c r="B2128" s="35" t="s">
        <v>1</v>
      </c>
      <c r="C2128" s="35">
        <v>2767679</v>
      </c>
      <c r="D2128" s="35">
        <v>9.16</v>
      </c>
      <c r="E2128" s="35" t="s">
        <v>238</v>
      </c>
      <c r="F2128" s="31" t="str">
        <f t="shared" si="66"/>
        <v>B1.08.02</v>
      </c>
      <c r="G2128" s="34">
        <f t="shared" si="67"/>
        <v>9.16</v>
      </c>
    </row>
    <row r="2129" spans="2:7" ht="13.8" customHeight="1" x14ac:dyDescent="0.25">
      <c r="B2129" s="35" t="s">
        <v>1</v>
      </c>
      <c r="C2129" s="35">
        <v>2767682</v>
      </c>
      <c r="D2129" s="35">
        <v>1</v>
      </c>
      <c r="E2129" s="35" t="s">
        <v>238</v>
      </c>
      <c r="F2129" s="31" t="str">
        <f t="shared" si="66"/>
        <v>B1.08.02</v>
      </c>
      <c r="G2129" s="34">
        <f t="shared" si="67"/>
        <v>1</v>
      </c>
    </row>
    <row r="2130" spans="2:7" ht="13.8" customHeight="1" x14ac:dyDescent="0.25">
      <c r="B2130" s="35" t="s">
        <v>1</v>
      </c>
      <c r="C2130" s="35">
        <v>2767684</v>
      </c>
      <c r="D2130" s="35">
        <v>1.36</v>
      </c>
      <c r="E2130" s="35" t="s">
        <v>238</v>
      </c>
      <c r="F2130" s="31" t="str">
        <f t="shared" si="66"/>
        <v>B1.08.02</v>
      </c>
      <c r="G2130" s="34">
        <f t="shared" si="67"/>
        <v>1.36</v>
      </c>
    </row>
    <row r="2131" spans="2:7" ht="13.8" customHeight="1" x14ac:dyDescent="0.25">
      <c r="B2131" s="35" t="s">
        <v>1</v>
      </c>
      <c r="C2131" s="35">
        <v>2767685</v>
      </c>
      <c r="D2131" s="35">
        <v>6.6</v>
      </c>
      <c r="E2131" s="35" t="s">
        <v>238</v>
      </c>
      <c r="F2131" s="31" t="str">
        <f t="shared" si="66"/>
        <v>B1.08.02</v>
      </c>
      <c r="G2131" s="34">
        <f t="shared" si="67"/>
        <v>6.6</v>
      </c>
    </row>
    <row r="2132" spans="2:7" ht="13.8" customHeight="1" x14ac:dyDescent="0.25">
      <c r="B2132" s="35" t="s">
        <v>1</v>
      </c>
      <c r="C2132" s="35">
        <v>2767740</v>
      </c>
      <c r="D2132" s="35">
        <v>6.6</v>
      </c>
      <c r="E2132" s="35" t="s">
        <v>239</v>
      </c>
      <c r="F2132" s="31" t="str">
        <f t="shared" si="66"/>
        <v>B1.08.03</v>
      </c>
      <c r="G2132" s="34">
        <f t="shared" si="67"/>
        <v>6.6</v>
      </c>
    </row>
    <row r="2133" spans="2:7" ht="13.8" customHeight="1" x14ac:dyDescent="0.25">
      <c r="B2133" s="35" t="s">
        <v>1</v>
      </c>
      <c r="C2133" s="35">
        <v>2767742</v>
      </c>
      <c r="D2133" s="35">
        <v>7.61</v>
      </c>
      <c r="E2133" s="35" t="s">
        <v>239</v>
      </c>
      <c r="F2133" s="31" t="str">
        <f t="shared" si="66"/>
        <v>B1.08.03</v>
      </c>
      <c r="G2133" s="34">
        <f t="shared" si="67"/>
        <v>7.61</v>
      </c>
    </row>
    <row r="2134" spans="2:7" ht="13.8" customHeight="1" x14ac:dyDescent="0.25">
      <c r="B2134" s="35" t="s">
        <v>1</v>
      </c>
      <c r="C2134" s="35">
        <v>2767792</v>
      </c>
      <c r="D2134" s="35">
        <v>2.46</v>
      </c>
      <c r="E2134" s="35" t="s">
        <v>240</v>
      </c>
      <c r="F2134" s="31" t="str">
        <f t="shared" si="66"/>
        <v>A3.10.01</v>
      </c>
      <c r="G2134" s="34">
        <f t="shared" si="67"/>
        <v>2.46</v>
      </c>
    </row>
    <row r="2135" spans="2:7" ht="13.8" customHeight="1" x14ac:dyDescent="0.25">
      <c r="B2135" s="35" t="s">
        <v>1</v>
      </c>
      <c r="C2135" s="35">
        <v>2767795</v>
      </c>
      <c r="D2135" s="35">
        <v>2.41</v>
      </c>
      <c r="E2135" s="35" t="s">
        <v>240</v>
      </c>
      <c r="F2135" s="31" t="str">
        <f t="shared" si="66"/>
        <v>A3.10.01</v>
      </c>
      <c r="G2135" s="34">
        <f t="shared" si="67"/>
        <v>2.41</v>
      </c>
    </row>
    <row r="2136" spans="2:7" ht="13.8" customHeight="1" x14ac:dyDescent="0.25">
      <c r="B2136" s="35" t="s">
        <v>1</v>
      </c>
      <c r="C2136" s="35">
        <v>2767797</v>
      </c>
      <c r="D2136" s="35">
        <v>2.71</v>
      </c>
      <c r="E2136" s="35" t="s">
        <v>240</v>
      </c>
      <c r="F2136" s="31" t="str">
        <f t="shared" si="66"/>
        <v>A3.10.01</v>
      </c>
      <c r="G2136" s="34">
        <f t="shared" si="67"/>
        <v>2.71</v>
      </c>
    </row>
    <row r="2137" spans="2:7" ht="13.8" customHeight="1" x14ac:dyDescent="0.25">
      <c r="B2137" s="35" t="s">
        <v>1</v>
      </c>
      <c r="C2137" s="35">
        <v>2767799</v>
      </c>
      <c r="D2137" s="35">
        <v>10.29</v>
      </c>
      <c r="E2137" s="35" t="s">
        <v>240</v>
      </c>
      <c r="F2137" s="31" t="str">
        <f t="shared" si="66"/>
        <v>A3.10.01</v>
      </c>
      <c r="G2137" s="34">
        <f t="shared" si="67"/>
        <v>10.29</v>
      </c>
    </row>
    <row r="2138" spans="2:7" ht="13.8" customHeight="1" x14ac:dyDescent="0.25">
      <c r="B2138" s="35" t="s">
        <v>1</v>
      </c>
      <c r="C2138" s="35">
        <v>2767800</v>
      </c>
      <c r="D2138" s="35">
        <v>2.46</v>
      </c>
      <c r="E2138" s="35" t="s">
        <v>240</v>
      </c>
      <c r="F2138" s="31" t="str">
        <f t="shared" si="66"/>
        <v>A3.10.01</v>
      </c>
      <c r="G2138" s="34">
        <f t="shared" si="67"/>
        <v>2.46</v>
      </c>
    </row>
    <row r="2139" spans="2:7" ht="13.8" customHeight="1" x14ac:dyDescent="0.25">
      <c r="B2139" s="35" t="s">
        <v>1</v>
      </c>
      <c r="C2139" s="35">
        <v>2767802</v>
      </c>
      <c r="D2139" s="35">
        <v>1.55</v>
      </c>
      <c r="E2139" s="35" t="s">
        <v>240</v>
      </c>
      <c r="F2139" s="31" t="str">
        <f t="shared" si="66"/>
        <v>A3.10.01</v>
      </c>
      <c r="G2139" s="34">
        <f t="shared" si="67"/>
        <v>1.55</v>
      </c>
    </row>
    <row r="2140" spans="2:7" ht="13.8" customHeight="1" x14ac:dyDescent="0.25">
      <c r="B2140" s="35" t="s">
        <v>1</v>
      </c>
      <c r="C2140" s="35">
        <v>2767862</v>
      </c>
      <c r="D2140" s="35">
        <v>3.65</v>
      </c>
      <c r="E2140" s="35" t="s">
        <v>241</v>
      </c>
      <c r="F2140" s="31" t="str">
        <f t="shared" si="66"/>
        <v>A3.10.05</v>
      </c>
      <c r="G2140" s="34">
        <f t="shared" si="67"/>
        <v>3.65</v>
      </c>
    </row>
    <row r="2141" spans="2:7" ht="13.8" customHeight="1" x14ac:dyDescent="0.25">
      <c r="B2141" s="35" t="s">
        <v>1</v>
      </c>
      <c r="C2141" s="35">
        <v>2767865</v>
      </c>
      <c r="D2141" s="35">
        <v>0.61</v>
      </c>
      <c r="E2141" s="35" t="s">
        <v>241</v>
      </c>
      <c r="F2141" s="31" t="str">
        <f t="shared" si="66"/>
        <v>A3.10.05</v>
      </c>
      <c r="G2141" s="34">
        <f t="shared" si="67"/>
        <v>0.61</v>
      </c>
    </row>
    <row r="2142" spans="2:7" ht="13.8" customHeight="1" x14ac:dyDescent="0.25">
      <c r="B2142" s="35" t="s">
        <v>1</v>
      </c>
      <c r="C2142" s="35">
        <v>2767868</v>
      </c>
      <c r="D2142" s="35">
        <v>5.42</v>
      </c>
      <c r="E2142" s="35" t="s">
        <v>241</v>
      </c>
      <c r="F2142" s="31" t="str">
        <f t="shared" si="66"/>
        <v>A3.10.05</v>
      </c>
      <c r="G2142" s="34">
        <f t="shared" si="67"/>
        <v>5.42</v>
      </c>
    </row>
    <row r="2143" spans="2:7" ht="13.8" customHeight="1" x14ac:dyDescent="0.25">
      <c r="B2143" s="35" t="s">
        <v>1</v>
      </c>
      <c r="C2143" s="35">
        <v>2767870</v>
      </c>
      <c r="D2143" s="35">
        <v>1.86</v>
      </c>
      <c r="E2143" s="35" t="s">
        <v>241</v>
      </c>
      <c r="F2143" s="31" t="str">
        <f t="shared" si="66"/>
        <v>A3.10.05</v>
      </c>
      <c r="G2143" s="34">
        <f t="shared" si="67"/>
        <v>1.86</v>
      </c>
    </row>
    <row r="2144" spans="2:7" ht="13.8" customHeight="1" x14ac:dyDescent="0.25">
      <c r="B2144" s="35" t="s">
        <v>1</v>
      </c>
      <c r="C2144" s="35">
        <v>2767871</v>
      </c>
      <c r="D2144" s="35">
        <v>0.8</v>
      </c>
      <c r="E2144" s="35" t="s">
        <v>241</v>
      </c>
      <c r="F2144" s="31" t="str">
        <f t="shared" si="66"/>
        <v>A3.10.05</v>
      </c>
      <c r="G2144" s="34">
        <f t="shared" si="67"/>
        <v>0.8</v>
      </c>
    </row>
    <row r="2145" spans="2:7" ht="13.8" customHeight="1" x14ac:dyDescent="0.25">
      <c r="B2145" s="35" t="s">
        <v>1</v>
      </c>
      <c r="C2145" s="35">
        <v>2767872</v>
      </c>
      <c r="D2145" s="35">
        <v>5.04</v>
      </c>
      <c r="E2145" s="35" t="s">
        <v>241</v>
      </c>
      <c r="F2145" s="31" t="str">
        <f t="shared" si="66"/>
        <v>A3.10.05</v>
      </c>
      <c r="G2145" s="34">
        <f t="shared" si="67"/>
        <v>5.04</v>
      </c>
    </row>
    <row r="2146" spans="2:7" ht="13.8" customHeight="1" x14ac:dyDescent="0.25">
      <c r="B2146" s="35" t="s">
        <v>1</v>
      </c>
      <c r="C2146" s="35">
        <v>2767921</v>
      </c>
      <c r="D2146" s="35">
        <v>11.08</v>
      </c>
      <c r="E2146" s="35" t="s">
        <v>242</v>
      </c>
      <c r="F2146" s="31" t="str">
        <f t="shared" si="66"/>
        <v>A3.10.04</v>
      </c>
      <c r="G2146" s="34">
        <f t="shared" si="67"/>
        <v>11.08</v>
      </c>
    </row>
    <row r="2147" spans="2:7" ht="13.8" customHeight="1" x14ac:dyDescent="0.25">
      <c r="B2147" s="35" t="s">
        <v>1</v>
      </c>
      <c r="C2147" s="35">
        <v>2767924</v>
      </c>
      <c r="D2147" s="35">
        <v>5.04</v>
      </c>
      <c r="E2147" s="35" t="s">
        <v>242</v>
      </c>
      <c r="F2147" s="31" t="str">
        <f t="shared" si="66"/>
        <v>A3.10.04</v>
      </c>
      <c r="G2147" s="34">
        <f t="shared" si="67"/>
        <v>5.04</v>
      </c>
    </row>
    <row r="2148" spans="2:7" ht="13.8" customHeight="1" x14ac:dyDescent="0.25">
      <c r="B2148" s="35" t="s">
        <v>1</v>
      </c>
      <c r="C2148" s="35">
        <v>2767925</v>
      </c>
      <c r="D2148" s="35">
        <v>5.04</v>
      </c>
      <c r="E2148" s="35" t="s">
        <v>242</v>
      </c>
      <c r="F2148" s="31" t="str">
        <f t="shared" si="66"/>
        <v>A3.10.04</v>
      </c>
      <c r="G2148" s="34">
        <f t="shared" si="67"/>
        <v>5.04</v>
      </c>
    </row>
    <row r="2149" spans="2:7" ht="13.8" customHeight="1" x14ac:dyDescent="0.25">
      <c r="B2149" s="35" t="s">
        <v>1</v>
      </c>
      <c r="C2149" s="35">
        <v>2767975</v>
      </c>
      <c r="D2149" s="35">
        <v>3.65</v>
      </c>
      <c r="E2149" s="35" t="s">
        <v>243</v>
      </c>
      <c r="F2149" s="31" t="str">
        <f t="shared" si="66"/>
        <v>A3.10.03</v>
      </c>
      <c r="G2149" s="34">
        <f t="shared" si="67"/>
        <v>3.65</v>
      </c>
    </row>
    <row r="2150" spans="2:7" ht="13.8" customHeight="1" x14ac:dyDescent="0.25">
      <c r="B2150" s="35" t="s">
        <v>1</v>
      </c>
      <c r="C2150" s="35">
        <v>2767978</v>
      </c>
      <c r="D2150" s="35">
        <v>0.61</v>
      </c>
      <c r="E2150" s="35" t="s">
        <v>243</v>
      </c>
      <c r="F2150" s="31" t="str">
        <f t="shared" si="66"/>
        <v>A3.10.03</v>
      </c>
      <c r="G2150" s="34">
        <f t="shared" si="67"/>
        <v>0.61</v>
      </c>
    </row>
    <row r="2151" spans="2:7" ht="13.8" customHeight="1" x14ac:dyDescent="0.25">
      <c r="B2151" s="35" t="s">
        <v>1</v>
      </c>
      <c r="C2151" s="35">
        <v>2767981</v>
      </c>
      <c r="D2151" s="35">
        <v>5.42</v>
      </c>
      <c r="E2151" s="35" t="s">
        <v>243</v>
      </c>
      <c r="F2151" s="31" t="str">
        <f t="shared" si="66"/>
        <v>A3.10.03</v>
      </c>
      <c r="G2151" s="34">
        <f t="shared" si="67"/>
        <v>5.42</v>
      </c>
    </row>
    <row r="2152" spans="2:7" ht="13.8" customHeight="1" x14ac:dyDescent="0.25">
      <c r="B2152" s="35" t="s">
        <v>1</v>
      </c>
      <c r="C2152" s="35">
        <v>2767983</v>
      </c>
      <c r="D2152" s="35">
        <v>0.8</v>
      </c>
      <c r="E2152" s="35" t="s">
        <v>243</v>
      </c>
      <c r="F2152" s="31" t="str">
        <f t="shared" si="66"/>
        <v>A3.10.03</v>
      </c>
      <c r="G2152" s="34">
        <f t="shared" si="67"/>
        <v>0.8</v>
      </c>
    </row>
    <row r="2153" spans="2:7" ht="13.8" customHeight="1" x14ac:dyDescent="0.25">
      <c r="B2153" s="35" t="s">
        <v>1</v>
      </c>
      <c r="C2153" s="35">
        <v>2767985</v>
      </c>
      <c r="D2153" s="35">
        <v>5.04</v>
      </c>
      <c r="E2153" s="35" t="s">
        <v>243</v>
      </c>
      <c r="F2153" s="31" t="str">
        <f t="shared" si="66"/>
        <v>A3.10.03</v>
      </c>
      <c r="G2153" s="34">
        <f t="shared" si="67"/>
        <v>5.04</v>
      </c>
    </row>
    <row r="2154" spans="2:7" ht="13.8" customHeight="1" x14ac:dyDescent="0.25">
      <c r="B2154" s="35" t="s">
        <v>1</v>
      </c>
      <c r="C2154" s="35">
        <v>2767986</v>
      </c>
      <c r="D2154" s="35">
        <v>1.86</v>
      </c>
      <c r="E2154" s="35" t="s">
        <v>243</v>
      </c>
      <c r="F2154" s="31" t="str">
        <f t="shared" si="66"/>
        <v>A3.10.03</v>
      </c>
      <c r="G2154" s="34">
        <f t="shared" si="67"/>
        <v>1.86</v>
      </c>
    </row>
    <row r="2155" spans="2:7" ht="13.8" customHeight="1" x14ac:dyDescent="0.25">
      <c r="B2155" s="35" t="s">
        <v>1</v>
      </c>
      <c r="C2155" s="35">
        <v>2768049</v>
      </c>
      <c r="D2155" s="35">
        <v>2.46</v>
      </c>
      <c r="E2155" s="35" t="s">
        <v>244</v>
      </c>
      <c r="F2155" s="31" t="str">
        <f t="shared" si="66"/>
        <v>A3.10.02</v>
      </c>
      <c r="G2155" s="34">
        <f t="shared" si="67"/>
        <v>2.46</v>
      </c>
    </row>
    <row r="2156" spans="2:7" ht="13.8" customHeight="1" x14ac:dyDescent="0.25">
      <c r="B2156" s="35" t="s">
        <v>1</v>
      </c>
      <c r="C2156" s="35">
        <v>2768052</v>
      </c>
      <c r="D2156" s="35">
        <v>10.29</v>
      </c>
      <c r="E2156" s="35" t="s">
        <v>244</v>
      </c>
      <c r="F2156" s="31" t="str">
        <f t="shared" si="66"/>
        <v>A3.10.02</v>
      </c>
      <c r="G2156" s="34">
        <f t="shared" si="67"/>
        <v>10.29</v>
      </c>
    </row>
    <row r="2157" spans="2:7" ht="13.8" customHeight="1" x14ac:dyDescent="0.25">
      <c r="B2157" s="35" t="s">
        <v>1</v>
      </c>
      <c r="C2157" s="35">
        <v>2768054</v>
      </c>
      <c r="D2157" s="35">
        <v>2.46</v>
      </c>
      <c r="E2157" s="35" t="s">
        <v>244</v>
      </c>
      <c r="F2157" s="31" t="str">
        <f t="shared" si="66"/>
        <v>A3.10.02</v>
      </c>
      <c r="G2157" s="34">
        <f t="shared" si="67"/>
        <v>2.46</v>
      </c>
    </row>
    <row r="2158" spans="2:7" ht="13.8" customHeight="1" x14ac:dyDescent="0.25">
      <c r="B2158" s="35" t="s">
        <v>1</v>
      </c>
      <c r="C2158" s="35">
        <v>2768057</v>
      </c>
      <c r="D2158" s="35">
        <v>2.41</v>
      </c>
      <c r="E2158" s="35" t="s">
        <v>244</v>
      </c>
      <c r="F2158" s="31" t="str">
        <f t="shared" si="66"/>
        <v>A3.10.02</v>
      </c>
      <c r="G2158" s="34">
        <f t="shared" si="67"/>
        <v>2.41</v>
      </c>
    </row>
    <row r="2159" spans="2:7" ht="13.8" customHeight="1" x14ac:dyDescent="0.25">
      <c r="B2159" s="35" t="s">
        <v>1</v>
      </c>
      <c r="C2159" s="35">
        <v>2768058</v>
      </c>
      <c r="D2159" s="35">
        <v>2.71</v>
      </c>
      <c r="E2159" s="35" t="s">
        <v>244</v>
      </c>
      <c r="F2159" s="31" t="str">
        <f t="shared" si="66"/>
        <v>A3.10.02</v>
      </c>
      <c r="G2159" s="34">
        <f t="shared" si="67"/>
        <v>2.71</v>
      </c>
    </row>
    <row r="2160" spans="2:7" ht="13.8" customHeight="1" x14ac:dyDescent="0.25">
      <c r="B2160" s="35" t="s">
        <v>1</v>
      </c>
      <c r="C2160" s="35">
        <v>2768059</v>
      </c>
      <c r="D2160" s="35">
        <v>1.55</v>
      </c>
      <c r="E2160" s="35" t="s">
        <v>244</v>
      </c>
      <c r="F2160" s="31" t="str">
        <f t="shared" si="66"/>
        <v>A3.10.02</v>
      </c>
      <c r="G2160" s="34">
        <f t="shared" si="67"/>
        <v>1.55</v>
      </c>
    </row>
    <row r="2161" spans="2:7" ht="13.8" customHeight="1" x14ac:dyDescent="0.25">
      <c r="B2161" s="35" t="s">
        <v>1</v>
      </c>
      <c r="C2161" s="35">
        <v>2768115</v>
      </c>
      <c r="D2161" s="35">
        <v>1.86</v>
      </c>
      <c r="E2161" s="35" t="s">
        <v>245</v>
      </c>
      <c r="F2161" s="31" t="str">
        <f t="shared" si="66"/>
        <v>A3.07.05</v>
      </c>
      <c r="G2161" s="34">
        <f t="shared" si="67"/>
        <v>1.86</v>
      </c>
    </row>
    <row r="2162" spans="2:7" ht="13.8" customHeight="1" x14ac:dyDescent="0.25">
      <c r="B2162" s="35" t="s">
        <v>1</v>
      </c>
      <c r="C2162" s="35">
        <v>2768118</v>
      </c>
      <c r="D2162" s="35">
        <v>5.31</v>
      </c>
      <c r="E2162" s="35" t="s">
        <v>245</v>
      </c>
      <c r="F2162" s="31" t="str">
        <f t="shared" si="66"/>
        <v>A3.07.05</v>
      </c>
      <c r="G2162" s="34">
        <f t="shared" si="67"/>
        <v>5.31</v>
      </c>
    </row>
    <row r="2163" spans="2:7" ht="13.8" customHeight="1" x14ac:dyDescent="0.25">
      <c r="B2163" s="35" t="s">
        <v>1</v>
      </c>
      <c r="C2163" s="35">
        <v>2768121</v>
      </c>
      <c r="D2163" s="35">
        <v>0.66</v>
      </c>
      <c r="E2163" s="35" t="s">
        <v>245</v>
      </c>
      <c r="F2163" s="31" t="str">
        <f t="shared" si="66"/>
        <v>A3.07.05</v>
      </c>
      <c r="G2163" s="34">
        <f t="shared" si="67"/>
        <v>0.66</v>
      </c>
    </row>
    <row r="2164" spans="2:7" ht="13.8" customHeight="1" x14ac:dyDescent="0.25">
      <c r="B2164" s="35" t="s">
        <v>1</v>
      </c>
      <c r="C2164" s="35">
        <v>2768123</v>
      </c>
      <c r="D2164" s="35">
        <v>0.8</v>
      </c>
      <c r="E2164" s="35" t="s">
        <v>245</v>
      </c>
      <c r="F2164" s="31" t="str">
        <f t="shared" si="66"/>
        <v>A3.07.05</v>
      </c>
      <c r="G2164" s="34">
        <f t="shared" si="67"/>
        <v>0.8</v>
      </c>
    </row>
    <row r="2165" spans="2:7" ht="13.8" customHeight="1" x14ac:dyDescent="0.25">
      <c r="B2165" s="35" t="s">
        <v>1</v>
      </c>
      <c r="C2165" s="35">
        <v>2768126</v>
      </c>
      <c r="D2165" s="35">
        <v>5.31</v>
      </c>
      <c r="E2165" s="35" t="s">
        <v>245</v>
      </c>
      <c r="F2165" s="31" t="str">
        <f t="shared" si="66"/>
        <v>A3.07.05</v>
      </c>
      <c r="G2165" s="34">
        <f t="shared" si="67"/>
        <v>5.31</v>
      </c>
    </row>
    <row r="2166" spans="2:7" ht="13.8" customHeight="1" x14ac:dyDescent="0.25">
      <c r="B2166" s="35" t="s">
        <v>1</v>
      </c>
      <c r="C2166" s="35">
        <v>2768128</v>
      </c>
      <c r="D2166" s="35">
        <v>3.65</v>
      </c>
      <c r="E2166" s="35" t="s">
        <v>245</v>
      </c>
      <c r="F2166" s="31" t="str">
        <f t="shared" si="66"/>
        <v>A3.07.05</v>
      </c>
      <c r="G2166" s="34">
        <f t="shared" si="67"/>
        <v>3.65</v>
      </c>
    </row>
    <row r="2167" spans="2:7" ht="13.8" customHeight="1" x14ac:dyDescent="0.25">
      <c r="B2167" s="35" t="s">
        <v>1</v>
      </c>
      <c r="C2167" s="35">
        <v>2768129</v>
      </c>
      <c r="D2167" s="35">
        <v>4.38</v>
      </c>
      <c r="E2167" s="35" t="s">
        <v>245</v>
      </c>
      <c r="F2167" s="31" t="str">
        <f t="shared" si="66"/>
        <v>A3.07.05</v>
      </c>
      <c r="G2167" s="34">
        <f t="shared" si="67"/>
        <v>4.38</v>
      </c>
    </row>
    <row r="2168" spans="2:7" ht="13.8" customHeight="1" x14ac:dyDescent="0.25">
      <c r="B2168" s="35" t="s">
        <v>1</v>
      </c>
      <c r="C2168" s="35">
        <v>2768130</v>
      </c>
      <c r="D2168" s="35">
        <v>5.42</v>
      </c>
      <c r="E2168" s="35" t="s">
        <v>245</v>
      </c>
      <c r="F2168" s="31" t="str">
        <f t="shared" si="66"/>
        <v>A3.07.05</v>
      </c>
      <c r="G2168" s="34">
        <f t="shared" si="67"/>
        <v>5.42</v>
      </c>
    </row>
    <row r="2169" spans="2:7" ht="13.8" customHeight="1" x14ac:dyDescent="0.25">
      <c r="B2169" s="35" t="s">
        <v>1</v>
      </c>
      <c r="C2169" s="35">
        <v>2768131</v>
      </c>
      <c r="D2169" s="35">
        <v>1.86</v>
      </c>
      <c r="E2169" s="35" t="s">
        <v>245</v>
      </c>
      <c r="F2169" s="31" t="str">
        <f t="shared" si="66"/>
        <v>A3.07.05</v>
      </c>
      <c r="G2169" s="34">
        <f t="shared" si="67"/>
        <v>1.86</v>
      </c>
    </row>
    <row r="2170" spans="2:7" ht="13.8" customHeight="1" x14ac:dyDescent="0.25">
      <c r="B2170" s="35" t="s">
        <v>1</v>
      </c>
      <c r="C2170" s="35">
        <v>2768134</v>
      </c>
      <c r="D2170" s="35">
        <v>5.31</v>
      </c>
      <c r="E2170" s="35" t="s">
        <v>245</v>
      </c>
      <c r="F2170" s="31" t="str">
        <f t="shared" si="66"/>
        <v>A3.07.05</v>
      </c>
      <c r="G2170" s="34">
        <f t="shared" si="67"/>
        <v>5.31</v>
      </c>
    </row>
    <row r="2171" spans="2:7" ht="13.8" customHeight="1" x14ac:dyDescent="0.25">
      <c r="B2171" s="35" t="s">
        <v>1</v>
      </c>
      <c r="C2171" s="35">
        <v>2768137</v>
      </c>
      <c r="D2171" s="35">
        <v>0.66</v>
      </c>
      <c r="E2171" s="35" t="s">
        <v>245</v>
      </c>
      <c r="F2171" s="31" t="str">
        <f t="shared" si="66"/>
        <v>A3.07.05</v>
      </c>
      <c r="G2171" s="34">
        <f t="shared" si="67"/>
        <v>0.66</v>
      </c>
    </row>
    <row r="2172" spans="2:7" ht="13.8" customHeight="1" x14ac:dyDescent="0.25">
      <c r="B2172" s="35" t="s">
        <v>1</v>
      </c>
      <c r="C2172" s="35">
        <v>2768139</v>
      </c>
      <c r="D2172" s="35">
        <v>0.8</v>
      </c>
      <c r="E2172" s="35" t="s">
        <v>245</v>
      </c>
      <c r="F2172" s="31" t="str">
        <f t="shared" si="66"/>
        <v>A3.07.05</v>
      </c>
      <c r="G2172" s="34">
        <f t="shared" si="67"/>
        <v>0.8</v>
      </c>
    </row>
    <row r="2173" spans="2:7" ht="13.8" customHeight="1" x14ac:dyDescent="0.25">
      <c r="B2173" s="35" t="s">
        <v>1</v>
      </c>
      <c r="C2173" s="35">
        <v>2768142</v>
      </c>
      <c r="D2173" s="35">
        <v>4.38</v>
      </c>
      <c r="E2173" s="35" t="s">
        <v>245</v>
      </c>
      <c r="F2173" s="31" t="str">
        <f t="shared" si="66"/>
        <v>A3.07.05</v>
      </c>
      <c r="G2173" s="34">
        <f t="shared" si="67"/>
        <v>4.38</v>
      </c>
    </row>
    <row r="2174" spans="2:7" ht="13.8" customHeight="1" x14ac:dyDescent="0.25">
      <c r="B2174" s="35" t="s">
        <v>1</v>
      </c>
      <c r="C2174" s="35">
        <v>2768144</v>
      </c>
      <c r="D2174" s="35">
        <v>3.65</v>
      </c>
      <c r="E2174" s="35" t="s">
        <v>245</v>
      </c>
      <c r="F2174" s="31" t="str">
        <f t="shared" si="66"/>
        <v>A3.07.05</v>
      </c>
      <c r="G2174" s="34">
        <f t="shared" si="67"/>
        <v>3.65</v>
      </c>
    </row>
    <row r="2175" spans="2:7" ht="13.8" customHeight="1" x14ac:dyDescent="0.25">
      <c r="B2175" s="35" t="s">
        <v>1</v>
      </c>
      <c r="C2175" s="35">
        <v>2768145</v>
      </c>
      <c r="D2175" s="35">
        <v>5.42</v>
      </c>
      <c r="E2175" s="35" t="s">
        <v>245</v>
      </c>
      <c r="F2175" s="31" t="str">
        <f t="shared" si="66"/>
        <v>A3.07.05</v>
      </c>
      <c r="G2175" s="34">
        <f t="shared" si="67"/>
        <v>5.42</v>
      </c>
    </row>
    <row r="2176" spans="2:7" ht="13.8" customHeight="1" x14ac:dyDescent="0.25">
      <c r="B2176" s="35" t="s">
        <v>1</v>
      </c>
      <c r="C2176" s="35">
        <v>2768146</v>
      </c>
      <c r="D2176" s="35">
        <v>5.31</v>
      </c>
      <c r="E2176" s="35" t="s">
        <v>245</v>
      </c>
      <c r="F2176" s="31" t="str">
        <f t="shared" si="66"/>
        <v>A3.07.05</v>
      </c>
      <c r="G2176" s="34">
        <f t="shared" si="67"/>
        <v>5.31</v>
      </c>
    </row>
    <row r="2177" spans="2:7" ht="13.8" customHeight="1" x14ac:dyDescent="0.25">
      <c r="B2177" s="35" t="s">
        <v>1</v>
      </c>
      <c r="C2177" s="35">
        <v>2773422</v>
      </c>
      <c r="D2177" s="35">
        <v>1.29</v>
      </c>
      <c r="E2177" s="35" t="s">
        <v>245</v>
      </c>
      <c r="F2177" s="31" t="str">
        <f t="shared" si="66"/>
        <v>A3.07.05</v>
      </c>
      <c r="G2177" s="34">
        <f t="shared" si="67"/>
        <v>1.29</v>
      </c>
    </row>
    <row r="2178" spans="2:7" ht="13.8" customHeight="1" x14ac:dyDescent="0.25">
      <c r="B2178" s="35" t="s">
        <v>1</v>
      </c>
      <c r="C2178" s="35">
        <v>2768195</v>
      </c>
      <c r="D2178" s="35">
        <v>2.46</v>
      </c>
      <c r="E2178" s="35" t="s">
        <v>246</v>
      </c>
      <c r="F2178" s="31" t="str">
        <f t="shared" si="66"/>
        <v>A3.07.04</v>
      </c>
      <c r="G2178" s="34">
        <f t="shared" si="67"/>
        <v>2.46</v>
      </c>
    </row>
    <row r="2179" spans="2:7" ht="13.8" customHeight="1" x14ac:dyDescent="0.25">
      <c r="B2179" s="35" t="s">
        <v>1</v>
      </c>
      <c r="C2179" s="35">
        <v>2768198</v>
      </c>
      <c r="D2179" s="35">
        <v>2.46</v>
      </c>
      <c r="E2179" s="35" t="s">
        <v>246</v>
      </c>
      <c r="F2179" s="31" t="str">
        <f t="shared" si="66"/>
        <v>A3.07.04</v>
      </c>
      <c r="G2179" s="34">
        <f t="shared" si="67"/>
        <v>2.46</v>
      </c>
    </row>
    <row r="2180" spans="2:7" ht="13.8" customHeight="1" x14ac:dyDescent="0.25">
      <c r="B2180" s="35" t="s">
        <v>1</v>
      </c>
      <c r="C2180" s="35">
        <v>2768201</v>
      </c>
      <c r="D2180" s="35">
        <v>10.29</v>
      </c>
      <c r="E2180" s="35" t="s">
        <v>246</v>
      </c>
      <c r="F2180" s="31" t="str">
        <f t="shared" si="66"/>
        <v>A3.07.04</v>
      </c>
      <c r="G2180" s="34">
        <f t="shared" si="67"/>
        <v>10.29</v>
      </c>
    </row>
    <row r="2181" spans="2:7" ht="13.8" customHeight="1" x14ac:dyDescent="0.25">
      <c r="B2181" s="35" t="s">
        <v>1</v>
      </c>
      <c r="C2181" s="35">
        <v>2768203</v>
      </c>
      <c r="D2181" s="35">
        <v>2.46</v>
      </c>
      <c r="E2181" s="35" t="s">
        <v>246</v>
      </c>
      <c r="F2181" s="31" t="str">
        <f t="shared" si="66"/>
        <v>A3.07.04</v>
      </c>
      <c r="G2181" s="34">
        <f t="shared" si="67"/>
        <v>2.46</v>
      </c>
    </row>
    <row r="2182" spans="2:7" ht="13.8" customHeight="1" x14ac:dyDescent="0.25">
      <c r="B2182" s="35" t="s">
        <v>1</v>
      </c>
      <c r="C2182" s="35">
        <v>2768206</v>
      </c>
      <c r="D2182" s="35">
        <v>2.46</v>
      </c>
      <c r="E2182" s="35" t="s">
        <v>246</v>
      </c>
      <c r="F2182" s="31" t="str">
        <f t="shared" si="66"/>
        <v>A3.07.04</v>
      </c>
      <c r="G2182" s="34">
        <f t="shared" si="67"/>
        <v>2.46</v>
      </c>
    </row>
    <row r="2183" spans="2:7" ht="13.8" customHeight="1" x14ac:dyDescent="0.25">
      <c r="B2183" s="35" t="s">
        <v>1</v>
      </c>
      <c r="C2183" s="35">
        <v>2768209</v>
      </c>
      <c r="D2183" s="35">
        <v>10.29</v>
      </c>
      <c r="E2183" s="35" t="s">
        <v>246</v>
      </c>
      <c r="F2183" s="31" t="str">
        <f t="shared" ref="F2183:F2246" si="68">LEFT(E2183,8)</f>
        <v>A3.07.04</v>
      </c>
      <c r="G2183" s="34">
        <f t="shared" ref="G2183:G2246" si="69">D2183</f>
        <v>10.29</v>
      </c>
    </row>
    <row r="2184" spans="2:7" ht="13.8" customHeight="1" x14ac:dyDescent="0.25">
      <c r="B2184" s="35" t="s">
        <v>1</v>
      </c>
      <c r="C2184" s="35">
        <v>2768211</v>
      </c>
      <c r="D2184" s="35">
        <v>2.41</v>
      </c>
      <c r="E2184" s="35" t="s">
        <v>246</v>
      </c>
      <c r="F2184" s="31" t="str">
        <f t="shared" si="68"/>
        <v>A3.07.04</v>
      </c>
      <c r="G2184" s="34">
        <f t="shared" si="69"/>
        <v>2.41</v>
      </c>
    </row>
    <row r="2185" spans="2:7" ht="13.8" customHeight="1" x14ac:dyDescent="0.25">
      <c r="B2185" s="35" t="s">
        <v>1</v>
      </c>
      <c r="C2185" s="35">
        <v>2768212</v>
      </c>
      <c r="D2185" s="35">
        <v>2.71</v>
      </c>
      <c r="E2185" s="35" t="s">
        <v>246</v>
      </c>
      <c r="F2185" s="31" t="str">
        <f t="shared" si="68"/>
        <v>A3.07.04</v>
      </c>
      <c r="G2185" s="34">
        <f t="shared" si="69"/>
        <v>2.71</v>
      </c>
    </row>
    <row r="2186" spans="2:7" ht="13.8" customHeight="1" x14ac:dyDescent="0.25">
      <c r="B2186" s="35" t="s">
        <v>1</v>
      </c>
      <c r="C2186" s="35">
        <v>2768213</v>
      </c>
      <c r="D2186" s="35">
        <v>1.55</v>
      </c>
      <c r="E2186" s="35" t="s">
        <v>246</v>
      </c>
      <c r="F2186" s="31" t="str">
        <f t="shared" si="68"/>
        <v>A3.07.04</v>
      </c>
      <c r="G2186" s="34">
        <f t="shared" si="69"/>
        <v>1.55</v>
      </c>
    </row>
    <row r="2187" spans="2:7" ht="13.8" customHeight="1" x14ac:dyDescent="0.25">
      <c r="B2187" s="35" t="s">
        <v>1</v>
      </c>
      <c r="C2187" s="35">
        <v>2768214</v>
      </c>
      <c r="D2187" s="35">
        <v>1.55</v>
      </c>
      <c r="E2187" s="35" t="s">
        <v>246</v>
      </c>
      <c r="F2187" s="31" t="str">
        <f t="shared" si="68"/>
        <v>A3.07.04</v>
      </c>
      <c r="G2187" s="34">
        <f t="shared" si="69"/>
        <v>1.55</v>
      </c>
    </row>
    <row r="2188" spans="2:7" ht="13.8" customHeight="1" x14ac:dyDescent="0.25">
      <c r="B2188" s="35" t="s">
        <v>1</v>
      </c>
      <c r="C2188" s="35">
        <v>2768215</v>
      </c>
      <c r="D2188" s="35">
        <v>2.41</v>
      </c>
      <c r="E2188" s="35" t="s">
        <v>246</v>
      </c>
      <c r="F2188" s="31" t="str">
        <f t="shared" si="68"/>
        <v>A3.07.04</v>
      </c>
      <c r="G2188" s="34">
        <f t="shared" si="69"/>
        <v>2.41</v>
      </c>
    </row>
    <row r="2189" spans="2:7" ht="13.8" customHeight="1" x14ac:dyDescent="0.25">
      <c r="B2189" s="35" t="s">
        <v>1</v>
      </c>
      <c r="C2189" s="35">
        <v>2768216</v>
      </c>
      <c r="D2189" s="35">
        <v>2.71</v>
      </c>
      <c r="E2189" s="35" t="s">
        <v>246</v>
      </c>
      <c r="F2189" s="31" t="str">
        <f t="shared" si="68"/>
        <v>A3.07.04</v>
      </c>
      <c r="G2189" s="34">
        <f t="shared" si="69"/>
        <v>2.71</v>
      </c>
    </row>
    <row r="2190" spans="2:7" ht="13.8" customHeight="1" x14ac:dyDescent="0.25">
      <c r="B2190" s="35" t="s">
        <v>1</v>
      </c>
      <c r="C2190" s="35">
        <v>2768267</v>
      </c>
      <c r="D2190" s="35">
        <v>5.31</v>
      </c>
      <c r="E2190" s="35" t="s">
        <v>247</v>
      </c>
      <c r="F2190" s="31" t="str">
        <f t="shared" si="68"/>
        <v>A3.07.08</v>
      </c>
      <c r="G2190" s="34">
        <f t="shared" si="69"/>
        <v>5.31</v>
      </c>
    </row>
    <row r="2191" spans="2:7" ht="13.8" customHeight="1" x14ac:dyDescent="0.25">
      <c r="B2191" s="35" t="s">
        <v>1</v>
      </c>
      <c r="C2191" s="35">
        <v>2768270</v>
      </c>
      <c r="D2191" s="35">
        <v>5.31</v>
      </c>
      <c r="E2191" s="35" t="s">
        <v>247</v>
      </c>
      <c r="F2191" s="31" t="str">
        <f t="shared" si="68"/>
        <v>A3.07.08</v>
      </c>
      <c r="G2191" s="34">
        <f t="shared" si="69"/>
        <v>5.31</v>
      </c>
    </row>
    <row r="2192" spans="2:7" ht="13.8" customHeight="1" x14ac:dyDescent="0.25">
      <c r="B2192" s="35" t="s">
        <v>1</v>
      </c>
      <c r="C2192" s="35">
        <v>2768273</v>
      </c>
      <c r="D2192" s="35">
        <v>3.65</v>
      </c>
      <c r="E2192" s="35" t="s">
        <v>247</v>
      </c>
      <c r="F2192" s="31" t="str">
        <f t="shared" si="68"/>
        <v>A3.07.08</v>
      </c>
      <c r="G2192" s="34">
        <f t="shared" si="69"/>
        <v>3.65</v>
      </c>
    </row>
    <row r="2193" spans="2:7" ht="13.8" customHeight="1" x14ac:dyDescent="0.25">
      <c r="B2193" s="35" t="s">
        <v>1</v>
      </c>
      <c r="C2193" s="35">
        <v>2768276</v>
      </c>
      <c r="D2193" s="35">
        <v>5.42</v>
      </c>
      <c r="E2193" s="35" t="s">
        <v>247</v>
      </c>
      <c r="F2193" s="31" t="str">
        <f t="shared" si="68"/>
        <v>A3.07.08</v>
      </c>
      <c r="G2193" s="34">
        <f t="shared" si="69"/>
        <v>5.42</v>
      </c>
    </row>
    <row r="2194" spans="2:7" ht="13.8" customHeight="1" x14ac:dyDescent="0.25">
      <c r="B2194" s="35" t="s">
        <v>1</v>
      </c>
      <c r="C2194" s="35">
        <v>2768278</v>
      </c>
      <c r="D2194" s="35">
        <v>5.31</v>
      </c>
      <c r="E2194" s="35" t="s">
        <v>247</v>
      </c>
      <c r="F2194" s="31" t="str">
        <f t="shared" si="68"/>
        <v>A3.07.08</v>
      </c>
      <c r="G2194" s="34">
        <f t="shared" si="69"/>
        <v>5.31</v>
      </c>
    </row>
    <row r="2195" spans="2:7" ht="13.8" customHeight="1" x14ac:dyDescent="0.25">
      <c r="B2195" s="35" t="s">
        <v>1</v>
      </c>
      <c r="C2195" s="35">
        <v>2768281</v>
      </c>
      <c r="D2195" s="35">
        <v>3.65</v>
      </c>
      <c r="E2195" s="35" t="s">
        <v>247</v>
      </c>
      <c r="F2195" s="31" t="str">
        <f t="shared" si="68"/>
        <v>A3.07.08</v>
      </c>
      <c r="G2195" s="34">
        <f t="shared" si="69"/>
        <v>3.65</v>
      </c>
    </row>
    <row r="2196" spans="2:7" ht="13.8" customHeight="1" x14ac:dyDescent="0.25">
      <c r="B2196" s="35" t="s">
        <v>1</v>
      </c>
      <c r="C2196" s="35">
        <v>2768284</v>
      </c>
      <c r="D2196" s="35">
        <v>5.42</v>
      </c>
      <c r="E2196" s="35" t="s">
        <v>247</v>
      </c>
      <c r="F2196" s="31" t="str">
        <f t="shared" si="68"/>
        <v>A3.07.08</v>
      </c>
      <c r="G2196" s="34">
        <f t="shared" si="69"/>
        <v>5.42</v>
      </c>
    </row>
    <row r="2197" spans="2:7" ht="13.8" customHeight="1" x14ac:dyDescent="0.25">
      <c r="B2197" s="35" t="s">
        <v>1</v>
      </c>
      <c r="C2197" s="35">
        <v>2768286</v>
      </c>
      <c r="D2197" s="35">
        <v>5.31</v>
      </c>
      <c r="E2197" s="35" t="s">
        <v>247</v>
      </c>
      <c r="F2197" s="31" t="str">
        <f t="shared" si="68"/>
        <v>A3.07.08</v>
      </c>
      <c r="G2197" s="34">
        <f t="shared" si="69"/>
        <v>5.31</v>
      </c>
    </row>
    <row r="2198" spans="2:7" ht="13.8" customHeight="1" x14ac:dyDescent="0.25">
      <c r="B2198" s="35" t="s">
        <v>1</v>
      </c>
      <c r="C2198" s="35">
        <v>2768289</v>
      </c>
      <c r="D2198" s="35">
        <v>1.86</v>
      </c>
      <c r="E2198" s="35" t="s">
        <v>247</v>
      </c>
      <c r="F2198" s="31" t="str">
        <f t="shared" si="68"/>
        <v>A3.07.08</v>
      </c>
      <c r="G2198" s="34">
        <f t="shared" si="69"/>
        <v>1.86</v>
      </c>
    </row>
    <row r="2199" spans="2:7" ht="13.8" customHeight="1" x14ac:dyDescent="0.25">
      <c r="B2199" s="35" t="s">
        <v>1</v>
      </c>
      <c r="C2199" s="35">
        <v>2768290</v>
      </c>
      <c r="D2199" s="35">
        <v>4.38</v>
      </c>
      <c r="E2199" s="35" t="s">
        <v>247</v>
      </c>
      <c r="F2199" s="31" t="str">
        <f t="shared" si="68"/>
        <v>A3.07.08</v>
      </c>
      <c r="G2199" s="34">
        <f t="shared" si="69"/>
        <v>4.38</v>
      </c>
    </row>
    <row r="2200" spans="2:7" ht="13.8" customHeight="1" x14ac:dyDescent="0.25">
      <c r="B2200" s="35" t="s">
        <v>1</v>
      </c>
      <c r="C2200" s="35">
        <v>2768291</v>
      </c>
      <c r="D2200" s="35">
        <v>0.8</v>
      </c>
      <c r="E2200" s="35" t="s">
        <v>247</v>
      </c>
      <c r="F2200" s="31" t="str">
        <f t="shared" si="68"/>
        <v>A3.07.08</v>
      </c>
      <c r="G2200" s="34">
        <f t="shared" si="69"/>
        <v>0.8</v>
      </c>
    </row>
    <row r="2201" spans="2:7" ht="13.8" customHeight="1" x14ac:dyDescent="0.25">
      <c r="B2201" s="35" t="s">
        <v>1</v>
      </c>
      <c r="C2201" s="35">
        <v>2768292</v>
      </c>
      <c r="D2201" s="35">
        <v>0.64</v>
      </c>
      <c r="E2201" s="35" t="s">
        <v>247</v>
      </c>
      <c r="F2201" s="31" t="str">
        <f t="shared" si="68"/>
        <v>A3.07.08</v>
      </c>
      <c r="G2201" s="34">
        <f t="shared" si="69"/>
        <v>0.64</v>
      </c>
    </row>
    <row r="2202" spans="2:7" ht="13.8" customHeight="1" x14ac:dyDescent="0.25">
      <c r="B2202" s="35" t="s">
        <v>1</v>
      </c>
      <c r="C2202" s="35">
        <v>2768294</v>
      </c>
      <c r="D2202" s="35">
        <v>0.8</v>
      </c>
      <c r="E2202" s="35" t="s">
        <v>247</v>
      </c>
      <c r="F2202" s="31" t="str">
        <f t="shared" si="68"/>
        <v>A3.07.08</v>
      </c>
      <c r="G2202" s="34">
        <f t="shared" si="69"/>
        <v>0.8</v>
      </c>
    </row>
    <row r="2203" spans="2:7" ht="13.8" customHeight="1" x14ac:dyDescent="0.25">
      <c r="B2203" s="35" t="s">
        <v>1</v>
      </c>
      <c r="C2203" s="35">
        <v>2768295</v>
      </c>
      <c r="D2203" s="35">
        <v>0.64</v>
      </c>
      <c r="E2203" s="35" t="s">
        <v>247</v>
      </c>
      <c r="F2203" s="31" t="str">
        <f t="shared" si="68"/>
        <v>A3.07.08</v>
      </c>
      <c r="G2203" s="34">
        <f t="shared" si="69"/>
        <v>0.64</v>
      </c>
    </row>
    <row r="2204" spans="2:7" ht="13.8" customHeight="1" x14ac:dyDescent="0.25">
      <c r="B2204" s="35" t="s">
        <v>1</v>
      </c>
      <c r="C2204" s="35">
        <v>2768297</v>
      </c>
      <c r="D2204" s="35">
        <v>1.86</v>
      </c>
      <c r="E2204" s="35" t="s">
        <v>247</v>
      </c>
      <c r="F2204" s="31" t="str">
        <f t="shared" si="68"/>
        <v>A3.07.08</v>
      </c>
      <c r="G2204" s="34">
        <f t="shared" si="69"/>
        <v>1.86</v>
      </c>
    </row>
    <row r="2205" spans="2:7" ht="13.8" customHeight="1" x14ac:dyDescent="0.25">
      <c r="B2205" s="35" t="s">
        <v>1</v>
      </c>
      <c r="C2205" s="35">
        <v>2768298</v>
      </c>
      <c r="D2205" s="35">
        <v>4.38</v>
      </c>
      <c r="E2205" s="35" t="s">
        <v>247</v>
      </c>
      <c r="F2205" s="31" t="str">
        <f t="shared" si="68"/>
        <v>A3.07.08</v>
      </c>
      <c r="G2205" s="34">
        <f t="shared" si="69"/>
        <v>4.38</v>
      </c>
    </row>
    <row r="2206" spans="2:7" ht="13.8" customHeight="1" x14ac:dyDescent="0.25">
      <c r="B2206" s="35" t="s">
        <v>1</v>
      </c>
      <c r="C2206" s="35">
        <v>2768306</v>
      </c>
      <c r="D2206" s="35">
        <v>1.29</v>
      </c>
      <c r="E2206" s="35" t="s">
        <v>247</v>
      </c>
      <c r="F2206" s="31" t="str">
        <f t="shared" si="68"/>
        <v>A3.07.08</v>
      </c>
      <c r="G2206" s="34">
        <f t="shared" si="69"/>
        <v>1.29</v>
      </c>
    </row>
    <row r="2207" spans="2:7" ht="13.8" customHeight="1" x14ac:dyDescent="0.25">
      <c r="B2207" s="35" t="s">
        <v>1</v>
      </c>
      <c r="C2207" s="35">
        <v>2768307</v>
      </c>
      <c r="D2207" s="35">
        <v>1.29</v>
      </c>
      <c r="E2207" s="35" t="s">
        <v>247</v>
      </c>
      <c r="F2207" s="31" t="str">
        <f t="shared" si="68"/>
        <v>A3.07.08</v>
      </c>
      <c r="G2207" s="34">
        <f t="shared" si="69"/>
        <v>1.29</v>
      </c>
    </row>
    <row r="2208" spans="2:7" ht="13.8" customHeight="1" x14ac:dyDescent="0.25">
      <c r="B2208" s="35" t="s">
        <v>1</v>
      </c>
      <c r="C2208" s="35">
        <v>2768347</v>
      </c>
      <c r="D2208" s="35">
        <v>2.46</v>
      </c>
      <c r="E2208" s="35" t="s">
        <v>248</v>
      </c>
      <c r="F2208" s="31" t="str">
        <f t="shared" si="68"/>
        <v>A3.07.01</v>
      </c>
      <c r="G2208" s="34">
        <f t="shared" si="69"/>
        <v>2.46</v>
      </c>
    </row>
    <row r="2209" spans="2:7" ht="13.8" customHeight="1" x14ac:dyDescent="0.25">
      <c r="B2209" s="35" t="s">
        <v>1</v>
      </c>
      <c r="C2209" s="35">
        <v>2768350</v>
      </c>
      <c r="D2209" s="35">
        <v>2.41</v>
      </c>
      <c r="E2209" s="35" t="s">
        <v>248</v>
      </c>
      <c r="F2209" s="31" t="str">
        <f t="shared" si="68"/>
        <v>A3.07.01</v>
      </c>
      <c r="G2209" s="34">
        <f t="shared" si="69"/>
        <v>2.41</v>
      </c>
    </row>
    <row r="2210" spans="2:7" ht="13.8" customHeight="1" x14ac:dyDescent="0.25">
      <c r="B2210" s="35" t="s">
        <v>1</v>
      </c>
      <c r="C2210" s="35">
        <v>2768352</v>
      </c>
      <c r="D2210" s="35">
        <v>2.71</v>
      </c>
      <c r="E2210" s="35" t="s">
        <v>248</v>
      </c>
      <c r="F2210" s="31" t="str">
        <f t="shared" si="68"/>
        <v>A3.07.01</v>
      </c>
      <c r="G2210" s="34">
        <f t="shared" si="69"/>
        <v>2.71</v>
      </c>
    </row>
    <row r="2211" spans="2:7" ht="13.8" customHeight="1" x14ac:dyDescent="0.25">
      <c r="B2211" s="35" t="s">
        <v>1</v>
      </c>
      <c r="C2211" s="35">
        <v>2768354</v>
      </c>
      <c r="D2211" s="35">
        <v>2.46</v>
      </c>
      <c r="E2211" s="35" t="s">
        <v>248</v>
      </c>
      <c r="F2211" s="31" t="str">
        <f t="shared" si="68"/>
        <v>A3.07.01</v>
      </c>
      <c r="G2211" s="34">
        <f t="shared" si="69"/>
        <v>2.46</v>
      </c>
    </row>
    <row r="2212" spans="2:7" ht="13.8" customHeight="1" x14ac:dyDescent="0.25">
      <c r="B2212" s="35" t="s">
        <v>1</v>
      </c>
      <c r="C2212" s="35">
        <v>2768356</v>
      </c>
      <c r="D2212" s="35">
        <v>10.29</v>
      </c>
      <c r="E2212" s="35" t="s">
        <v>248</v>
      </c>
      <c r="F2212" s="31" t="str">
        <f t="shared" si="68"/>
        <v>A3.07.01</v>
      </c>
      <c r="G2212" s="34">
        <f t="shared" si="69"/>
        <v>10.29</v>
      </c>
    </row>
    <row r="2213" spans="2:7" ht="13.8" customHeight="1" x14ac:dyDescent="0.25">
      <c r="B2213" s="35" t="s">
        <v>1</v>
      </c>
      <c r="C2213" s="35">
        <v>2768357</v>
      </c>
      <c r="D2213" s="35">
        <v>1.55</v>
      </c>
      <c r="E2213" s="35" t="s">
        <v>248</v>
      </c>
      <c r="F2213" s="31" t="str">
        <f t="shared" si="68"/>
        <v>A3.07.01</v>
      </c>
      <c r="G2213" s="34">
        <f t="shared" si="69"/>
        <v>1.55</v>
      </c>
    </row>
    <row r="2214" spans="2:7" ht="13.8" customHeight="1" x14ac:dyDescent="0.25">
      <c r="B2214" s="35" t="s">
        <v>1</v>
      </c>
      <c r="C2214" s="35">
        <v>2768358</v>
      </c>
      <c r="D2214" s="35">
        <v>2.46</v>
      </c>
      <c r="E2214" s="35" t="s">
        <v>248</v>
      </c>
      <c r="F2214" s="31" t="str">
        <f t="shared" si="68"/>
        <v>A3.07.01</v>
      </c>
      <c r="G2214" s="34">
        <f t="shared" si="69"/>
        <v>2.46</v>
      </c>
    </row>
    <row r="2215" spans="2:7" ht="13.8" customHeight="1" x14ac:dyDescent="0.25">
      <c r="B2215" s="35" t="s">
        <v>1</v>
      </c>
      <c r="C2215" s="35">
        <v>2768361</v>
      </c>
      <c r="D2215" s="35">
        <v>2.41</v>
      </c>
      <c r="E2215" s="35" t="s">
        <v>248</v>
      </c>
      <c r="F2215" s="31" t="str">
        <f t="shared" si="68"/>
        <v>A3.07.01</v>
      </c>
      <c r="G2215" s="34">
        <f t="shared" si="69"/>
        <v>2.41</v>
      </c>
    </row>
    <row r="2216" spans="2:7" ht="13.8" customHeight="1" x14ac:dyDescent="0.25">
      <c r="B2216" s="35" t="s">
        <v>1</v>
      </c>
      <c r="C2216" s="35">
        <v>2768363</v>
      </c>
      <c r="D2216" s="35">
        <v>2.71</v>
      </c>
      <c r="E2216" s="35" t="s">
        <v>248</v>
      </c>
      <c r="F2216" s="31" t="str">
        <f t="shared" si="68"/>
        <v>A3.07.01</v>
      </c>
      <c r="G2216" s="34">
        <f t="shared" si="69"/>
        <v>2.71</v>
      </c>
    </row>
    <row r="2217" spans="2:7" ht="13.8" customHeight="1" x14ac:dyDescent="0.25">
      <c r="B2217" s="35" t="s">
        <v>1</v>
      </c>
      <c r="C2217" s="35">
        <v>2768365</v>
      </c>
      <c r="D2217" s="35">
        <v>1.55</v>
      </c>
      <c r="E2217" s="35" t="s">
        <v>248</v>
      </c>
      <c r="F2217" s="31" t="str">
        <f t="shared" si="68"/>
        <v>A3.07.01</v>
      </c>
      <c r="G2217" s="34">
        <f t="shared" si="69"/>
        <v>1.55</v>
      </c>
    </row>
    <row r="2218" spans="2:7" ht="13.8" customHeight="1" x14ac:dyDescent="0.25">
      <c r="B2218" s="35" t="s">
        <v>1</v>
      </c>
      <c r="C2218" s="35">
        <v>2768367</v>
      </c>
      <c r="D2218" s="35">
        <v>2.46</v>
      </c>
      <c r="E2218" s="35" t="s">
        <v>248</v>
      </c>
      <c r="F2218" s="31" t="str">
        <f t="shared" si="68"/>
        <v>A3.07.01</v>
      </c>
      <c r="G2218" s="34">
        <f t="shared" si="69"/>
        <v>2.46</v>
      </c>
    </row>
    <row r="2219" spans="2:7" ht="13.8" customHeight="1" x14ac:dyDescent="0.25">
      <c r="B2219" s="35" t="s">
        <v>1</v>
      </c>
      <c r="C2219" s="35">
        <v>2768368</v>
      </c>
      <c r="D2219" s="35">
        <v>10.29</v>
      </c>
      <c r="E2219" s="35" t="s">
        <v>248</v>
      </c>
      <c r="F2219" s="31" t="str">
        <f t="shared" si="68"/>
        <v>A3.07.01</v>
      </c>
      <c r="G2219" s="34">
        <f t="shared" si="69"/>
        <v>10.29</v>
      </c>
    </row>
    <row r="2220" spans="2:7" ht="13.8" customHeight="1" x14ac:dyDescent="0.25">
      <c r="B2220" s="35" t="s">
        <v>1</v>
      </c>
      <c r="C2220" s="35">
        <v>2768435</v>
      </c>
      <c r="D2220" s="35">
        <v>7.12</v>
      </c>
      <c r="E2220" s="35" t="s">
        <v>249</v>
      </c>
      <c r="F2220" s="31" t="str">
        <f t="shared" si="68"/>
        <v>A3.07.02</v>
      </c>
      <c r="G2220" s="34">
        <f t="shared" si="69"/>
        <v>7.12</v>
      </c>
    </row>
    <row r="2221" spans="2:7" ht="13.8" customHeight="1" x14ac:dyDescent="0.25">
      <c r="B2221" s="35" t="s">
        <v>1</v>
      </c>
      <c r="C2221" s="35">
        <v>2768438</v>
      </c>
      <c r="D2221" s="35">
        <v>7.12</v>
      </c>
      <c r="E2221" s="35" t="s">
        <v>249</v>
      </c>
      <c r="F2221" s="31" t="str">
        <f t="shared" si="68"/>
        <v>A3.07.02</v>
      </c>
      <c r="G2221" s="34">
        <f t="shared" si="69"/>
        <v>7.12</v>
      </c>
    </row>
    <row r="2222" spans="2:7" ht="13.8" customHeight="1" x14ac:dyDescent="0.25">
      <c r="B2222" s="35" t="s">
        <v>1</v>
      </c>
      <c r="C2222" s="35">
        <v>2768441</v>
      </c>
      <c r="D2222" s="35">
        <v>6.6</v>
      </c>
      <c r="E2222" s="35" t="s">
        <v>249</v>
      </c>
      <c r="F2222" s="31" t="str">
        <f t="shared" si="68"/>
        <v>A3.07.02</v>
      </c>
      <c r="G2222" s="34">
        <f t="shared" si="69"/>
        <v>6.6</v>
      </c>
    </row>
    <row r="2223" spans="2:7" ht="13.8" customHeight="1" x14ac:dyDescent="0.25">
      <c r="B2223" s="35" t="s">
        <v>1</v>
      </c>
      <c r="C2223" s="35">
        <v>2768443</v>
      </c>
      <c r="D2223" s="35">
        <v>3.94</v>
      </c>
      <c r="E2223" s="35" t="s">
        <v>249</v>
      </c>
      <c r="F2223" s="31" t="str">
        <f t="shared" si="68"/>
        <v>A3.07.02</v>
      </c>
      <c r="G2223" s="34">
        <f t="shared" si="69"/>
        <v>3.94</v>
      </c>
    </row>
    <row r="2224" spans="2:7" ht="13.8" customHeight="1" x14ac:dyDescent="0.25">
      <c r="B2224" s="35" t="s">
        <v>1</v>
      </c>
      <c r="C2224" s="35">
        <v>2768445</v>
      </c>
      <c r="D2224" s="35">
        <v>1.02</v>
      </c>
      <c r="E2224" s="35" t="s">
        <v>249</v>
      </c>
      <c r="F2224" s="31" t="str">
        <f t="shared" si="68"/>
        <v>A3.07.02</v>
      </c>
      <c r="G2224" s="34">
        <f t="shared" si="69"/>
        <v>1.02</v>
      </c>
    </row>
    <row r="2225" spans="2:7" ht="13.8" customHeight="1" x14ac:dyDescent="0.25">
      <c r="B2225" s="35" t="s">
        <v>1</v>
      </c>
      <c r="C2225" s="35">
        <v>2768447</v>
      </c>
      <c r="D2225" s="35">
        <v>6.6</v>
      </c>
      <c r="E2225" s="35" t="s">
        <v>249</v>
      </c>
      <c r="F2225" s="31" t="str">
        <f t="shared" si="68"/>
        <v>A3.07.02</v>
      </c>
      <c r="G2225" s="34">
        <f t="shared" si="69"/>
        <v>6.6</v>
      </c>
    </row>
    <row r="2226" spans="2:7" ht="13.8" customHeight="1" x14ac:dyDescent="0.25">
      <c r="B2226" s="35" t="s">
        <v>1</v>
      </c>
      <c r="C2226" s="35">
        <v>2768449</v>
      </c>
      <c r="D2226" s="35">
        <v>1.02</v>
      </c>
      <c r="E2226" s="35" t="s">
        <v>249</v>
      </c>
      <c r="F2226" s="31" t="str">
        <f t="shared" si="68"/>
        <v>A3.07.02</v>
      </c>
      <c r="G2226" s="34">
        <f t="shared" si="69"/>
        <v>1.02</v>
      </c>
    </row>
    <row r="2227" spans="2:7" ht="13.8" customHeight="1" x14ac:dyDescent="0.25">
      <c r="B2227" s="35" t="s">
        <v>1</v>
      </c>
      <c r="C2227" s="35">
        <v>2768452</v>
      </c>
      <c r="D2227" s="35">
        <v>3.94</v>
      </c>
      <c r="E2227" s="35" t="s">
        <v>249</v>
      </c>
      <c r="F2227" s="31" t="str">
        <f t="shared" si="68"/>
        <v>A3.07.02</v>
      </c>
      <c r="G2227" s="34">
        <f t="shared" si="69"/>
        <v>3.94</v>
      </c>
    </row>
    <row r="2228" spans="2:7" ht="13.8" customHeight="1" x14ac:dyDescent="0.25">
      <c r="B2228" s="35" t="s">
        <v>1</v>
      </c>
      <c r="C2228" s="35">
        <v>2768490</v>
      </c>
      <c r="D2228" s="35">
        <v>7.79</v>
      </c>
      <c r="E2228" s="35" t="s">
        <v>250</v>
      </c>
      <c r="F2228" s="31" t="str">
        <f t="shared" si="68"/>
        <v>A3.07.07</v>
      </c>
      <c r="G2228" s="34">
        <f t="shared" si="69"/>
        <v>7.79</v>
      </c>
    </row>
    <row r="2229" spans="2:7" ht="13.8" customHeight="1" x14ac:dyDescent="0.25">
      <c r="B2229" s="35" t="s">
        <v>1</v>
      </c>
      <c r="C2229" s="35">
        <v>2768493</v>
      </c>
      <c r="D2229" s="35">
        <v>7.79</v>
      </c>
      <c r="E2229" s="35" t="s">
        <v>250</v>
      </c>
      <c r="F2229" s="31" t="str">
        <f t="shared" si="68"/>
        <v>A3.07.07</v>
      </c>
      <c r="G2229" s="34">
        <f t="shared" si="69"/>
        <v>7.79</v>
      </c>
    </row>
    <row r="2230" spans="2:7" ht="13.8" customHeight="1" x14ac:dyDescent="0.25">
      <c r="B2230" s="35" t="s">
        <v>1</v>
      </c>
      <c r="C2230" s="35">
        <v>2768496</v>
      </c>
      <c r="D2230" s="35">
        <v>4.95</v>
      </c>
      <c r="E2230" s="35" t="s">
        <v>250</v>
      </c>
      <c r="F2230" s="31" t="str">
        <f t="shared" si="68"/>
        <v>A3.07.07</v>
      </c>
      <c r="G2230" s="34">
        <f t="shared" si="69"/>
        <v>4.95</v>
      </c>
    </row>
    <row r="2231" spans="2:7" ht="13.8" customHeight="1" x14ac:dyDescent="0.25">
      <c r="B2231" s="35" t="s">
        <v>1</v>
      </c>
      <c r="C2231" s="35">
        <v>2768498</v>
      </c>
      <c r="D2231" s="35">
        <v>1.65</v>
      </c>
      <c r="E2231" s="35" t="s">
        <v>250</v>
      </c>
      <c r="F2231" s="31" t="str">
        <f t="shared" si="68"/>
        <v>A3.07.07</v>
      </c>
      <c r="G2231" s="34">
        <f t="shared" si="69"/>
        <v>1.65</v>
      </c>
    </row>
    <row r="2232" spans="2:7" ht="13.8" customHeight="1" x14ac:dyDescent="0.25">
      <c r="B2232" s="35" t="s">
        <v>1</v>
      </c>
      <c r="C2232" s="35">
        <v>2768500</v>
      </c>
      <c r="D2232" s="35">
        <v>0.64</v>
      </c>
      <c r="E2232" s="35" t="s">
        <v>250</v>
      </c>
      <c r="F2232" s="31" t="str">
        <f t="shared" si="68"/>
        <v>A3.07.07</v>
      </c>
      <c r="G2232" s="34">
        <f t="shared" si="69"/>
        <v>0.64</v>
      </c>
    </row>
    <row r="2233" spans="2:7" ht="13.8" customHeight="1" x14ac:dyDescent="0.25">
      <c r="B2233" s="35" t="s">
        <v>1</v>
      </c>
      <c r="C2233" s="35">
        <v>2768501</v>
      </c>
      <c r="D2233" s="35">
        <v>6.6</v>
      </c>
      <c r="E2233" s="35" t="s">
        <v>250</v>
      </c>
      <c r="F2233" s="31" t="str">
        <f t="shared" si="68"/>
        <v>A3.07.07</v>
      </c>
      <c r="G2233" s="34">
        <f t="shared" si="69"/>
        <v>6.6</v>
      </c>
    </row>
    <row r="2234" spans="2:7" ht="13.8" customHeight="1" x14ac:dyDescent="0.25">
      <c r="B2234" s="35" t="s">
        <v>1</v>
      </c>
      <c r="C2234" s="35">
        <v>2768502</v>
      </c>
      <c r="D2234" s="35">
        <v>4.95</v>
      </c>
      <c r="E2234" s="35" t="s">
        <v>250</v>
      </c>
      <c r="F2234" s="31" t="str">
        <f t="shared" si="68"/>
        <v>A3.07.07</v>
      </c>
      <c r="G2234" s="34">
        <f t="shared" si="69"/>
        <v>4.95</v>
      </c>
    </row>
    <row r="2235" spans="2:7" ht="13.8" customHeight="1" x14ac:dyDescent="0.25">
      <c r="B2235" s="35" t="s">
        <v>1</v>
      </c>
      <c r="C2235" s="35">
        <v>2768504</v>
      </c>
      <c r="D2235" s="35">
        <v>1.65</v>
      </c>
      <c r="E2235" s="35" t="s">
        <v>250</v>
      </c>
      <c r="F2235" s="31" t="str">
        <f t="shared" si="68"/>
        <v>A3.07.07</v>
      </c>
      <c r="G2235" s="34">
        <f t="shared" si="69"/>
        <v>1.65</v>
      </c>
    </row>
    <row r="2236" spans="2:7" ht="13.8" customHeight="1" x14ac:dyDescent="0.25">
      <c r="B2236" s="35" t="s">
        <v>1</v>
      </c>
      <c r="C2236" s="35">
        <v>2768506</v>
      </c>
      <c r="D2236" s="35">
        <v>6.6</v>
      </c>
      <c r="E2236" s="35" t="s">
        <v>250</v>
      </c>
      <c r="F2236" s="31" t="str">
        <f t="shared" si="68"/>
        <v>A3.07.07</v>
      </c>
      <c r="G2236" s="34">
        <f t="shared" si="69"/>
        <v>6.6</v>
      </c>
    </row>
    <row r="2237" spans="2:7" ht="13.8" customHeight="1" x14ac:dyDescent="0.25">
      <c r="B2237" s="35" t="s">
        <v>1</v>
      </c>
      <c r="C2237" s="35">
        <v>2768507</v>
      </c>
      <c r="D2237" s="35">
        <v>0.64</v>
      </c>
      <c r="E2237" s="35" t="s">
        <v>250</v>
      </c>
      <c r="F2237" s="31" t="str">
        <f t="shared" si="68"/>
        <v>A3.07.07</v>
      </c>
      <c r="G2237" s="34">
        <f t="shared" si="69"/>
        <v>0.64</v>
      </c>
    </row>
    <row r="2238" spans="2:7" ht="13.8" customHeight="1" x14ac:dyDescent="0.25">
      <c r="B2238" s="35" t="s">
        <v>1</v>
      </c>
      <c r="C2238" s="35">
        <v>2768568</v>
      </c>
      <c r="D2238" s="35">
        <v>7.12</v>
      </c>
      <c r="E2238" s="35" t="s">
        <v>251</v>
      </c>
      <c r="F2238" s="31" t="str">
        <f t="shared" si="68"/>
        <v>A3.07.03</v>
      </c>
      <c r="G2238" s="34">
        <f t="shared" si="69"/>
        <v>7.12</v>
      </c>
    </row>
    <row r="2239" spans="2:7" ht="13.8" customHeight="1" x14ac:dyDescent="0.25">
      <c r="B2239" s="35" t="s">
        <v>1</v>
      </c>
      <c r="C2239" s="35">
        <v>2768571</v>
      </c>
      <c r="D2239" s="35">
        <v>7.12</v>
      </c>
      <c r="E2239" s="35" t="s">
        <v>251</v>
      </c>
      <c r="F2239" s="31" t="str">
        <f t="shared" si="68"/>
        <v>A3.07.03</v>
      </c>
      <c r="G2239" s="34">
        <f t="shared" si="69"/>
        <v>7.12</v>
      </c>
    </row>
    <row r="2240" spans="2:7" ht="13.8" customHeight="1" x14ac:dyDescent="0.25">
      <c r="B2240" s="35" t="s">
        <v>1</v>
      </c>
      <c r="C2240" s="35">
        <v>2768574</v>
      </c>
      <c r="D2240" s="35">
        <v>6.6</v>
      </c>
      <c r="E2240" s="35" t="s">
        <v>251</v>
      </c>
      <c r="F2240" s="31" t="str">
        <f t="shared" si="68"/>
        <v>A3.07.03</v>
      </c>
      <c r="G2240" s="34">
        <f t="shared" si="69"/>
        <v>6.6</v>
      </c>
    </row>
    <row r="2241" spans="2:7" ht="13.8" customHeight="1" x14ac:dyDescent="0.25">
      <c r="B2241" s="35" t="s">
        <v>1</v>
      </c>
      <c r="C2241" s="35">
        <v>2768575</v>
      </c>
      <c r="D2241" s="35">
        <v>1.02</v>
      </c>
      <c r="E2241" s="35" t="s">
        <v>251</v>
      </c>
      <c r="F2241" s="31" t="str">
        <f t="shared" si="68"/>
        <v>A3.07.03</v>
      </c>
      <c r="G2241" s="34">
        <f t="shared" si="69"/>
        <v>1.02</v>
      </c>
    </row>
    <row r="2242" spans="2:7" ht="13.8" customHeight="1" x14ac:dyDescent="0.25">
      <c r="B2242" s="35" t="s">
        <v>1</v>
      </c>
      <c r="C2242" s="35">
        <v>2768577</v>
      </c>
      <c r="D2242" s="35">
        <v>6.6</v>
      </c>
      <c r="E2242" s="35" t="s">
        <v>251</v>
      </c>
      <c r="F2242" s="31" t="str">
        <f t="shared" si="68"/>
        <v>A3.07.03</v>
      </c>
      <c r="G2242" s="34">
        <f t="shared" si="69"/>
        <v>6.6</v>
      </c>
    </row>
    <row r="2243" spans="2:7" ht="13.8" customHeight="1" x14ac:dyDescent="0.25">
      <c r="B2243" s="35" t="s">
        <v>1</v>
      </c>
      <c r="C2243" s="35">
        <v>2768578</v>
      </c>
      <c r="D2243" s="35">
        <v>1.02</v>
      </c>
      <c r="E2243" s="35" t="s">
        <v>251</v>
      </c>
      <c r="F2243" s="31" t="str">
        <f t="shared" si="68"/>
        <v>A3.07.03</v>
      </c>
      <c r="G2243" s="34">
        <f t="shared" si="69"/>
        <v>1.02</v>
      </c>
    </row>
    <row r="2244" spans="2:7" ht="13.8" customHeight="1" x14ac:dyDescent="0.25">
      <c r="B2244" s="35" t="s">
        <v>1</v>
      </c>
      <c r="C2244" s="35">
        <v>2768580</v>
      </c>
      <c r="D2244" s="35">
        <v>3.94</v>
      </c>
      <c r="E2244" s="35" t="s">
        <v>251</v>
      </c>
      <c r="F2244" s="31" t="str">
        <f t="shared" si="68"/>
        <v>A3.07.03</v>
      </c>
      <c r="G2244" s="34">
        <f t="shared" si="69"/>
        <v>3.94</v>
      </c>
    </row>
    <row r="2245" spans="2:7" ht="13.8" customHeight="1" x14ac:dyDescent="0.25">
      <c r="B2245" s="35" t="s">
        <v>1</v>
      </c>
      <c r="C2245" s="35">
        <v>2768581</v>
      </c>
      <c r="D2245" s="35">
        <v>3.94</v>
      </c>
      <c r="E2245" s="35" t="s">
        <v>251</v>
      </c>
      <c r="F2245" s="31" t="str">
        <f t="shared" si="68"/>
        <v>A3.07.03</v>
      </c>
      <c r="G2245" s="34">
        <f t="shared" si="69"/>
        <v>3.94</v>
      </c>
    </row>
    <row r="2246" spans="2:7" ht="13.8" customHeight="1" x14ac:dyDescent="0.25">
      <c r="B2246" s="35" t="s">
        <v>1</v>
      </c>
      <c r="C2246" s="35">
        <v>2768619</v>
      </c>
      <c r="D2246" s="35">
        <v>7.79</v>
      </c>
      <c r="E2246" s="35" t="s">
        <v>252</v>
      </c>
      <c r="F2246" s="31" t="str">
        <f t="shared" si="68"/>
        <v>A3.07.06</v>
      </c>
      <c r="G2246" s="34">
        <f t="shared" si="69"/>
        <v>7.79</v>
      </c>
    </row>
    <row r="2247" spans="2:7" ht="13.8" customHeight="1" x14ac:dyDescent="0.25">
      <c r="B2247" s="35" t="s">
        <v>1</v>
      </c>
      <c r="C2247" s="35">
        <v>2768622</v>
      </c>
      <c r="D2247" s="35">
        <v>7.79</v>
      </c>
      <c r="E2247" s="35" t="s">
        <v>252</v>
      </c>
      <c r="F2247" s="31" t="str">
        <f t="shared" ref="F2247:F2310" si="70">LEFT(E2247,8)</f>
        <v>A3.07.06</v>
      </c>
      <c r="G2247" s="34">
        <f t="shared" ref="G2247:G2310" si="71">D2247</f>
        <v>7.79</v>
      </c>
    </row>
    <row r="2248" spans="2:7" ht="13.8" customHeight="1" x14ac:dyDescent="0.25">
      <c r="B2248" s="35" t="s">
        <v>1</v>
      </c>
      <c r="C2248" s="35">
        <v>2768625</v>
      </c>
      <c r="D2248" s="35">
        <v>4.95</v>
      </c>
      <c r="E2248" s="35" t="s">
        <v>252</v>
      </c>
      <c r="F2248" s="31" t="str">
        <f t="shared" si="70"/>
        <v>A3.07.06</v>
      </c>
      <c r="G2248" s="34">
        <f t="shared" si="71"/>
        <v>4.95</v>
      </c>
    </row>
    <row r="2249" spans="2:7" ht="13.8" customHeight="1" x14ac:dyDescent="0.25">
      <c r="B2249" s="35" t="s">
        <v>1</v>
      </c>
      <c r="C2249" s="35">
        <v>2768627</v>
      </c>
      <c r="D2249" s="35">
        <v>1.65</v>
      </c>
      <c r="E2249" s="35" t="s">
        <v>252</v>
      </c>
      <c r="F2249" s="31" t="str">
        <f t="shared" si="70"/>
        <v>A3.07.06</v>
      </c>
      <c r="G2249" s="34">
        <f t="shared" si="71"/>
        <v>1.65</v>
      </c>
    </row>
    <row r="2250" spans="2:7" ht="13.8" customHeight="1" x14ac:dyDescent="0.25">
      <c r="B2250" s="35" t="s">
        <v>1</v>
      </c>
      <c r="C2250" s="35">
        <v>2768629</v>
      </c>
      <c r="D2250" s="35">
        <v>6.6</v>
      </c>
      <c r="E2250" s="35" t="s">
        <v>252</v>
      </c>
      <c r="F2250" s="31" t="str">
        <f t="shared" si="70"/>
        <v>A3.07.06</v>
      </c>
      <c r="G2250" s="34">
        <f t="shared" si="71"/>
        <v>6.6</v>
      </c>
    </row>
    <row r="2251" spans="2:7" ht="13.8" customHeight="1" x14ac:dyDescent="0.25">
      <c r="B2251" s="35" t="s">
        <v>1</v>
      </c>
      <c r="C2251" s="35">
        <v>2768630</v>
      </c>
      <c r="D2251" s="35">
        <v>4.95</v>
      </c>
      <c r="E2251" s="35" t="s">
        <v>252</v>
      </c>
      <c r="F2251" s="31" t="str">
        <f t="shared" si="70"/>
        <v>A3.07.06</v>
      </c>
      <c r="G2251" s="34">
        <f t="shared" si="71"/>
        <v>4.95</v>
      </c>
    </row>
    <row r="2252" spans="2:7" ht="13.8" customHeight="1" x14ac:dyDescent="0.25">
      <c r="B2252" s="35" t="s">
        <v>1</v>
      </c>
      <c r="C2252" s="35">
        <v>2768632</v>
      </c>
      <c r="D2252" s="35">
        <v>1.65</v>
      </c>
      <c r="E2252" s="35" t="s">
        <v>252</v>
      </c>
      <c r="F2252" s="31" t="str">
        <f t="shared" si="70"/>
        <v>A3.07.06</v>
      </c>
      <c r="G2252" s="34">
        <f t="shared" si="71"/>
        <v>1.65</v>
      </c>
    </row>
    <row r="2253" spans="2:7" ht="13.8" customHeight="1" x14ac:dyDescent="0.25">
      <c r="B2253" s="35" t="s">
        <v>1</v>
      </c>
      <c r="C2253" s="35">
        <v>2768634</v>
      </c>
      <c r="D2253" s="35">
        <v>6.6</v>
      </c>
      <c r="E2253" s="35" t="s">
        <v>252</v>
      </c>
      <c r="F2253" s="31" t="str">
        <f t="shared" si="70"/>
        <v>A3.07.06</v>
      </c>
      <c r="G2253" s="34">
        <f t="shared" si="71"/>
        <v>6.6</v>
      </c>
    </row>
    <row r="2254" spans="2:7" ht="13.8" customHeight="1" x14ac:dyDescent="0.25">
      <c r="B2254" s="35" t="s">
        <v>1</v>
      </c>
      <c r="C2254" s="35">
        <v>2768635</v>
      </c>
      <c r="D2254" s="35">
        <v>0.64</v>
      </c>
      <c r="E2254" s="35" t="s">
        <v>252</v>
      </c>
      <c r="F2254" s="31" t="str">
        <f t="shared" si="70"/>
        <v>A3.07.06</v>
      </c>
      <c r="G2254" s="34">
        <f t="shared" si="71"/>
        <v>0.64</v>
      </c>
    </row>
    <row r="2255" spans="2:7" ht="13.8" customHeight="1" x14ac:dyDescent="0.25">
      <c r="B2255" s="35" t="s">
        <v>1</v>
      </c>
      <c r="C2255" s="35">
        <v>2768636</v>
      </c>
      <c r="D2255" s="35">
        <v>0.64</v>
      </c>
      <c r="E2255" s="35" t="s">
        <v>252</v>
      </c>
      <c r="F2255" s="31" t="str">
        <f t="shared" si="70"/>
        <v>A3.07.06</v>
      </c>
      <c r="G2255" s="34">
        <f t="shared" si="71"/>
        <v>0.64</v>
      </c>
    </row>
    <row r="2256" spans="2:7" ht="13.8" customHeight="1" x14ac:dyDescent="0.25">
      <c r="B2256" s="35" t="s">
        <v>1</v>
      </c>
      <c r="C2256" s="35">
        <v>2768724</v>
      </c>
      <c r="D2256" s="35">
        <v>1.25</v>
      </c>
      <c r="E2256" s="35" t="s">
        <v>253</v>
      </c>
      <c r="F2256" s="31" t="str">
        <f t="shared" si="70"/>
        <v>A6.10.04</v>
      </c>
      <c r="G2256" s="34">
        <f t="shared" si="71"/>
        <v>1.25</v>
      </c>
    </row>
    <row r="2257" spans="2:7" ht="13.8" customHeight="1" x14ac:dyDescent="0.25">
      <c r="B2257" s="35" t="s">
        <v>1</v>
      </c>
      <c r="C2257" s="35">
        <v>2768727</v>
      </c>
      <c r="D2257" s="35">
        <v>4</v>
      </c>
      <c r="E2257" s="35" t="s">
        <v>253</v>
      </c>
      <c r="F2257" s="31" t="str">
        <f t="shared" si="70"/>
        <v>A6.10.04</v>
      </c>
      <c r="G2257" s="34">
        <f t="shared" si="71"/>
        <v>4</v>
      </c>
    </row>
    <row r="2258" spans="2:7" ht="13.8" customHeight="1" x14ac:dyDescent="0.25">
      <c r="B2258" s="35" t="s">
        <v>1</v>
      </c>
      <c r="C2258" s="35">
        <v>2768729</v>
      </c>
      <c r="D2258" s="35">
        <v>1.25</v>
      </c>
      <c r="E2258" s="35" t="s">
        <v>253</v>
      </c>
      <c r="F2258" s="31" t="str">
        <f t="shared" si="70"/>
        <v>A6.10.04</v>
      </c>
      <c r="G2258" s="34">
        <f t="shared" si="71"/>
        <v>1.25</v>
      </c>
    </row>
    <row r="2259" spans="2:7" ht="13.8" customHeight="1" x14ac:dyDescent="0.25">
      <c r="B2259" s="35" t="s">
        <v>1</v>
      </c>
      <c r="C2259" s="35">
        <v>2768731</v>
      </c>
      <c r="D2259" s="35">
        <v>6.62</v>
      </c>
      <c r="E2259" s="35" t="s">
        <v>253</v>
      </c>
      <c r="F2259" s="31" t="str">
        <f t="shared" si="70"/>
        <v>A6.10.04</v>
      </c>
      <c r="G2259" s="34">
        <f t="shared" si="71"/>
        <v>6.62</v>
      </c>
    </row>
    <row r="2260" spans="2:7" ht="13.8" customHeight="1" x14ac:dyDescent="0.25">
      <c r="B2260" s="35" t="s">
        <v>1</v>
      </c>
      <c r="C2260" s="35">
        <v>2768732</v>
      </c>
      <c r="D2260" s="35">
        <v>5</v>
      </c>
      <c r="E2260" s="35" t="s">
        <v>253</v>
      </c>
      <c r="F2260" s="31" t="str">
        <f t="shared" si="70"/>
        <v>A6.10.04</v>
      </c>
      <c r="G2260" s="34">
        <f t="shared" si="71"/>
        <v>5</v>
      </c>
    </row>
    <row r="2261" spans="2:7" ht="13.8" customHeight="1" x14ac:dyDescent="0.25">
      <c r="B2261" s="35" t="s">
        <v>1</v>
      </c>
      <c r="C2261" s="35">
        <v>2768810</v>
      </c>
      <c r="D2261" s="35">
        <v>2.66</v>
      </c>
      <c r="E2261" s="35" t="s">
        <v>254</v>
      </c>
      <c r="F2261" s="31" t="str">
        <f t="shared" si="70"/>
        <v>A6.13.01</v>
      </c>
      <c r="G2261" s="34">
        <f t="shared" si="71"/>
        <v>2.66</v>
      </c>
    </row>
    <row r="2262" spans="2:7" ht="13.8" customHeight="1" x14ac:dyDescent="0.25">
      <c r="B2262" s="35" t="s">
        <v>1</v>
      </c>
      <c r="C2262" s="35">
        <v>2768813</v>
      </c>
      <c r="D2262" s="35">
        <v>1.55</v>
      </c>
      <c r="E2262" s="35" t="s">
        <v>254</v>
      </c>
      <c r="F2262" s="31" t="str">
        <f t="shared" si="70"/>
        <v>A6.13.01</v>
      </c>
      <c r="G2262" s="34">
        <f t="shared" si="71"/>
        <v>1.55</v>
      </c>
    </row>
    <row r="2263" spans="2:7" ht="13.8" customHeight="1" x14ac:dyDescent="0.25">
      <c r="B2263" s="35" t="s">
        <v>1</v>
      </c>
      <c r="C2263" s="35">
        <v>2768816</v>
      </c>
      <c r="D2263" s="35">
        <v>2.41</v>
      </c>
      <c r="E2263" s="35" t="s">
        <v>254</v>
      </c>
      <c r="F2263" s="31" t="str">
        <f t="shared" si="70"/>
        <v>A6.13.01</v>
      </c>
      <c r="G2263" s="34">
        <f t="shared" si="71"/>
        <v>2.41</v>
      </c>
    </row>
    <row r="2264" spans="2:7" ht="13.8" customHeight="1" x14ac:dyDescent="0.25">
      <c r="B2264" s="35" t="s">
        <v>1</v>
      </c>
      <c r="C2264" s="35">
        <v>2768819</v>
      </c>
      <c r="D2264" s="35">
        <v>2.71</v>
      </c>
      <c r="E2264" s="35" t="s">
        <v>254</v>
      </c>
      <c r="F2264" s="31" t="str">
        <f t="shared" si="70"/>
        <v>A6.13.01</v>
      </c>
      <c r="G2264" s="34">
        <f t="shared" si="71"/>
        <v>2.71</v>
      </c>
    </row>
    <row r="2265" spans="2:7" ht="13.8" customHeight="1" x14ac:dyDescent="0.25">
      <c r="B2265" s="35" t="s">
        <v>1</v>
      </c>
      <c r="C2265" s="35">
        <v>2768821</v>
      </c>
      <c r="D2265" s="35">
        <v>2.46</v>
      </c>
      <c r="E2265" s="35" t="s">
        <v>254</v>
      </c>
      <c r="F2265" s="31" t="str">
        <f t="shared" si="70"/>
        <v>A6.13.01</v>
      </c>
      <c r="G2265" s="34">
        <f t="shared" si="71"/>
        <v>2.46</v>
      </c>
    </row>
    <row r="2266" spans="2:7" ht="13.8" customHeight="1" x14ac:dyDescent="0.25">
      <c r="B2266" s="35" t="s">
        <v>1</v>
      </c>
      <c r="C2266" s="35">
        <v>2768822</v>
      </c>
      <c r="D2266" s="35">
        <v>4.01</v>
      </c>
      <c r="E2266" s="35" t="s">
        <v>254</v>
      </c>
      <c r="F2266" s="31" t="str">
        <f t="shared" si="70"/>
        <v>A6.13.01</v>
      </c>
      <c r="G2266" s="34">
        <f t="shared" si="71"/>
        <v>4.01</v>
      </c>
    </row>
    <row r="2267" spans="2:7" ht="13.8" customHeight="1" x14ac:dyDescent="0.25">
      <c r="B2267" s="35" t="s">
        <v>1</v>
      </c>
      <c r="C2267" s="35">
        <v>2768823</v>
      </c>
      <c r="D2267" s="35">
        <v>6.27</v>
      </c>
      <c r="E2267" s="35" t="s">
        <v>254</v>
      </c>
      <c r="F2267" s="31" t="str">
        <f t="shared" si="70"/>
        <v>A6.13.01</v>
      </c>
      <c r="G2267" s="34">
        <f t="shared" si="71"/>
        <v>6.27</v>
      </c>
    </row>
    <row r="2268" spans="2:7" ht="13.8" customHeight="1" x14ac:dyDescent="0.25">
      <c r="B2268" s="35" t="s">
        <v>1</v>
      </c>
      <c r="C2268" s="35">
        <v>2768824</v>
      </c>
      <c r="D2268" s="35">
        <v>2.46</v>
      </c>
      <c r="E2268" s="35" t="s">
        <v>254</v>
      </c>
      <c r="F2268" s="31" t="str">
        <f t="shared" si="70"/>
        <v>A6.13.01</v>
      </c>
      <c r="G2268" s="34">
        <f t="shared" si="71"/>
        <v>2.46</v>
      </c>
    </row>
    <row r="2269" spans="2:7" ht="13.8" customHeight="1" x14ac:dyDescent="0.25">
      <c r="B2269" s="35" t="s">
        <v>1</v>
      </c>
      <c r="C2269" s="35">
        <v>2768888</v>
      </c>
      <c r="D2269" s="35">
        <v>6.63</v>
      </c>
      <c r="E2269" s="35" t="s">
        <v>255</v>
      </c>
      <c r="F2269" s="31" t="str">
        <f t="shared" si="70"/>
        <v>A6.13.02</v>
      </c>
      <c r="G2269" s="34">
        <f t="shared" si="71"/>
        <v>6.63</v>
      </c>
    </row>
    <row r="2270" spans="2:7" ht="13.8" customHeight="1" x14ac:dyDescent="0.25">
      <c r="B2270" s="35" t="s">
        <v>1</v>
      </c>
      <c r="C2270" s="35">
        <v>2768890</v>
      </c>
      <c r="D2270" s="35">
        <v>6.32</v>
      </c>
      <c r="E2270" s="35" t="s">
        <v>255</v>
      </c>
      <c r="F2270" s="31" t="str">
        <f t="shared" si="70"/>
        <v>A6.13.02</v>
      </c>
      <c r="G2270" s="34">
        <f t="shared" si="71"/>
        <v>6.32</v>
      </c>
    </row>
    <row r="2271" spans="2:7" ht="13.8" customHeight="1" x14ac:dyDescent="0.25">
      <c r="B2271" s="35" t="s">
        <v>1</v>
      </c>
      <c r="C2271" s="35">
        <v>2768893</v>
      </c>
      <c r="D2271" s="35">
        <v>5.04</v>
      </c>
      <c r="E2271" s="35" t="s">
        <v>255</v>
      </c>
      <c r="F2271" s="31" t="str">
        <f t="shared" si="70"/>
        <v>A6.13.02</v>
      </c>
      <c r="G2271" s="34">
        <f t="shared" si="71"/>
        <v>5.04</v>
      </c>
    </row>
    <row r="2272" spans="2:7" ht="13.8" customHeight="1" x14ac:dyDescent="0.25">
      <c r="B2272" s="35" t="s">
        <v>1</v>
      </c>
      <c r="C2272" s="35">
        <v>2768894</v>
      </c>
      <c r="D2272" s="35">
        <v>2.4500000000000002</v>
      </c>
      <c r="E2272" s="35" t="s">
        <v>255</v>
      </c>
      <c r="F2272" s="31" t="str">
        <f t="shared" si="70"/>
        <v>A6.13.02</v>
      </c>
      <c r="G2272" s="34">
        <f t="shared" si="71"/>
        <v>2.4500000000000002</v>
      </c>
    </row>
    <row r="2273" spans="2:7" ht="13.8" customHeight="1" x14ac:dyDescent="0.25">
      <c r="B2273" s="35" t="s">
        <v>1</v>
      </c>
      <c r="C2273" s="35">
        <v>2768897</v>
      </c>
      <c r="D2273" s="35">
        <v>0.8</v>
      </c>
      <c r="E2273" s="35" t="s">
        <v>255</v>
      </c>
      <c r="F2273" s="31" t="str">
        <f t="shared" si="70"/>
        <v>A6.13.02</v>
      </c>
      <c r="G2273" s="34">
        <f t="shared" si="71"/>
        <v>0.8</v>
      </c>
    </row>
    <row r="2274" spans="2:7" ht="13.8" customHeight="1" x14ac:dyDescent="0.25">
      <c r="B2274" s="35" t="s">
        <v>1</v>
      </c>
      <c r="C2274" s="35">
        <v>2768898</v>
      </c>
      <c r="D2274" s="35">
        <v>0.8</v>
      </c>
      <c r="E2274" s="35" t="s">
        <v>255</v>
      </c>
      <c r="F2274" s="31" t="str">
        <f t="shared" si="70"/>
        <v>A6.13.02</v>
      </c>
      <c r="G2274" s="34">
        <f t="shared" si="71"/>
        <v>0.8</v>
      </c>
    </row>
    <row r="2275" spans="2:7" ht="13.8" customHeight="1" x14ac:dyDescent="0.25">
      <c r="B2275" s="35" t="s">
        <v>1</v>
      </c>
      <c r="C2275" s="35">
        <v>2768959</v>
      </c>
      <c r="D2275" s="35">
        <v>6.63</v>
      </c>
      <c r="E2275" s="35" t="s">
        <v>256</v>
      </c>
      <c r="F2275" s="31" t="str">
        <f t="shared" si="70"/>
        <v>A6.13.03</v>
      </c>
      <c r="G2275" s="34">
        <f t="shared" si="71"/>
        <v>6.63</v>
      </c>
    </row>
    <row r="2276" spans="2:7" ht="13.8" customHeight="1" x14ac:dyDescent="0.25">
      <c r="B2276" s="35" t="s">
        <v>1</v>
      </c>
      <c r="C2276" s="35">
        <v>2768961</v>
      </c>
      <c r="D2276" s="35">
        <v>2.4500000000000002</v>
      </c>
      <c r="E2276" s="35" t="s">
        <v>256</v>
      </c>
      <c r="F2276" s="31" t="str">
        <f t="shared" si="70"/>
        <v>A6.13.03</v>
      </c>
      <c r="G2276" s="34">
        <f t="shared" si="71"/>
        <v>2.4500000000000002</v>
      </c>
    </row>
    <row r="2277" spans="2:7" ht="13.8" customHeight="1" x14ac:dyDescent="0.25">
      <c r="B2277" s="35" t="s">
        <v>1</v>
      </c>
      <c r="C2277" s="35">
        <v>2768964</v>
      </c>
      <c r="D2277" s="35">
        <v>6.32</v>
      </c>
      <c r="E2277" s="35" t="s">
        <v>256</v>
      </c>
      <c r="F2277" s="31" t="str">
        <f t="shared" si="70"/>
        <v>A6.13.03</v>
      </c>
      <c r="G2277" s="34">
        <f t="shared" si="71"/>
        <v>6.32</v>
      </c>
    </row>
    <row r="2278" spans="2:7" ht="13.8" customHeight="1" x14ac:dyDescent="0.25">
      <c r="B2278" s="35" t="s">
        <v>1</v>
      </c>
      <c r="C2278" s="35">
        <v>2768967</v>
      </c>
      <c r="D2278" s="35">
        <v>5.05</v>
      </c>
      <c r="E2278" s="35" t="s">
        <v>256</v>
      </c>
      <c r="F2278" s="31" t="str">
        <f t="shared" si="70"/>
        <v>A6.13.03</v>
      </c>
      <c r="G2278" s="34">
        <f t="shared" si="71"/>
        <v>5.05</v>
      </c>
    </row>
    <row r="2279" spans="2:7" ht="13.8" customHeight="1" x14ac:dyDescent="0.25">
      <c r="B2279" s="35" t="s">
        <v>1</v>
      </c>
      <c r="C2279" s="35">
        <v>2768968</v>
      </c>
      <c r="D2279" s="35">
        <v>0.8</v>
      </c>
      <c r="E2279" s="35" t="s">
        <v>256</v>
      </c>
      <c r="F2279" s="31" t="str">
        <f t="shared" si="70"/>
        <v>A6.13.03</v>
      </c>
      <c r="G2279" s="34">
        <f t="shared" si="71"/>
        <v>0.8</v>
      </c>
    </row>
    <row r="2280" spans="2:7" ht="13.8" customHeight="1" x14ac:dyDescent="0.25">
      <c r="B2280" s="35" t="s">
        <v>1</v>
      </c>
      <c r="C2280" s="35">
        <v>2768969</v>
      </c>
      <c r="D2280" s="35">
        <v>0.8</v>
      </c>
      <c r="E2280" s="35" t="s">
        <v>256</v>
      </c>
      <c r="F2280" s="31" t="str">
        <f t="shared" si="70"/>
        <v>A6.13.03</v>
      </c>
      <c r="G2280" s="34">
        <f t="shared" si="71"/>
        <v>0.8</v>
      </c>
    </row>
    <row r="2281" spans="2:7" ht="13.8" customHeight="1" x14ac:dyDescent="0.25">
      <c r="B2281" s="35" t="s">
        <v>1</v>
      </c>
      <c r="C2281" s="35">
        <v>2769046</v>
      </c>
      <c r="D2281" s="35">
        <v>2.46</v>
      </c>
      <c r="E2281" s="35" t="s">
        <v>257</v>
      </c>
      <c r="F2281" s="31" t="str">
        <f t="shared" si="70"/>
        <v>A6.13.04</v>
      </c>
      <c r="G2281" s="34">
        <f t="shared" si="71"/>
        <v>2.46</v>
      </c>
    </row>
    <row r="2282" spans="2:7" ht="13.8" customHeight="1" x14ac:dyDescent="0.25">
      <c r="B2282" s="35" t="s">
        <v>1</v>
      </c>
      <c r="C2282" s="35">
        <v>2769049</v>
      </c>
      <c r="D2282" s="35">
        <v>0</v>
      </c>
      <c r="E2282" s="35" t="s">
        <v>257</v>
      </c>
      <c r="F2282" s="31" t="str">
        <f t="shared" si="70"/>
        <v>A6.13.04</v>
      </c>
      <c r="G2282" s="34">
        <f t="shared" si="71"/>
        <v>0</v>
      </c>
    </row>
    <row r="2283" spans="2:7" ht="13.8" customHeight="1" x14ac:dyDescent="0.25">
      <c r="B2283" s="35" t="s">
        <v>1</v>
      </c>
      <c r="C2283" s="35">
        <v>2769052</v>
      </c>
      <c r="D2283" s="35">
        <v>6.27</v>
      </c>
      <c r="E2283" s="35" t="s">
        <v>257</v>
      </c>
      <c r="F2283" s="31" t="str">
        <f t="shared" si="70"/>
        <v>A6.13.04</v>
      </c>
      <c r="G2283" s="34">
        <f t="shared" si="71"/>
        <v>6.27</v>
      </c>
    </row>
    <row r="2284" spans="2:7" ht="13.8" customHeight="1" x14ac:dyDescent="0.25">
      <c r="B2284" s="35" t="s">
        <v>1</v>
      </c>
      <c r="C2284" s="35">
        <v>2769054</v>
      </c>
      <c r="D2284" s="35">
        <v>2.46</v>
      </c>
      <c r="E2284" s="35" t="s">
        <v>257</v>
      </c>
      <c r="F2284" s="31" t="str">
        <f t="shared" si="70"/>
        <v>A6.13.04</v>
      </c>
      <c r="G2284" s="34">
        <f t="shared" si="71"/>
        <v>2.46</v>
      </c>
    </row>
    <row r="2285" spans="2:7" ht="13.8" customHeight="1" x14ac:dyDescent="0.25">
      <c r="B2285" s="35" t="s">
        <v>1</v>
      </c>
      <c r="C2285" s="35">
        <v>2769057</v>
      </c>
      <c r="D2285" s="35">
        <v>2.66</v>
      </c>
      <c r="E2285" s="35" t="s">
        <v>257</v>
      </c>
      <c r="F2285" s="31" t="str">
        <f t="shared" si="70"/>
        <v>A6.13.04</v>
      </c>
      <c r="G2285" s="34">
        <f t="shared" si="71"/>
        <v>2.66</v>
      </c>
    </row>
    <row r="2286" spans="2:7" ht="13.8" customHeight="1" x14ac:dyDescent="0.25">
      <c r="B2286" s="35" t="s">
        <v>1</v>
      </c>
      <c r="C2286" s="35">
        <v>2769059</v>
      </c>
      <c r="D2286" s="35">
        <v>2.71</v>
      </c>
      <c r="E2286" s="35" t="s">
        <v>257</v>
      </c>
      <c r="F2286" s="31" t="str">
        <f t="shared" si="70"/>
        <v>A6.13.04</v>
      </c>
      <c r="G2286" s="34">
        <f t="shared" si="71"/>
        <v>2.71</v>
      </c>
    </row>
    <row r="2287" spans="2:7" ht="13.8" customHeight="1" x14ac:dyDescent="0.25">
      <c r="B2287" s="35" t="s">
        <v>1</v>
      </c>
      <c r="C2287" s="35">
        <v>2769061</v>
      </c>
      <c r="D2287" s="35">
        <v>4.01</v>
      </c>
      <c r="E2287" s="35" t="s">
        <v>257</v>
      </c>
      <c r="F2287" s="31" t="str">
        <f t="shared" si="70"/>
        <v>A6.13.04</v>
      </c>
      <c r="G2287" s="34">
        <f t="shared" si="71"/>
        <v>4.01</v>
      </c>
    </row>
    <row r="2288" spans="2:7" ht="13.8" customHeight="1" x14ac:dyDescent="0.25">
      <c r="B2288" s="35" t="s">
        <v>1</v>
      </c>
      <c r="C2288" s="35">
        <v>2769062</v>
      </c>
      <c r="D2288" s="35">
        <v>2.41</v>
      </c>
      <c r="E2288" s="35" t="s">
        <v>257</v>
      </c>
      <c r="F2288" s="31" t="str">
        <f t="shared" si="70"/>
        <v>A6.13.04</v>
      </c>
      <c r="G2288" s="34">
        <f t="shared" si="71"/>
        <v>2.41</v>
      </c>
    </row>
    <row r="2289" spans="2:7" ht="13.8" customHeight="1" x14ac:dyDescent="0.25">
      <c r="B2289" s="35" t="s">
        <v>1</v>
      </c>
      <c r="C2289" s="35">
        <v>2769064</v>
      </c>
      <c r="D2289" s="35">
        <v>1.55</v>
      </c>
      <c r="E2289" s="35" t="s">
        <v>257</v>
      </c>
      <c r="F2289" s="31" t="str">
        <f t="shared" si="70"/>
        <v>A6.13.04</v>
      </c>
      <c r="G2289" s="34">
        <f t="shared" si="71"/>
        <v>1.55</v>
      </c>
    </row>
    <row r="2290" spans="2:7" ht="13.8" customHeight="1" x14ac:dyDescent="0.25">
      <c r="B2290" s="35" t="s">
        <v>1</v>
      </c>
      <c r="C2290" s="35">
        <v>2769133</v>
      </c>
      <c r="D2290" s="35">
        <v>6.63</v>
      </c>
      <c r="E2290" s="35" t="s">
        <v>258</v>
      </c>
      <c r="F2290" s="31" t="str">
        <f t="shared" si="70"/>
        <v>A6.09.06</v>
      </c>
      <c r="G2290" s="34">
        <f t="shared" si="71"/>
        <v>6.63</v>
      </c>
    </row>
    <row r="2291" spans="2:7" ht="13.8" customHeight="1" x14ac:dyDescent="0.25">
      <c r="B2291" s="35" t="s">
        <v>1</v>
      </c>
      <c r="C2291" s="35">
        <v>2769135</v>
      </c>
      <c r="D2291" s="35">
        <v>4.0599999999999996</v>
      </c>
      <c r="E2291" s="35" t="s">
        <v>258</v>
      </c>
      <c r="F2291" s="31" t="str">
        <f t="shared" si="70"/>
        <v>A6.09.06</v>
      </c>
      <c r="G2291" s="34">
        <f t="shared" si="71"/>
        <v>4.0599999999999996</v>
      </c>
    </row>
    <row r="2292" spans="2:7" ht="13.8" customHeight="1" x14ac:dyDescent="0.25">
      <c r="B2292" s="35" t="s">
        <v>1</v>
      </c>
      <c r="C2292" s="35">
        <v>2769137</v>
      </c>
      <c r="D2292" s="35">
        <v>4.0599999999999996</v>
      </c>
      <c r="E2292" s="35" t="s">
        <v>258</v>
      </c>
      <c r="F2292" s="31" t="str">
        <f t="shared" si="70"/>
        <v>A6.09.06</v>
      </c>
      <c r="G2292" s="34">
        <f t="shared" si="71"/>
        <v>4.0599999999999996</v>
      </c>
    </row>
    <row r="2293" spans="2:7" ht="13.8" customHeight="1" x14ac:dyDescent="0.25">
      <c r="B2293" s="35" t="s">
        <v>1</v>
      </c>
      <c r="C2293" s="35">
        <v>2769139</v>
      </c>
      <c r="D2293" s="35">
        <v>5.3</v>
      </c>
      <c r="E2293" s="35" t="s">
        <v>258</v>
      </c>
      <c r="F2293" s="31" t="str">
        <f t="shared" si="70"/>
        <v>A6.09.06</v>
      </c>
      <c r="G2293" s="34">
        <f t="shared" si="71"/>
        <v>5.3</v>
      </c>
    </row>
    <row r="2294" spans="2:7" ht="13.8" customHeight="1" x14ac:dyDescent="0.25">
      <c r="B2294" s="35" t="s">
        <v>1</v>
      </c>
      <c r="C2294" s="35">
        <v>2769142</v>
      </c>
      <c r="D2294" s="35">
        <v>5.3</v>
      </c>
      <c r="E2294" s="35" t="s">
        <v>258</v>
      </c>
      <c r="F2294" s="31" t="str">
        <f t="shared" si="70"/>
        <v>A6.09.06</v>
      </c>
      <c r="G2294" s="34">
        <f t="shared" si="71"/>
        <v>5.3</v>
      </c>
    </row>
    <row r="2295" spans="2:7" ht="13.8" customHeight="1" x14ac:dyDescent="0.25">
      <c r="B2295" s="35" t="s">
        <v>1</v>
      </c>
      <c r="C2295" s="35">
        <v>2769145</v>
      </c>
      <c r="D2295" s="35">
        <v>2.52</v>
      </c>
      <c r="E2295" s="35" t="s">
        <v>258</v>
      </c>
      <c r="F2295" s="31" t="str">
        <f t="shared" si="70"/>
        <v>A6.09.06</v>
      </c>
      <c r="G2295" s="34">
        <f t="shared" si="71"/>
        <v>2.52</v>
      </c>
    </row>
    <row r="2296" spans="2:7" ht="13.8" customHeight="1" x14ac:dyDescent="0.25">
      <c r="B2296" s="35" t="s">
        <v>1</v>
      </c>
      <c r="C2296" s="35">
        <v>2769147</v>
      </c>
      <c r="D2296" s="35">
        <v>2.52</v>
      </c>
      <c r="E2296" s="35" t="s">
        <v>258</v>
      </c>
      <c r="F2296" s="31" t="str">
        <f t="shared" si="70"/>
        <v>A6.09.06</v>
      </c>
      <c r="G2296" s="34">
        <f t="shared" si="71"/>
        <v>2.52</v>
      </c>
    </row>
    <row r="2297" spans="2:7" ht="13.8" customHeight="1" x14ac:dyDescent="0.25">
      <c r="B2297" s="35" t="s">
        <v>1</v>
      </c>
      <c r="C2297" s="35">
        <v>2769149</v>
      </c>
      <c r="D2297" s="35">
        <v>0.8</v>
      </c>
      <c r="E2297" s="35" t="s">
        <v>258</v>
      </c>
      <c r="F2297" s="31" t="str">
        <f t="shared" si="70"/>
        <v>A6.09.06</v>
      </c>
      <c r="G2297" s="34">
        <f t="shared" si="71"/>
        <v>0.8</v>
      </c>
    </row>
    <row r="2298" spans="2:7" ht="13.8" customHeight="1" x14ac:dyDescent="0.25">
      <c r="B2298" s="35" t="s">
        <v>1</v>
      </c>
      <c r="C2298" s="35">
        <v>2769151</v>
      </c>
      <c r="D2298" s="35">
        <v>0.8</v>
      </c>
      <c r="E2298" s="35" t="s">
        <v>258</v>
      </c>
      <c r="F2298" s="31" t="str">
        <f t="shared" si="70"/>
        <v>A6.09.06</v>
      </c>
      <c r="G2298" s="34">
        <f t="shared" si="71"/>
        <v>0.8</v>
      </c>
    </row>
    <row r="2299" spans="2:7" ht="13.8" customHeight="1" x14ac:dyDescent="0.25">
      <c r="B2299" s="35" t="s">
        <v>1</v>
      </c>
      <c r="C2299" s="35">
        <v>2769153</v>
      </c>
      <c r="D2299" s="35">
        <v>2.4500000000000002</v>
      </c>
      <c r="E2299" s="35" t="s">
        <v>258</v>
      </c>
      <c r="F2299" s="31" t="str">
        <f t="shared" si="70"/>
        <v>A6.09.06</v>
      </c>
      <c r="G2299" s="34">
        <f t="shared" si="71"/>
        <v>2.4500000000000002</v>
      </c>
    </row>
    <row r="2300" spans="2:7" ht="13.8" customHeight="1" x14ac:dyDescent="0.25">
      <c r="B2300" s="35" t="s">
        <v>1</v>
      </c>
      <c r="C2300" s="35">
        <v>2769155</v>
      </c>
      <c r="D2300" s="35">
        <v>2.4500000000000002</v>
      </c>
      <c r="E2300" s="35" t="s">
        <v>258</v>
      </c>
      <c r="F2300" s="31" t="str">
        <f t="shared" si="70"/>
        <v>A6.09.06</v>
      </c>
      <c r="G2300" s="34">
        <f t="shared" si="71"/>
        <v>2.4500000000000002</v>
      </c>
    </row>
    <row r="2301" spans="2:7" ht="13.8" customHeight="1" x14ac:dyDescent="0.25">
      <c r="B2301" s="35" t="s">
        <v>1</v>
      </c>
      <c r="C2301" s="35">
        <v>2769157</v>
      </c>
      <c r="D2301" s="35">
        <v>0.8</v>
      </c>
      <c r="E2301" s="35" t="s">
        <v>258</v>
      </c>
      <c r="F2301" s="31" t="str">
        <f t="shared" si="70"/>
        <v>A6.09.06</v>
      </c>
      <c r="G2301" s="34">
        <f t="shared" si="71"/>
        <v>0.8</v>
      </c>
    </row>
    <row r="2302" spans="2:7" ht="13.8" customHeight="1" x14ac:dyDescent="0.25">
      <c r="B2302" s="35" t="s">
        <v>1</v>
      </c>
      <c r="C2302" s="35">
        <v>2769158</v>
      </c>
      <c r="D2302" s="35">
        <v>0.8</v>
      </c>
      <c r="E2302" s="35" t="s">
        <v>258</v>
      </c>
      <c r="F2302" s="31" t="str">
        <f t="shared" si="70"/>
        <v>A6.09.06</v>
      </c>
      <c r="G2302" s="34">
        <f t="shared" si="71"/>
        <v>0.8</v>
      </c>
    </row>
    <row r="2303" spans="2:7" ht="13.8" customHeight="1" x14ac:dyDescent="0.25">
      <c r="B2303" s="35" t="s">
        <v>1</v>
      </c>
      <c r="C2303" s="35">
        <v>2769160</v>
      </c>
      <c r="D2303" s="35">
        <v>6.63</v>
      </c>
      <c r="E2303" s="35" t="s">
        <v>258</v>
      </c>
      <c r="F2303" s="31" t="str">
        <f t="shared" si="70"/>
        <v>A6.09.06</v>
      </c>
      <c r="G2303" s="34">
        <f t="shared" si="71"/>
        <v>6.63</v>
      </c>
    </row>
    <row r="2304" spans="2:7" ht="13.8" customHeight="1" x14ac:dyDescent="0.25">
      <c r="B2304" s="35" t="s">
        <v>1</v>
      </c>
      <c r="C2304" s="35">
        <v>2769161</v>
      </c>
      <c r="D2304" s="35">
        <v>2.56</v>
      </c>
      <c r="E2304" s="35" t="s">
        <v>258</v>
      </c>
      <c r="F2304" s="31" t="str">
        <f t="shared" si="70"/>
        <v>A6.09.06</v>
      </c>
      <c r="G2304" s="34">
        <f t="shared" si="71"/>
        <v>2.56</v>
      </c>
    </row>
    <row r="2305" spans="2:7" ht="13.8" customHeight="1" x14ac:dyDescent="0.25">
      <c r="B2305" s="35" t="s">
        <v>1</v>
      </c>
      <c r="C2305" s="35">
        <v>2769163</v>
      </c>
      <c r="D2305" s="35">
        <v>2.56</v>
      </c>
      <c r="E2305" s="35" t="s">
        <v>258</v>
      </c>
      <c r="F2305" s="31" t="str">
        <f t="shared" si="70"/>
        <v>A6.09.06</v>
      </c>
      <c r="G2305" s="34">
        <f t="shared" si="71"/>
        <v>2.56</v>
      </c>
    </row>
    <row r="2306" spans="2:7" ht="13.8" customHeight="1" x14ac:dyDescent="0.25">
      <c r="B2306" s="35" t="s">
        <v>1</v>
      </c>
      <c r="C2306" s="35">
        <v>2769165</v>
      </c>
      <c r="D2306" s="35">
        <v>4.8899999999999997</v>
      </c>
      <c r="E2306" s="35" t="s">
        <v>258</v>
      </c>
      <c r="F2306" s="31" t="str">
        <f t="shared" si="70"/>
        <v>A6.09.06</v>
      </c>
      <c r="G2306" s="34">
        <f t="shared" si="71"/>
        <v>4.8899999999999997</v>
      </c>
    </row>
    <row r="2307" spans="2:7" ht="13.8" customHeight="1" x14ac:dyDescent="0.25">
      <c r="B2307" s="35" t="s">
        <v>1</v>
      </c>
      <c r="C2307" s="35">
        <v>2769166</v>
      </c>
      <c r="D2307" s="35">
        <v>4.8899999999999997</v>
      </c>
      <c r="E2307" s="35" t="s">
        <v>258</v>
      </c>
      <c r="F2307" s="31" t="str">
        <f t="shared" si="70"/>
        <v>A6.09.06</v>
      </c>
      <c r="G2307" s="34">
        <f t="shared" si="71"/>
        <v>4.8899999999999997</v>
      </c>
    </row>
    <row r="2308" spans="2:7" ht="13.8" customHeight="1" x14ac:dyDescent="0.25">
      <c r="B2308" s="35" t="s">
        <v>1</v>
      </c>
      <c r="C2308" s="35">
        <v>2769233</v>
      </c>
      <c r="D2308" s="35">
        <v>4.01</v>
      </c>
      <c r="E2308" s="35" t="s">
        <v>259</v>
      </c>
      <c r="F2308" s="31" t="str">
        <f t="shared" si="70"/>
        <v>A6.09.07</v>
      </c>
      <c r="G2308" s="34">
        <f t="shared" si="71"/>
        <v>4.01</v>
      </c>
    </row>
    <row r="2309" spans="2:7" ht="13.8" customHeight="1" x14ac:dyDescent="0.25">
      <c r="B2309" s="35" t="s">
        <v>1</v>
      </c>
      <c r="C2309" s="35">
        <v>2769236</v>
      </c>
      <c r="D2309" s="35">
        <v>4.01</v>
      </c>
      <c r="E2309" s="35" t="s">
        <v>259</v>
      </c>
      <c r="F2309" s="31" t="str">
        <f t="shared" si="70"/>
        <v>A6.09.07</v>
      </c>
      <c r="G2309" s="34">
        <f t="shared" si="71"/>
        <v>4.01</v>
      </c>
    </row>
    <row r="2310" spans="2:7" ht="13.8" customHeight="1" x14ac:dyDescent="0.25">
      <c r="B2310" s="35" t="s">
        <v>1</v>
      </c>
      <c r="C2310" s="35">
        <v>2769239</v>
      </c>
      <c r="D2310" s="35">
        <v>6.27</v>
      </c>
      <c r="E2310" s="35" t="s">
        <v>259</v>
      </c>
      <c r="F2310" s="31" t="str">
        <f t="shared" si="70"/>
        <v>A6.09.07</v>
      </c>
      <c r="G2310" s="34">
        <f t="shared" si="71"/>
        <v>6.27</v>
      </c>
    </row>
    <row r="2311" spans="2:7" ht="13.8" customHeight="1" x14ac:dyDescent="0.25">
      <c r="B2311" s="35" t="s">
        <v>1</v>
      </c>
      <c r="C2311" s="35">
        <v>2769241</v>
      </c>
      <c r="D2311" s="35">
        <v>2.46</v>
      </c>
      <c r="E2311" s="35" t="s">
        <v>259</v>
      </c>
      <c r="F2311" s="31" t="str">
        <f t="shared" ref="F2311:F2374" si="72">LEFT(E2311,8)</f>
        <v>A6.09.07</v>
      </c>
      <c r="G2311" s="34">
        <f t="shared" ref="G2311:G2374" si="73">D2311</f>
        <v>2.46</v>
      </c>
    </row>
    <row r="2312" spans="2:7" ht="13.8" customHeight="1" x14ac:dyDescent="0.25">
      <c r="B2312" s="35" t="s">
        <v>1</v>
      </c>
      <c r="C2312" s="35">
        <v>2769244</v>
      </c>
      <c r="D2312" s="35">
        <v>2.46</v>
      </c>
      <c r="E2312" s="35" t="s">
        <v>259</v>
      </c>
      <c r="F2312" s="31" t="str">
        <f t="shared" si="72"/>
        <v>A6.09.07</v>
      </c>
      <c r="G2312" s="34">
        <f t="shared" si="73"/>
        <v>2.46</v>
      </c>
    </row>
    <row r="2313" spans="2:7" ht="13.8" customHeight="1" x14ac:dyDescent="0.25">
      <c r="B2313" s="35" t="s">
        <v>1</v>
      </c>
      <c r="C2313" s="35">
        <v>2769247</v>
      </c>
      <c r="D2313" s="35">
        <v>2.46</v>
      </c>
      <c r="E2313" s="35" t="s">
        <v>259</v>
      </c>
      <c r="F2313" s="31" t="str">
        <f t="shared" si="72"/>
        <v>A6.09.07</v>
      </c>
      <c r="G2313" s="34">
        <f t="shared" si="73"/>
        <v>2.46</v>
      </c>
    </row>
    <row r="2314" spans="2:7" ht="13.8" customHeight="1" x14ac:dyDescent="0.25">
      <c r="B2314" s="35" t="s">
        <v>1</v>
      </c>
      <c r="C2314" s="35">
        <v>2769250</v>
      </c>
      <c r="D2314" s="35">
        <v>6.27</v>
      </c>
      <c r="E2314" s="35" t="s">
        <v>259</v>
      </c>
      <c r="F2314" s="31" t="str">
        <f t="shared" si="72"/>
        <v>A6.09.07</v>
      </c>
      <c r="G2314" s="34">
        <f t="shared" si="73"/>
        <v>6.27</v>
      </c>
    </row>
    <row r="2315" spans="2:7" ht="13.8" customHeight="1" x14ac:dyDescent="0.25">
      <c r="B2315" s="35" t="s">
        <v>1</v>
      </c>
      <c r="C2315" s="35">
        <v>2769252</v>
      </c>
      <c r="D2315" s="35">
        <v>2.46</v>
      </c>
      <c r="E2315" s="35" t="s">
        <v>259</v>
      </c>
      <c r="F2315" s="31" t="str">
        <f t="shared" si="72"/>
        <v>A6.09.07</v>
      </c>
      <c r="G2315" s="34">
        <f t="shared" si="73"/>
        <v>2.46</v>
      </c>
    </row>
    <row r="2316" spans="2:7" ht="13.8" customHeight="1" x14ac:dyDescent="0.25">
      <c r="B2316" s="35" t="s">
        <v>1</v>
      </c>
      <c r="C2316" s="35">
        <v>2769255</v>
      </c>
      <c r="D2316" s="35">
        <v>2.66</v>
      </c>
      <c r="E2316" s="35" t="s">
        <v>259</v>
      </c>
      <c r="F2316" s="31" t="str">
        <f t="shared" si="72"/>
        <v>A6.09.07</v>
      </c>
      <c r="G2316" s="34">
        <f t="shared" si="73"/>
        <v>2.66</v>
      </c>
    </row>
    <row r="2317" spans="2:7" ht="13.8" customHeight="1" x14ac:dyDescent="0.25">
      <c r="B2317" s="35" t="s">
        <v>1</v>
      </c>
      <c r="C2317" s="35">
        <v>2769256</v>
      </c>
      <c r="D2317" s="35">
        <v>2.71</v>
      </c>
      <c r="E2317" s="35" t="s">
        <v>259</v>
      </c>
      <c r="F2317" s="31" t="str">
        <f t="shared" si="72"/>
        <v>A6.09.07</v>
      </c>
      <c r="G2317" s="34">
        <f t="shared" si="73"/>
        <v>2.71</v>
      </c>
    </row>
    <row r="2318" spans="2:7" ht="13.8" customHeight="1" x14ac:dyDescent="0.25">
      <c r="B2318" s="35" t="s">
        <v>1</v>
      </c>
      <c r="C2318" s="35">
        <v>2769259</v>
      </c>
      <c r="D2318" s="35">
        <v>2.41</v>
      </c>
      <c r="E2318" s="35" t="s">
        <v>259</v>
      </c>
      <c r="F2318" s="31" t="str">
        <f t="shared" si="72"/>
        <v>A6.09.07</v>
      </c>
      <c r="G2318" s="34">
        <f t="shared" si="73"/>
        <v>2.41</v>
      </c>
    </row>
    <row r="2319" spans="2:7" ht="13.8" customHeight="1" x14ac:dyDescent="0.25">
      <c r="B2319" s="35" t="s">
        <v>1</v>
      </c>
      <c r="C2319" s="35">
        <v>2769261</v>
      </c>
      <c r="D2319" s="35">
        <v>1.55</v>
      </c>
      <c r="E2319" s="35" t="s">
        <v>259</v>
      </c>
      <c r="F2319" s="31" t="str">
        <f t="shared" si="72"/>
        <v>A6.09.07</v>
      </c>
      <c r="G2319" s="34">
        <f t="shared" si="73"/>
        <v>1.55</v>
      </c>
    </row>
    <row r="2320" spans="2:7" ht="13.8" customHeight="1" x14ac:dyDescent="0.25">
      <c r="B2320" s="35" t="s">
        <v>1</v>
      </c>
      <c r="C2320" s="35">
        <v>2769264</v>
      </c>
      <c r="D2320" s="35">
        <v>2.66</v>
      </c>
      <c r="E2320" s="35" t="s">
        <v>259</v>
      </c>
      <c r="F2320" s="31" t="str">
        <f t="shared" si="72"/>
        <v>A6.09.07</v>
      </c>
      <c r="G2320" s="34">
        <f t="shared" si="73"/>
        <v>2.66</v>
      </c>
    </row>
    <row r="2321" spans="2:7" ht="13.8" customHeight="1" x14ac:dyDescent="0.25">
      <c r="B2321" s="35" t="s">
        <v>1</v>
      </c>
      <c r="C2321" s="35">
        <v>2769265</v>
      </c>
      <c r="D2321" s="35">
        <v>2.71</v>
      </c>
      <c r="E2321" s="35" t="s">
        <v>259</v>
      </c>
      <c r="F2321" s="31" t="str">
        <f t="shared" si="72"/>
        <v>A6.09.07</v>
      </c>
      <c r="G2321" s="34">
        <f t="shared" si="73"/>
        <v>2.71</v>
      </c>
    </row>
    <row r="2322" spans="2:7" ht="13.8" customHeight="1" x14ac:dyDescent="0.25">
      <c r="B2322" s="35" t="s">
        <v>1</v>
      </c>
      <c r="C2322" s="35">
        <v>2769268</v>
      </c>
      <c r="D2322" s="35">
        <v>2.41</v>
      </c>
      <c r="E2322" s="35" t="s">
        <v>259</v>
      </c>
      <c r="F2322" s="31" t="str">
        <f t="shared" si="72"/>
        <v>A6.09.07</v>
      </c>
      <c r="G2322" s="34">
        <f t="shared" si="73"/>
        <v>2.41</v>
      </c>
    </row>
    <row r="2323" spans="2:7" ht="13.8" customHeight="1" x14ac:dyDescent="0.25">
      <c r="B2323" s="35" t="s">
        <v>1</v>
      </c>
      <c r="C2323" s="35">
        <v>2769270</v>
      </c>
      <c r="D2323" s="35">
        <v>1.55</v>
      </c>
      <c r="E2323" s="35" t="s">
        <v>259</v>
      </c>
      <c r="F2323" s="31" t="str">
        <f t="shared" si="72"/>
        <v>A6.09.07</v>
      </c>
      <c r="G2323" s="34">
        <f t="shared" si="73"/>
        <v>1.55</v>
      </c>
    </row>
    <row r="2324" spans="2:7" ht="13.8" customHeight="1" x14ac:dyDescent="0.25">
      <c r="B2324" s="35" t="s">
        <v>1</v>
      </c>
      <c r="C2324" s="35">
        <v>2769326</v>
      </c>
      <c r="D2324" s="35">
        <v>0</v>
      </c>
      <c r="E2324" s="35" t="s">
        <v>260</v>
      </c>
      <c r="F2324" s="31" t="str">
        <f t="shared" si="72"/>
        <v>A6.09.02</v>
      </c>
      <c r="G2324" s="34">
        <f t="shared" si="73"/>
        <v>0</v>
      </c>
    </row>
    <row r="2325" spans="2:7" ht="13.8" customHeight="1" x14ac:dyDescent="0.25">
      <c r="B2325" s="35" t="s">
        <v>1</v>
      </c>
      <c r="C2325" s="35">
        <v>2769329</v>
      </c>
      <c r="D2325" s="35">
        <v>6.63</v>
      </c>
      <c r="E2325" s="35" t="s">
        <v>260</v>
      </c>
      <c r="F2325" s="31" t="str">
        <f t="shared" si="72"/>
        <v>A6.09.02</v>
      </c>
      <c r="G2325" s="34">
        <f t="shared" si="73"/>
        <v>6.63</v>
      </c>
    </row>
    <row r="2326" spans="2:7" ht="13.8" customHeight="1" x14ac:dyDescent="0.25">
      <c r="B2326" s="35" t="s">
        <v>1</v>
      </c>
      <c r="C2326" s="35">
        <v>2769331</v>
      </c>
      <c r="D2326" s="35">
        <v>4.0599999999999996</v>
      </c>
      <c r="E2326" s="35" t="s">
        <v>260</v>
      </c>
      <c r="F2326" s="31" t="str">
        <f t="shared" si="72"/>
        <v>A6.09.02</v>
      </c>
      <c r="G2326" s="34">
        <f t="shared" si="73"/>
        <v>4.0599999999999996</v>
      </c>
    </row>
    <row r="2327" spans="2:7" ht="13.8" customHeight="1" x14ac:dyDescent="0.25">
      <c r="B2327" s="35" t="s">
        <v>1</v>
      </c>
      <c r="C2327" s="35">
        <v>2769333</v>
      </c>
      <c r="D2327" s="35">
        <v>4.0599999999999996</v>
      </c>
      <c r="E2327" s="35" t="s">
        <v>260</v>
      </c>
      <c r="F2327" s="31" t="str">
        <f t="shared" si="72"/>
        <v>A6.09.02</v>
      </c>
      <c r="G2327" s="34">
        <f t="shared" si="73"/>
        <v>4.0599999999999996</v>
      </c>
    </row>
    <row r="2328" spans="2:7" ht="13.8" customHeight="1" x14ac:dyDescent="0.25">
      <c r="B2328" s="35" t="s">
        <v>1</v>
      </c>
      <c r="C2328" s="35">
        <v>2769335</v>
      </c>
      <c r="D2328" s="35">
        <v>2.4500000000000002</v>
      </c>
      <c r="E2328" s="35" t="s">
        <v>260</v>
      </c>
      <c r="F2328" s="31" t="str">
        <f t="shared" si="72"/>
        <v>A6.09.02</v>
      </c>
      <c r="G2328" s="34">
        <f t="shared" si="73"/>
        <v>2.4500000000000002</v>
      </c>
    </row>
    <row r="2329" spans="2:7" ht="13.8" customHeight="1" x14ac:dyDescent="0.25">
      <c r="B2329" s="35" t="s">
        <v>1</v>
      </c>
      <c r="C2329" s="35">
        <v>2769338</v>
      </c>
      <c r="D2329" s="35">
        <v>2.4500000000000002</v>
      </c>
      <c r="E2329" s="35" t="s">
        <v>260</v>
      </c>
      <c r="F2329" s="31" t="str">
        <f t="shared" si="72"/>
        <v>A6.09.02</v>
      </c>
      <c r="G2329" s="34">
        <f t="shared" si="73"/>
        <v>2.4500000000000002</v>
      </c>
    </row>
    <row r="2330" spans="2:7" ht="13.8" customHeight="1" x14ac:dyDescent="0.25">
      <c r="B2330" s="35" t="s">
        <v>1</v>
      </c>
      <c r="C2330" s="35">
        <v>2769341</v>
      </c>
      <c r="D2330" s="35">
        <v>0</v>
      </c>
      <c r="E2330" s="35" t="s">
        <v>260</v>
      </c>
      <c r="F2330" s="31" t="str">
        <f t="shared" si="72"/>
        <v>A6.09.02</v>
      </c>
      <c r="G2330" s="34">
        <f t="shared" si="73"/>
        <v>0</v>
      </c>
    </row>
    <row r="2331" spans="2:7" ht="13.8" customHeight="1" x14ac:dyDescent="0.25">
      <c r="B2331" s="35" t="s">
        <v>1</v>
      </c>
      <c r="C2331" s="35">
        <v>2769344</v>
      </c>
      <c r="D2331" s="35">
        <v>6.63</v>
      </c>
      <c r="E2331" s="35" t="s">
        <v>260</v>
      </c>
      <c r="F2331" s="31" t="str">
        <f t="shared" si="72"/>
        <v>A6.09.02</v>
      </c>
      <c r="G2331" s="34">
        <f t="shared" si="73"/>
        <v>6.63</v>
      </c>
    </row>
    <row r="2332" spans="2:7" ht="13.8" customHeight="1" x14ac:dyDescent="0.25">
      <c r="B2332" s="35" t="s">
        <v>1</v>
      </c>
      <c r="C2332" s="35">
        <v>2769346</v>
      </c>
      <c r="D2332" s="35">
        <v>2.56</v>
      </c>
      <c r="E2332" s="35" t="s">
        <v>260</v>
      </c>
      <c r="F2332" s="31" t="str">
        <f t="shared" si="72"/>
        <v>A6.09.02</v>
      </c>
      <c r="G2332" s="34">
        <f t="shared" si="73"/>
        <v>2.56</v>
      </c>
    </row>
    <row r="2333" spans="2:7" ht="13.8" customHeight="1" x14ac:dyDescent="0.25">
      <c r="B2333" s="35" t="s">
        <v>1</v>
      </c>
      <c r="C2333" s="35">
        <v>2769349</v>
      </c>
      <c r="D2333" s="35">
        <v>2.56</v>
      </c>
      <c r="E2333" s="35" t="s">
        <v>260</v>
      </c>
      <c r="F2333" s="31" t="str">
        <f t="shared" si="72"/>
        <v>A6.09.02</v>
      </c>
      <c r="G2333" s="34">
        <f t="shared" si="73"/>
        <v>2.56</v>
      </c>
    </row>
    <row r="2334" spans="2:7" ht="13.8" customHeight="1" x14ac:dyDescent="0.25">
      <c r="B2334" s="35" t="s">
        <v>1</v>
      </c>
      <c r="C2334" s="35">
        <v>2769352</v>
      </c>
      <c r="D2334" s="35">
        <v>5.3</v>
      </c>
      <c r="E2334" s="35" t="s">
        <v>260</v>
      </c>
      <c r="F2334" s="31" t="str">
        <f t="shared" si="72"/>
        <v>A6.09.02</v>
      </c>
      <c r="G2334" s="34">
        <f t="shared" si="73"/>
        <v>5.3</v>
      </c>
    </row>
    <row r="2335" spans="2:7" ht="13.8" customHeight="1" x14ac:dyDescent="0.25">
      <c r="B2335" s="35" t="s">
        <v>1</v>
      </c>
      <c r="C2335" s="35">
        <v>2769354</v>
      </c>
      <c r="D2335" s="35">
        <v>0</v>
      </c>
      <c r="E2335" s="35" t="s">
        <v>260</v>
      </c>
      <c r="F2335" s="31" t="str">
        <f t="shared" si="72"/>
        <v>A6.09.02</v>
      </c>
      <c r="G2335" s="34">
        <f t="shared" si="73"/>
        <v>0</v>
      </c>
    </row>
    <row r="2336" spans="2:7" ht="13.8" customHeight="1" x14ac:dyDescent="0.25">
      <c r="B2336" s="35" t="s">
        <v>1</v>
      </c>
      <c r="C2336" s="35">
        <v>2769356</v>
      </c>
      <c r="D2336" s="35">
        <v>2.52</v>
      </c>
      <c r="E2336" s="35" t="s">
        <v>260</v>
      </c>
      <c r="F2336" s="31" t="str">
        <f t="shared" si="72"/>
        <v>A6.09.02</v>
      </c>
      <c r="G2336" s="34">
        <f t="shared" si="73"/>
        <v>2.52</v>
      </c>
    </row>
    <row r="2337" spans="2:7" ht="13.8" customHeight="1" x14ac:dyDescent="0.25">
      <c r="B2337" s="35" t="s">
        <v>1</v>
      </c>
      <c r="C2337" s="35">
        <v>2769357</v>
      </c>
      <c r="D2337" s="35">
        <v>5.3</v>
      </c>
      <c r="E2337" s="35" t="s">
        <v>260</v>
      </c>
      <c r="F2337" s="31" t="str">
        <f t="shared" si="72"/>
        <v>A6.09.02</v>
      </c>
      <c r="G2337" s="34">
        <f t="shared" si="73"/>
        <v>5.3</v>
      </c>
    </row>
    <row r="2338" spans="2:7" ht="13.8" customHeight="1" x14ac:dyDescent="0.25">
      <c r="B2338" s="35" t="s">
        <v>1</v>
      </c>
      <c r="C2338" s="35">
        <v>2769359</v>
      </c>
      <c r="D2338" s="35">
        <v>0</v>
      </c>
      <c r="E2338" s="35" t="s">
        <v>260</v>
      </c>
      <c r="F2338" s="31" t="str">
        <f t="shared" si="72"/>
        <v>A6.09.02</v>
      </c>
      <c r="G2338" s="34">
        <f t="shared" si="73"/>
        <v>0</v>
      </c>
    </row>
    <row r="2339" spans="2:7" ht="13.8" customHeight="1" x14ac:dyDescent="0.25">
      <c r="B2339" s="35" t="s">
        <v>1</v>
      </c>
      <c r="C2339" s="35">
        <v>2769361</v>
      </c>
      <c r="D2339" s="35">
        <v>2.52</v>
      </c>
      <c r="E2339" s="35" t="s">
        <v>260</v>
      </c>
      <c r="F2339" s="31" t="str">
        <f t="shared" si="72"/>
        <v>A6.09.02</v>
      </c>
      <c r="G2339" s="34">
        <f t="shared" si="73"/>
        <v>2.52</v>
      </c>
    </row>
    <row r="2340" spans="2:7" ht="13.8" customHeight="1" x14ac:dyDescent="0.25">
      <c r="B2340" s="35" t="s">
        <v>1</v>
      </c>
      <c r="C2340" s="35">
        <v>2769362</v>
      </c>
      <c r="D2340" s="35">
        <v>0.8</v>
      </c>
      <c r="E2340" s="35" t="s">
        <v>260</v>
      </c>
      <c r="F2340" s="31" t="str">
        <f t="shared" si="72"/>
        <v>A6.09.02</v>
      </c>
      <c r="G2340" s="34">
        <f t="shared" si="73"/>
        <v>0.8</v>
      </c>
    </row>
    <row r="2341" spans="2:7" ht="13.8" customHeight="1" x14ac:dyDescent="0.25">
      <c r="B2341" s="35" t="s">
        <v>1</v>
      </c>
      <c r="C2341" s="35">
        <v>2769363</v>
      </c>
      <c r="D2341" s="35">
        <v>4.8899999999999997</v>
      </c>
      <c r="E2341" s="35" t="s">
        <v>260</v>
      </c>
      <c r="F2341" s="31" t="str">
        <f t="shared" si="72"/>
        <v>A6.09.02</v>
      </c>
      <c r="G2341" s="34">
        <f t="shared" si="73"/>
        <v>4.8899999999999997</v>
      </c>
    </row>
    <row r="2342" spans="2:7" ht="13.8" customHeight="1" x14ac:dyDescent="0.25">
      <c r="B2342" s="35" t="s">
        <v>1</v>
      </c>
      <c r="C2342" s="35">
        <v>2769364</v>
      </c>
      <c r="D2342" s="35">
        <v>0.8</v>
      </c>
      <c r="E2342" s="35" t="s">
        <v>260</v>
      </c>
      <c r="F2342" s="31" t="str">
        <f t="shared" si="72"/>
        <v>A6.09.02</v>
      </c>
      <c r="G2342" s="34">
        <f t="shared" si="73"/>
        <v>0.8</v>
      </c>
    </row>
    <row r="2343" spans="2:7" ht="13.8" customHeight="1" x14ac:dyDescent="0.25">
      <c r="B2343" s="35" t="s">
        <v>1</v>
      </c>
      <c r="C2343" s="35">
        <v>2769365</v>
      </c>
      <c r="D2343" s="35">
        <v>0.8</v>
      </c>
      <c r="E2343" s="35" t="s">
        <v>260</v>
      </c>
      <c r="F2343" s="31" t="str">
        <f t="shared" si="72"/>
        <v>A6.09.02</v>
      </c>
      <c r="G2343" s="34">
        <f t="shared" si="73"/>
        <v>0.8</v>
      </c>
    </row>
    <row r="2344" spans="2:7" ht="13.8" customHeight="1" x14ac:dyDescent="0.25">
      <c r="B2344" s="35" t="s">
        <v>1</v>
      </c>
      <c r="C2344" s="35">
        <v>2769366</v>
      </c>
      <c r="D2344" s="35">
        <v>0.8</v>
      </c>
      <c r="E2344" s="35" t="s">
        <v>260</v>
      </c>
      <c r="F2344" s="31" t="str">
        <f t="shared" si="72"/>
        <v>A6.09.02</v>
      </c>
      <c r="G2344" s="34">
        <f t="shared" si="73"/>
        <v>0.8</v>
      </c>
    </row>
    <row r="2345" spans="2:7" ht="13.8" customHeight="1" x14ac:dyDescent="0.25">
      <c r="B2345" s="35" t="s">
        <v>1</v>
      </c>
      <c r="C2345" s="35">
        <v>2769367</v>
      </c>
      <c r="D2345" s="35">
        <v>4.8899999999999997</v>
      </c>
      <c r="E2345" s="35" t="s">
        <v>260</v>
      </c>
      <c r="F2345" s="31" t="str">
        <f t="shared" si="72"/>
        <v>A6.09.02</v>
      </c>
      <c r="G2345" s="34">
        <f t="shared" si="73"/>
        <v>4.8899999999999997</v>
      </c>
    </row>
    <row r="2346" spans="2:7" ht="13.8" customHeight="1" x14ac:dyDescent="0.25">
      <c r="B2346" s="35" t="s">
        <v>1</v>
      </c>
      <c r="C2346" s="35">
        <v>2769412</v>
      </c>
      <c r="D2346" s="35">
        <v>2.2000000000000002</v>
      </c>
      <c r="E2346" s="35" t="s">
        <v>261</v>
      </c>
      <c r="F2346" s="31" t="str">
        <f t="shared" si="72"/>
        <v>A6.09.03</v>
      </c>
      <c r="G2346" s="34">
        <f t="shared" si="73"/>
        <v>2.2000000000000002</v>
      </c>
    </row>
    <row r="2347" spans="2:7" ht="13.8" customHeight="1" x14ac:dyDescent="0.25">
      <c r="B2347" s="35" t="s">
        <v>1</v>
      </c>
      <c r="C2347" s="35">
        <v>2769415</v>
      </c>
      <c r="D2347" s="35">
        <v>4.8899999999999997</v>
      </c>
      <c r="E2347" s="35" t="s">
        <v>261</v>
      </c>
      <c r="F2347" s="31" t="str">
        <f t="shared" si="72"/>
        <v>A6.09.03</v>
      </c>
      <c r="G2347" s="34">
        <f t="shared" si="73"/>
        <v>4.8899999999999997</v>
      </c>
    </row>
    <row r="2348" spans="2:7" ht="13.8" customHeight="1" x14ac:dyDescent="0.25">
      <c r="B2348" s="35" t="s">
        <v>1</v>
      </c>
      <c r="C2348" s="35">
        <v>2769417</v>
      </c>
      <c r="D2348" s="35">
        <v>4.41</v>
      </c>
      <c r="E2348" s="35" t="s">
        <v>261</v>
      </c>
      <c r="F2348" s="31" t="str">
        <f t="shared" si="72"/>
        <v>A6.09.03</v>
      </c>
      <c r="G2348" s="34">
        <f t="shared" si="73"/>
        <v>4.41</v>
      </c>
    </row>
    <row r="2349" spans="2:7" ht="13.8" customHeight="1" x14ac:dyDescent="0.25">
      <c r="B2349" s="35" t="s">
        <v>1</v>
      </c>
      <c r="C2349" s="35">
        <v>2769418</v>
      </c>
      <c r="D2349" s="35">
        <v>6.61</v>
      </c>
      <c r="E2349" s="35" t="s">
        <v>261</v>
      </c>
      <c r="F2349" s="31" t="str">
        <f t="shared" si="72"/>
        <v>A6.09.03</v>
      </c>
      <c r="G2349" s="34">
        <f t="shared" si="73"/>
        <v>6.61</v>
      </c>
    </row>
    <row r="2350" spans="2:7" ht="13.8" customHeight="1" x14ac:dyDescent="0.25">
      <c r="B2350" s="35" t="s">
        <v>1</v>
      </c>
      <c r="C2350" s="35">
        <v>2769420</v>
      </c>
      <c r="D2350" s="35">
        <v>14.25</v>
      </c>
      <c r="E2350" s="35" t="s">
        <v>261</v>
      </c>
      <c r="F2350" s="31" t="str">
        <f t="shared" si="72"/>
        <v>A6.09.03</v>
      </c>
      <c r="G2350" s="34">
        <f t="shared" si="73"/>
        <v>14.25</v>
      </c>
    </row>
    <row r="2351" spans="2:7" ht="13.8" customHeight="1" x14ac:dyDescent="0.25">
      <c r="B2351" s="35" t="s">
        <v>1</v>
      </c>
      <c r="C2351" s="35">
        <v>2769421</v>
      </c>
      <c r="D2351" s="35">
        <v>6.61</v>
      </c>
      <c r="E2351" s="35" t="s">
        <v>261</v>
      </c>
      <c r="F2351" s="31" t="str">
        <f t="shared" si="72"/>
        <v>A6.09.03</v>
      </c>
      <c r="G2351" s="34">
        <f t="shared" si="73"/>
        <v>6.61</v>
      </c>
    </row>
    <row r="2352" spans="2:7" ht="13.8" customHeight="1" x14ac:dyDescent="0.25">
      <c r="B2352" s="35" t="s">
        <v>1</v>
      </c>
      <c r="C2352" s="35">
        <v>2769423</v>
      </c>
      <c r="D2352" s="35">
        <v>4.8899999999999997</v>
      </c>
      <c r="E2352" s="35" t="s">
        <v>261</v>
      </c>
      <c r="F2352" s="31" t="str">
        <f t="shared" si="72"/>
        <v>A6.09.03</v>
      </c>
      <c r="G2352" s="34">
        <f t="shared" si="73"/>
        <v>4.8899999999999997</v>
      </c>
    </row>
    <row r="2353" spans="2:7" ht="13.8" customHeight="1" x14ac:dyDescent="0.25">
      <c r="B2353" s="35" t="s">
        <v>1</v>
      </c>
      <c r="C2353" s="35">
        <v>2769426</v>
      </c>
      <c r="D2353" s="35">
        <v>2.2000000000000002</v>
      </c>
      <c r="E2353" s="35" t="s">
        <v>261</v>
      </c>
      <c r="F2353" s="31" t="str">
        <f t="shared" si="72"/>
        <v>A6.09.03</v>
      </c>
      <c r="G2353" s="34">
        <f t="shared" si="73"/>
        <v>2.2000000000000002</v>
      </c>
    </row>
    <row r="2354" spans="2:7" ht="13.8" customHeight="1" x14ac:dyDescent="0.25">
      <c r="B2354" s="35" t="s">
        <v>1</v>
      </c>
      <c r="C2354" s="35">
        <v>2769428</v>
      </c>
      <c r="D2354" s="35">
        <v>14.25</v>
      </c>
      <c r="E2354" s="35" t="s">
        <v>261</v>
      </c>
      <c r="F2354" s="31" t="str">
        <f t="shared" si="72"/>
        <v>A6.09.03</v>
      </c>
      <c r="G2354" s="34">
        <f t="shared" si="73"/>
        <v>14.25</v>
      </c>
    </row>
    <row r="2355" spans="2:7" ht="13.8" customHeight="1" x14ac:dyDescent="0.25">
      <c r="B2355" s="35" t="s">
        <v>1</v>
      </c>
      <c r="C2355" s="35">
        <v>2769429</v>
      </c>
      <c r="D2355" s="35">
        <v>4.41</v>
      </c>
      <c r="E2355" s="35" t="s">
        <v>261</v>
      </c>
      <c r="F2355" s="31" t="str">
        <f t="shared" si="72"/>
        <v>A6.09.03</v>
      </c>
      <c r="G2355" s="34">
        <f t="shared" si="73"/>
        <v>4.41</v>
      </c>
    </row>
    <row r="2356" spans="2:7" ht="13.8" customHeight="1" x14ac:dyDescent="0.25">
      <c r="B2356" s="35" t="s">
        <v>1</v>
      </c>
      <c r="C2356" s="35">
        <v>2769515</v>
      </c>
      <c r="D2356" s="35">
        <v>1.25</v>
      </c>
      <c r="E2356" s="35" t="s">
        <v>262</v>
      </c>
      <c r="F2356" s="31" t="str">
        <f t="shared" si="72"/>
        <v>A6.09.04</v>
      </c>
      <c r="G2356" s="34">
        <f t="shared" si="73"/>
        <v>1.25</v>
      </c>
    </row>
    <row r="2357" spans="2:7" ht="13.8" customHeight="1" x14ac:dyDescent="0.25">
      <c r="B2357" s="35" t="s">
        <v>1</v>
      </c>
      <c r="C2357" s="35">
        <v>2769518</v>
      </c>
      <c r="D2357" s="35">
        <v>1.25</v>
      </c>
      <c r="E2357" s="35" t="s">
        <v>262</v>
      </c>
      <c r="F2357" s="31" t="str">
        <f t="shared" si="72"/>
        <v>A6.09.04</v>
      </c>
      <c r="G2357" s="34">
        <f t="shared" si="73"/>
        <v>1.25</v>
      </c>
    </row>
    <row r="2358" spans="2:7" ht="13.8" customHeight="1" x14ac:dyDescent="0.25">
      <c r="B2358" s="35" t="s">
        <v>1</v>
      </c>
      <c r="C2358" s="35">
        <v>2769521</v>
      </c>
      <c r="D2358" s="35">
        <v>4</v>
      </c>
      <c r="E2358" s="35" t="s">
        <v>262</v>
      </c>
      <c r="F2358" s="31" t="str">
        <f t="shared" si="72"/>
        <v>A6.09.04</v>
      </c>
      <c r="G2358" s="34">
        <f t="shared" si="73"/>
        <v>4</v>
      </c>
    </row>
    <row r="2359" spans="2:7" ht="13.8" customHeight="1" x14ac:dyDescent="0.25">
      <c r="B2359" s="35" t="s">
        <v>1</v>
      </c>
      <c r="C2359" s="35">
        <v>2769524</v>
      </c>
      <c r="D2359" s="35">
        <v>1.25</v>
      </c>
      <c r="E2359" s="35" t="s">
        <v>262</v>
      </c>
      <c r="F2359" s="31" t="str">
        <f t="shared" si="72"/>
        <v>A6.09.04</v>
      </c>
      <c r="G2359" s="34">
        <f t="shared" si="73"/>
        <v>1.25</v>
      </c>
    </row>
    <row r="2360" spans="2:7" ht="13.8" customHeight="1" x14ac:dyDescent="0.25">
      <c r="B2360" s="35" t="s">
        <v>1</v>
      </c>
      <c r="C2360" s="35">
        <v>2769526</v>
      </c>
      <c r="D2360" s="35">
        <v>6.62</v>
      </c>
      <c r="E2360" s="35" t="s">
        <v>262</v>
      </c>
      <c r="F2360" s="31" t="str">
        <f t="shared" si="72"/>
        <v>A6.09.04</v>
      </c>
      <c r="G2360" s="34">
        <f t="shared" si="73"/>
        <v>6.62</v>
      </c>
    </row>
    <row r="2361" spans="2:7" ht="13.8" customHeight="1" x14ac:dyDescent="0.25">
      <c r="B2361" s="35" t="s">
        <v>1</v>
      </c>
      <c r="C2361" s="35">
        <v>2769528</v>
      </c>
      <c r="D2361" s="35">
        <v>5</v>
      </c>
      <c r="E2361" s="35" t="s">
        <v>262</v>
      </c>
      <c r="F2361" s="31" t="str">
        <f t="shared" si="72"/>
        <v>A6.09.04</v>
      </c>
      <c r="G2361" s="34">
        <f t="shared" si="73"/>
        <v>5</v>
      </c>
    </row>
    <row r="2362" spans="2:7" ht="13.8" customHeight="1" x14ac:dyDescent="0.25">
      <c r="B2362" s="35" t="s">
        <v>1</v>
      </c>
      <c r="C2362" s="35">
        <v>2769529</v>
      </c>
      <c r="D2362" s="35">
        <v>6.62</v>
      </c>
      <c r="E2362" s="35" t="s">
        <v>262</v>
      </c>
      <c r="F2362" s="31" t="str">
        <f t="shared" si="72"/>
        <v>A6.09.04</v>
      </c>
      <c r="G2362" s="34">
        <f t="shared" si="73"/>
        <v>6.62</v>
      </c>
    </row>
    <row r="2363" spans="2:7" ht="13.8" customHeight="1" x14ac:dyDescent="0.25">
      <c r="B2363" s="35" t="s">
        <v>1</v>
      </c>
      <c r="C2363" s="35">
        <v>2769531</v>
      </c>
      <c r="D2363" s="35">
        <v>5</v>
      </c>
      <c r="E2363" s="35" t="s">
        <v>262</v>
      </c>
      <c r="F2363" s="31" t="str">
        <f t="shared" si="72"/>
        <v>A6.09.04</v>
      </c>
      <c r="G2363" s="34">
        <f t="shared" si="73"/>
        <v>5</v>
      </c>
    </row>
    <row r="2364" spans="2:7" ht="13.8" customHeight="1" x14ac:dyDescent="0.25">
      <c r="B2364" s="35" t="s">
        <v>1</v>
      </c>
      <c r="C2364" s="35">
        <v>2769533</v>
      </c>
      <c r="D2364" s="35">
        <v>4</v>
      </c>
      <c r="E2364" s="35" t="s">
        <v>262</v>
      </c>
      <c r="F2364" s="31" t="str">
        <f t="shared" si="72"/>
        <v>A6.09.04</v>
      </c>
      <c r="G2364" s="34">
        <f t="shared" si="73"/>
        <v>4</v>
      </c>
    </row>
    <row r="2365" spans="2:7" ht="13.8" customHeight="1" x14ac:dyDescent="0.25">
      <c r="B2365" s="35" t="s">
        <v>1</v>
      </c>
      <c r="C2365" s="35">
        <v>2769536</v>
      </c>
      <c r="D2365" s="35">
        <v>1.25</v>
      </c>
      <c r="E2365" s="35" t="s">
        <v>262</v>
      </c>
      <c r="F2365" s="31" t="str">
        <f t="shared" si="72"/>
        <v>A6.09.04</v>
      </c>
      <c r="G2365" s="34">
        <f t="shared" si="73"/>
        <v>1.25</v>
      </c>
    </row>
    <row r="2366" spans="2:7" ht="13.8" customHeight="1" x14ac:dyDescent="0.25">
      <c r="B2366" s="35" t="s">
        <v>1</v>
      </c>
      <c r="C2366" s="35">
        <v>2769610</v>
      </c>
      <c r="D2366" s="35">
        <v>2.66</v>
      </c>
      <c r="E2366" s="35" t="s">
        <v>263</v>
      </c>
      <c r="F2366" s="31" t="str">
        <f t="shared" si="72"/>
        <v>A6.09.01</v>
      </c>
      <c r="G2366" s="34">
        <f t="shared" si="73"/>
        <v>2.66</v>
      </c>
    </row>
    <row r="2367" spans="2:7" ht="13.8" customHeight="1" x14ac:dyDescent="0.25">
      <c r="B2367" s="35" t="s">
        <v>1</v>
      </c>
      <c r="C2367" s="35">
        <v>2769613</v>
      </c>
      <c r="D2367" s="35">
        <v>2.66</v>
      </c>
      <c r="E2367" s="35" t="s">
        <v>263</v>
      </c>
      <c r="F2367" s="31" t="str">
        <f t="shared" si="72"/>
        <v>A6.09.01</v>
      </c>
      <c r="G2367" s="34">
        <f t="shared" si="73"/>
        <v>2.66</v>
      </c>
    </row>
    <row r="2368" spans="2:7" ht="13.8" customHeight="1" x14ac:dyDescent="0.25">
      <c r="B2368" s="35" t="s">
        <v>1</v>
      </c>
      <c r="C2368" s="35">
        <v>2769616</v>
      </c>
      <c r="D2368" s="35">
        <v>4.01</v>
      </c>
      <c r="E2368" s="35" t="s">
        <v>263</v>
      </c>
      <c r="F2368" s="31" t="str">
        <f t="shared" si="72"/>
        <v>A6.09.01</v>
      </c>
      <c r="G2368" s="34">
        <f t="shared" si="73"/>
        <v>4.01</v>
      </c>
    </row>
    <row r="2369" spans="2:7" ht="13.8" customHeight="1" x14ac:dyDescent="0.25">
      <c r="B2369" s="35" t="s">
        <v>1</v>
      </c>
      <c r="C2369" s="35">
        <v>2769618</v>
      </c>
      <c r="D2369" s="35">
        <v>4.01</v>
      </c>
      <c r="E2369" s="35" t="s">
        <v>263</v>
      </c>
      <c r="F2369" s="31" t="str">
        <f t="shared" si="72"/>
        <v>A6.09.01</v>
      </c>
      <c r="G2369" s="34">
        <f t="shared" si="73"/>
        <v>4.01</v>
      </c>
    </row>
    <row r="2370" spans="2:7" ht="13.8" customHeight="1" x14ac:dyDescent="0.25">
      <c r="B2370" s="35" t="s">
        <v>1</v>
      </c>
      <c r="C2370" s="35">
        <v>2769620</v>
      </c>
      <c r="D2370" s="35">
        <v>6.27</v>
      </c>
      <c r="E2370" s="35" t="s">
        <v>263</v>
      </c>
      <c r="F2370" s="31" t="str">
        <f t="shared" si="72"/>
        <v>A6.09.01</v>
      </c>
      <c r="G2370" s="34">
        <f t="shared" si="73"/>
        <v>6.27</v>
      </c>
    </row>
    <row r="2371" spans="2:7" ht="13.8" customHeight="1" x14ac:dyDescent="0.25">
      <c r="B2371" s="35" t="s">
        <v>1</v>
      </c>
      <c r="C2371" s="35">
        <v>2769621</v>
      </c>
      <c r="D2371" s="35">
        <v>2.41</v>
      </c>
      <c r="E2371" s="35" t="s">
        <v>263</v>
      </c>
      <c r="F2371" s="31" t="str">
        <f t="shared" si="72"/>
        <v>A6.09.01</v>
      </c>
      <c r="G2371" s="34">
        <f t="shared" si="73"/>
        <v>2.41</v>
      </c>
    </row>
    <row r="2372" spans="2:7" ht="13.8" customHeight="1" x14ac:dyDescent="0.25">
      <c r="B2372" s="35" t="s">
        <v>1</v>
      </c>
      <c r="C2372" s="35">
        <v>2769623</v>
      </c>
      <c r="D2372" s="35">
        <v>2.71</v>
      </c>
      <c r="E2372" s="35" t="s">
        <v>263</v>
      </c>
      <c r="F2372" s="31" t="str">
        <f t="shared" si="72"/>
        <v>A6.09.01</v>
      </c>
      <c r="G2372" s="34">
        <f t="shared" si="73"/>
        <v>2.71</v>
      </c>
    </row>
    <row r="2373" spans="2:7" ht="13.8" customHeight="1" x14ac:dyDescent="0.25">
      <c r="B2373" s="35" t="s">
        <v>1</v>
      </c>
      <c r="C2373" s="35">
        <v>2769625</v>
      </c>
      <c r="D2373" s="35">
        <v>2.46</v>
      </c>
      <c r="E2373" s="35" t="s">
        <v>263</v>
      </c>
      <c r="F2373" s="31" t="str">
        <f t="shared" si="72"/>
        <v>A6.09.01</v>
      </c>
      <c r="G2373" s="34">
        <f t="shared" si="73"/>
        <v>2.46</v>
      </c>
    </row>
    <row r="2374" spans="2:7" ht="13.8" customHeight="1" x14ac:dyDescent="0.25">
      <c r="B2374" s="35" t="s">
        <v>1</v>
      </c>
      <c r="C2374" s="35">
        <v>2769627</v>
      </c>
      <c r="D2374" s="35">
        <v>1.55</v>
      </c>
      <c r="E2374" s="35" t="s">
        <v>263</v>
      </c>
      <c r="F2374" s="31" t="str">
        <f t="shared" si="72"/>
        <v>A6.09.01</v>
      </c>
      <c r="G2374" s="34">
        <f t="shared" si="73"/>
        <v>1.55</v>
      </c>
    </row>
    <row r="2375" spans="2:7" ht="13.8" customHeight="1" x14ac:dyDescent="0.25">
      <c r="B2375" s="35" t="s">
        <v>1</v>
      </c>
      <c r="C2375" s="35">
        <v>2769629</v>
      </c>
      <c r="D2375" s="35">
        <v>2.46</v>
      </c>
      <c r="E2375" s="35" t="s">
        <v>263</v>
      </c>
      <c r="F2375" s="31" t="str">
        <f t="shared" ref="F2375:F2438" si="74">LEFT(E2375,8)</f>
        <v>A6.09.01</v>
      </c>
      <c r="G2375" s="34">
        <f t="shared" ref="G2375:G2438" si="75">D2375</f>
        <v>2.46</v>
      </c>
    </row>
    <row r="2376" spans="2:7" ht="13.8" customHeight="1" x14ac:dyDescent="0.25">
      <c r="B2376" s="35" t="s">
        <v>1</v>
      </c>
      <c r="C2376" s="35">
        <v>2769630</v>
      </c>
      <c r="D2376" s="35">
        <v>2.41</v>
      </c>
      <c r="E2376" s="35" t="s">
        <v>263</v>
      </c>
      <c r="F2376" s="31" t="str">
        <f t="shared" si="74"/>
        <v>A6.09.01</v>
      </c>
      <c r="G2376" s="34">
        <f t="shared" si="75"/>
        <v>2.41</v>
      </c>
    </row>
    <row r="2377" spans="2:7" ht="13.8" customHeight="1" x14ac:dyDescent="0.25">
      <c r="B2377" s="35" t="s">
        <v>1</v>
      </c>
      <c r="C2377" s="35">
        <v>2769632</v>
      </c>
      <c r="D2377" s="35">
        <v>2.71</v>
      </c>
      <c r="E2377" s="35" t="s">
        <v>263</v>
      </c>
      <c r="F2377" s="31" t="str">
        <f t="shared" si="74"/>
        <v>A6.09.01</v>
      </c>
      <c r="G2377" s="34">
        <f t="shared" si="75"/>
        <v>2.71</v>
      </c>
    </row>
    <row r="2378" spans="2:7" ht="13.8" customHeight="1" x14ac:dyDescent="0.25">
      <c r="B2378" s="35" t="s">
        <v>1</v>
      </c>
      <c r="C2378" s="35">
        <v>2769634</v>
      </c>
      <c r="D2378" s="35">
        <v>1.55</v>
      </c>
      <c r="E2378" s="35" t="s">
        <v>263</v>
      </c>
      <c r="F2378" s="31" t="str">
        <f t="shared" si="74"/>
        <v>A6.09.01</v>
      </c>
      <c r="G2378" s="34">
        <f t="shared" si="75"/>
        <v>1.55</v>
      </c>
    </row>
    <row r="2379" spans="2:7" ht="13.8" customHeight="1" x14ac:dyDescent="0.25">
      <c r="B2379" s="35" t="s">
        <v>1</v>
      </c>
      <c r="C2379" s="35">
        <v>2769637</v>
      </c>
      <c r="D2379" s="35">
        <v>2.46</v>
      </c>
      <c r="E2379" s="35" t="s">
        <v>263</v>
      </c>
      <c r="F2379" s="31" t="str">
        <f t="shared" si="74"/>
        <v>A6.09.01</v>
      </c>
      <c r="G2379" s="34">
        <f t="shared" si="75"/>
        <v>2.46</v>
      </c>
    </row>
    <row r="2380" spans="2:7" ht="13.8" customHeight="1" x14ac:dyDescent="0.25">
      <c r="B2380" s="35" t="s">
        <v>1</v>
      </c>
      <c r="C2380" s="35">
        <v>2769638</v>
      </c>
      <c r="D2380" s="35">
        <v>6.27</v>
      </c>
      <c r="E2380" s="35" t="s">
        <v>263</v>
      </c>
      <c r="F2380" s="31" t="str">
        <f t="shared" si="74"/>
        <v>A6.09.01</v>
      </c>
      <c r="G2380" s="34">
        <f t="shared" si="75"/>
        <v>6.27</v>
      </c>
    </row>
    <row r="2381" spans="2:7" ht="13.8" customHeight="1" x14ac:dyDescent="0.25">
      <c r="B2381" s="35" t="s">
        <v>1</v>
      </c>
      <c r="C2381" s="35">
        <v>2769639</v>
      </c>
      <c r="D2381" s="35">
        <v>2.46</v>
      </c>
      <c r="E2381" s="35" t="s">
        <v>263</v>
      </c>
      <c r="F2381" s="31" t="str">
        <f t="shared" si="74"/>
        <v>A6.09.01</v>
      </c>
      <c r="G2381" s="34">
        <f t="shared" si="75"/>
        <v>2.46</v>
      </c>
    </row>
    <row r="2382" spans="2:7" ht="13.8" customHeight="1" x14ac:dyDescent="0.25">
      <c r="B2382" s="35" t="s">
        <v>1</v>
      </c>
      <c r="C2382" s="35">
        <v>2769680</v>
      </c>
      <c r="D2382" s="35">
        <v>14.25</v>
      </c>
      <c r="E2382" s="35" t="s">
        <v>264</v>
      </c>
      <c r="F2382" s="31" t="str">
        <f t="shared" si="74"/>
        <v>A6.09.05</v>
      </c>
      <c r="G2382" s="34">
        <f t="shared" si="75"/>
        <v>14.25</v>
      </c>
    </row>
    <row r="2383" spans="2:7" ht="13.8" customHeight="1" x14ac:dyDescent="0.25">
      <c r="B2383" s="35" t="s">
        <v>1</v>
      </c>
      <c r="C2383" s="35">
        <v>2769683</v>
      </c>
      <c r="D2383" s="35">
        <v>14.25</v>
      </c>
      <c r="E2383" s="35" t="s">
        <v>264</v>
      </c>
      <c r="F2383" s="31" t="str">
        <f t="shared" si="74"/>
        <v>A6.09.05</v>
      </c>
      <c r="G2383" s="34">
        <f t="shared" si="75"/>
        <v>14.25</v>
      </c>
    </row>
    <row r="2384" spans="2:7" ht="13.8" customHeight="1" x14ac:dyDescent="0.25">
      <c r="B2384" s="35" t="s">
        <v>1</v>
      </c>
      <c r="C2384" s="35">
        <v>2769686</v>
      </c>
      <c r="D2384" s="35">
        <v>2.2000000000000002</v>
      </c>
      <c r="E2384" s="35" t="s">
        <v>264</v>
      </c>
      <c r="F2384" s="31" t="str">
        <f t="shared" si="74"/>
        <v>A6.09.05</v>
      </c>
      <c r="G2384" s="34">
        <f t="shared" si="75"/>
        <v>2.2000000000000002</v>
      </c>
    </row>
    <row r="2385" spans="2:7" ht="13.8" customHeight="1" x14ac:dyDescent="0.25">
      <c r="B2385" s="35" t="s">
        <v>1</v>
      </c>
      <c r="C2385" s="35">
        <v>2769689</v>
      </c>
      <c r="D2385" s="35">
        <v>4.41</v>
      </c>
      <c r="E2385" s="35" t="s">
        <v>264</v>
      </c>
      <c r="F2385" s="31" t="str">
        <f t="shared" si="74"/>
        <v>A6.09.05</v>
      </c>
      <c r="G2385" s="34">
        <f t="shared" si="75"/>
        <v>4.41</v>
      </c>
    </row>
    <row r="2386" spans="2:7" ht="13.8" customHeight="1" x14ac:dyDescent="0.25">
      <c r="B2386" s="35" t="s">
        <v>1</v>
      </c>
      <c r="C2386" s="35">
        <v>2769691</v>
      </c>
      <c r="D2386" s="35">
        <v>6.61</v>
      </c>
      <c r="E2386" s="35" t="s">
        <v>264</v>
      </c>
      <c r="F2386" s="31" t="str">
        <f t="shared" si="74"/>
        <v>A6.09.05</v>
      </c>
      <c r="G2386" s="34">
        <f t="shared" si="75"/>
        <v>6.61</v>
      </c>
    </row>
    <row r="2387" spans="2:7" ht="13.8" customHeight="1" x14ac:dyDescent="0.25">
      <c r="B2387" s="35" t="s">
        <v>1</v>
      </c>
      <c r="C2387" s="35">
        <v>2769693</v>
      </c>
      <c r="D2387" s="35">
        <v>6.61</v>
      </c>
      <c r="E2387" s="35" t="s">
        <v>264</v>
      </c>
      <c r="F2387" s="31" t="str">
        <f t="shared" si="74"/>
        <v>A6.09.05</v>
      </c>
      <c r="G2387" s="34">
        <f t="shared" si="75"/>
        <v>6.61</v>
      </c>
    </row>
    <row r="2388" spans="2:7" ht="13.8" customHeight="1" x14ac:dyDescent="0.25">
      <c r="B2388" s="35" t="s">
        <v>1</v>
      </c>
      <c r="C2388" s="35">
        <v>2769695</v>
      </c>
      <c r="D2388" s="35">
        <v>2.2000000000000002</v>
      </c>
      <c r="E2388" s="35" t="s">
        <v>264</v>
      </c>
      <c r="F2388" s="31" t="str">
        <f t="shared" si="74"/>
        <v>A6.09.05</v>
      </c>
      <c r="G2388" s="34">
        <f t="shared" si="75"/>
        <v>2.2000000000000002</v>
      </c>
    </row>
    <row r="2389" spans="2:7" ht="13.8" customHeight="1" x14ac:dyDescent="0.25">
      <c r="B2389" s="35" t="s">
        <v>1</v>
      </c>
      <c r="C2389" s="35">
        <v>2769698</v>
      </c>
      <c r="D2389" s="35">
        <v>4.41</v>
      </c>
      <c r="E2389" s="35" t="s">
        <v>264</v>
      </c>
      <c r="F2389" s="31" t="str">
        <f t="shared" si="74"/>
        <v>A6.09.05</v>
      </c>
      <c r="G2389" s="34">
        <f t="shared" si="75"/>
        <v>4.41</v>
      </c>
    </row>
    <row r="2390" spans="2:7" ht="13.8" customHeight="1" x14ac:dyDescent="0.25">
      <c r="B2390" s="35" t="s">
        <v>1</v>
      </c>
      <c r="C2390" s="35">
        <v>2769700</v>
      </c>
      <c r="D2390" s="35">
        <v>4.8899999999999997</v>
      </c>
      <c r="E2390" s="35" t="s">
        <v>264</v>
      </c>
      <c r="F2390" s="31" t="str">
        <f t="shared" si="74"/>
        <v>A6.09.05</v>
      </c>
      <c r="G2390" s="34">
        <f t="shared" si="75"/>
        <v>4.8899999999999997</v>
      </c>
    </row>
    <row r="2391" spans="2:7" ht="13.8" customHeight="1" x14ac:dyDescent="0.25">
      <c r="B2391" s="35" t="s">
        <v>1</v>
      </c>
      <c r="C2391" s="35">
        <v>2769701</v>
      </c>
      <c r="D2391" s="35">
        <v>4.8899999999999997</v>
      </c>
      <c r="E2391" s="35" t="s">
        <v>264</v>
      </c>
      <c r="F2391" s="31" t="str">
        <f t="shared" si="74"/>
        <v>A6.09.05</v>
      </c>
      <c r="G2391" s="34">
        <f t="shared" si="75"/>
        <v>4.8899999999999997</v>
      </c>
    </row>
    <row r="2392" spans="2:7" ht="13.8" customHeight="1" x14ac:dyDescent="0.25">
      <c r="B2392" s="35" t="s">
        <v>1</v>
      </c>
      <c r="C2392" s="35">
        <v>2769732</v>
      </c>
      <c r="D2392" s="35">
        <v>7.57</v>
      </c>
      <c r="E2392" s="35" t="s">
        <v>265</v>
      </c>
      <c r="F2392" s="31" t="str">
        <f t="shared" si="74"/>
        <v>B1.02.01</v>
      </c>
      <c r="G2392" s="34">
        <f t="shared" si="75"/>
        <v>7.57</v>
      </c>
    </row>
    <row r="2393" spans="2:7" ht="13.8" customHeight="1" x14ac:dyDescent="0.25">
      <c r="B2393" s="35" t="s">
        <v>1</v>
      </c>
      <c r="C2393" s="35">
        <v>2769735</v>
      </c>
      <c r="D2393" s="35">
        <v>6.6</v>
      </c>
      <c r="E2393" s="35" t="s">
        <v>265</v>
      </c>
      <c r="F2393" s="31" t="str">
        <f t="shared" si="74"/>
        <v>B1.02.01</v>
      </c>
      <c r="G2393" s="34">
        <f t="shared" si="75"/>
        <v>6.6</v>
      </c>
    </row>
    <row r="2394" spans="2:7" ht="13.8" customHeight="1" x14ac:dyDescent="0.25">
      <c r="B2394" s="35" t="s">
        <v>1</v>
      </c>
      <c r="C2394" s="35">
        <v>2769736</v>
      </c>
      <c r="D2394" s="35">
        <v>6.6</v>
      </c>
      <c r="E2394" s="35" t="s">
        <v>265</v>
      </c>
      <c r="F2394" s="31" t="str">
        <f t="shared" si="74"/>
        <v>B1.02.01</v>
      </c>
      <c r="G2394" s="34">
        <f t="shared" si="75"/>
        <v>6.6</v>
      </c>
    </row>
    <row r="2395" spans="2:7" ht="13.8" customHeight="1" x14ac:dyDescent="0.25">
      <c r="B2395" s="35" t="s">
        <v>1</v>
      </c>
      <c r="C2395" s="35">
        <v>2769792</v>
      </c>
      <c r="D2395" s="35">
        <v>9.16</v>
      </c>
      <c r="E2395" s="35" t="s">
        <v>266</v>
      </c>
      <c r="F2395" s="31" t="str">
        <f t="shared" si="74"/>
        <v>B1.02.02</v>
      </c>
      <c r="G2395" s="34">
        <f t="shared" si="75"/>
        <v>9.16</v>
      </c>
    </row>
    <row r="2396" spans="2:7" ht="13.8" customHeight="1" x14ac:dyDescent="0.25">
      <c r="B2396" s="35" t="s">
        <v>1</v>
      </c>
      <c r="C2396" s="35">
        <v>2769795</v>
      </c>
      <c r="D2396" s="35">
        <v>1</v>
      </c>
      <c r="E2396" s="35" t="s">
        <v>266</v>
      </c>
      <c r="F2396" s="31" t="str">
        <f t="shared" si="74"/>
        <v>B1.02.02</v>
      </c>
      <c r="G2396" s="34">
        <f t="shared" si="75"/>
        <v>1</v>
      </c>
    </row>
    <row r="2397" spans="2:7" ht="13.8" customHeight="1" x14ac:dyDescent="0.25">
      <c r="B2397" s="35" t="s">
        <v>1</v>
      </c>
      <c r="C2397" s="35">
        <v>2769797</v>
      </c>
      <c r="D2397" s="35">
        <v>1.36</v>
      </c>
      <c r="E2397" s="35" t="s">
        <v>266</v>
      </c>
      <c r="F2397" s="31" t="str">
        <f t="shared" si="74"/>
        <v>B1.02.02</v>
      </c>
      <c r="G2397" s="34">
        <f t="shared" si="75"/>
        <v>1.36</v>
      </c>
    </row>
    <row r="2398" spans="2:7" ht="13.8" customHeight="1" x14ac:dyDescent="0.25">
      <c r="B2398" s="35" t="s">
        <v>1</v>
      </c>
      <c r="C2398" s="35">
        <v>2769798</v>
      </c>
      <c r="D2398" s="35">
        <v>6.6</v>
      </c>
      <c r="E2398" s="35" t="s">
        <v>266</v>
      </c>
      <c r="F2398" s="31" t="str">
        <f t="shared" si="74"/>
        <v>B1.02.02</v>
      </c>
      <c r="G2398" s="34">
        <f t="shared" si="75"/>
        <v>6.6</v>
      </c>
    </row>
    <row r="2399" spans="2:7" ht="13.8" customHeight="1" x14ac:dyDescent="0.25">
      <c r="B2399" s="35" t="s">
        <v>1</v>
      </c>
      <c r="C2399" s="35">
        <v>2769861</v>
      </c>
      <c r="D2399" s="35">
        <v>6.6</v>
      </c>
      <c r="E2399" s="35" t="s">
        <v>267</v>
      </c>
      <c r="F2399" s="31" t="str">
        <f t="shared" si="74"/>
        <v>D1.02.02</v>
      </c>
      <c r="G2399" s="34">
        <f t="shared" si="75"/>
        <v>6.6</v>
      </c>
    </row>
    <row r="2400" spans="2:7" ht="13.8" customHeight="1" x14ac:dyDescent="0.25">
      <c r="B2400" s="35" t="s">
        <v>1</v>
      </c>
      <c r="C2400" s="35">
        <v>2769863</v>
      </c>
      <c r="D2400" s="35">
        <v>12.49</v>
      </c>
      <c r="E2400" s="35" t="s">
        <v>267</v>
      </c>
      <c r="F2400" s="31" t="str">
        <f t="shared" si="74"/>
        <v>D1.02.02</v>
      </c>
      <c r="G2400" s="34">
        <f t="shared" si="75"/>
        <v>12.49</v>
      </c>
    </row>
    <row r="2401" spans="2:7" ht="13.8" customHeight="1" x14ac:dyDescent="0.25">
      <c r="B2401" s="35" t="s">
        <v>1</v>
      </c>
      <c r="C2401" s="35">
        <v>2769907</v>
      </c>
      <c r="D2401" s="35">
        <v>7.57</v>
      </c>
      <c r="E2401" s="35" t="s">
        <v>268</v>
      </c>
      <c r="F2401" s="31" t="str">
        <f t="shared" si="74"/>
        <v>D1.02.01</v>
      </c>
      <c r="G2401" s="34">
        <f t="shared" si="75"/>
        <v>7.57</v>
      </c>
    </row>
    <row r="2402" spans="2:7" ht="13.8" customHeight="1" x14ac:dyDescent="0.25">
      <c r="B2402" s="35" t="s">
        <v>1</v>
      </c>
      <c r="C2402" s="35">
        <v>2769910</v>
      </c>
      <c r="D2402" s="35">
        <v>6.6</v>
      </c>
      <c r="E2402" s="35" t="s">
        <v>268</v>
      </c>
      <c r="F2402" s="31" t="str">
        <f t="shared" si="74"/>
        <v>D1.02.01</v>
      </c>
      <c r="G2402" s="34">
        <f t="shared" si="75"/>
        <v>6.6</v>
      </c>
    </row>
    <row r="2403" spans="2:7" ht="13.8" customHeight="1" x14ac:dyDescent="0.25">
      <c r="B2403" s="35" t="s">
        <v>1</v>
      </c>
      <c r="C2403" s="35">
        <v>2769911</v>
      </c>
      <c r="D2403" s="35">
        <v>6.6</v>
      </c>
      <c r="E2403" s="35" t="s">
        <v>268</v>
      </c>
      <c r="F2403" s="31" t="str">
        <f t="shared" si="74"/>
        <v>D1.02.01</v>
      </c>
      <c r="G2403" s="34">
        <f t="shared" si="75"/>
        <v>6.6</v>
      </c>
    </row>
    <row r="2404" spans="2:7" ht="13.8" customHeight="1" x14ac:dyDescent="0.25">
      <c r="B2404" s="35" t="s">
        <v>1</v>
      </c>
      <c r="C2404" s="35">
        <v>2773408</v>
      </c>
      <c r="D2404" s="35">
        <v>2.02</v>
      </c>
      <c r="E2404" s="35" t="s">
        <v>268</v>
      </c>
      <c r="F2404" s="31" t="str">
        <f t="shared" si="74"/>
        <v>D1.02.01</v>
      </c>
      <c r="G2404" s="34">
        <f t="shared" si="75"/>
        <v>2.02</v>
      </c>
    </row>
    <row r="2405" spans="2:7" ht="13.8" customHeight="1" x14ac:dyDescent="0.25">
      <c r="B2405" s="35" t="s">
        <v>1</v>
      </c>
      <c r="C2405" s="35">
        <v>2773412</v>
      </c>
      <c r="D2405" s="35">
        <v>0.25</v>
      </c>
      <c r="E2405" s="35" t="s">
        <v>268</v>
      </c>
      <c r="F2405" s="31" t="str">
        <f t="shared" si="74"/>
        <v>D1.02.01</v>
      </c>
      <c r="G2405" s="34">
        <f t="shared" si="75"/>
        <v>0.25</v>
      </c>
    </row>
    <row r="2406" spans="2:7" ht="13.8" customHeight="1" x14ac:dyDescent="0.25">
      <c r="B2406" s="35" t="s">
        <v>1</v>
      </c>
      <c r="C2406" s="35">
        <v>2769961</v>
      </c>
      <c r="D2406" s="35">
        <v>6.6</v>
      </c>
      <c r="E2406" s="35" t="s">
        <v>269</v>
      </c>
      <c r="F2406" s="31" t="str">
        <f t="shared" si="74"/>
        <v>D1.02.04</v>
      </c>
      <c r="G2406" s="34">
        <f t="shared" si="75"/>
        <v>6.6</v>
      </c>
    </row>
    <row r="2407" spans="2:7" ht="13.8" customHeight="1" x14ac:dyDescent="0.25">
      <c r="B2407" s="35" t="s">
        <v>1</v>
      </c>
      <c r="C2407" s="35">
        <v>2769963</v>
      </c>
      <c r="D2407" s="35">
        <v>7.27</v>
      </c>
      <c r="E2407" s="35" t="s">
        <v>269</v>
      </c>
      <c r="F2407" s="31" t="str">
        <f t="shared" si="74"/>
        <v>D1.02.04</v>
      </c>
      <c r="G2407" s="34">
        <f t="shared" si="75"/>
        <v>7.27</v>
      </c>
    </row>
    <row r="2408" spans="2:7" ht="13.8" customHeight="1" x14ac:dyDescent="0.25">
      <c r="B2408" s="35" t="s">
        <v>1</v>
      </c>
      <c r="C2408" s="35">
        <v>2769965</v>
      </c>
      <c r="D2408" s="35">
        <v>2.02</v>
      </c>
      <c r="E2408" s="35" t="s">
        <v>269</v>
      </c>
      <c r="F2408" s="31" t="str">
        <f t="shared" si="74"/>
        <v>D1.02.04</v>
      </c>
      <c r="G2408" s="34">
        <f t="shared" si="75"/>
        <v>2.02</v>
      </c>
    </row>
    <row r="2409" spans="2:7" ht="13.8" customHeight="1" x14ac:dyDescent="0.25">
      <c r="B2409" s="35" t="s">
        <v>1</v>
      </c>
      <c r="C2409" s="35">
        <v>2769967</v>
      </c>
      <c r="D2409" s="35">
        <v>2.5</v>
      </c>
      <c r="E2409" s="35" t="s">
        <v>269</v>
      </c>
      <c r="F2409" s="31" t="str">
        <f t="shared" si="74"/>
        <v>D1.02.04</v>
      </c>
      <c r="G2409" s="34">
        <f t="shared" si="75"/>
        <v>2.5</v>
      </c>
    </row>
    <row r="2410" spans="2:7" ht="13.8" customHeight="1" x14ac:dyDescent="0.25">
      <c r="B2410" s="35" t="s">
        <v>1</v>
      </c>
      <c r="C2410" s="35">
        <v>2769969</v>
      </c>
      <c r="D2410" s="35">
        <v>6.6</v>
      </c>
      <c r="E2410" s="35" t="s">
        <v>269</v>
      </c>
      <c r="F2410" s="31" t="str">
        <f t="shared" si="74"/>
        <v>D1.02.04</v>
      </c>
      <c r="G2410" s="34">
        <f t="shared" si="75"/>
        <v>6.6</v>
      </c>
    </row>
    <row r="2411" spans="2:7" ht="13.8" customHeight="1" x14ac:dyDescent="0.25">
      <c r="B2411" s="35" t="s">
        <v>1</v>
      </c>
      <c r="C2411" s="35">
        <v>2770020</v>
      </c>
      <c r="D2411" s="35">
        <v>5.03</v>
      </c>
      <c r="E2411" s="35" t="s">
        <v>270</v>
      </c>
      <c r="F2411" s="31" t="str">
        <f t="shared" si="74"/>
        <v>D1.02.03</v>
      </c>
      <c r="G2411" s="34">
        <f t="shared" si="75"/>
        <v>5.03</v>
      </c>
    </row>
    <row r="2412" spans="2:7" ht="13.8" customHeight="1" x14ac:dyDescent="0.25">
      <c r="B2412" s="35" t="s">
        <v>1</v>
      </c>
      <c r="C2412" s="35">
        <v>2770023</v>
      </c>
      <c r="D2412" s="35">
        <v>1.86</v>
      </c>
      <c r="E2412" s="35" t="s">
        <v>270</v>
      </c>
      <c r="F2412" s="31" t="str">
        <f t="shared" si="74"/>
        <v>D1.02.03</v>
      </c>
      <c r="G2412" s="34">
        <f t="shared" si="75"/>
        <v>1.86</v>
      </c>
    </row>
    <row r="2413" spans="2:7" ht="13.8" customHeight="1" x14ac:dyDescent="0.25">
      <c r="B2413" s="35" t="s">
        <v>1</v>
      </c>
      <c r="C2413" s="35">
        <v>2770025</v>
      </c>
      <c r="D2413" s="35">
        <v>6.6</v>
      </c>
      <c r="E2413" s="35" t="s">
        <v>270</v>
      </c>
      <c r="F2413" s="31" t="str">
        <f t="shared" si="74"/>
        <v>D1.02.03</v>
      </c>
      <c r="G2413" s="34">
        <f t="shared" si="75"/>
        <v>6.6</v>
      </c>
    </row>
    <row r="2414" spans="2:7" ht="13.8" customHeight="1" x14ac:dyDescent="0.25">
      <c r="B2414" s="35" t="s">
        <v>1</v>
      </c>
      <c r="C2414" s="35">
        <v>2770026</v>
      </c>
      <c r="D2414" s="35">
        <v>6.24</v>
      </c>
      <c r="E2414" s="35" t="s">
        <v>270</v>
      </c>
      <c r="F2414" s="31" t="str">
        <f t="shared" si="74"/>
        <v>D1.02.03</v>
      </c>
      <c r="G2414" s="34">
        <f t="shared" si="75"/>
        <v>6.24</v>
      </c>
    </row>
    <row r="2415" spans="2:7" ht="13.8" customHeight="1" x14ac:dyDescent="0.25">
      <c r="B2415" s="35" t="s">
        <v>1</v>
      </c>
      <c r="C2415" s="35">
        <v>2770071</v>
      </c>
      <c r="D2415" s="35">
        <v>10.27</v>
      </c>
      <c r="E2415" s="35" t="s">
        <v>271</v>
      </c>
      <c r="F2415" s="31" t="str">
        <f t="shared" si="74"/>
        <v>D1.02.05</v>
      </c>
      <c r="G2415" s="34">
        <f t="shared" si="75"/>
        <v>10.27</v>
      </c>
    </row>
    <row r="2416" spans="2:7" ht="13.8" customHeight="1" x14ac:dyDescent="0.25">
      <c r="B2416" s="35" t="s">
        <v>1</v>
      </c>
      <c r="C2416" s="35">
        <v>2770074</v>
      </c>
      <c r="D2416" s="35">
        <v>6.6</v>
      </c>
      <c r="E2416" s="35" t="s">
        <v>271</v>
      </c>
      <c r="F2416" s="31" t="str">
        <f t="shared" si="74"/>
        <v>D1.02.05</v>
      </c>
      <c r="G2416" s="34">
        <f t="shared" si="75"/>
        <v>6.6</v>
      </c>
    </row>
    <row r="2417" spans="2:7" ht="13.8" customHeight="1" x14ac:dyDescent="0.25">
      <c r="B2417" s="35" t="s">
        <v>1</v>
      </c>
      <c r="C2417" s="35">
        <v>2770075</v>
      </c>
      <c r="D2417" s="35">
        <v>6.6</v>
      </c>
      <c r="E2417" s="35" t="s">
        <v>271</v>
      </c>
      <c r="F2417" s="31" t="str">
        <f t="shared" si="74"/>
        <v>D1.02.05</v>
      </c>
      <c r="G2417" s="34">
        <f t="shared" si="75"/>
        <v>6.6</v>
      </c>
    </row>
    <row r="2418" spans="2:7" ht="13.8" customHeight="1" x14ac:dyDescent="0.25">
      <c r="B2418" s="35" t="s">
        <v>1</v>
      </c>
      <c r="C2418" s="35">
        <v>2770120</v>
      </c>
      <c r="D2418" s="35">
        <v>1.55</v>
      </c>
      <c r="E2418" s="35" t="s">
        <v>272</v>
      </c>
      <c r="F2418" s="31" t="str">
        <f t="shared" si="74"/>
        <v>A6.01.01</v>
      </c>
      <c r="G2418" s="34">
        <f t="shared" si="75"/>
        <v>1.55</v>
      </c>
    </row>
    <row r="2419" spans="2:7" ht="13.8" customHeight="1" x14ac:dyDescent="0.25">
      <c r="B2419" s="35" t="s">
        <v>1</v>
      </c>
      <c r="C2419" s="35">
        <v>2770123</v>
      </c>
      <c r="D2419" s="35">
        <v>2.46</v>
      </c>
      <c r="E2419" s="35" t="s">
        <v>272</v>
      </c>
      <c r="F2419" s="31" t="str">
        <f t="shared" si="74"/>
        <v>A6.01.01</v>
      </c>
      <c r="G2419" s="34">
        <f t="shared" si="75"/>
        <v>2.46</v>
      </c>
    </row>
    <row r="2420" spans="2:7" ht="13.8" customHeight="1" x14ac:dyDescent="0.25">
      <c r="B2420" s="35" t="s">
        <v>1</v>
      </c>
      <c r="C2420" s="35">
        <v>2770125</v>
      </c>
      <c r="D2420" s="35">
        <v>2.41</v>
      </c>
      <c r="E2420" s="35" t="s">
        <v>272</v>
      </c>
      <c r="F2420" s="31" t="str">
        <f t="shared" si="74"/>
        <v>A6.01.01</v>
      </c>
      <c r="G2420" s="34">
        <f t="shared" si="75"/>
        <v>2.41</v>
      </c>
    </row>
    <row r="2421" spans="2:7" ht="13.8" customHeight="1" x14ac:dyDescent="0.25">
      <c r="B2421" s="35" t="s">
        <v>1</v>
      </c>
      <c r="C2421" s="35">
        <v>2770127</v>
      </c>
      <c r="D2421" s="35">
        <v>2.71</v>
      </c>
      <c r="E2421" s="35" t="s">
        <v>272</v>
      </c>
      <c r="F2421" s="31" t="str">
        <f t="shared" si="74"/>
        <v>A6.01.01</v>
      </c>
      <c r="G2421" s="34">
        <f t="shared" si="75"/>
        <v>2.71</v>
      </c>
    </row>
    <row r="2422" spans="2:7" ht="13.8" customHeight="1" x14ac:dyDescent="0.25">
      <c r="B2422" s="35" t="s">
        <v>1</v>
      </c>
      <c r="C2422" s="35">
        <v>2770129</v>
      </c>
      <c r="D2422" s="35">
        <v>1.7</v>
      </c>
      <c r="E2422" s="35" t="s">
        <v>272</v>
      </c>
      <c r="F2422" s="31" t="str">
        <f t="shared" si="74"/>
        <v>A6.01.01</v>
      </c>
      <c r="G2422" s="34">
        <f t="shared" si="75"/>
        <v>1.7</v>
      </c>
    </row>
    <row r="2423" spans="2:7" ht="13.8" customHeight="1" x14ac:dyDescent="0.25">
      <c r="B2423" s="35" t="s">
        <v>1</v>
      </c>
      <c r="C2423" s="35">
        <v>2770130</v>
      </c>
      <c r="D2423" s="35">
        <v>2.46</v>
      </c>
      <c r="E2423" s="35" t="s">
        <v>272</v>
      </c>
      <c r="F2423" s="31" t="str">
        <f t="shared" si="74"/>
        <v>A6.01.01</v>
      </c>
      <c r="G2423" s="34">
        <f t="shared" si="75"/>
        <v>2.46</v>
      </c>
    </row>
    <row r="2424" spans="2:7" ht="13.8" customHeight="1" x14ac:dyDescent="0.25">
      <c r="B2424" s="35" t="s">
        <v>1</v>
      </c>
      <c r="C2424" s="35">
        <v>2772155</v>
      </c>
      <c r="D2424" s="35">
        <v>2.46</v>
      </c>
      <c r="E2424" s="35" t="s">
        <v>272</v>
      </c>
      <c r="F2424" s="31" t="str">
        <f t="shared" si="74"/>
        <v>A6.01.01</v>
      </c>
      <c r="G2424" s="34">
        <f t="shared" si="75"/>
        <v>2.46</v>
      </c>
    </row>
    <row r="2425" spans="2:7" ht="13.8" customHeight="1" x14ac:dyDescent="0.25">
      <c r="B2425" s="35" t="s">
        <v>1</v>
      </c>
      <c r="C2425" s="35">
        <v>2772162</v>
      </c>
      <c r="D2425" s="35">
        <v>1.7</v>
      </c>
      <c r="E2425" s="35" t="s">
        <v>272</v>
      </c>
      <c r="F2425" s="31" t="str">
        <f t="shared" si="74"/>
        <v>A6.01.01</v>
      </c>
      <c r="G2425" s="34">
        <f t="shared" si="75"/>
        <v>1.7</v>
      </c>
    </row>
    <row r="2426" spans="2:7" ht="13.8" customHeight="1" x14ac:dyDescent="0.25">
      <c r="B2426" s="35" t="s">
        <v>1</v>
      </c>
      <c r="C2426" s="35">
        <v>2772157</v>
      </c>
      <c r="D2426" s="35">
        <v>2.41</v>
      </c>
      <c r="E2426" s="35" t="s">
        <v>272</v>
      </c>
      <c r="F2426" s="31" t="str">
        <f t="shared" si="74"/>
        <v>A6.01.01</v>
      </c>
      <c r="G2426" s="34">
        <f t="shared" si="75"/>
        <v>2.41</v>
      </c>
    </row>
    <row r="2427" spans="2:7" ht="13.8" customHeight="1" x14ac:dyDescent="0.25">
      <c r="B2427" s="35" t="s">
        <v>1</v>
      </c>
      <c r="C2427" s="35">
        <v>2772164</v>
      </c>
      <c r="D2427" s="35">
        <v>2.46</v>
      </c>
      <c r="E2427" s="35" t="s">
        <v>272</v>
      </c>
      <c r="F2427" s="31" t="str">
        <f t="shared" si="74"/>
        <v>A6.01.01</v>
      </c>
      <c r="G2427" s="34">
        <f t="shared" si="75"/>
        <v>2.46</v>
      </c>
    </row>
    <row r="2428" spans="2:7" ht="13.8" customHeight="1" x14ac:dyDescent="0.25">
      <c r="B2428" s="35" t="s">
        <v>1</v>
      </c>
      <c r="C2428" s="35">
        <v>2772152</v>
      </c>
      <c r="D2428" s="35">
        <v>1.55</v>
      </c>
      <c r="E2428" s="35" t="s">
        <v>272</v>
      </c>
      <c r="F2428" s="31" t="str">
        <f t="shared" si="74"/>
        <v>A6.01.01</v>
      </c>
      <c r="G2428" s="34">
        <f t="shared" si="75"/>
        <v>1.55</v>
      </c>
    </row>
    <row r="2429" spans="2:7" ht="13.8" customHeight="1" x14ac:dyDescent="0.25">
      <c r="B2429" s="35" t="s">
        <v>1</v>
      </c>
      <c r="C2429" s="35">
        <v>2770181</v>
      </c>
      <c r="D2429" s="35">
        <v>2.46</v>
      </c>
      <c r="E2429" s="35" t="s">
        <v>273</v>
      </c>
      <c r="F2429" s="31" t="str">
        <f t="shared" si="74"/>
        <v>A6.01.02</v>
      </c>
      <c r="G2429" s="34">
        <f t="shared" si="75"/>
        <v>2.46</v>
      </c>
    </row>
    <row r="2430" spans="2:7" ht="13.8" customHeight="1" x14ac:dyDescent="0.25">
      <c r="B2430" s="35" t="s">
        <v>1</v>
      </c>
      <c r="C2430" s="35">
        <v>2770184</v>
      </c>
      <c r="D2430" s="35">
        <v>1.7</v>
      </c>
      <c r="E2430" s="35" t="s">
        <v>273</v>
      </c>
      <c r="F2430" s="31" t="str">
        <f t="shared" si="74"/>
        <v>A6.01.02</v>
      </c>
      <c r="G2430" s="34">
        <f t="shared" si="75"/>
        <v>1.7</v>
      </c>
    </row>
    <row r="2431" spans="2:7" ht="13.8" customHeight="1" x14ac:dyDescent="0.25">
      <c r="B2431" s="35" t="s">
        <v>1</v>
      </c>
      <c r="C2431" s="35">
        <v>2770186</v>
      </c>
      <c r="D2431" s="35">
        <v>0</v>
      </c>
      <c r="E2431" s="35" t="s">
        <v>273</v>
      </c>
      <c r="F2431" s="31" t="str">
        <f t="shared" si="74"/>
        <v>A6.01.02</v>
      </c>
      <c r="G2431" s="34">
        <f t="shared" si="75"/>
        <v>0</v>
      </c>
    </row>
    <row r="2432" spans="2:7" ht="13.8" customHeight="1" x14ac:dyDescent="0.25">
      <c r="B2432" s="35" t="s">
        <v>1</v>
      </c>
      <c r="C2432" s="35">
        <v>2770189</v>
      </c>
      <c r="D2432" s="35">
        <v>1.55</v>
      </c>
      <c r="E2432" s="35" t="s">
        <v>273</v>
      </c>
      <c r="F2432" s="31" t="str">
        <f t="shared" si="74"/>
        <v>A6.01.02</v>
      </c>
      <c r="G2432" s="34">
        <f t="shared" si="75"/>
        <v>1.55</v>
      </c>
    </row>
    <row r="2433" spans="2:7" ht="13.8" customHeight="1" x14ac:dyDescent="0.25">
      <c r="B2433" s="35" t="s">
        <v>1</v>
      </c>
      <c r="C2433" s="35">
        <v>2770191</v>
      </c>
      <c r="D2433" s="35">
        <v>2.46</v>
      </c>
      <c r="E2433" s="35" t="s">
        <v>273</v>
      </c>
      <c r="F2433" s="31" t="str">
        <f t="shared" si="74"/>
        <v>A6.01.02</v>
      </c>
      <c r="G2433" s="34">
        <f t="shared" si="75"/>
        <v>2.46</v>
      </c>
    </row>
    <row r="2434" spans="2:7" ht="13.8" customHeight="1" x14ac:dyDescent="0.25">
      <c r="B2434" s="35" t="s">
        <v>1</v>
      </c>
      <c r="C2434" s="35">
        <v>2770192</v>
      </c>
      <c r="D2434" s="35">
        <v>2.71</v>
      </c>
      <c r="E2434" s="35" t="s">
        <v>273</v>
      </c>
      <c r="F2434" s="31" t="str">
        <f t="shared" si="74"/>
        <v>A6.01.02</v>
      </c>
      <c r="G2434" s="34">
        <f t="shared" si="75"/>
        <v>2.71</v>
      </c>
    </row>
    <row r="2435" spans="2:7" ht="13.8" customHeight="1" x14ac:dyDescent="0.25">
      <c r="B2435" s="35" t="s">
        <v>1</v>
      </c>
      <c r="C2435" s="35">
        <v>2770194</v>
      </c>
      <c r="D2435" s="35">
        <v>2.41</v>
      </c>
      <c r="E2435" s="35" t="s">
        <v>273</v>
      </c>
      <c r="F2435" s="31" t="str">
        <f t="shared" si="74"/>
        <v>A6.01.02</v>
      </c>
      <c r="G2435" s="34">
        <f t="shared" si="75"/>
        <v>2.41</v>
      </c>
    </row>
    <row r="2436" spans="2:7" ht="13.8" customHeight="1" x14ac:dyDescent="0.25">
      <c r="B2436" s="35" t="s">
        <v>1</v>
      </c>
      <c r="C2436" s="35">
        <v>2770195</v>
      </c>
      <c r="D2436" s="35">
        <v>0</v>
      </c>
      <c r="E2436" s="35" t="s">
        <v>273</v>
      </c>
      <c r="F2436" s="31" t="str">
        <f t="shared" si="74"/>
        <v>A6.01.02</v>
      </c>
      <c r="G2436" s="34">
        <f t="shared" si="75"/>
        <v>0</v>
      </c>
    </row>
    <row r="2437" spans="2:7" ht="13.8" customHeight="1" x14ac:dyDescent="0.25">
      <c r="B2437" s="35" t="s">
        <v>1</v>
      </c>
      <c r="C2437" s="35">
        <v>2770202</v>
      </c>
      <c r="D2437" s="35">
        <v>4.74</v>
      </c>
      <c r="E2437" s="35" t="s">
        <v>273</v>
      </c>
      <c r="F2437" s="31" t="str">
        <f t="shared" si="74"/>
        <v>A6.01.02</v>
      </c>
      <c r="G2437" s="34">
        <f t="shared" si="75"/>
        <v>4.74</v>
      </c>
    </row>
    <row r="2438" spans="2:7" ht="13.8" customHeight="1" x14ac:dyDescent="0.25">
      <c r="B2438" s="35" t="s">
        <v>1</v>
      </c>
      <c r="C2438" s="35">
        <v>2772140</v>
      </c>
      <c r="D2438" s="35">
        <v>1.7</v>
      </c>
      <c r="E2438" s="35" t="s">
        <v>273</v>
      </c>
      <c r="F2438" s="31" t="str">
        <f t="shared" si="74"/>
        <v>A6.01.02</v>
      </c>
      <c r="G2438" s="34">
        <f t="shared" si="75"/>
        <v>1.7</v>
      </c>
    </row>
    <row r="2439" spans="2:7" ht="13.8" customHeight="1" x14ac:dyDescent="0.25">
      <c r="B2439" s="35" t="s">
        <v>1</v>
      </c>
      <c r="C2439" s="35">
        <v>2772137</v>
      </c>
      <c r="D2439" s="35">
        <v>2.46</v>
      </c>
      <c r="E2439" s="35" t="s">
        <v>273</v>
      </c>
      <c r="F2439" s="31" t="str">
        <f t="shared" ref="F2439:F2502" si="76">LEFT(E2439,8)</f>
        <v>A6.01.02</v>
      </c>
      <c r="G2439" s="34">
        <f t="shared" ref="G2439:G2502" si="77">D2439</f>
        <v>2.46</v>
      </c>
    </row>
    <row r="2440" spans="2:7" ht="13.8" customHeight="1" x14ac:dyDescent="0.25">
      <c r="B2440" s="35" t="s">
        <v>1</v>
      </c>
      <c r="C2440" s="35">
        <v>2772146</v>
      </c>
      <c r="D2440" s="35">
        <v>1.55</v>
      </c>
      <c r="E2440" s="35" t="s">
        <v>273</v>
      </c>
      <c r="F2440" s="31" t="str">
        <f t="shared" si="76"/>
        <v>A6.01.02</v>
      </c>
      <c r="G2440" s="34">
        <f t="shared" si="77"/>
        <v>1.55</v>
      </c>
    </row>
    <row r="2441" spans="2:7" ht="13.8" customHeight="1" x14ac:dyDescent="0.25">
      <c r="B2441" s="35" t="s">
        <v>1</v>
      </c>
      <c r="C2441" s="35">
        <v>2772148</v>
      </c>
      <c r="D2441" s="35">
        <v>2.46</v>
      </c>
      <c r="E2441" s="35" t="s">
        <v>273</v>
      </c>
      <c r="F2441" s="31" t="str">
        <f t="shared" si="76"/>
        <v>A6.01.02</v>
      </c>
      <c r="G2441" s="34">
        <f t="shared" si="77"/>
        <v>2.46</v>
      </c>
    </row>
    <row r="2442" spans="2:7" ht="13.8" customHeight="1" x14ac:dyDescent="0.25">
      <c r="B2442" s="35" t="s">
        <v>1</v>
      </c>
      <c r="C2442" s="35">
        <v>2772151</v>
      </c>
      <c r="D2442" s="35">
        <v>0.48</v>
      </c>
      <c r="E2442" s="35" t="s">
        <v>273</v>
      </c>
      <c r="F2442" s="31" t="str">
        <f t="shared" si="76"/>
        <v>A6.01.02</v>
      </c>
      <c r="G2442" s="34">
        <f t="shared" si="77"/>
        <v>0.48</v>
      </c>
    </row>
    <row r="2443" spans="2:7" ht="13.8" customHeight="1" x14ac:dyDescent="0.25">
      <c r="B2443" s="35" t="s">
        <v>1</v>
      </c>
      <c r="C2443" s="35">
        <v>2772176</v>
      </c>
      <c r="D2443" s="35">
        <v>1.93</v>
      </c>
      <c r="E2443" s="35" t="s">
        <v>273</v>
      </c>
      <c r="F2443" s="31" t="str">
        <f t="shared" si="76"/>
        <v>A6.01.02</v>
      </c>
      <c r="G2443" s="34">
        <f t="shared" si="77"/>
        <v>1.93</v>
      </c>
    </row>
    <row r="2444" spans="2:7" ht="13.8" customHeight="1" x14ac:dyDescent="0.25">
      <c r="B2444" s="35" t="s">
        <v>1</v>
      </c>
      <c r="C2444" s="35">
        <v>2770249</v>
      </c>
      <c r="D2444" s="35">
        <v>2.46</v>
      </c>
      <c r="E2444" s="35" t="s">
        <v>274</v>
      </c>
      <c r="F2444" s="31" t="str">
        <f t="shared" si="76"/>
        <v>A3.01.02</v>
      </c>
      <c r="G2444" s="34">
        <f t="shared" si="77"/>
        <v>2.46</v>
      </c>
    </row>
    <row r="2445" spans="2:7" ht="13.8" customHeight="1" x14ac:dyDescent="0.25">
      <c r="B2445" s="35" t="s">
        <v>1</v>
      </c>
      <c r="C2445" s="35">
        <v>2770252</v>
      </c>
      <c r="D2445" s="35">
        <v>1.7</v>
      </c>
      <c r="E2445" s="35" t="s">
        <v>274</v>
      </c>
      <c r="F2445" s="31" t="str">
        <f t="shared" si="76"/>
        <v>A3.01.02</v>
      </c>
      <c r="G2445" s="34">
        <f t="shared" si="77"/>
        <v>1.7</v>
      </c>
    </row>
    <row r="2446" spans="2:7" ht="13.8" customHeight="1" x14ac:dyDescent="0.25">
      <c r="B2446" s="35" t="s">
        <v>1</v>
      </c>
      <c r="C2446" s="35">
        <v>2770254</v>
      </c>
      <c r="D2446" s="35">
        <v>2.41</v>
      </c>
      <c r="E2446" s="35" t="s">
        <v>274</v>
      </c>
      <c r="F2446" s="31" t="str">
        <f t="shared" si="76"/>
        <v>A3.01.02</v>
      </c>
      <c r="G2446" s="34">
        <f t="shared" si="77"/>
        <v>2.41</v>
      </c>
    </row>
    <row r="2447" spans="2:7" ht="13.8" customHeight="1" x14ac:dyDescent="0.25">
      <c r="B2447" s="35" t="s">
        <v>1</v>
      </c>
      <c r="C2447" s="35">
        <v>2770255</v>
      </c>
      <c r="D2447" s="35">
        <v>2.71</v>
      </c>
      <c r="E2447" s="35" t="s">
        <v>274</v>
      </c>
      <c r="F2447" s="31" t="str">
        <f t="shared" si="76"/>
        <v>A3.01.02</v>
      </c>
      <c r="G2447" s="34">
        <f t="shared" si="77"/>
        <v>2.71</v>
      </c>
    </row>
    <row r="2448" spans="2:7" ht="13.8" customHeight="1" x14ac:dyDescent="0.25">
      <c r="B2448" s="35" t="s">
        <v>1</v>
      </c>
      <c r="C2448" s="35">
        <v>2770258</v>
      </c>
      <c r="D2448" s="35">
        <v>2.46</v>
      </c>
      <c r="E2448" s="35" t="s">
        <v>274</v>
      </c>
      <c r="F2448" s="31" t="str">
        <f t="shared" si="76"/>
        <v>A3.01.02</v>
      </c>
      <c r="G2448" s="34">
        <f t="shared" si="77"/>
        <v>2.46</v>
      </c>
    </row>
    <row r="2449" spans="2:7" ht="13.8" customHeight="1" x14ac:dyDescent="0.25">
      <c r="B2449" s="35" t="s">
        <v>1</v>
      </c>
      <c r="C2449" s="35">
        <v>2770260</v>
      </c>
      <c r="D2449" s="35">
        <v>1.55</v>
      </c>
      <c r="E2449" s="35" t="s">
        <v>274</v>
      </c>
      <c r="F2449" s="31" t="str">
        <f t="shared" si="76"/>
        <v>A3.01.02</v>
      </c>
      <c r="G2449" s="34">
        <f t="shared" si="77"/>
        <v>1.55</v>
      </c>
    </row>
    <row r="2450" spans="2:7" ht="13.8" customHeight="1" x14ac:dyDescent="0.25">
      <c r="B2450" s="35" t="s">
        <v>1</v>
      </c>
      <c r="C2450" s="35">
        <v>2772969</v>
      </c>
      <c r="D2450" s="35">
        <v>2.46</v>
      </c>
      <c r="E2450" s="35" t="s">
        <v>274</v>
      </c>
      <c r="F2450" s="31" t="str">
        <f t="shared" si="76"/>
        <v>A3.01.02</v>
      </c>
      <c r="G2450" s="34">
        <f t="shared" si="77"/>
        <v>2.46</v>
      </c>
    </row>
    <row r="2451" spans="2:7" ht="13.8" customHeight="1" x14ac:dyDescent="0.25">
      <c r="B2451" s="35" t="s">
        <v>1</v>
      </c>
      <c r="C2451" s="35">
        <v>2772959</v>
      </c>
      <c r="D2451" s="35">
        <v>2.46</v>
      </c>
      <c r="E2451" s="35" t="s">
        <v>274</v>
      </c>
      <c r="F2451" s="31" t="str">
        <f t="shared" si="76"/>
        <v>A3.01.02</v>
      </c>
      <c r="G2451" s="34">
        <f t="shared" si="77"/>
        <v>2.46</v>
      </c>
    </row>
    <row r="2452" spans="2:7" ht="13.8" customHeight="1" x14ac:dyDescent="0.25">
      <c r="B2452" s="35" t="s">
        <v>1</v>
      </c>
      <c r="C2452" s="35">
        <v>2772962</v>
      </c>
      <c r="D2452" s="35">
        <v>1.7</v>
      </c>
      <c r="E2452" s="35" t="s">
        <v>274</v>
      </c>
      <c r="F2452" s="31" t="str">
        <f t="shared" si="76"/>
        <v>A3.01.02</v>
      </c>
      <c r="G2452" s="34">
        <f t="shared" si="77"/>
        <v>1.7</v>
      </c>
    </row>
    <row r="2453" spans="2:7" ht="13.8" customHeight="1" x14ac:dyDescent="0.25">
      <c r="B2453" s="35" t="s">
        <v>1</v>
      </c>
      <c r="C2453" s="35">
        <v>2772965</v>
      </c>
      <c r="D2453" s="35">
        <v>1.93</v>
      </c>
      <c r="E2453" s="35" t="s">
        <v>274</v>
      </c>
      <c r="F2453" s="31" t="str">
        <f t="shared" si="76"/>
        <v>A3.01.02</v>
      </c>
      <c r="G2453" s="34">
        <f t="shared" si="77"/>
        <v>1.93</v>
      </c>
    </row>
    <row r="2454" spans="2:7" ht="13.8" customHeight="1" x14ac:dyDescent="0.25">
      <c r="B2454" s="35" t="s">
        <v>1</v>
      </c>
      <c r="C2454" s="35">
        <v>2772972</v>
      </c>
      <c r="D2454" s="35">
        <v>1.55</v>
      </c>
      <c r="E2454" s="35" t="s">
        <v>274</v>
      </c>
      <c r="F2454" s="31" t="str">
        <f t="shared" si="76"/>
        <v>A3.01.02</v>
      </c>
      <c r="G2454" s="34">
        <f t="shared" si="77"/>
        <v>1.55</v>
      </c>
    </row>
    <row r="2455" spans="2:7" ht="13.8" customHeight="1" x14ac:dyDescent="0.25">
      <c r="B2455" s="35" t="s">
        <v>1</v>
      </c>
      <c r="C2455" s="35">
        <v>2770312</v>
      </c>
      <c r="D2455" s="35">
        <v>2.46</v>
      </c>
      <c r="E2455" s="35" t="s">
        <v>275</v>
      </c>
      <c r="F2455" s="31" t="str">
        <f t="shared" si="76"/>
        <v>A3.01.01</v>
      </c>
      <c r="G2455" s="34">
        <f t="shared" si="77"/>
        <v>2.46</v>
      </c>
    </row>
    <row r="2456" spans="2:7" ht="13.8" customHeight="1" x14ac:dyDescent="0.25">
      <c r="B2456" s="35" t="s">
        <v>1</v>
      </c>
      <c r="C2456" s="35">
        <v>2770315</v>
      </c>
      <c r="D2456" s="35">
        <v>1.7</v>
      </c>
      <c r="E2456" s="35" t="s">
        <v>275</v>
      </c>
      <c r="F2456" s="31" t="str">
        <f t="shared" si="76"/>
        <v>A3.01.01</v>
      </c>
      <c r="G2456" s="34">
        <f t="shared" si="77"/>
        <v>1.7</v>
      </c>
    </row>
    <row r="2457" spans="2:7" ht="13.8" customHeight="1" x14ac:dyDescent="0.25">
      <c r="B2457" s="35" t="s">
        <v>1</v>
      </c>
      <c r="C2457" s="35">
        <v>2770317</v>
      </c>
      <c r="D2457" s="35">
        <v>2.46</v>
      </c>
      <c r="E2457" s="35" t="s">
        <v>275</v>
      </c>
      <c r="F2457" s="31" t="str">
        <f t="shared" si="76"/>
        <v>A3.01.01</v>
      </c>
      <c r="G2457" s="34">
        <f t="shared" si="77"/>
        <v>2.46</v>
      </c>
    </row>
    <row r="2458" spans="2:7" ht="13.8" customHeight="1" x14ac:dyDescent="0.25">
      <c r="B2458" s="35" t="s">
        <v>1</v>
      </c>
      <c r="C2458" s="35">
        <v>2770320</v>
      </c>
      <c r="D2458" s="35">
        <v>2.71</v>
      </c>
      <c r="E2458" s="35" t="s">
        <v>275</v>
      </c>
      <c r="F2458" s="31" t="str">
        <f t="shared" si="76"/>
        <v>A3.01.01</v>
      </c>
      <c r="G2458" s="34">
        <f t="shared" si="77"/>
        <v>2.71</v>
      </c>
    </row>
    <row r="2459" spans="2:7" ht="13.8" customHeight="1" x14ac:dyDescent="0.25">
      <c r="B2459" s="35" t="s">
        <v>1</v>
      </c>
      <c r="C2459" s="35">
        <v>2770321</v>
      </c>
      <c r="D2459" s="35">
        <v>2.41</v>
      </c>
      <c r="E2459" s="35" t="s">
        <v>275</v>
      </c>
      <c r="F2459" s="31" t="str">
        <f t="shared" si="76"/>
        <v>A3.01.01</v>
      </c>
      <c r="G2459" s="34">
        <f t="shared" si="77"/>
        <v>2.41</v>
      </c>
    </row>
    <row r="2460" spans="2:7" ht="13.8" customHeight="1" x14ac:dyDescent="0.25">
      <c r="B2460" s="35" t="s">
        <v>1</v>
      </c>
      <c r="C2460" s="35">
        <v>2770322</v>
      </c>
      <c r="D2460" s="35">
        <v>1.55</v>
      </c>
      <c r="E2460" s="35" t="s">
        <v>275</v>
      </c>
      <c r="F2460" s="31" t="str">
        <f t="shared" si="76"/>
        <v>A3.01.01</v>
      </c>
      <c r="G2460" s="34">
        <f t="shared" si="77"/>
        <v>1.55</v>
      </c>
    </row>
    <row r="2461" spans="2:7" ht="13.8" customHeight="1" x14ac:dyDescent="0.25">
      <c r="B2461" s="35" t="s">
        <v>1</v>
      </c>
      <c r="C2461" s="35">
        <v>2772180</v>
      </c>
      <c r="D2461" s="35">
        <v>2.46</v>
      </c>
      <c r="E2461" s="35" t="s">
        <v>275</v>
      </c>
      <c r="F2461" s="31" t="str">
        <f t="shared" si="76"/>
        <v>A3.01.01</v>
      </c>
      <c r="G2461" s="34">
        <f t="shared" si="77"/>
        <v>2.46</v>
      </c>
    </row>
    <row r="2462" spans="2:7" ht="13.8" customHeight="1" x14ac:dyDescent="0.25">
      <c r="B2462" s="35" t="s">
        <v>1</v>
      </c>
      <c r="C2462" s="35">
        <v>2772192</v>
      </c>
      <c r="D2462" s="35">
        <v>1.55</v>
      </c>
      <c r="E2462" s="35" t="s">
        <v>275</v>
      </c>
      <c r="F2462" s="31" t="str">
        <f t="shared" si="76"/>
        <v>A3.01.01</v>
      </c>
      <c r="G2462" s="34">
        <f t="shared" si="77"/>
        <v>1.55</v>
      </c>
    </row>
    <row r="2463" spans="2:7" ht="13.8" customHeight="1" x14ac:dyDescent="0.25">
      <c r="B2463" s="35" t="s">
        <v>1</v>
      </c>
      <c r="C2463" s="35">
        <v>2772186</v>
      </c>
      <c r="D2463" s="35">
        <v>2.46</v>
      </c>
      <c r="E2463" s="35" t="s">
        <v>275</v>
      </c>
      <c r="F2463" s="31" t="str">
        <f t="shared" si="76"/>
        <v>A3.01.01</v>
      </c>
      <c r="G2463" s="34">
        <f t="shared" si="77"/>
        <v>2.46</v>
      </c>
    </row>
    <row r="2464" spans="2:7" ht="13.8" customHeight="1" x14ac:dyDescent="0.25">
      <c r="B2464" s="35" t="s">
        <v>1</v>
      </c>
      <c r="C2464" s="35">
        <v>2772191</v>
      </c>
      <c r="D2464" s="35">
        <v>2.41</v>
      </c>
      <c r="E2464" s="35" t="s">
        <v>275</v>
      </c>
      <c r="F2464" s="31" t="str">
        <f t="shared" si="76"/>
        <v>A3.01.01</v>
      </c>
      <c r="G2464" s="34">
        <f t="shared" si="77"/>
        <v>2.41</v>
      </c>
    </row>
    <row r="2465" spans="2:7" ht="13.8" customHeight="1" x14ac:dyDescent="0.25">
      <c r="B2465" s="35" t="s">
        <v>1</v>
      </c>
      <c r="C2465" s="35">
        <v>2772183</v>
      </c>
      <c r="D2465" s="35">
        <v>1.7</v>
      </c>
      <c r="E2465" s="35" t="s">
        <v>275</v>
      </c>
      <c r="F2465" s="31" t="str">
        <f t="shared" si="76"/>
        <v>A3.01.01</v>
      </c>
      <c r="G2465" s="34">
        <f t="shared" si="77"/>
        <v>1.7</v>
      </c>
    </row>
    <row r="2466" spans="2:7" ht="13.8" customHeight="1" x14ac:dyDescent="0.25">
      <c r="B2466" s="35" t="s">
        <v>1</v>
      </c>
      <c r="C2466" s="35">
        <v>2770392</v>
      </c>
      <c r="D2466" s="35">
        <v>6.6</v>
      </c>
      <c r="E2466" s="35" t="s">
        <v>276</v>
      </c>
      <c r="F2466" s="31" t="str">
        <f t="shared" si="76"/>
        <v>A3.08.03</v>
      </c>
      <c r="G2466" s="34">
        <f t="shared" si="77"/>
        <v>6.6</v>
      </c>
    </row>
    <row r="2467" spans="2:7" ht="13.8" customHeight="1" x14ac:dyDescent="0.25">
      <c r="B2467" s="35" t="s">
        <v>1</v>
      </c>
      <c r="C2467" s="35">
        <v>2770394</v>
      </c>
      <c r="D2467" s="35">
        <v>1.02</v>
      </c>
      <c r="E2467" s="35" t="s">
        <v>276</v>
      </c>
      <c r="F2467" s="31" t="str">
        <f t="shared" si="76"/>
        <v>A3.08.03</v>
      </c>
      <c r="G2467" s="34">
        <f t="shared" si="77"/>
        <v>1.02</v>
      </c>
    </row>
    <row r="2468" spans="2:7" ht="13.8" customHeight="1" x14ac:dyDescent="0.25">
      <c r="B2468" s="35" t="s">
        <v>1</v>
      </c>
      <c r="C2468" s="35">
        <v>2770397</v>
      </c>
      <c r="D2468" s="35">
        <v>7.12</v>
      </c>
      <c r="E2468" s="35" t="s">
        <v>276</v>
      </c>
      <c r="F2468" s="31" t="str">
        <f t="shared" si="76"/>
        <v>A3.08.03</v>
      </c>
      <c r="G2468" s="34">
        <f t="shared" si="77"/>
        <v>7.12</v>
      </c>
    </row>
    <row r="2469" spans="2:7" ht="13.8" customHeight="1" x14ac:dyDescent="0.25">
      <c r="B2469" s="35" t="s">
        <v>1</v>
      </c>
      <c r="C2469" s="35">
        <v>2770398</v>
      </c>
      <c r="D2469" s="35">
        <v>3.94</v>
      </c>
      <c r="E2469" s="35" t="s">
        <v>276</v>
      </c>
      <c r="F2469" s="31" t="str">
        <f t="shared" si="76"/>
        <v>A3.08.03</v>
      </c>
      <c r="G2469" s="34">
        <f t="shared" si="77"/>
        <v>3.94</v>
      </c>
    </row>
    <row r="2470" spans="2:7" ht="13.8" customHeight="1" x14ac:dyDescent="0.25">
      <c r="B2470" s="35" t="s">
        <v>1</v>
      </c>
      <c r="C2470" s="35">
        <v>2770470</v>
      </c>
      <c r="D2470" s="35">
        <v>6.6</v>
      </c>
      <c r="E2470" s="35" t="s">
        <v>277</v>
      </c>
      <c r="F2470" s="31" t="str">
        <f t="shared" si="76"/>
        <v>A3.08.02</v>
      </c>
      <c r="G2470" s="34">
        <f t="shared" si="77"/>
        <v>6.6</v>
      </c>
    </row>
    <row r="2471" spans="2:7" ht="13.8" customHeight="1" x14ac:dyDescent="0.25">
      <c r="B2471" s="35" t="s">
        <v>1</v>
      </c>
      <c r="C2471" s="35">
        <v>2770472</v>
      </c>
      <c r="D2471" s="35">
        <v>7.12</v>
      </c>
      <c r="E2471" s="35" t="s">
        <v>277</v>
      </c>
      <c r="F2471" s="31" t="str">
        <f t="shared" si="76"/>
        <v>A3.08.02</v>
      </c>
      <c r="G2471" s="34">
        <f t="shared" si="77"/>
        <v>7.12</v>
      </c>
    </row>
    <row r="2472" spans="2:7" ht="13.8" customHeight="1" x14ac:dyDescent="0.25">
      <c r="B2472" s="35" t="s">
        <v>1</v>
      </c>
      <c r="C2472" s="35">
        <v>2770474</v>
      </c>
      <c r="D2472" s="35">
        <v>1.02</v>
      </c>
      <c r="E2472" s="35" t="s">
        <v>277</v>
      </c>
      <c r="F2472" s="31" t="str">
        <f t="shared" si="76"/>
        <v>A3.08.02</v>
      </c>
      <c r="G2472" s="34">
        <f t="shared" si="77"/>
        <v>1.02</v>
      </c>
    </row>
    <row r="2473" spans="2:7" ht="13.8" customHeight="1" x14ac:dyDescent="0.25">
      <c r="B2473" s="35" t="s">
        <v>1</v>
      </c>
      <c r="C2473" s="35">
        <v>2770476</v>
      </c>
      <c r="D2473" s="35">
        <v>3.94</v>
      </c>
      <c r="E2473" s="35" t="s">
        <v>277</v>
      </c>
      <c r="F2473" s="31" t="str">
        <f t="shared" si="76"/>
        <v>A3.08.02</v>
      </c>
      <c r="G2473" s="34">
        <f t="shared" si="77"/>
        <v>3.94</v>
      </c>
    </row>
    <row r="2474" spans="2:7" ht="13.8" customHeight="1" x14ac:dyDescent="0.25">
      <c r="B2474" s="35" t="s">
        <v>1</v>
      </c>
      <c r="C2474" s="35">
        <v>2770545</v>
      </c>
      <c r="D2474" s="35">
        <v>1.58</v>
      </c>
      <c r="E2474" s="35" t="s">
        <v>278</v>
      </c>
      <c r="F2474" s="31" t="str">
        <f t="shared" si="76"/>
        <v>C1.14.05</v>
      </c>
      <c r="G2474" s="34">
        <f t="shared" si="77"/>
        <v>1.58</v>
      </c>
    </row>
    <row r="2475" spans="2:7" ht="13.8" customHeight="1" x14ac:dyDescent="0.25">
      <c r="B2475" s="35" t="s">
        <v>1</v>
      </c>
      <c r="C2475" s="35">
        <v>2770548</v>
      </c>
      <c r="D2475" s="35">
        <v>0</v>
      </c>
      <c r="E2475" s="35" t="s">
        <v>278</v>
      </c>
      <c r="F2475" s="31" t="str">
        <f t="shared" si="76"/>
        <v>C1.14.05</v>
      </c>
      <c r="G2475" s="34">
        <f t="shared" si="77"/>
        <v>0</v>
      </c>
    </row>
    <row r="2476" spans="2:7" ht="13.8" customHeight="1" x14ac:dyDescent="0.25">
      <c r="B2476" s="35" t="s">
        <v>1</v>
      </c>
      <c r="C2476" s="35">
        <v>2770550</v>
      </c>
      <c r="D2476" s="35">
        <v>1.99</v>
      </c>
      <c r="E2476" s="35" t="s">
        <v>278</v>
      </c>
      <c r="F2476" s="31" t="str">
        <f t="shared" si="76"/>
        <v>C1.14.05</v>
      </c>
      <c r="G2476" s="34">
        <f t="shared" si="77"/>
        <v>1.99</v>
      </c>
    </row>
    <row r="2477" spans="2:7" ht="13.8" customHeight="1" x14ac:dyDescent="0.25">
      <c r="B2477" s="35" t="s">
        <v>1</v>
      </c>
      <c r="C2477" s="35">
        <v>2770553</v>
      </c>
      <c r="D2477" s="35">
        <v>6.6</v>
      </c>
      <c r="E2477" s="35" t="s">
        <v>278</v>
      </c>
      <c r="F2477" s="31" t="str">
        <f t="shared" si="76"/>
        <v>C1.14.05</v>
      </c>
      <c r="G2477" s="34">
        <f t="shared" si="77"/>
        <v>6.6</v>
      </c>
    </row>
    <row r="2478" spans="2:7" ht="13.8" customHeight="1" x14ac:dyDescent="0.25">
      <c r="B2478" s="35" t="s">
        <v>1</v>
      </c>
      <c r="C2478" s="35">
        <v>2770563</v>
      </c>
      <c r="D2478" s="35">
        <v>6.62</v>
      </c>
      <c r="E2478" s="35" t="s">
        <v>278</v>
      </c>
      <c r="F2478" s="31" t="str">
        <f t="shared" si="76"/>
        <v>C1.14.05</v>
      </c>
      <c r="G2478" s="34">
        <f t="shared" si="77"/>
        <v>6.62</v>
      </c>
    </row>
    <row r="2479" spans="2:7" ht="13.8" customHeight="1" x14ac:dyDescent="0.25">
      <c r="B2479" s="35" t="s">
        <v>1</v>
      </c>
      <c r="C2479" s="35">
        <v>2770624</v>
      </c>
      <c r="D2479" s="35">
        <v>6.6</v>
      </c>
      <c r="E2479" s="35" t="s">
        <v>279</v>
      </c>
      <c r="F2479" s="31" t="str">
        <f t="shared" si="76"/>
        <v>C1.14.06</v>
      </c>
      <c r="G2479" s="34">
        <f t="shared" si="77"/>
        <v>6.6</v>
      </c>
    </row>
    <row r="2480" spans="2:7" ht="13.8" customHeight="1" x14ac:dyDescent="0.25">
      <c r="B2480" s="35" t="s">
        <v>1</v>
      </c>
      <c r="C2480" s="35">
        <v>2770626</v>
      </c>
      <c r="D2480" s="35">
        <v>3.14</v>
      </c>
      <c r="E2480" s="35" t="s">
        <v>279</v>
      </c>
      <c r="F2480" s="31" t="str">
        <f t="shared" si="76"/>
        <v>C1.14.06</v>
      </c>
      <c r="G2480" s="34">
        <f t="shared" si="77"/>
        <v>3.14</v>
      </c>
    </row>
    <row r="2481" spans="2:7" ht="13.8" customHeight="1" x14ac:dyDescent="0.25">
      <c r="B2481" s="35" t="s">
        <v>1</v>
      </c>
      <c r="C2481" s="35">
        <v>2770628</v>
      </c>
      <c r="D2481" s="35">
        <v>6.62</v>
      </c>
      <c r="E2481" s="35" t="s">
        <v>279</v>
      </c>
      <c r="F2481" s="31" t="str">
        <f t="shared" si="76"/>
        <v>C1.14.06</v>
      </c>
      <c r="G2481" s="34">
        <f t="shared" si="77"/>
        <v>6.62</v>
      </c>
    </row>
    <row r="2482" spans="2:7" ht="13.8" customHeight="1" x14ac:dyDescent="0.25">
      <c r="B2482" s="35" t="s">
        <v>1</v>
      </c>
      <c r="C2482" s="35">
        <v>2770630</v>
      </c>
      <c r="D2482" s="35">
        <v>0.17</v>
      </c>
      <c r="E2482" s="35" t="s">
        <v>279</v>
      </c>
      <c r="F2482" s="31" t="str">
        <f t="shared" si="76"/>
        <v>C1.14.06</v>
      </c>
      <c r="G2482" s="34">
        <f t="shared" si="77"/>
        <v>0.17</v>
      </c>
    </row>
    <row r="2483" spans="2:7" ht="13.8" customHeight="1" x14ac:dyDescent="0.25">
      <c r="B2483" s="35" t="s">
        <v>1</v>
      </c>
      <c r="C2483" s="35">
        <v>2770701</v>
      </c>
      <c r="D2483" s="35">
        <v>0</v>
      </c>
      <c r="E2483" s="35" t="s">
        <v>280</v>
      </c>
      <c r="F2483" s="31" t="str">
        <f t="shared" si="76"/>
        <v>C1.14.01</v>
      </c>
      <c r="G2483" s="34">
        <f t="shared" si="77"/>
        <v>0</v>
      </c>
    </row>
    <row r="2484" spans="2:7" ht="13.8" customHeight="1" x14ac:dyDescent="0.25">
      <c r="B2484" s="35" t="s">
        <v>1</v>
      </c>
      <c r="C2484" s="35">
        <v>2770704</v>
      </c>
      <c r="D2484" s="35">
        <v>3.73</v>
      </c>
      <c r="E2484" s="35" t="s">
        <v>280</v>
      </c>
      <c r="F2484" s="31" t="str">
        <f t="shared" si="76"/>
        <v>C1.14.01</v>
      </c>
      <c r="G2484" s="34">
        <f t="shared" si="77"/>
        <v>3.73</v>
      </c>
    </row>
    <row r="2485" spans="2:7" ht="13.8" customHeight="1" x14ac:dyDescent="0.25">
      <c r="B2485" s="35" t="s">
        <v>1</v>
      </c>
      <c r="C2485" s="35">
        <v>2770706</v>
      </c>
      <c r="D2485" s="35">
        <v>0.16</v>
      </c>
      <c r="E2485" s="35" t="s">
        <v>280</v>
      </c>
      <c r="F2485" s="31" t="str">
        <f t="shared" si="76"/>
        <v>C1.14.01</v>
      </c>
      <c r="G2485" s="34">
        <f t="shared" si="77"/>
        <v>0.16</v>
      </c>
    </row>
    <row r="2486" spans="2:7" ht="13.8" customHeight="1" x14ac:dyDescent="0.25">
      <c r="B2486" s="35" t="s">
        <v>1</v>
      </c>
      <c r="C2486" s="35">
        <v>2770708</v>
      </c>
      <c r="D2486" s="35">
        <v>8.32</v>
      </c>
      <c r="E2486" s="35" t="s">
        <v>280</v>
      </c>
      <c r="F2486" s="31" t="str">
        <f t="shared" si="76"/>
        <v>C1.14.01</v>
      </c>
      <c r="G2486" s="34">
        <f t="shared" si="77"/>
        <v>8.32</v>
      </c>
    </row>
    <row r="2487" spans="2:7" ht="13.8" customHeight="1" x14ac:dyDescent="0.25">
      <c r="B2487" s="35" t="s">
        <v>1</v>
      </c>
      <c r="C2487" s="35">
        <v>2770710</v>
      </c>
      <c r="D2487" s="35">
        <v>6.6</v>
      </c>
      <c r="E2487" s="35" t="s">
        <v>280</v>
      </c>
      <c r="F2487" s="31" t="str">
        <f t="shared" si="76"/>
        <v>C1.14.01</v>
      </c>
      <c r="G2487" s="34">
        <f t="shared" si="77"/>
        <v>6.6</v>
      </c>
    </row>
    <row r="2488" spans="2:7" ht="13.8" customHeight="1" x14ac:dyDescent="0.25">
      <c r="B2488" s="35" t="s">
        <v>1</v>
      </c>
      <c r="C2488" s="35">
        <v>2770823</v>
      </c>
      <c r="D2488" s="35">
        <v>7.62</v>
      </c>
      <c r="E2488" s="35" t="s">
        <v>282</v>
      </c>
      <c r="F2488" s="31" t="str">
        <f t="shared" si="76"/>
        <v>C1.14.03</v>
      </c>
      <c r="G2488" s="34">
        <f t="shared" si="77"/>
        <v>7.62</v>
      </c>
    </row>
    <row r="2489" spans="2:7" ht="13.8" customHeight="1" x14ac:dyDescent="0.25">
      <c r="B2489" s="35" t="s">
        <v>1</v>
      </c>
      <c r="C2489" s="35">
        <v>2770826</v>
      </c>
      <c r="D2489" s="35">
        <v>6.6</v>
      </c>
      <c r="E2489" s="35" t="s">
        <v>282</v>
      </c>
      <c r="F2489" s="31" t="str">
        <f t="shared" si="76"/>
        <v>C1.14.03</v>
      </c>
      <c r="G2489" s="34">
        <f t="shared" si="77"/>
        <v>6.6</v>
      </c>
    </row>
    <row r="2490" spans="2:7" ht="13.8" customHeight="1" x14ac:dyDescent="0.25">
      <c r="B2490" s="35" t="s">
        <v>1</v>
      </c>
      <c r="C2490" s="35">
        <v>2770827</v>
      </c>
      <c r="D2490" s="35">
        <v>6.6</v>
      </c>
      <c r="E2490" s="35" t="s">
        <v>282</v>
      </c>
      <c r="F2490" s="31" t="str">
        <f t="shared" si="76"/>
        <v>C1.14.03</v>
      </c>
      <c r="G2490" s="34">
        <f t="shared" si="77"/>
        <v>6.6</v>
      </c>
    </row>
    <row r="2491" spans="2:7" ht="13.8" customHeight="1" x14ac:dyDescent="0.25">
      <c r="B2491" s="35" t="s">
        <v>1</v>
      </c>
      <c r="C2491" s="35">
        <v>2770860</v>
      </c>
      <c r="D2491" s="35">
        <v>7.62</v>
      </c>
      <c r="E2491" s="35" t="s">
        <v>283</v>
      </c>
      <c r="F2491" s="31" t="str">
        <f t="shared" si="76"/>
        <v>C1.14.04</v>
      </c>
      <c r="G2491" s="34">
        <f t="shared" si="77"/>
        <v>7.62</v>
      </c>
    </row>
    <row r="2492" spans="2:7" ht="13.8" customHeight="1" x14ac:dyDescent="0.25">
      <c r="B2492" s="35" t="s">
        <v>1</v>
      </c>
      <c r="C2492" s="35">
        <v>2770863</v>
      </c>
      <c r="D2492" s="35">
        <v>6.6</v>
      </c>
      <c r="E2492" s="35" t="s">
        <v>283</v>
      </c>
      <c r="F2492" s="31" t="str">
        <f t="shared" si="76"/>
        <v>C1.14.04</v>
      </c>
      <c r="G2492" s="34">
        <f t="shared" si="77"/>
        <v>6.6</v>
      </c>
    </row>
    <row r="2493" spans="2:7" ht="13.8" customHeight="1" x14ac:dyDescent="0.25">
      <c r="B2493" s="35" t="s">
        <v>1</v>
      </c>
      <c r="C2493" s="35">
        <v>2770864</v>
      </c>
      <c r="D2493" s="35">
        <v>6.6</v>
      </c>
      <c r="E2493" s="35" t="s">
        <v>283</v>
      </c>
      <c r="F2493" s="31" t="str">
        <f t="shared" si="76"/>
        <v>C1.14.04</v>
      </c>
      <c r="G2493" s="34">
        <f t="shared" si="77"/>
        <v>6.6</v>
      </c>
    </row>
    <row r="2494" spans="2:7" ht="13.8" customHeight="1" x14ac:dyDescent="0.25">
      <c r="B2494" s="35" t="s">
        <v>1</v>
      </c>
      <c r="C2494" s="35">
        <v>2770920</v>
      </c>
      <c r="D2494" s="35">
        <v>6.6</v>
      </c>
      <c r="E2494" s="35" t="s">
        <v>284</v>
      </c>
      <c r="F2494" s="31" t="str">
        <f t="shared" si="76"/>
        <v>C1.08.05</v>
      </c>
      <c r="G2494" s="34">
        <f t="shared" si="77"/>
        <v>6.6</v>
      </c>
    </row>
    <row r="2495" spans="2:7" ht="13.8" customHeight="1" x14ac:dyDescent="0.25">
      <c r="B2495" s="35" t="s">
        <v>1</v>
      </c>
      <c r="C2495" s="35">
        <v>2770922</v>
      </c>
      <c r="D2495" s="35">
        <v>6.62</v>
      </c>
      <c r="E2495" s="35" t="s">
        <v>284</v>
      </c>
      <c r="F2495" s="31" t="str">
        <f t="shared" si="76"/>
        <v>C1.08.05</v>
      </c>
      <c r="G2495" s="34">
        <f t="shared" si="77"/>
        <v>6.62</v>
      </c>
    </row>
    <row r="2496" spans="2:7" ht="13.8" customHeight="1" x14ac:dyDescent="0.25">
      <c r="B2496" s="35" t="s">
        <v>1</v>
      </c>
      <c r="C2496" s="35">
        <v>2770924</v>
      </c>
      <c r="D2496" s="35">
        <v>1.58</v>
      </c>
      <c r="E2496" s="35" t="s">
        <v>284</v>
      </c>
      <c r="F2496" s="31" t="str">
        <f t="shared" si="76"/>
        <v>C1.08.05</v>
      </c>
      <c r="G2496" s="34">
        <f t="shared" si="77"/>
        <v>1.58</v>
      </c>
    </row>
    <row r="2497" spans="2:7" ht="13.8" customHeight="1" x14ac:dyDescent="0.25">
      <c r="B2497" s="35" t="s">
        <v>1</v>
      </c>
      <c r="C2497" s="35">
        <v>2770927</v>
      </c>
      <c r="D2497" s="35">
        <v>6.6</v>
      </c>
      <c r="E2497" s="35" t="s">
        <v>284</v>
      </c>
      <c r="F2497" s="31" t="str">
        <f t="shared" si="76"/>
        <v>C1.08.05</v>
      </c>
      <c r="G2497" s="34">
        <f t="shared" si="77"/>
        <v>6.6</v>
      </c>
    </row>
    <row r="2498" spans="2:7" ht="13.8" customHeight="1" x14ac:dyDescent="0.25">
      <c r="B2498" s="35" t="s">
        <v>1</v>
      </c>
      <c r="C2498" s="35">
        <v>2770929</v>
      </c>
      <c r="D2498" s="35">
        <v>1.99</v>
      </c>
      <c r="E2498" s="35" t="s">
        <v>284</v>
      </c>
      <c r="F2498" s="31" t="str">
        <f t="shared" si="76"/>
        <v>C1.08.05</v>
      </c>
      <c r="G2498" s="34">
        <f t="shared" si="77"/>
        <v>1.99</v>
      </c>
    </row>
    <row r="2499" spans="2:7" ht="13.8" customHeight="1" x14ac:dyDescent="0.25">
      <c r="B2499" s="35" t="s">
        <v>1</v>
      </c>
      <c r="C2499" s="35">
        <v>2770931</v>
      </c>
      <c r="D2499" s="35">
        <v>1.58</v>
      </c>
      <c r="E2499" s="35" t="s">
        <v>284</v>
      </c>
      <c r="F2499" s="31" t="str">
        <f t="shared" si="76"/>
        <v>C1.08.05</v>
      </c>
      <c r="G2499" s="34">
        <f t="shared" si="77"/>
        <v>1.58</v>
      </c>
    </row>
    <row r="2500" spans="2:7" ht="13.8" customHeight="1" x14ac:dyDescent="0.25">
      <c r="B2500" s="35" t="s">
        <v>1</v>
      </c>
      <c r="C2500" s="35">
        <v>2770932</v>
      </c>
      <c r="D2500" s="35">
        <v>6.62</v>
      </c>
      <c r="E2500" s="35" t="s">
        <v>284</v>
      </c>
      <c r="F2500" s="31" t="str">
        <f t="shared" si="76"/>
        <v>C1.08.05</v>
      </c>
      <c r="G2500" s="34">
        <f t="shared" si="77"/>
        <v>6.62</v>
      </c>
    </row>
    <row r="2501" spans="2:7" ht="13.8" customHeight="1" x14ac:dyDescent="0.25">
      <c r="B2501" s="35" t="s">
        <v>1</v>
      </c>
      <c r="C2501" s="35">
        <v>2770933</v>
      </c>
      <c r="D2501" s="35">
        <v>1.99</v>
      </c>
      <c r="E2501" s="35" t="s">
        <v>284</v>
      </c>
      <c r="F2501" s="31" t="str">
        <f t="shared" si="76"/>
        <v>C1.08.05</v>
      </c>
      <c r="G2501" s="34">
        <f t="shared" si="77"/>
        <v>1.99</v>
      </c>
    </row>
    <row r="2502" spans="2:7" ht="13.8" customHeight="1" x14ac:dyDescent="0.25">
      <c r="B2502" s="35" t="s">
        <v>1</v>
      </c>
      <c r="C2502" s="35">
        <v>2770996</v>
      </c>
      <c r="D2502" s="35">
        <v>0.17</v>
      </c>
      <c r="E2502" s="35" t="s">
        <v>285</v>
      </c>
      <c r="F2502" s="31" t="str">
        <f t="shared" si="76"/>
        <v>C1.08.06</v>
      </c>
      <c r="G2502" s="34">
        <f t="shared" si="77"/>
        <v>0.17</v>
      </c>
    </row>
    <row r="2503" spans="2:7" ht="13.8" customHeight="1" x14ac:dyDescent="0.25">
      <c r="B2503" s="35" t="s">
        <v>1</v>
      </c>
      <c r="C2503" s="35">
        <v>2770999</v>
      </c>
      <c r="D2503" s="35">
        <v>0.17</v>
      </c>
      <c r="E2503" s="35" t="s">
        <v>285</v>
      </c>
      <c r="F2503" s="31" t="str">
        <f t="shared" ref="F2503:F2566" si="78">LEFT(E2503,8)</f>
        <v>C1.08.06</v>
      </c>
      <c r="G2503" s="34">
        <f t="shared" ref="G2503:G2566" si="79">D2503</f>
        <v>0.17</v>
      </c>
    </row>
    <row r="2504" spans="2:7" ht="13.8" customHeight="1" x14ac:dyDescent="0.25">
      <c r="B2504" s="35" t="s">
        <v>1</v>
      </c>
      <c r="C2504" s="35">
        <v>2771002</v>
      </c>
      <c r="D2504" s="35">
        <v>6.62</v>
      </c>
      <c r="E2504" s="35" t="s">
        <v>285</v>
      </c>
      <c r="F2504" s="31" t="str">
        <f t="shared" si="78"/>
        <v>C1.08.06</v>
      </c>
      <c r="G2504" s="34">
        <f t="shared" si="79"/>
        <v>6.62</v>
      </c>
    </row>
    <row r="2505" spans="2:7" ht="13.8" customHeight="1" x14ac:dyDescent="0.25">
      <c r="B2505" s="35" t="s">
        <v>1</v>
      </c>
      <c r="C2505" s="35">
        <v>2771004</v>
      </c>
      <c r="D2505" s="35">
        <v>6.6</v>
      </c>
      <c r="E2505" s="35" t="s">
        <v>285</v>
      </c>
      <c r="F2505" s="31" t="str">
        <f t="shared" si="78"/>
        <v>C1.08.06</v>
      </c>
      <c r="G2505" s="34">
        <f t="shared" si="79"/>
        <v>6.6</v>
      </c>
    </row>
    <row r="2506" spans="2:7" ht="13.8" customHeight="1" x14ac:dyDescent="0.25">
      <c r="B2506" s="35" t="s">
        <v>1</v>
      </c>
      <c r="C2506" s="35">
        <v>2771006</v>
      </c>
      <c r="D2506" s="35">
        <v>3.14</v>
      </c>
      <c r="E2506" s="35" t="s">
        <v>285</v>
      </c>
      <c r="F2506" s="31" t="str">
        <f t="shared" si="78"/>
        <v>C1.08.06</v>
      </c>
      <c r="G2506" s="34">
        <f t="shared" si="79"/>
        <v>3.14</v>
      </c>
    </row>
    <row r="2507" spans="2:7" ht="13.8" customHeight="1" x14ac:dyDescent="0.25">
      <c r="B2507" s="35" t="s">
        <v>1</v>
      </c>
      <c r="C2507" s="35">
        <v>2771008</v>
      </c>
      <c r="D2507" s="35">
        <v>6.62</v>
      </c>
      <c r="E2507" s="35" t="s">
        <v>285</v>
      </c>
      <c r="F2507" s="31" t="str">
        <f t="shared" si="78"/>
        <v>C1.08.06</v>
      </c>
      <c r="G2507" s="34">
        <f t="shared" si="79"/>
        <v>6.62</v>
      </c>
    </row>
    <row r="2508" spans="2:7" ht="13.8" customHeight="1" x14ac:dyDescent="0.25">
      <c r="B2508" s="35" t="s">
        <v>1</v>
      </c>
      <c r="C2508" s="35">
        <v>2771010</v>
      </c>
      <c r="D2508" s="35">
        <v>6.6</v>
      </c>
      <c r="E2508" s="35" t="s">
        <v>285</v>
      </c>
      <c r="F2508" s="31" t="str">
        <f t="shared" si="78"/>
        <v>C1.08.06</v>
      </c>
      <c r="G2508" s="34">
        <f t="shared" si="79"/>
        <v>6.6</v>
      </c>
    </row>
    <row r="2509" spans="2:7" ht="13.8" customHeight="1" x14ac:dyDescent="0.25">
      <c r="B2509" s="35" t="s">
        <v>1</v>
      </c>
      <c r="C2509" s="35">
        <v>2771012</v>
      </c>
      <c r="D2509" s="35">
        <v>3.14</v>
      </c>
      <c r="E2509" s="35" t="s">
        <v>285</v>
      </c>
      <c r="F2509" s="31" t="str">
        <f t="shared" si="78"/>
        <v>C1.08.06</v>
      </c>
      <c r="G2509" s="34">
        <f t="shared" si="79"/>
        <v>3.14</v>
      </c>
    </row>
    <row r="2510" spans="2:7" ht="13.8" customHeight="1" x14ac:dyDescent="0.25">
      <c r="B2510" s="35" t="s">
        <v>1</v>
      </c>
      <c r="C2510" s="35">
        <v>2771082</v>
      </c>
      <c r="D2510" s="35">
        <v>0.28999999999999998</v>
      </c>
      <c r="E2510" s="35" t="s">
        <v>286</v>
      </c>
      <c r="F2510" s="31" t="str">
        <f t="shared" si="78"/>
        <v>C1.08.02</v>
      </c>
      <c r="G2510" s="34">
        <f t="shared" si="79"/>
        <v>0.28999999999999998</v>
      </c>
    </row>
    <row r="2511" spans="2:7" ht="13.8" customHeight="1" x14ac:dyDescent="0.25">
      <c r="B2511" s="35" t="s">
        <v>1</v>
      </c>
      <c r="C2511" s="35">
        <v>2771085</v>
      </c>
      <c r="D2511" s="35">
        <v>0.28999999999999998</v>
      </c>
      <c r="E2511" s="35" t="s">
        <v>286</v>
      </c>
      <c r="F2511" s="31" t="str">
        <f t="shared" si="78"/>
        <v>C1.08.02</v>
      </c>
      <c r="G2511" s="34">
        <f t="shared" si="79"/>
        <v>0.28999999999999998</v>
      </c>
    </row>
    <row r="2512" spans="2:7" ht="13.8" customHeight="1" x14ac:dyDescent="0.25">
      <c r="B2512" s="35" t="s">
        <v>1</v>
      </c>
      <c r="C2512" s="35">
        <v>2771088</v>
      </c>
      <c r="D2512" s="35">
        <v>6.6</v>
      </c>
      <c r="E2512" s="35" t="s">
        <v>286</v>
      </c>
      <c r="F2512" s="31" t="str">
        <f t="shared" si="78"/>
        <v>C1.08.02</v>
      </c>
      <c r="G2512" s="34">
        <f t="shared" si="79"/>
        <v>6.6</v>
      </c>
    </row>
    <row r="2513" spans="2:7" ht="13.8" customHeight="1" x14ac:dyDescent="0.25">
      <c r="B2513" s="35" t="s">
        <v>1</v>
      </c>
      <c r="C2513" s="35">
        <v>2771089</v>
      </c>
      <c r="D2513" s="35">
        <v>6.6</v>
      </c>
      <c r="E2513" s="35" t="s">
        <v>286</v>
      </c>
      <c r="F2513" s="31" t="str">
        <f t="shared" si="78"/>
        <v>C1.08.02</v>
      </c>
      <c r="G2513" s="34">
        <f t="shared" si="79"/>
        <v>6.6</v>
      </c>
    </row>
    <row r="2514" spans="2:7" ht="13.8" customHeight="1" x14ac:dyDescent="0.25">
      <c r="B2514" s="35" t="s">
        <v>1</v>
      </c>
      <c r="C2514" s="35">
        <v>2771090</v>
      </c>
      <c r="D2514" s="35">
        <v>8.32</v>
      </c>
      <c r="E2514" s="35" t="s">
        <v>286</v>
      </c>
      <c r="F2514" s="31" t="str">
        <f t="shared" si="78"/>
        <v>C1.08.02</v>
      </c>
      <c r="G2514" s="34">
        <f t="shared" si="79"/>
        <v>8.32</v>
      </c>
    </row>
    <row r="2515" spans="2:7" ht="13.8" customHeight="1" x14ac:dyDescent="0.25">
      <c r="B2515" s="35" t="s">
        <v>1</v>
      </c>
      <c r="C2515" s="35">
        <v>2771092</v>
      </c>
      <c r="D2515" s="35">
        <v>8.32</v>
      </c>
      <c r="E2515" s="35" t="s">
        <v>286</v>
      </c>
      <c r="F2515" s="31" t="str">
        <f t="shared" si="78"/>
        <v>C1.08.02</v>
      </c>
      <c r="G2515" s="34">
        <f t="shared" si="79"/>
        <v>8.32</v>
      </c>
    </row>
    <row r="2516" spans="2:7" ht="13.8" customHeight="1" x14ac:dyDescent="0.25">
      <c r="B2516" s="35" t="s">
        <v>1</v>
      </c>
      <c r="C2516" s="35">
        <v>2771094</v>
      </c>
      <c r="D2516" s="35">
        <v>1.59</v>
      </c>
      <c r="E2516" s="35" t="s">
        <v>286</v>
      </c>
      <c r="F2516" s="31" t="str">
        <f t="shared" si="78"/>
        <v>C1.08.02</v>
      </c>
      <c r="G2516" s="34">
        <f t="shared" si="79"/>
        <v>1.59</v>
      </c>
    </row>
    <row r="2517" spans="2:7" ht="13.8" customHeight="1" x14ac:dyDescent="0.25">
      <c r="B2517" s="35" t="s">
        <v>1</v>
      </c>
      <c r="C2517" s="35">
        <v>2771095</v>
      </c>
      <c r="D2517" s="35">
        <v>1.59</v>
      </c>
      <c r="E2517" s="35" t="s">
        <v>286</v>
      </c>
      <c r="F2517" s="31" t="str">
        <f t="shared" si="78"/>
        <v>C1.08.02</v>
      </c>
      <c r="G2517" s="34">
        <f t="shared" si="79"/>
        <v>1.59</v>
      </c>
    </row>
    <row r="2518" spans="2:7" ht="13.8" customHeight="1" x14ac:dyDescent="0.25">
      <c r="B2518" s="35" t="s">
        <v>1</v>
      </c>
      <c r="C2518" s="35">
        <v>2771132</v>
      </c>
      <c r="D2518" s="35">
        <v>7.62</v>
      </c>
      <c r="E2518" s="35" t="s">
        <v>287</v>
      </c>
      <c r="F2518" s="31" t="str">
        <f t="shared" si="78"/>
        <v>C1.08.03</v>
      </c>
      <c r="G2518" s="34">
        <f t="shared" si="79"/>
        <v>7.62</v>
      </c>
    </row>
    <row r="2519" spans="2:7" ht="13.8" customHeight="1" x14ac:dyDescent="0.25">
      <c r="B2519" s="35" t="s">
        <v>1</v>
      </c>
      <c r="C2519" s="35">
        <v>2771135</v>
      </c>
      <c r="D2519" s="35">
        <v>7.62</v>
      </c>
      <c r="E2519" s="35" t="s">
        <v>287</v>
      </c>
      <c r="F2519" s="31" t="str">
        <f t="shared" si="78"/>
        <v>C1.08.03</v>
      </c>
      <c r="G2519" s="34">
        <f t="shared" si="79"/>
        <v>7.62</v>
      </c>
    </row>
    <row r="2520" spans="2:7" ht="13.8" customHeight="1" x14ac:dyDescent="0.25">
      <c r="B2520" s="35" t="s">
        <v>1</v>
      </c>
      <c r="C2520" s="35">
        <v>2771138</v>
      </c>
      <c r="D2520" s="35">
        <v>6.6</v>
      </c>
      <c r="E2520" s="35" t="s">
        <v>287</v>
      </c>
      <c r="F2520" s="31" t="str">
        <f t="shared" si="78"/>
        <v>C1.08.03</v>
      </c>
      <c r="G2520" s="34">
        <f t="shared" si="79"/>
        <v>6.6</v>
      </c>
    </row>
    <row r="2521" spans="2:7" ht="13.8" customHeight="1" x14ac:dyDescent="0.25">
      <c r="B2521" s="35" t="s">
        <v>1</v>
      </c>
      <c r="C2521" s="35">
        <v>2771139</v>
      </c>
      <c r="D2521" s="35">
        <v>6.6</v>
      </c>
      <c r="E2521" s="35" t="s">
        <v>287</v>
      </c>
      <c r="F2521" s="31" t="str">
        <f t="shared" si="78"/>
        <v>C1.08.03</v>
      </c>
      <c r="G2521" s="34">
        <f t="shared" si="79"/>
        <v>6.6</v>
      </c>
    </row>
    <row r="2522" spans="2:7" ht="13.8" customHeight="1" x14ac:dyDescent="0.25">
      <c r="B2522" s="35" t="s">
        <v>1</v>
      </c>
      <c r="C2522" s="35">
        <v>2771140</v>
      </c>
      <c r="D2522" s="35">
        <v>6.6</v>
      </c>
      <c r="E2522" s="35" t="s">
        <v>287</v>
      </c>
      <c r="F2522" s="31" t="str">
        <f t="shared" si="78"/>
        <v>C1.08.03</v>
      </c>
      <c r="G2522" s="34">
        <f t="shared" si="79"/>
        <v>6.6</v>
      </c>
    </row>
    <row r="2523" spans="2:7" ht="13.8" customHeight="1" x14ac:dyDescent="0.25">
      <c r="B2523" s="35" t="s">
        <v>1</v>
      </c>
      <c r="C2523" s="35">
        <v>2771141</v>
      </c>
      <c r="D2523" s="35">
        <v>6.6</v>
      </c>
      <c r="E2523" s="35" t="s">
        <v>287</v>
      </c>
      <c r="F2523" s="31" t="str">
        <f t="shared" si="78"/>
        <v>C1.08.03</v>
      </c>
      <c r="G2523" s="34">
        <f t="shared" si="79"/>
        <v>6.6</v>
      </c>
    </row>
    <row r="2524" spans="2:7" ht="13.8" customHeight="1" x14ac:dyDescent="0.25">
      <c r="B2524" s="35" t="s">
        <v>1</v>
      </c>
      <c r="C2524" s="35">
        <v>2771173</v>
      </c>
      <c r="D2524" s="35">
        <v>7.62</v>
      </c>
      <c r="E2524" s="35" t="s">
        <v>288</v>
      </c>
      <c r="F2524" s="31" t="str">
        <f t="shared" si="78"/>
        <v>C1.08.04</v>
      </c>
      <c r="G2524" s="34">
        <f t="shared" si="79"/>
        <v>7.62</v>
      </c>
    </row>
    <row r="2525" spans="2:7" ht="13.8" customHeight="1" x14ac:dyDescent="0.25">
      <c r="B2525" s="35" t="s">
        <v>1</v>
      </c>
      <c r="C2525" s="35">
        <v>2771176</v>
      </c>
      <c r="D2525" s="35">
        <v>7.62</v>
      </c>
      <c r="E2525" s="35" t="s">
        <v>288</v>
      </c>
      <c r="F2525" s="31" t="str">
        <f t="shared" si="78"/>
        <v>C1.08.04</v>
      </c>
      <c r="G2525" s="34">
        <f t="shared" si="79"/>
        <v>7.62</v>
      </c>
    </row>
    <row r="2526" spans="2:7" ht="13.8" customHeight="1" x14ac:dyDescent="0.25">
      <c r="B2526" s="35" t="s">
        <v>1</v>
      </c>
      <c r="C2526" s="35">
        <v>2771179</v>
      </c>
      <c r="D2526" s="35">
        <v>6.6</v>
      </c>
      <c r="E2526" s="35" t="s">
        <v>288</v>
      </c>
      <c r="F2526" s="31" t="str">
        <f t="shared" si="78"/>
        <v>C1.08.04</v>
      </c>
      <c r="G2526" s="34">
        <f t="shared" si="79"/>
        <v>6.6</v>
      </c>
    </row>
    <row r="2527" spans="2:7" ht="13.8" customHeight="1" x14ac:dyDescent="0.25">
      <c r="B2527" s="35" t="s">
        <v>1</v>
      </c>
      <c r="C2527" s="35">
        <v>2771180</v>
      </c>
      <c r="D2527" s="35">
        <v>6.6</v>
      </c>
      <c r="E2527" s="35" t="s">
        <v>288</v>
      </c>
      <c r="F2527" s="31" t="str">
        <f t="shared" si="78"/>
        <v>C1.08.04</v>
      </c>
      <c r="G2527" s="34">
        <f t="shared" si="79"/>
        <v>6.6</v>
      </c>
    </row>
    <row r="2528" spans="2:7" ht="13.8" customHeight="1" x14ac:dyDescent="0.25">
      <c r="B2528" s="35" t="s">
        <v>1</v>
      </c>
      <c r="C2528" s="35">
        <v>2771181</v>
      </c>
      <c r="D2528" s="35">
        <v>6.6</v>
      </c>
      <c r="E2528" s="35" t="s">
        <v>288</v>
      </c>
      <c r="F2528" s="31" t="str">
        <f t="shared" si="78"/>
        <v>C1.08.04</v>
      </c>
      <c r="G2528" s="34">
        <f t="shared" si="79"/>
        <v>6.6</v>
      </c>
    </row>
    <row r="2529" spans="2:7" ht="13.8" customHeight="1" x14ac:dyDescent="0.25">
      <c r="B2529" s="35" t="s">
        <v>1</v>
      </c>
      <c r="C2529" s="35">
        <v>2771182</v>
      </c>
      <c r="D2529" s="35">
        <v>6.6</v>
      </c>
      <c r="E2529" s="35" t="s">
        <v>288</v>
      </c>
      <c r="F2529" s="31" t="str">
        <f t="shared" si="78"/>
        <v>C1.08.04</v>
      </c>
      <c r="G2529" s="34">
        <f t="shared" si="79"/>
        <v>6.6</v>
      </c>
    </row>
    <row r="2530" spans="2:7" ht="13.8" customHeight="1" x14ac:dyDescent="0.25">
      <c r="B2530" s="35" t="s">
        <v>1</v>
      </c>
      <c r="C2530" s="35">
        <v>2771238</v>
      </c>
      <c r="D2530" s="35">
        <v>0</v>
      </c>
      <c r="E2530" s="35" t="s">
        <v>289</v>
      </c>
      <c r="F2530" s="31" t="str">
        <f t="shared" si="78"/>
        <v>C1.08.01</v>
      </c>
      <c r="G2530" s="34">
        <f t="shared" si="79"/>
        <v>0</v>
      </c>
    </row>
    <row r="2531" spans="2:7" ht="13.8" customHeight="1" x14ac:dyDescent="0.25">
      <c r="B2531" s="35" t="s">
        <v>1</v>
      </c>
      <c r="C2531" s="35">
        <v>2771241</v>
      </c>
      <c r="D2531" s="35">
        <v>3.73</v>
      </c>
      <c r="E2531" s="35" t="s">
        <v>289</v>
      </c>
      <c r="F2531" s="31" t="str">
        <f t="shared" si="78"/>
        <v>C1.08.01</v>
      </c>
      <c r="G2531" s="34">
        <f t="shared" si="79"/>
        <v>3.73</v>
      </c>
    </row>
    <row r="2532" spans="2:7" ht="13.8" customHeight="1" x14ac:dyDescent="0.25">
      <c r="B2532" s="35" t="s">
        <v>1</v>
      </c>
      <c r="C2532" s="35">
        <v>2771244</v>
      </c>
      <c r="D2532" s="35">
        <v>0</v>
      </c>
      <c r="E2532" s="35" t="s">
        <v>289</v>
      </c>
      <c r="F2532" s="31" t="str">
        <f t="shared" si="78"/>
        <v>C1.08.01</v>
      </c>
      <c r="G2532" s="34">
        <f t="shared" si="79"/>
        <v>0</v>
      </c>
    </row>
    <row r="2533" spans="2:7" ht="13.8" customHeight="1" x14ac:dyDescent="0.25">
      <c r="B2533" s="35" t="s">
        <v>1</v>
      </c>
      <c r="C2533" s="35">
        <v>2771246</v>
      </c>
      <c r="D2533" s="35">
        <v>0.16</v>
      </c>
      <c r="E2533" s="35" t="s">
        <v>289</v>
      </c>
      <c r="F2533" s="31" t="str">
        <f t="shared" si="78"/>
        <v>C1.08.01</v>
      </c>
      <c r="G2533" s="34">
        <f t="shared" si="79"/>
        <v>0.16</v>
      </c>
    </row>
    <row r="2534" spans="2:7" ht="13.8" customHeight="1" x14ac:dyDescent="0.25">
      <c r="B2534" s="35" t="s">
        <v>1</v>
      </c>
      <c r="C2534" s="35">
        <v>2771248</v>
      </c>
      <c r="D2534" s="35">
        <v>3.73</v>
      </c>
      <c r="E2534" s="35" t="s">
        <v>289</v>
      </c>
      <c r="F2534" s="31" t="str">
        <f t="shared" si="78"/>
        <v>C1.08.01</v>
      </c>
      <c r="G2534" s="34">
        <f t="shared" si="79"/>
        <v>3.73</v>
      </c>
    </row>
    <row r="2535" spans="2:7" ht="13.8" customHeight="1" x14ac:dyDescent="0.25">
      <c r="B2535" s="35" t="s">
        <v>1</v>
      </c>
      <c r="C2535" s="35">
        <v>2771250</v>
      </c>
      <c r="D2535" s="35">
        <v>0.16</v>
      </c>
      <c r="E2535" s="35" t="s">
        <v>289</v>
      </c>
      <c r="F2535" s="31" t="str">
        <f t="shared" si="78"/>
        <v>C1.08.01</v>
      </c>
      <c r="G2535" s="34">
        <f t="shared" si="79"/>
        <v>0.16</v>
      </c>
    </row>
    <row r="2536" spans="2:7" ht="13.8" customHeight="1" x14ac:dyDescent="0.25">
      <c r="B2536" s="35" t="s">
        <v>1</v>
      </c>
      <c r="C2536" s="35">
        <v>2771252</v>
      </c>
      <c r="D2536" s="35">
        <v>8.32</v>
      </c>
      <c r="E2536" s="35" t="s">
        <v>289</v>
      </c>
      <c r="F2536" s="31" t="str">
        <f t="shared" si="78"/>
        <v>C1.08.01</v>
      </c>
      <c r="G2536" s="34">
        <f t="shared" si="79"/>
        <v>8.32</v>
      </c>
    </row>
    <row r="2537" spans="2:7" ht="13.8" customHeight="1" x14ac:dyDescent="0.25">
      <c r="B2537" s="35" t="s">
        <v>1</v>
      </c>
      <c r="C2537" s="35">
        <v>2771254</v>
      </c>
      <c r="D2537" s="35">
        <v>8.32</v>
      </c>
      <c r="E2537" s="35" t="s">
        <v>289</v>
      </c>
      <c r="F2537" s="31" t="str">
        <f t="shared" si="78"/>
        <v>C1.08.01</v>
      </c>
      <c r="G2537" s="34">
        <f t="shared" si="79"/>
        <v>8.32</v>
      </c>
    </row>
    <row r="2538" spans="2:7" ht="13.8" customHeight="1" x14ac:dyDescent="0.25">
      <c r="B2538" s="35" t="s">
        <v>1</v>
      </c>
      <c r="C2538" s="35">
        <v>2771256</v>
      </c>
      <c r="D2538" s="35">
        <v>6.6</v>
      </c>
      <c r="E2538" s="35" t="s">
        <v>289</v>
      </c>
      <c r="F2538" s="31" t="str">
        <f t="shared" si="78"/>
        <v>C1.08.01</v>
      </c>
      <c r="G2538" s="34">
        <f t="shared" si="79"/>
        <v>6.6</v>
      </c>
    </row>
    <row r="2539" spans="2:7" ht="13.8" customHeight="1" x14ac:dyDescent="0.25">
      <c r="B2539" s="35" t="s">
        <v>1</v>
      </c>
      <c r="C2539" s="35">
        <v>2771258</v>
      </c>
      <c r="D2539" s="35">
        <v>6.6</v>
      </c>
      <c r="E2539" s="35" t="s">
        <v>289</v>
      </c>
      <c r="F2539" s="31" t="str">
        <f t="shared" si="78"/>
        <v>C1.08.01</v>
      </c>
      <c r="G2539" s="34">
        <f t="shared" si="79"/>
        <v>6.6</v>
      </c>
    </row>
    <row r="2540" spans="2:7" ht="13.8" customHeight="1" x14ac:dyDescent="0.25">
      <c r="B2540" s="35" t="s">
        <v>1</v>
      </c>
      <c r="C2540" s="35">
        <v>2771318</v>
      </c>
      <c r="D2540" s="35">
        <v>2.46</v>
      </c>
      <c r="E2540" s="35" t="s">
        <v>290</v>
      </c>
      <c r="F2540" s="31" t="str">
        <f t="shared" si="78"/>
        <v>C1.09.08</v>
      </c>
      <c r="G2540" s="34">
        <f t="shared" si="79"/>
        <v>2.46</v>
      </c>
    </row>
    <row r="2541" spans="2:7" ht="13.8" customHeight="1" x14ac:dyDescent="0.25">
      <c r="B2541" s="35" t="s">
        <v>1</v>
      </c>
      <c r="C2541" s="35">
        <v>2771321</v>
      </c>
      <c r="D2541" s="35">
        <v>11.31</v>
      </c>
      <c r="E2541" s="35" t="s">
        <v>290</v>
      </c>
      <c r="F2541" s="31" t="str">
        <f t="shared" si="78"/>
        <v>C1.09.08</v>
      </c>
      <c r="G2541" s="34">
        <f t="shared" si="79"/>
        <v>11.31</v>
      </c>
    </row>
    <row r="2542" spans="2:7" ht="13.8" customHeight="1" x14ac:dyDescent="0.25">
      <c r="B2542" s="35" t="s">
        <v>1</v>
      </c>
      <c r="C2542" s="35">
        <v>2771322</v>
      </c>
      <c r="D2542" s="35">
        <v>3.89</v>
      </c>
      <c r="E2542" s="35" t="s">
        <v>290</v>
      </c>
      <c r="F2542" s="31" t="str">
        <f t="shared" si="78"/>
        <v>C1.09.08</v>
      </c>
      <c r="G2542" s="34">
        <f t="shared" si="79"/>
        <v>3.89</v>
      </c>
    </row>
    <row r="2543" spans="2:7" ht="13.8" customHeight="1" x14ac:dyDescent="0.25">
      <c r="B2543" s="35" t="s">
        <v>1</v>
      </c>
      <c r="C2543" s="35">
        <v>2771324</v>
      </c>
      <c r="D2543" s="35">
        <v>1.8</v>
      </c>
      <c r="E2543" s="35" t="s">
        <v>290</v>
      </c>
      <c r="F2543" s="31" t="str">
        <f t="shared" si="78"/>
        <v>C1.09.08</v>
      </c>
      <c r="G2543" s="34">
        <f t="shared" si="79"/>
        <v>1.8</v>
      </c>
    </row>
    <row r="2544" spans="2:7" ht="13.8" customHeight="1" x14ac:dyDescent="0.25">
      <c r="B2544" s="35" t="s">
        <v>1</v>
      </c>
      <c r="C2544" s="35">
        <v>2771388</v>
      </c>
      <c r="D2544" s="35">
        <v>2.46</v>
      </c>
      <c r="E2544" s="35" t="s">
        <v>291</v>
      </c>
      <c r="F2544" s="31" t="str">
        <f t="shared" si="78"/>
        <v>C1.09.07</v>
      </c>
      <c r="G2544" s="34">
        <f t="shared" si="79"/>
        <v>2.46</v>
      </c>
    </row>
    <row r="2545" spans="2:7" ht="13.8" customHeight="1" x14ac:dyDescent="0.25">
      <c r="B2545" s="35" t="s">
        <v>1</v>
      </c>
      <c r="C2545" s="35">
        <v>2771391</v>
      </c>
      <c r="D2545" s="35">
        <v>3.89</v>
      </c>
      <c r="E2545" s="35" t="s">
        <v>291</v>
      </c>
      <c r="F2545" s="31" t="str">
        <f t="shared" si="78"/>
        <v>C1.09.07</v>
      </c>
      <c r="G2545" s="34">
        <f t="shared" si="79"/>
        <v>3.89</v>
      </c>
    </row>
    <row r="2546" spans="2:7" ht="13.8" customHeight="1" x14ac:dyDescent="0.25">
      <c r="B2546" s="35" t="s">
        <v>1</v>
      </c>
      <c r="C2546" s="35">
        <v>2771393</v>
      </c>
      <c r="D2546" s="35">
        <v>1.8</v>
      </c>
      <c r="E2546" s="35" t="s">
        <v>291</v>
      </c>
      <c r="F2546" s="31" t="str">
        <f t="shared" si="78"/>
        <v>C1.09.07</v>
      </c>
      <c r="G2546" s="34">
        <f t="shared" si="79"/>
        <v>1.8</v>
      </c>
    </row>
    <row r="2547" spans="2:7" ht="13.8" customHeight="1" x14ac:dyDescent="0.25">
      <c r="B2547" s="35" t="s">
        <v>1</v>
      </c>
      <c r="C2547" s="35">
        <v>2771394</v>
      </c>
      <c r="D2547" s="35">
        <v>11.31</v>
      </c>
      <c r="E2547" s="35" t="s">
        <v>291</v>
      </c>
      <c r="F2547" s="31" t="str">
        <f t="shared" si="78"/>
        <v>C1.09.07</v>
      </c>
      <c r="G2547" s="34">
        <f t="shared" si="79"/>
        <v>11.31</v>
      </c>
    </row>
    <row r="2548" spans="2:7" ht="13.8" customHeight="1" x14ac:dyDescent="0.25">
      <c r="B2548" s="35" t="s">
        <v>1</v>
      </c>
      <c r="C2548" s="35">
        <v>2771456</v>
      </c>
      <c r="D2548" s="35">
        <v>1.8</v>
      </c>
      <c r="E2548" s="35" t="s">
        <v>292</v>
      </c>
      <c r="F2548" s="31" t="str">
        <f t="shared" si="78"/>
        <v>C1.08.08</v>
      </c>
      <c r="G2548" s="34">
        <f t="shared" si="79"/>
        <v>1.8</v>
      </c>
    </row>
    <row r="2549" spans="2:7" ht="13.8" customHeight="1" x14ac:dyDescent="0.25">
      <c r="B2549" s="35" t="s">
        <v>1</v>
      </c>
      <c r="C2549" s="35">
        <v>2771459</v>
      </c>
      <c r="D2549" s="35">
        <v>3.89</v>
      </c>
      <c r="E2549" s="35" t="s">
        <v>292</v>
      </c>
      <c r="F2549" s="31" t="str">
        <f t="shared" si="78"/>
        <v>C1.08.08</v>
      </c>
      <c r="G2549" s="34">
        <f t="shared" si="79"/>
        <v>3.89</v>
      </c>
    </row>
    <row r="2550" spans="2:7" ht="13.8" customHeight="1" x14ac:dyDescent="0.25">
      <c r="B2550" s="35" t="s">
        <v>1</v>
      </c>
      <c r="C2550" s="35">
        <v>2771460</v>
      </c>
      <c r="D2550" s="35">
        <v>2.46</v>
      </c>
      <c r="E2550" s="35" t="s">
        <v>292</v>
      </c>
      <c r="F2550" s="31" t="str">
        <f t="shared" si="78"/>
        <v>C1.08.08</v>
      </c>
      <c r="G2550" s="34">
        <f t="shared" si="79"/>
        <v>2.46</v>
      </c>
    </row>
    <row r="2551" spans="2:7" ht="13.8" customHeight="1" x14ac:dyDescent="0.25">
      <c r="B2551" s="35" t="s">
        <v>1</v>
      </c>
      <c r="C2551" s="35">
        <v>2771462</v>
      </c>
      <c r="D2551" s="35">
        <v>11.31</v>
      </c>
      <c r="E2551" s="35" t="s">
        <v>292</v>
      </c>
      <c r="F2551" s="31" t="str">
        <f t="shared" si="78"/>
        <v>C1.08.08</v>
      </c>
      <c r="G2551" s="34">
        <f t="shared" si="79"/>
        <v>11.31</v>
      </c>
    </row>
    <row r="2552" spans="2:7" ht="13.8" customHeight="1" x14ac:dyDescent="0.25">
      <c r="B2552" s="35" t="s">
        <v>1</v>
      </c>
      <c r="C2552" s="35">
        <v>2771464</v>
      </c>
      <c r="D2552" s="35">
        <v>1.8</v>
      </c>
      <c r="E2552" s="35" t="s">
        <v>292</v>
      </c>
      <c r="F2552" s="31" t="str">
        <f t="shared" si="78"/>
        <v>C1.08.08</v>
      </c>
      <c r="G2552" s="34">
        <f t="shared" si="79"/>
        <v>1.8</v>
      </c>
    </row>
    <row r="2553" spans="2:7" ht="13.8" customHeight="1" x14ac:dyDescent="0.25">
      <c r="B2553" s="35" t="s">
        <v>1</v>
      </c>
      <c r="C2553" s="35">
        <v>2771467</v>
      </c>
      <c r="D2553" s="35">
        <v>3.89</v>
      </c>
      <c r="E2553" s="35" t="s">
        <v>292</v>
      </c>
      <c r="F2553" s="31" t="str">
        <f t="shared" si="78"/>
        <v>C1.08.08</v>
      </c>
      <c r="G2553" s="34">
        <f t="shared" si="79"/>
        <v>3.89</v>
      </c>
    </row>
    <row r="2554" spans="2:7" ht="13.8" customHeight="1" x14ac:dyDescent="0.25">
      <c r="B2554" s="35" t="s">
        <v>1</v>
      </c>
      <c r="C2554" s="35">
        <v>2771468</v>
      </c>
      <c r="D2554" s="35">
        <v>11.31</v>
      </c>
      <c r="E2554" s="35" t="s">
        <v>292</v>
      </c>
      <c r="F2554" s="31" t="str">
        <f t="shared" si="78"/>
        <v>C1.08.08</v>
      </c>
      <c r="G2554" s="34">
        <f t="shared" si="79"/>
        <v>11.31</v>
      </c>
    </row>
    <row r="2555" spans="2:7" ht="13.8" customHeight="1" x14ac:dyDescent="0.25">
      <c r="B2555" s="35" t="s">
        <v>1</v>
      </c>
      <c r="C2555" s="35">
        <v>2771469</v>
      </c>
      <c r="D2555" s="35">
        <v>2.46</v>
      </c>
      <c r="E2555" s="35" t="s">
        <v>292</v>
      </c>
      <c r="F2555" s="31" t="str">
        <f t="shared" si="78"/>
        <v>C1.08.08</v>
      </c>
      <c r="G2555" s="34">
        <f t="shared" si="79"/>
        <v>2.46</v>
      </c>
    </row>
    <row r="2556" spans="2:7" ht="13.8" customHeight="1" x14ac:dyDescent="0.25">
      <c r="B2556" s="35" t="s">
        <v>1</v>
      </c>
      <c r="C2556" s="35">
        <v>2771530</v>
      </c>
      <c r="D2556" s="35">
        <v>3.89</v>
      </c>
      <c r="E2556" s="35" t="s">
        <v>293</v>
      </c>
      <c r="F2556" s="31" t="str">
        <f t="shared" si="78"/>
        <v>C1.08.07</v>
      </c>
      <c r="G2556" s="34">
        <f t="shared" si="79"/>
        <v>3.89</v>
      </c>
    </row>
    <row r="2557" spans="2:7" ht="13.8" customHeight="1" x14ac:dyDescent="0.25">
      <c r="B2557" s="35" t="s">
        <v>1</v>
      </c>
      <c r="C2557" s="35">
        <v>2771532</v>
      </c>
      <c r="D2557" s="35">
        <v>2.46</v>
      </c>
      <c r="E2557" s="35" t="s">
        <v>293</v>
      </c>
      <c r="F2557" s="31" t="str">
        <f t="shared" si="78"/>
        <v>C1.08.07</v>
      </c>
      <c r="G2557" s="34">
        <f t="shared" si="79"/>
        <v>2.46</v>
      </c>
    </row>
    <row r="2558" spans="2:7" ht="13.8" customHeight="1" x14ac:dyDescent="0.25">
      <c r="B2558" s="35" t="s">
        <v>1</v>
      </c>
      <c r="C2558" s="35">
        <v>2771535</v>
      </c>
      <c r="D2558" s="35">
        <v>3.89</v>
      </c>
      <c r="E2558" s="35" t="s">
        <v>293</v>
      </c>
      <c r="F2558" s="31" t="str">
        <f t="shared" si="78"/>
        <v>C1.08.07</v>
      </c>
      <c r="G2558" s="34">
        <f t="shared" si="79"/>
        <v>3.89</v>
      </c>
    </row>
    <row r="2559" spans="2:7" ht="13.8" customHeight="1" x14ac:dyDescent="0.25">
      <c r="B2559" s="35" t="s">
        <v>1</v>
      </c>
      <c r="C2559" s="35">
        <v>2771537</v>
      </c>
      <c r="D2559" s="35">
        <v>2.46</v>
      </c>
      <c r="E2559" s="35" t="s">
        <v>293</v>
      </c>
      <c r="F2559" s="31" t="str">
        <f t="shared" si="78"/>
        <v>C1.08.07</v>
      </c>
      <c r="G2559" s="34">
        <f t="shared" si="79"/>
        <v>2.46</v>
      </c>
    </row>
    <row r="2560" spans="2:7" ht="13.8" customHeight="1" x14ac:dyDescent="0.25">
      <c r="B2560" s="35" t="s">
        <v>1</v>
      </c>
      <c r="C2560" s="35">
        <v>2771540</v>
      </c>
      <c r="D2560" s="35">
        <v>1.8</v>
      </c>
      <c r="E2560" s="35" t="s">
        <v>293</v>
      </c>
      <c r="F2560" s="31" t="str">
        <f t="shared" si="78"/>
        <v>C1.08.07</v>
      </c>
      <c r="G2560" s="34">
        <f t="shared" si="79"/>
        <v>1.8</v>
      </c>
    </row>
    <row r="2561" spans="2:7" ht="13.8" customHeight="1" x14ac:dyDescent="0.25">
      <c r="B2561" s="35" t="s">
        <v>1</v>
      </c>
      <c r="C2561" s="35">
        <v>2771541</v>
      </c>
      <c r="D2561" s="35">
        <v>11.31</v>
      </c>
      <c r="E2561" s="35" t="s">
        <v>293</v>
      </c>
      <c r="F2561" s="31" t="str">
        <f t="shared" si="78"/>
        <v>C1.08.07</v>
      </c>
      <c r="G2561" s="34">
        <f t="shared" si="79"/>
        <v>11.31</v>
      </c>
    </row>
    <row r="2562" spans="2:7" ht="13.8" customHeight="1" x14ac:dyDescent="0.25">
      <c r="B2562" s="35" t="s">
        <v>1</v>
      </c>
      <c r="C2562" s="35">
        <v>2771542</v>
      </c>
      <c r="D2562" s="35">
        <v>1.8</v>
      </c>
      <c r="E2562" s="35" t="s">
        <v>293</v>
      </c>
      <c r="F2562" s="31" t="str">
        <f t="shared" si="78"/>
        <v>C1.08.07</v>
      </c>
      <c r="G2562" s="34">
        <f t="shared" si="79"/>
        <v>1.8</v>
      </c>
    </row>
    <row r="2563" spans="2:7" ht="13.8" customHeight="1" x14ac:dyDescent="0.25">
      <c r="B2563" s="35" t="s">
        <v>1</v>
      </c>
      <c r="C2563" s="35">
        <v>2771543</v>
      </c>
      <c r="D2563" s="35">
        <v>11.31</v>
      </c>
      <c r="E2563" s="35" t="s">
        <v>293</v>
      </c>
      <c r="F2563" s="31" t="str">
        <f t="shared" si="78"/>
        <v>C1.08.07</v>
      </c>
      <c r="G2563" s="34">
        <f t="shared" si="79"/>
        <v>11.31</v>
      </c>
    </row>
    <row r="2564" spans="2:7" ht="13.8" customHeight="1" x14ac:dyDescent="0.25">
      <c r="B2564" s="35" t="s">
        <v>1</v>
      </c>
      <c r="C2564" s="35">
        <v>2771604</v>
      </c>
      <c r="D2564" s="35">
        <v>0.28999999999999998</v>
      </c>
      <c r="E2564" s="35" t="s">
        <v>294</v>
      </c>
      <c r="F2564" s="31" t="str">
        <f t="shared" si="78"/>
        <v>C1.01.02</v>
      </c>
      <c r="G2564" s="34">
        <f t="shared" si="79"/>
        <v>0.28999999999999998</v>
      </c>
    </row>
    <row r="2565" spans="2:7" ht="13.8" customHeight="1" x14ac:dyDescent="0.25">
      <c r="B2565" s="35" t="s">
        <v>1</v>
      </c>
      <c r="C2565" s="35">
        <v>2771607</v>
      </c>
      <c r="D2565" s="35">
        <v>1.59</v>
      </c>
      <c r="E2565" s="35" t="s">
        <v>294</v>
      </c>
      <c r="F2565" s="31" t="str">
        <f t="shared" si="78"/>
        <v>C1.01.02</v>
      </c>
      <c r="G2565" s="34">
        <f t="shared" si="79"/>
        <v>1.59</v>
      </c>
    </row>
    <row r="2566" spans="2:7" ht="13.8" customHeight="1" x14ac:dyDescent="0.25">
      <c r="B2566" s="35" t="s">
        <v>1</v>
      </c>
      <c r="C2566" s="35">
        <v>2771609</v>
      </c>
      <c r="D2566" s="35">
        <v>8.32</v>
      </c>
      <c r="E2566" s="35" t="s">
        <v>294</v>
      </c>
      <c r="F2566" s="31" t="str">
        <f t="shared" si="78"/>
        <v>C1.01.02</v>
      </c>
      <c r="G2566" s="34">
        <f t="shared" si="79"/>
        <v>8.32</v>
      </c>
    </row>
    <row r="2567" spans="2:7" ht="13.8" customHeight="1" x14ac:dyDescent="0.25">
      <c r="B2567" s="35" t="s">
        <v>1</v>
      </c>
      <c r="C2567" s="35">
        <v>2771610</v>
      </c>
      <c r="D2567" s="35">
        <v>6.6</v>
      </c>
      <c r="E2567" s="35" t="s">
        <v>294</v>
      </c>
      <c r="F2567" s="31" t="str">
        <f t="shared" ref="F2567:F2630" si="80">LEFT(E2567,8)</f>
        <v>C1.01.02</v>
      </c>
      <c r="G2567" s="34">
        <f t="shared" ref="G2567:G2630" si="81">D2567</f>
        <v>6.6</v>
      </c>
    </row>
    <row r="2568" spans="2:7" ht="13.8" customHeight="1" x14ac:dyDescent="0.25">
      <c r="B2568" s="35" t="s">
        <v>1</v>
      </c>
      <c r="C2568" s="35">
        <v>2771645</v>
      </c>
      <c r="D2568" s="35">
        <v>7.62</v>
      </c>
      <c r="E2568" s="35" t="s">
        <v>295</v>
      </c>
      <c r="F2568" s="31" t="str">
        <f t="shared" si="80"/>
        <v>C1.01.03</v>
      </c>
      <c r="G2568" s="34">
        <f t="shared" si="81"/>
        <v>7.62</v>
      </c>
    </row>
    <row r="2569" spans="2:7" ht="13.8" customHeight="1" x14ac:dyDescent="0.25">
      <c r="B2569" s="35" t="s">
        <v>1</v>
      </c>
      <c r="C2569" s="35">
        <v>2771648</v>
      </c>
      <c r="D2569" s="35">
        <v>6.6</v>
      </c>
      <c r="E2569" s="35" t="s">
        <v>295</v>
      </c>
      <c r="F2569" s="31" t="str">
        <f t="shared" si="80"/>
        <v>C1.01.03</v>
      </c>
      <c r="G2569" s="34">
        <f t="shared" si="81"/>
        <v>6.6</v>
      </c>
    </row>
    <row r="2570" spans="2:7" ht="13.8" customHeight="1" x14ac:dyDescent="0.25">
      <c r="B2570" s="35" t="s">
        <v>1</v>
      </c>
      <c r="C2570" s="35">
        <v>2771649</v>
      </c>
      <c r="D2570" s="35">
        <v>6.6</v>
      </c>
      <c r="E2570" s="35" t="s">
        <v>295</v>
      </c>
      <c r="F2570" s="31" t="str">
        <f t="shared" si="80"/>
        <v>C1.01.03</v>
      </c>
      <c r="G2570" s="34">
        <f t="shared" si="81"/>
        <v>6.6</v>
      </c>
    </row>
    <row r="2571" spans="2:7" ht="13.8" customHeight="1" x14ac:dyDescent="0.25">
      <c r="B2571" s="35" t="s">
        <v>1</v>
      </c>
      <c r="C2571" s="35">
        <v>2773157</v>
      </c>
      <c r="D2571" s="35">
        <v>3.35</v>
      </c>
      <c r="E2571" s="35" t="s">
        <v>295</v>
      </c>
      <c r="F2571" s="31" t="str">
        <f t="shared" si="80"/>
        <v>C1.01.03</v>
      </c>
      <c r="G2571" s="34">
        <f t="shared" si="81"/>
        <v>3.35</v>
      </c>
    </row>
    <row r="2572" spans="2:7" ht="13.8" customHeight="1" x14ac:dyDescent="0.25">
      <c r="B2572" s="35" t="s">
        <v>1</v>
      </c>
      <c r="C2572" s="35">
        <v>2771679</v>
      </c>
      <c r="D2572" s="35">
        <v>7.62</v>
      </c>
      <c r="E2572" s="35" t="s">
        <v>296</v>
      </c>
      <c r="F2572" s="31" t="str">
        <f t="shared" si="80"/>
        <v>C1.01.04</v>
      </c>
      <c r="G2572" s="34">
        <f t="shared" si="81"/>
        <v>7.62</v>
      </c>
    </row>
    <row r="2573" spans="2:7" ht="13.8" customHeight="1" x14ac:dyDescent="0.25">
      <c r="B2573" s="35" t="s">
        <v>1</v>
      </c>
      <c r="C2573" s="35">
        <v>2771682</v>
      </c>
      <c r="D2573" s="35">
        <v>6.6</v>
      </c>
      <c r="E2573" s="35" t="s">
        <v>296</v>
      </c>
      <c r="F2573" s="31" t="str">
        <f t="shared" si="80"/>
        <v>C1.01.04</v>
      </c>
      <c r="G2573" s="34">
        <f t="shared" si="81"/>
        <v>6.6</v>
      </c>
    </row>
    <row r="2574" spans="2:7" ht="13.8" customHeight="1" x14ac:dyDescent="0.25">
      <c r="B2574" s="35" t="s">
        <v>1</v>
      </c>
      <c r="C2574" s="35">
        <v>2771683</v>
      </c>
      <c r="D2574" s="35">
        <v>6.6</v>
      </c>
      <c r="E2574" s="35" t="s">
        <v>296</v>
      </c>
      <c r="F2574" s="31" t="str">
        <f t="shared" si="80"/>
        <v>C1.01.04</v>
      </c>
      <c r="G2574" s="34">
        <f t="shared" si="81"/>
        <v>6.6</v>
      </c>
    </row>
    <row r="2575" spans="2:7" ht="13.8" customHeight="1" x14ac:dyDescent="0.25">
      <c r="B2575" s="35" t="s">
        <v>1</v>
      </c>
      <c r="C2575" s="35">
        <v>2771723</v>
      </c>
      <c r="D2575" s="35">
        <v>1.99</v>
      </c>
      <c r="E2575" s="35" t="s">
        <v>297</v>
      </c>
      <c r="F2575" s="31" t="str">
        <f t="shared" si="80"/>
        <v>C1.01.05</v>
      </c>
      <c r="G2575" s="34">
        <f t="shared" si="81"/>
        <v>1.99</v>
      </c>
    </row>
    <row r="2576" spans="2:7" ht="13.8" customHeight="1" x14ac:dyDescent="0.25">
      <c r="B2576" s="35" t="s">
        <v>1</v>
      </c>
      <c r="C2576" s="35">
        <v>2771726</v>
      </c>
      <c r="D2576" s="35">
        <v>1.58</v>
      </c>
      <c r="E2576" s="35" t="s">
        <v>297</v>
      </c>
      <c r="F2576" s="31" t="str">
        <f t="shared" si="80"/>
        <v>C1.01.05</v>
      </c>
      <c r="G2576" s="34">
        <f t="shared" si="81"/>
        <v>1.58</v>
      </c>
    </row>
    <row r="2577" spans="2:7" ht="13.8" customHeight="1" x14ac:dyDescent="0.25">
      <c r="B2577" s="35" t="s">
        <v>1</v>
      </c>
      <c r="C2577" s="35">
        <v>2771728</v>
      </c>
      <c r="D2577" s="35">
        <v>6.62</v>
      </c>
      <c r="E2577" s="35" t="s">
        <v>297</v>
      </c>
      <c r="F2577" s="31" t="str">
        <f t="shared" si="80"/>
        <v>C1.01.05</v>
      </c>
      <c r="G2577" s="34">
        <f t="shared" si="81"/>
        <v>6.62</v>
      </c>
    </row>
    <row r="2578" spans="2:7" ht="13.8" customHeight="1" x14ac:dyDescent="0.25">
      <c r="B2578" s="35" t="s">
        <v>1</v>
      </c>
      <c r="C2578" s="35">
        <v>2771730</v>
      </c>
      <c r="D2578" s="35">
        <v>8.18</v>
      </c>
      <c r="E2578" s="35" t="s">
        <v>297</v>
      </c>
      <c r="F2578" s="31" t="str">
        <f t="shared" si="80"/>
        <v>C1.01.05</v>
      </c>
      <c r="G2578" s="34">
        <f t="shared" si="81"/>
        <v>8.18</v>
      </c>
    </row>
    <row r="2579" spans="2:7" ht="13.8" customHeight="1" x14ac:dyDescent="0.25">
      <c r="B2579" s="35" t="s">
        <v>1</v>
      </c>
      <c r="C2579" s="35">
        <v>2771731</v>
      </c>
      <c r="D2579" s="35">
        <v>6.6</v>
      </c>
      <c r="E2579" s="35" t="s">
        <v>297</v>
      </c>
      <c r="F2579" s="31" t="str">
        <f t="shared" si="80"/>
        <v>C1.01.05</v>
      </c>
      <c r="G2579" s="34">
        <f t="shared" si="81"/>
        <v>6.6</v>
      </c>
    </row>
    <row r="2580" spans="2:7" ht="13.8" customHeight="1" x14ac:dyDescent="0.25">
      <c r="B2580" s="35" t="s">
        <v>1</v>
      </c>
      <c r="C2580" s="35">
        <v>2773093</v>
      </c>
      <c r="D2580" s="35">
        <v>0.77</v>
      </c>
      <c r="E2580" s="35" t="s">
        <v>297</v>
      </c>
      <c r="F2580" s="31" t="str">
        <f t="shared" si="80"/>
        <v>C1.01.05</v>
      </c>
      <c r="G2580" s="34">
        <f t="shared" si="81"/>
        <v>0.77</v>
      </c>
    </row>
    <row r="2581" spans="2:7" ht="13.8" customHeight="1" x14ac:dyDescent="0.25">
      <c r="B2581" s="35" t="s">
        <v>1</v>
      </c>
      <c r="C2581" s="35">
        <v>2773095</v>
      </c>
      <c r="D2581" s="35">
        <v>1.58</v>
      </c>
      <c r="E2581" s="35" t="s">
        <v>297</v>
      </c>
      <c r="F2581" s="31" t="str">
        <f t="shared" si="80"/>
        <v>C1.01.05</v>
      </c>
      <c r="G2581" s="34">
        <f t="shared" si="81"/>
        <v>1.58</v>
      </c>
    </row>
    <row r="2582" spans="2:7" ht="13.8" customHeight="1" x14ac:dyDescent="0.25">
      <c r="B2582" s="35" t="s">
        <v>1</v>
      </c>
      <c r="C2582" s="35">
        <v>2773097</v>
      </c>
      <c r="D2582" s="35">
        <v>1.99</v>
      </c>
      <c r="E2582" s="35" t="s">
        <v>297</v>
      </c>
      <c r="F2582" s="31" t="str">
        <f t="shared" si="80"/>
        <v>C1.01.05</v>
      </c>
      <c r="G2582" s="34">
        <f t="shared" si="81"/>
        <v>1.99</v>
      </c>
    </row>
    <row r="2583" spans="2:7" ht="13.8" customHeight="1" x14ac:dyDescent="0.25">
      <c r="B2583" s="35" t="s">
        <v>1</v>
      </c>
      <c r="C2583" s="35">
        <v>2771770</v>
      </c>
      <c r="D2583" s="35">
        <v>0.17</v>
      </c>
      <c r="E2583" s="35" t="s">
        <v>298</v>
      </c>
      <c r="F2583" s="31" t="str">
        <f t="shared" si="80"/>
        <v>C1.01.06</v>
      </c>
      <c r="G2583" s="34">
        <f t="shared" si="81"/>
        <v>0.17</v>
      </c>
    </row>
    <row r="2584" spans="2:7" ht="13.8" customHeight="1" x14ac:dyDescent="0.25">
      <c r="B2584" s="35" t="s">
        <v>1</v>
      </c>
      <c r="C2584" s="35">
        <v>2771773</v>
      </c>
      <c r="D2584" s="35">
        <v>6.77</v>
      </c>
      <c r="E2584" s="35" t="s">
        <v>298</v>
      </c>
      <c r="F2584" s="31" t="str">
        <f t="shared" si="80"/>
        <v>C1.01.06</v>
      </c>
      <c r="G2584" s="34">
        <f t="shared" si="81"/>
        <v>6.77</v>
      </c>
    </row>
    <row r="2585" spans="2:7" ht="13.8" customHeight="1" x14ac:dyDescent="0.25">
      <c r="B2585" s="35" t="s">
        <v>1</v>
      </c>
      <c r="C2585" s="35">
        <v>2771776</v>
      </c>
      <c r="D2585" s="35">
        <v>3.14</v>
      </c>
      <c r="E2585" s="35" t="s">
        <v>298</v>
      </c>
      <c r="F2585" s="31" t="str">
        <f t="shared" si="80"/>
        <v>C1.01.06</v>
      </c>
      <c r="G2585" s="34">
        <f t="shared" si="81"/>
        <v>3.14</v>
      </c>
    </row>
    <row r="2586" spans="2:7" ht="13.8" customHeight="1" x14ac:dyDescent="0.25">
      <c r="B2586" s="35" t="s">
        <v>1</v>
      </c>
      <c r="C2586" s="35">
        <v>2771779</v>
      </c>
      <c r="D2586" s="35">
        <v>6.6</v>
      </c>
      <c r="E2586" s="35" t="s">
        <v>298</v>
      </c>
      <c r="F2586" s="31" t="str">
        <f t="shared" si="80"/>
        <v>C1.01.06</v>
      </c>
      <c r="G2586" s="34">
        <f t="shared" si="81"/>
        <v>6.6</v>
      </c>
    </row>
    <row r="2587" spans="2:7" ht="13.8" customHeight="1" x14ac:dyDescent="0.25">
      <c r="B2587" s="35" t="s">
        <v>1</v>
      </c>
      <c r="C2587" s="35">
        <v>2771780</v>
      </c>
      <c r="D2587" s="35">
        <v>6.62</v>
      </c>
      <c r="E2587" s="35" t="s">
        <v>298</v>
      </c>
      <c r="F2587" s="31" t="str">
        <f t="shared" si="80"/>
        <v>C1.01.06</v>
      </c>
      <c r="G2587" s="34">
        <f t="shared" si="81"/>
        <v>6.62</v>
      </c>
    </row>
    <row r="2588" spans="2:7" ht="13.8" customHeight="1" x14ac:dyDescent="0.25">
      <c r="B2588" s="35" t="s">
        <v>1</v>
      </c>
      <c r="C2588" s="35">
        <v>2773192</v>
      </c>
      <c r="D2588" s="35">
        <v>3.14</v>
      </c>
      <c r="E2588" s="35" t="s">
        <v>298</v>
      </c>
      <c r="F2588" s="31" t="str">
        <f t="shared" si="80"/>
        <v>C1.01.06</v>
      </c>
      <c r="G2588" s="34">
        <f t="shared" si="81"/>
        <v>3.14</v>
      </c>
    </row>
    <row r="2589" spans="2:7" ht="13.8" customHeight="1" x14ac:dyDescent="0.25">
      <c r="B2589" s="35" t="s">
        <v>1</v>
      </c>
      <c r="C2589" s="35">
        <v>2773189</v>
      </c>
      <c r="D2589" s="35">
        <v>0.17</v>
      </c>
      <c r="E2589" s="35" t="s">
        <v>298</v>
      </c>
      <c r="F2589" s="31" t="str">
        <f t="shared" si="80"/>
        <v>C1.01.06</v>
      </c>
      <c r="G2589" s="34">
        <f t="shared" si="81"/>
        <v>0.17</v>
      </c>
    </row>
    <row r="2590" spans="2:7" ht="13.8" customHeight="1" x14ac:dyDescent="0.25">
      <c r="B2590" s="35" t="s">
        <v>1</v>
      </c>
      <c r="C2590" s="35">
        <v>2773195</v>
      </c>
      <c r="D2590" s="35">
        <v>6.6</v>
      </c>
      <c r="E2590" s="35" t="s">
        <v>298</v>
      </c>
      <c r="F2590" s="31" t="str">
        <f t="shared" si="80"/>
        <v>C1.01.06</v>
      </c>
      <c r="G2590" s="34">
        <f t="shared" si="81"/>
        <v>6.6</v>
      </c>
    </row>
    <row r="2591" spans="2:7" ht="13.8" customHeight="1" x14ac:dyDescent="0.25">
      <c r="B2591" s="35" t="s">
        <v>1</v>
      </c>
      <c r="C2591" s="35">
        <v>2773201</v>
      </c>
      <c r="D2591" s="35">
        <v>0</v>
      </c>
      <c r="E2591" s="35" t="s">
        <v>298</v>
      </c>
      <c r="F2591" s="31" t="str">
        <f t="shared" si="80"/>
        <v>C1.01.06</v>
      </c>
      <c r="G2591" s="34">
        <f t="shared" si="81"/>
        <v>0</v>
      </c>
    </row>
    <row r="2592" spans="2:7" ht="13.8" customHeight="1" x14ac:dyDescent="0.25">
      <c r="B2592" s="35" t="s">
        <v>1</v>
      </c>
      <c r="C2592" s="35">
        <v>2773207</v>
      </c>
      <c r="D2592" s="35">
        <v>0.77</v>
      </c>
      <c r="E2592" s="35" t="s">
        <v>298</v>
      </c>
      <c r="F2592" s="31" t="str">
        <f t="shared" si="80"/>
        <v>C1.01.06</v>
      </c>
      <c r="G2592" s="34">
        <f t="shared" si="81"/>
        <v>0.77</v>
      </c>
    </row>
    <row r="2593" spans="2:7" ht="13.8" customHeight="1" x14ac:dyDescent="0.25">
      <c r="B2593" s="35" t="s">
        <v>1</v>
      </c>
      <c r="C2593" s="35">
        <v>2771836</v>
      </c>
      <c r="D2593" s="35">
        <v>0.16</v>
      </c>
      <c r="E2593" s="35" t="s">
        <v>299</v>
      </c>
      <c r="F2593" s="31" t="str">
        <f t="shared" si="80"/>
        <v>C1.01.01</v>
      </c>
      <c r="G2593" s="34">
        <f t="shared" si="81"/>
        <v>0.16</v>
      </c>
    </row>
    <row r="2594" spans="2:7" ht="13.8" customHeight="1" x14ac:dyDescent="0.25">
      <c r="B2594" s="35" t="s">
        <v>1</v>
      </c>
      <c r="C2594" s="35">
        <v>2771839</v>
      </c>
      <c r="D2594" s="35">
        <v>6.6</v>
      </c>
      <c r="E2594" s="35" t="s">
        <v>299</v>
      </c>
      <c r="F2594" s="31" t="str">
        <f t="shared" si="80"/>
        <v>C1.01.01</v>
      </c>
      <c r="G2594" s="34">
        <f t="shared" si="81"/>
        <v>6.6</v>
      </c>
    </row>
    <row r="2595" spans="2:7" ht="13.8" customHeight="1" x14ac:dyDescent="0.25">
      <c r="B2595" s="35" t="s">
        <v>1</v>
      </c>
      <c r="C2595" s="35">
        <v>2771842</v>
      </c>
      <c r="D2595" s="35">
        <v>3.73</v>
      </c>
      <c r="E2595" s="35" t="s">
        <v>299</v>
      </c>
      <c r="F2595" s="31" t="str">
        <f t="shared" si="80"/>
        <v>C1.01.01</v>
      </c>
      <c r="G2595" s="34">
        <f t="shared" si="81"/>
        <v>3.73</v>
      </c>
    </row>
    <row r="2596" spans="2:7" ht="13.8" customHeight="1" x14ac:dyDescent="0.25">
      <c r="B2596" s="35" t="s">
        <v>1</v>
      </c>
      <c r="C2596" s="35">
        <v>2771844</v>
      </c>
      <c r="D2596" s="35">
        <v>8.32</v>
      </c>
      <c r="E2596" s="35" t="s">
        <v>299</v>
      </c>
      <c r="F2596" s="31" t="str">
        <f t="shared" si="80"/>
        <v>C1.01.01</v>
      </c>
      <c r="G2596" s="34">
        <f t="shared" si="81"/>
        <v>8.32</v>
      </c>
    </row>
    <row r="2597" spans="2:7" ht="13.8" customHeight="1" x14ac:dyDescent="0.25">
      <c r="B2597" s="35" t="s">
        <v>1</v>
      </c>
      <c r="C2597" s="35">
        <v>2773172</v>
      </c>
      <c r="D2597" s="35">
        <v>1.25</v>
      </c>
      <c r="E2597" s="35" t="s">
        <v>299</v>
      </c>
      <c r="F2597" s="31" t="str">
        <f t="shared" si="80"/>
        <v>C1.01.01</v>
      </c>
      <c r="G2597" s="34">
        <f t="shared" si="81"/>
        <v>1.25</v>
      </c>
    </row>
    <row r="2598" spans="2:7" ht="13.8" customHeight="1" x14ac:dyDescent="0.25">
      <c r="B2598" s="35" t="s">
        <v>1</v>
      </c>
      <c r="C2598" s="35">
        <v>2770778</v>
      </c>
      <c r="D2598" s="35">
        <v>0.28999999999999998</v>
      </c>
      <c r="E2598" s="35" t="s">
        <v>281</v>
      </c>
      <c r="F2598" s="31" t="str">
        <f t="shared" si="80"/>
        <v>C1.14.02</v>
      </c>
      <c r="G2598" s="34">
        <f t="shared" si="81"/>
        <v>0.28999999999999998</v>
      </c>
    </row>
    <row r="2599" spans="2:7" ht="13.8" customHeight="1" x14ac:dyDescent="0.25">
      <c r="B2599" s="35" t="s">
        <v>1</v>
      </c>
      <c r="C2599" s="35">
        <v>2770781</v>
      </c>
      <c r="D2599" s="35">
        <v>1.59</v>
      </c>
      <c r="E2599" s="35" t="s">
        <v>281</v>
      </c>
      <c r="F2599" s="31" t="str">
        <f t="shared" si="80"/>
        <v>C1.14.02</v>
      </c>
      <c r="G2599" s="34">
        <f t="shared" si="81"/>
        <v>1.59</v>
      </c>
    </row>
    <row r="2600" spans="2:7" ht="13.8" customHeight="1" x14ac:dyDescent="0.25">
      <c r="B2600" s="35" t="s">
        <v>1</v>
      </c>
      <c r="C2600" s="35">
        <v>2770783</v>
      </c>
      <c r="D2600" s="35">
        <v>6.6</v>
      </c>
      <c r="E2600" s="35" t="s">
        <v>281</v>
      </c>
      <c r="F2600" s="31" t="str">
        <f t="shared" si="80"/>
        <v>C1.14.02</v>
      </c>
      <c r="G2600" s="34">
        <f t="shared" si="81"/>
        <v>6.6</v>
      </c>
    </row>
    <row r="2601" spans="2:7" ht="13.8" customHeight="1" x14ac:dyDescent="0.25">
      <c r="B2601" s="35" t="s">
        <v>1</v>
      </c>
      <c r="C2601" s="35">
        <v>2770784</v>
      </c>
      <c r="D2601" s="35">
        <v>8.32</v>
      </c>
      <c r="E2601" s="35" t="s">
        <v>281</v>
      </c>
      <c r="F2601" s="31" t="str">
        <f t="shared" si="80"/>
        <v>C1.14.02</v>
      </c>
      <c r="G2601" s="34">
        <f t="shared" si="81"/>
        <v>8.32</v>
      </c>
    </row>
    <row r="2602" spans="2:7" ht="13.8" customHeight="1" x14ac:dyDescent="0.25">
      <c r="B2602" s="35" t="s">
        <v>53</v>
      </c>
      <c r="C2602" s="35">
        <v>2766357</v>
      </c>
      <c r="D2602" s="35">
        <v>2.0699999999999998</v>
      </c>
      <c r="E2602" s="35" t="s">
        <v>216</v>
      </c>
      <c r="F2602" s="31" t="str">
        <f t="shared" si="80"/>
        <v>E2.34.05</v>
      </c>
      <c r="G2602" s="34">
        <f t="shared" si="81"/>
        <v>2.0699999999999998</v>
      </c>
    </row>
    <row r="2603" spans="2:7" ht="13.8" customHeight="1" x14ac:dyDescent="0.25">
      <c r="B2603" s="35" t="s">
        <v>53</v>
      </c>
      <c r="C2603" s="35">
        <v>2766359</v>
      </c>
      <c r="D2603" s="35">
        <v>0.18</v>
      </c>
      <c r="E2603" s="35" t="s">
        <v>216</v>
      </c>
      <c r="F2603" s="31" t="str">
        <f t="shared" si="80"/>
        <v>E2.34.05</v>
      </c>
      <c r="G2603" s="34">
        <f t="shared" si="81"/>
        <v>0.18</v>
      </c>
    </row>
    <row r="2604" spans="2:7" ht="13.8" customHeight="1" x14ac:dyDescent="0.25">
      <c r="B2604" s="35" t="s">
        <v>53</v>
      </c>
      <c r="C2604" s="35">
        <v>2766361</v>
      </c>
      <c r="D2604" s="35">
        <v>1.02</v>
      </c>
      <c r="E2604" s="35" t="s">
        <v>216</v>
      </c>
      <c r="F2604" s="31" t="str">
        <f t="shared" si="80"/>
        <v>E2.34.05</v>
      </c>
      <c r="G2604" s="34">
        <f t="shared" si="81"/>
        <v>1.02</v>
      </c>
    </row>
    <row r="2605" spans="2:7" ht="13.8" customHeight="1" x14ac:dyDescent="0.25">
      <c r="B2605" s="35" t="s">
        <v>53</v>
      </c>
      <c r="C2605" s="35">
        <v>2766364</v>
      </c>
      <c r="D2605" s="35">
        <v>7.4</v>
      </c>
      <c r="E2605" s="35" t="s">
        <v>216</v>
      </c>
      <c r="F2605" s="31" t="str">
        <f t="shared" si="80"/>
        <v>E2.34.05</v>
      </c>
      <c r="G2605" s="34">
        <f t="shared" si="81"/>
        <v>7.4</v>
      </c>
    </row>
    <row r="2606" spans="2:7" ht="13.8" customHeight="1" x14ac:dyDescent="0.25">
      <c r="B2606" s="35" t="s">
        <v>53</v>
      </c>
      <c r="C2606" s="35">
        <v>2766365</v>
      </c>
      <c r="D2606" s="35">
        <v>4.5199999999999996</v>
      </c>
      <c r="E2606" s="35" t="s">
        <v>216</v>
      </c>
      <c r="F2606" s="31" t="str">
        <f t="shared" si="80"/>
        <v>E2.34.05</v>
      </c>
      <c r="G2606" s="34">
        <f t="shared" si="81"/>
        <v>4.5199999999999996</v>
      </c>
    </row>
    <row r="2607" spans="2:7" ht="13.8" customHeight="1" x14ac:dyDescent="0.25">
      <c r="B2607" s="35" t="s">
        <v>53</v>
      </c>
      <c r="C2607" s="35">
        <v>2766432</v>
      </c>
      <c r="D2607" s="35">
        <v>3.96</v>
      </c>
      <c r="E2607" s="35" t="s">
        <v>217</v>
      </c>
      <c r="F2607" s="31" t="str">
        <f t="shared" si="80"/>
        <v>E2.34.06</v>
      </c>
      <c r="G2607" s="34">
        <f t="shared" si="81"/>
        <v>3.96</v>
      </c>
    </row>
    <row r="2608" spans="2:7" ht="13.8" customHeight="1" x14ac:dyDescent="0.25">
      <c r="B2608" s="35" t="s">
        <v>53</v>
      </c>
      <c r="C2608" s="35">
        <v>2766434</v>
      </c>
      <c r="D2608" s="35">
        <v>10.44</v>
      </c>
      <c r="E2608" s="35" t="s">
        <v>217</v>
      </c>
      <c r="F2608" s="31" t="str">
        <f t="shared" si="80"/>
        <v>E2.34.06</v>
      </c>
      <c r="G2608" s="34">
        <f t="shared" si="81"/>
        <v>10.44</v>
      </c>
    </row>
    <row r="2609" spans="2:7" ht="13.8" customHeight="1" x14ac:dyDescent="0.25">
      <c r="B2609" s="35" t="s">
        <v>53</v>
      </c>
      <c r="C2609" s="35">
        <v>2766436</v>
      </c>
      <c r="D2609" s="35">
        <v>4.37</v>
      </c>
      <c r="E2609" s="35" t="s">
        <v>217</v>
      </c>
      <c r="F2609" s="31" t="str">
        <f t="shared" si="80"/>
        <v>E2.34.06</v>
      </c>
      <c r="G2609" s="34">
        <f t="shared" si="81"/>
        <v>4.37</v>
      </c>
    </row>
    <row r="2610" spans="2:7" ht="13.8" customHeight="1" x14ac:dyDescent="0.25">
      <c r="B2610" s="35" t="s">
        <v>53</v>
      </c>
      <c r="C2610" s="35">
        <v>2766503</v>
      </c>
      <c r="D2610" s="35">
        <v>3.96</v>
      </c>
      <c r="E2610" s="35" t="s">
        <v>218</v>
      </c>
      <c r="F2610" s="31" t="str">
        <f t="shared" si="80"/>
        <v>E2.34.04</v>
      </c>
      <c r="G2610" s="34">
        <f t="shared" si="81"/>
        <v>3.96</v>
      </c>
    </row>
    <row r="2611" spans="2:7" ht="13.8" customHeight="1" x14ac:dyDescent="0.25">
      <c r="B2611" s="35" t="s">
        <v>53</v>
      </c>
      <c r="C2611" s="35">
        <v>2766505</v>
      </c>
      <c r="D2611" s="35">
        <v>6.91</v>
      </c>
      <c r="E2611" s="35" t="s">
        <v>218</v>
      </c>
      <c r="F2611" s="31" t="str">
        <f t="shared" si="80"/>
        <v>E2.34.04</v>
      </c>
      <c r="G2611" s="34">
        <f t="shared" si="81"/>
        <v>6.91</v>
      </c>
    </row>
    <row r="2612" spans="2:7" ht="13.8" customHeight="1" x14ac:dyDescent="0.25">
      <c r="B2612" s="35" t="s">
        <v>53</v>
      </c>
      <c r="C2612" s="35">
        <v>2766507</v>
      </c>
      <c r="D2612" s="35">
        <v>1.92</v>
      </c>
      <c r="E2612" s="35" t="s">
        <v>218</v>
      </c>
      <c r="F2612" s="31" t="str">
        <f t="shared" si="80"/>
        <v>E2.34.04</v>
      </c>
      <c r="G2612" s="34">
        <f t="shared" si="81"/>
        <v>1.92</v>
      </c>
    </row>
    <row r="2613" spans="2:7" ht="13.8" customHeight="1" x14ac:dyDescent="0.25">
      <c r="B2613" s="35" t="s">
        <v>53</v>
      </c>
      <c r="C2613" s="35">
        <v>2766574</v>
      </c>
      <c r="D2613" s="35">
        <v>6.92</v>
      </c>
      <c r="E2613" s="35" t="s">
        <v>219</v>
      </c>
      <c r="F2613" s="31" t="str">
        <f t="shared" si="80"/>
        <v>E2.34.01</v>
      </c>
      <c r="G2613" s="34">
        <f t="shared" si="81"/>
        <v>6.92</v>
      </c>
    </row>
    <row r="2614" spans="2:7" ht="13.8" customHeight="1" x14ac:dyDescent="0.25">
      <c r="B2614" s="35" t="s">
        <v>53</v>
      </c>
      <c r="C2614" s="35">
        <v>2766577</v>
      </c>
      <c r="D2614" s="35">
        <v>3.96</v>
      </c>
      <c r="E2614" s="35" t="s">
        <v>219</v>
      </c>
      <c r="F2614" s="31" t="str">
        <f t="shared" si="80"/>
        <v>E2.34.01</v>
      </c>
      <c r="G2614" s="34">
        <f t="shared" si="81"/>
        <v>3.96</v>
      </c>
    </row>
    <row r="2615" spans="2:7" ht="13.8" customHeight="1" x14ac:dyDescent="0.25">
      <c r="B2615" s="35" t="s">
        <v>53</v>
      </c>
      <c r="C2615" s="35">
        <v>2766578</v>
      </c>
      <c r="D2615" s="35">
        <v>1.92</v>
      </c>
      <c r="E2615" s="35" t="s">
        <v>219</v>
      </c>
      <c r="F2615" s="31" t="str">
        <f t="shared" si="80"/>
        <v>E2.34.01</v>
      </c>
      <c r="G2615" s="34">
        <f t="shared" si="81"/>
        <v>1.92</v>
      </c>
    </row>
    <row r="2616" spans="2:7" ht="13.8" customHeight="1" x14ac:dyDescent="0.25">
      <c r="B2616" s="35" t="s">
        <v>53</v>
      </c>
      <c r="C2616" s="35">
        <v>2766664</v>
      </c>
      <c r="D2616" s="35">
        <v>1.02</v>
      </c>
      <c r="E2616" s="35" t="s">
        <v>220</v>
      </c>
      <c r="F2616" s="31" t="str">
        <f t="shared" si="80"/>
        <v>E2.34.02</v>
      </c>
      <c r="G2616" s="34">
        <f t="shared" si="81"/>
        <v>1.02</v>
      </c>
    </row>
    <row r="2617" spans="2:7" ht="13.8" customHeight="1" x14ac:dyDescent="0.25">
      <c r="B2617" s="35" t="s">
        <v>53</v>
      </c>
      <c r="C2617" s="35">
        <v>2766667</v>
      </c>
      <c r="D2617" s="35">
        <v>0.18</v>
      </c>
      <c r="E2617" s="35" t="s">
        <v>220</v>
      </c>
      <c r="F2617" s="31" t="str">
        <f t="shared" si="80"/>
        <v>E2.34.02</v>
      </c>
      <c r="G2617" s="34">
        <f t="shared" si="81"/>
        <v>0.18</v>
      </c>
    </row>
    <row r="2618" spans="2:7" ht="13.8" customHeight="1" x14ac:dyDescent="0.25">
      <c r="B2618" s="35" t="s">
        <v>53</v>
      </c>
      <c r="C2618" s="35">
        <v>2766670</v>
      </c>
      <c r="D2618" s="35">
        <v>2.0699999999999998</v>
      </c>
      <c r="E2618" s="35" t="s">
        <v>220</v>
      </c>
      <c r="F2618" s="31" t="str">
        <f t="shared" si="80"/>
        <v>E2.34.02</v>
      </c>
      <c r="G2618" s="34">
        <f t="shared" si="81"/>
        <v>2.0699999999999998</v>
      </c>
    </row>
    <row r="2619" spans="2:7" ht="13.8" customHeight="1" x14ac:dyDescent="0.25">
      <c r="B2619" s="35" t="s">
        <v>53</v>
      </c>
      <c r="C2619" s="35">
        <v>2766671</v>
      </c>
      <c r="D2619" s="35">
        <v>7.4</v>
      </c>
      <c r="E2619" s="35" t="s">
        <v>220</v>
      </c>
      <c r="F2619" s="31" t="str">
        <f t="shared" si="80"/>
        <v>E2.34.02</v>
      </c>
      <c r="G2619" s="34">
        <f t="shared" si="81"/>
        <v>7.4</v>
      </c>
    </row>
    <row r="2620" spans="2:7" ht="13.8" customHeight="1" x14ac:dyDescent="0.25">
      <c r="B2620" s="35" t="s">
        <v>53</v>
      </c>
      <c r="C2620" s="35">
        <v>2766672</v>
      </c>
      <c r="D2620" s="35">
        <v>4.53</v>
      </c>
      <c r="E2620" s="35" t="s">
        <v>220</v>
      </c>
      <c r="F2620" s="31" t="str">
        <f t="shared" si="80"/>
        <v>E2.34.02</v>
      </c>
      <c r="G2620" s="34">
        <f t="shared" si="81"/>
        <v>4.53</v>
      </c>
    </row>
    <row r="2621" spans="2:7" ht="13.8" customHeight="1" x14ac:dyDescent="0.25">
      <c r="B2621" s="35" t="s">
        <v>53</v>
      </c>
      <c r="C2621" s="35">
        <v>2766742</v>
      </c>
      <c r="D2621" s="35">
        <v>10.42</v>
      </c>
      <c r="E2621" s="35" t="s">
        <v>221</v>
      </c>
      <c r="F2621" s="31" t="str">
        <f t="shared" si="80"/>
        <v>E2.34.03</v>
      </c>
      <c r="G2621" s="34">
        <f t="shared" si="81"/>
        <v>10.42</v>
      </c>
    </row>
    <row r="2622" spans="2:7" ht="13.8" customHeight="1" x14ac:dyDescent="0.25">
      <c r="B2622" s="35" t="s">
        <v>53</v>
      </c>
      <c r="C2622" s="35">
        <v>2766745</v>
      </c>
      <c r="D2622" s="35">
        <v>3.96</v>
      </c>
      <c r="E2622" s="35" t="s">
        <v>221</v>
      </c>
      <c r="F2622" s="31" t="str">
        <f t="shared" si="80"/>
        <v>E2.34.03</v>
      </c>
      <c r="G2622" s="34">
        <f t="shared" si="81"/>
        <v>3.96</v>
      </c>
    </row>
    <row r="2623" spans="2:7" ht="13.8" customHeight="1" x14ac:dyDescent="0.25">
      <c r="B2623" s="35" t="s">
        <v>53</v>
      </c>
      <c r="C2623" s="35">
        <v>2766746</v>
      </c>
      <c r="D2623" s="35">
        <v>4.38</v>
      </c>
      <c r="E2623" s="35" t="s">
        <v>221</v>
      </c>
      <c r="F2623" s="31" t="str">
        <f t="shared" si="80"/>
        <v>E2.34.03</v>
      </c>
      <c r="G2623" s="34">
        <f t="shared" si="81"/>
        <v>4.38</v>
      </c>
    </row>
    <row r="2624" spans="2:7" ht="13.8" customHeight="1" x14ac:dyDescent="0.25">
      <c r="B2624" s="35" t="s">
        <v>53</v>
      </c>
      <c r="C2624" s="35">
        <v>2766812</v>
      </c>
      <c r="D2624" s="35">
        <v>6.6</v>
      </c>
      <c r="E2624" s="35" t="s">
        <v>222</v>
      </c>
      <c r="F2624" s="31" t="str">
        <f t="shared" si="80"/>
        <v>D1.09.02</v>
      </c>
      <c r="G2624" s="34">
        <f t="shared" si="81"/>
        <v>6.6</v>
      </c>
    </row>
    <row r="2625" spans="2:7" ht="13.8" customHeight="1" x14ac:dyDescent="0.25">
      <c r="B2625" s="35" t="s">
        <v>53</v>
      </c>
      <c r="C2625" s="35">
        <v>2766814</v>
      </c>
      <c r="D2625" s="35">
        <v>12.49</v>
      </c>
      <c r="E2625" s="35" t="s">
        <v>222</v>
      </c>
      <c r="F2625" s="31" t="str">
        <f t="shared" si="80"/>
        <v>D1.09.02</v>
      </c>
      <c r="G2625" s="34">
        <f t="shared" si="81"/>
        <v>12.49</v>
      </c>
    </row>
    <row r="2626" spans="2:7" ht="13.8" customHeight="1" x14ac:dyDescent="0.25">
      <c r="B2626" s="35" t="s">
        <v>53</v>
      </c>
      <c r="C2626" s="35">
        <v>2766877</v>
      </c>
      <c r="D2626" s="35">
        <v>1.86</v>
      </c>
      <c r="E2626" s="35" t="s">
        <v>223</v>
      </c>
      <c r="F2626" s="31" t="str">
        <f t="shared" si="80"/>
        <v>D1.09.03</v>
      </c>
      <c r="G2626" s="34">
        <f t="shared" si="81"/>
        <v>1.86</v>
      </c>
    </row>
    <row r="2627" spans="2:7" ht="13.8" customHeight="1" x14ac:dyDescent="0.25">
      <c r="B2627" s="35" t="s">
        <v>53</v>
      </c>
      <c r="C2627" s="35">
        <v>2766880</v>
      </c>
      <c r="D2627" s="35">
        <v>5.03</v>
      </c>
      <c r="E2627" s="35" t="s">
        <v>223</v>
      </c>
      <c r="F2627" s="31" t="str">
        <f t="shared" si="80"/>
        <v>D1.09.03</v>
      </c>
      <c r="G2627" s="34">
        <f t="shared" si="81"/>
        <v>5.03</v>
      </c>
    </row>
    <row r="2628" spans="2:7" ht="13.8" customHeight="1" x14ac:dyDescent="0.25">
      <c r="B2628" s="35" t="s">
        <v>53</v>
      </c>
      <c r="C2628" s="35">
        <v>2766882</v>
      </c>
      <c r="D2628" s="35">
        <v>6.6</v>
      </c>
      <c r="E2628" s="35" t="s">
        <v>223</v>
      </c>
      <c r="F2628" s="31" t="str">
        <f t="shared" si="80"/>
        <v>D1.09.03</v>
      </c>
      <c r="G2628" s="34">
        <f t="shared" si="81"/>
        <v>6.6</v>
      </c>
    </row>
    <row r="2629" spans="2:7" ht="13.8" customHeight="1" x14ac:dyDescent="0.25">
      <c r="B2629" s="35" t="s">
        <v>53</v>
      </c>
      <c r="C2629" s="35">
        <v>2766883</v>
      </c>
      <c r="D2629" s="35">
        <v>6.24</v>
      </c>
      <c r="E2629" s="35" t="s">
        <v>223</v>
      </c>
      <c r="F2629" s="31" t="str">
        <f t="shared" si="80"/>
        <v>D1.09.03</v>
      </c>
      <c r="G2629" s="34">
        <f t="shared" si="81"/>
        <v>6.24</v>
      </c>
    </row>
    <row r="2630" spans="2:7" ht="13.8" customHeight="1" x14ac:dyDescent="0.25">
      <c r="B2630" s="35" t="s">
        <v>53</v>
      </c>
      <c r="C2630" s="35">
        <v>2766944</v>
      </c>
      <c r="D2630" s="35">
        <v>2.84</v>
      </c>
      <c r="E2630" s="35" t="s">
        <v>224</v>
      </c>
      <c r="F2630" s="31" t="str">
        <f t="shared" si="80"/>
        <v>D1.12.01</v>
      </c>
      <c r="G2630" s="34">
        <f t="shared" si="81"/>
        <v>2.84</v>
      </c>
    </row>
    <row r="2631" spans="2:7" ht="13.8" customHeight="1" x14ac:dyDescent="0.25">
      <c r="B2631" s="35" t="s">
        <v>53</v>
      </c>
      <c r="C2631" s="35">
        <v>2766947</v>
      </c>
      <c r="D2631" s="35">
        <v>6.6</v>
      </c>
      <c r="E2631" s="35" t="s">
        <v>224</v>
      </c>
      <c r="F2631" s="31" t="str">
        <f t="shared" ref="F2631:F2694" si="82">LEFT(E2631,8)</f>
        <v>D1.12.01</v>
      </c>
      <c r="G2631" s="34">
        <f t="shared" ref="G2631:G2694" si="83">D2631</f>
        <v>6.6</v>
      </c>
    </row>
    <row r="2632" spans="2:7" ht="13.8" customHeight="1" x14ac:dyDescent="0.25">
      <c r="B2632" s="35" t="s">
        <v>53</v>
      </c>
      <c r="C2632" s="35">
        <v>2766948</v>
      </c>
      <c r="D2632" s="35">
        <v>2.12</v>
      </c>
      <c r="E2632" s="35" t="s">
        <v>224</v>
      </c>
      <c r="F2632" s="31" t="str">
        <f t="shared" si="82"/>
        <v>D1.12.01</v>
      </c>
      <c r="G2632" s="34">
        <f t="shared" si="83"/>
        <v>2.12</v>
      </c>
    </row>
    <row r="2633" spans="2:7" ht="13.8" customHeight="1" x14ac:dyDescent="0.25">
      <c r="B2633" s="35" t="s">
        <v>53</v>
      </c>
      <c r="C2633" s="35">
        <v>2766951</v>
      </c>
      <c r="D2633" s="35">
        <v>0.9</v>
      </c>
      <c r="E2633" s="35" t="s">
        <v>224</v>
      </c>
      <c r="F2633" s="31" t="str">
        <f t="shared" si="82"/>
        <v>D1.12.01</v>
      </c>
      <c r="G2633" s="34">
        <f t="shared" si="83"/>
        <v>0.9</v>
      </c>
    </row>
    <row r="2634" spans="2:7" ht="13.8" customHeight="1" x14ac:dyDescent="0.25">
      <c r="B2634" s="35" t="s">
        <v>53</v>
      </c>
      <c r="C2634" s="35">
        <v>2766952</v>
      </c>
      <c r="D2634" s="35">
        <v>9.7200000000000006</v>
      </c>
      <c r="E2634" s="35" t="s">
        <v>224</v>
      </c>
      <c r="F2634" s="31" t="str">
        <f t="shared" si="82"/>
        <v>D1.12.01</v>
      </c>
      <c r="G2634" s="34">
        <f t="shared" si="83"/>
        <v>9.7200000000000006</v>
      </c>
    </row>
    <row r="2635" spans="2:7" ht="13.8" customHeight="1" x14ac:dyDescent="0.25">
      <c r="B2635" s="35" t="s">
        <v>53</v>
      </c>
      <c r="C2635" s="35">
        <v>2766989</v>
      </c>
      <c r="D2635" s="35">
        <v>6.6</v>
      </c>
      <c r="E2635" s="35" t="s">
        <v>225</v>
      </c>
      <c r="F2635" s="31" t="str">
        <f t="shared" si="82"/>
        <v>D1.12.02</v>
      </c>
      <c r="G2635" s="34">
        <f t="shared" si="83"/>
        <v>6.6</v>
      </c>
    </row>
    <row r="2636" spans="2:7" ht="13.8" customHeight="1" x14ac:dyDescent="0.25">
      <c r="B2636" s="35" t="s">
        <v>53</v>
      </c>
      <c r="C2636" s="35">
        <v>2766991</v>
      </c>
      <c r="D2636" s="35">
        <v>6.6</v>
      </c>
      <c r="E2636" s="35" t="s">
        <v>225</v>
      </c>
      <c r="F2636" s="31" t="str">
        <f t="shared" si="82"/>
        <v>D1.12.02</v>
      </c>
      <c r="G2636" s="34">
        <f t="shared" si="83"/>
        <v>6.6</v>
      </c>
    </row>
    <row r="2637" spans="2:7" ht="13.8" customHeight="1" x14ac:dyDescent="0.25">
      <c r="B2637" s="35" t="s">
        <v>53</v>
      </c>
      <c r="C2637" s="35">
        <v>2766993</v>
      </c>
      <c r="D2637" s="35">
        <v>5.96</v>
      </c>
      <c r="E2637" s="35" t="s">
        <v>225</v>
      </c>
      <c r="F2637" s="31" t="str">
        <f t="shared" si="82"/>
        <v>D1.12.02</v>
      </c>
      <c r="G2637" s="34">
        <f t="shared" si="83"/>
        <v>5.96</v>
      </c>
    </row>
    <row r="2638" spans="2:7" ht="13.8" customHeight="1" x14ac:dyDescent="0.25">
      <c r="B2638" s="35" t="s">
        <v>53</v>
      </c>
      <c r="C2638" s="35">
        <v>2767339</v>
      </c>
      <c r="D2638" s="35">
        <v>6.6</v>
      </c>
      <c r="E2638" s="35" t="s">
        <v>231</v>
      </c>
      <c r="F2638" s="31" t="str">
        <f t="shared" si="82"/>
        <v>B1.11.01</v>
      </c>
      <c r="G2638" s="34">
        <f t="shared" si="83"/>
        <v>6.6</v>
      </c>
    </row>
    <row r="2639" spans="2:7" ht="13.8" customHeight="1" x14ac:dyDescent="0.25">
      <c r="B2639" s="35" t="s">
        <v>53</v>
      </c>
      <c r="C2639" s="35">
        <v>2767341</v>
      </c>
      <c r="D2639" s="35">
        <v>4.6900000000000004</v>
      </c>
      <c r="E2639" s="35" t="s">
        <v>231</v>
      </c>
      <c r="F2639" s="31" t="str">
        <f t="shared" si="82"/>
        <v>B1.11.01</v>
      </c>
      <c r="G2639" s="34">
        <f t="shared" si="83"/>
        <v>4.6900000000000004</v>
      </c>
    </row>
    <row r="2640" spans="2:7" ht="13.8" customHeight="1" x14ac:dyDescent="0.25">
      <c r="B2640" s="35" t="s">
        <v>53</v>
      </c>
      <c r="C2640" s="35">
        <v>2767375</v>
      </c>
      <c r="D2640" s="35">
        <v>7.57</v>
      </c>
      <c r="E2640" s="35" t="s">
        <v>232</v>
      </c>
      <c r="F2640" s="31" t="str">
        <f t="shared" si="82"/>
        <v>B1.11.02</v>
      </c>
      <c r="G2640" s="34">
        <f t="shared" si="83"/>
        <v>7.57</v>
      </c>
    </row>
    <row r="2641" spans="2:7" ht="13.8" customHeight="1" x14ac:dyDescent="0.25">
      <c r="B2641" s="35" t="s">
        <v>53</v>
      </c>
      <c r="C2641" s="35">
        <v>2767378</v>
      </c>
      <c r="D2641" s="35">
        <v>6.6</v>
      </c>
      <c r="E2641" s="35" t="s">
        <v>232</v>
      </c>
      <c r="F2641" s="31" t="str">
        <f t="shared" si="82"/>
        <v>B1.11.02</v>
      </c>
      <c r="G2641" s="34">
        <f t="shared" si="83"/>
        <v>6.6</v>
      </c>
    </row>
    <row r="2642" spans="2:7" ht="13.8" customHeight="1" x14ac:dyDescent="0.25">
      <c r="B2642" s="35" t="s">
        <v>53</v>
      </c>
      <c r="C2642" s="35">
        <v>2767379</v>
      </c>
      <c r="D2642" s="35">
        <v>6.6</v>
      </c>
      <c r="E2642" s="35" t="s">
        <v>232</v>
      </c>
      <c r="F2642" s="31" t="str">
        <f t="shared" si="82"/>
        <v>B1.11.02</v>
      </c>
      <c r="G2642" s="34">
        <f t="shared" si="83"/>
        <v>6.6</v>
      </c>
    </row>
    <row r="2643" spans="2:7" ht="13.8" customHeight="1" x14ac:dyDescent="0.25">
      <c r="B2643" s="35" t="s">
        <v>53</v>
      </c>
      <c r="C2643" s="35">
        <v>2767686</v>
      </c>
      <c r="D2643" s="35">
        <v>9.16</v>
      </c>
      <c r="E2643" s="35" t="s">
        <v>238</v>
      </c>
      <c r="F2643" s="31" t="str">
        <f t="shared" si="82"/>
        <v>B1.08.02</v>
      </c>
      <c r="G2643" s="34">
        <f t="shared" si="83"/>
        <v>9.16</v>
      </c>
    </row>
    <row r="2644" spans="2:7" ht="13.8" customHeight="1" x14ac:dyDescent="0.25">
      <c r="B2644" s="35" t="s">
        <v>53</v>
      </c>
      <c r="C2644" s="35">
        <v>2767689</v>
      </c>
      <c r="D2644" s="35">
        <v>1</v>
      </c>
      <c r="E2644" s="35" t="s">
        <v>238</v>
      </c>
      <c r="F2644" s="31" t="str">
        <f t="shared" si="82"/>
        <v>B1.08.02</v>
      </c>
      <c r="G2644" s="34">
        <f t="shared" si="83"/>
        <v>1</v>
      </c>
    </row>
    <row r="2645" spans="2:7" ht="13.8" customHeight="1" x14ac:dyDescent="0.25">
      <c r="B2645" s="35" t="s">
        <v>53</v>
      </c>
      <c r="C2645" s="35">
        <v>2767691</v>
      </c>
      <c r="D2645" s="35">
        <v>1.36</v>
      </c>
      <c r="E2645" s="35" t="s">
        <v>238</v>
      </c>
      <c r="F2645" s="31" t="str">
        <f t="shared" si="82"/>
        <v>B1.08.02</v>
      </c>
      <c r="G2645" s="34">
        <f t="shared" si="83"/>
        <v>1.36</v>
      </c>
    </row>
    <row r="2646" spans="2:7" ht="13.8" customHeight="1" x14ac:dyDescent="0.25">
      <c r="B2646" s="35" t="s">
        <v>53</v>
      </c>
      <c r="C2646" s="35">
        <v>2767692</v>
      </c>
      <c r="D2646" s="35">
        <v>6.6</v>
      </c>
      <c r="E2646" s="35" t="s">
        <v>238</v>
      </c>
      <c r="F2646" s="31" t="str">
        <f t="shared" si="82"/>
        <v>B1.08.02</v>
      </c>
      <c r="G2646" s="34">
        <f t="shared" si="83"/>
        <v>6.6</v>
      </c>
    </row>
    <row r="2647" spans="2:7" ht="13.8" customHeight="1" x14ac:dyDescent="0.25">
      <c r="B2647" s="35" t="s">
        <v>53</v>
      </c>
      <c r="C2647" s="35">
        <v>2767743</v>
      </c>
      <c r="D2647" s="35">
        <v>6.6</v>
      </c>
      <c r="E2647" s="35" t="s">
        <v>239</v>
      </c>
      <c r="F2647" s="31" t="str">
        <f t="shared" si="82"/>
        <v>B1.08.03</v>
      </c>
      <c r="G2647" s="34">
        <f t="shared" si="83"/>
        <v>6.6</v>
      </c>
    </row>
    <row r="2648" spans="2:7" ht="13.8" customHeight="1" x14ac:dyDescent="0.25">
      <c r="B2648" s="35" t="s">
        <v>53</v>
      </c>
      <c r="C2648" s="35">
        <v>2767745</v>
      </c>
      <c r="D2648" s="35">
        <v>7.61</v>
      </c>
      <c r="E2648" s="35" t="s">
        <v>239</v>
      </c>
      <c r="F2648" s="31" t="str">
        <f t="shared" si="82"/>
        <v>B1.08.03</v>
      </c>
      <c r="G2648" s="34">
        <f t="shared" si="83"/>
        <v>7.61</v>
      </c>
    </row>
    <row r="2649" spans="2:7" ht="13.8" customHeight="1" x14ac:dyDescent="0.25">
      <c r="B2649" s="35" t="s">
        <v>53</v>
      </c>
      <c r="C2649" s="35">
        <v>2767803</v>
      </c>
      <c r="D2649" s="35">
        <v>2.46</v>
      </c>
      <c r="E2649" s="35" t="s">
        <v>240</v>
      </c>
      <c r="F2649" s="31" t="str">
        <f t="shared" si="82"/>
        <v>A3.10.01</v>
      </c>
      <c r="G2649" s="34">
        <f t="shared" si="83"/>
        <v>2.46</v>
      </c>
    </row>
    <row r="2650" spans="2:7" ht="13.8" customHeight="1" x14ac:dyDescent="0.25">
      <c r="B2650" s="35" t="s">
        <v>53</v>
      </c>
      <c r="C2650" s="35">
        <v>2767806</v>
      </c>
      <c r="D2650" s="35">
        <v>2.41</v>
      </c>
      <c r="E2650" s="35" t="s">
        <v>240</v>
      </c>
      <c r="F2650" s="31" t="str">
        <f t="shared" si="82"/>
        <v>A3.10.01</v>
      </c>
      <c r="G2650" s="34">
        <f t="shared" si="83"/>
        <v>2.41</v>
      </c>
    </row>
    <row r="2651" spans="2:7" ht="13.8" customHeight="1" x14ac:dyDescent="0.25">
      <c r="B2651" s="35" t="s">
        <v>53</v>
      </c>
      <c r="C2651" s="35">
        <v>2767808</v>
      </c>
      <c r="D2651" s="35">
        <v>2.71</v>
      </c>
      <c r="E2651" s="35" t="s">
        <v>240</v>
      </c>
      <c r="F2651" s="31" t="str">
        <f t="shared" si="82"/>
        <v>A3.10.01</v>
      </c>
      <c r="G2651" s="34">
        <f t="shared" si="83"/>
        <v>2.71</v>
      </c>
    </row>
    <row r="2652" spans="2:7" ht="13.8" customHeight="1" x14ac:dyDescent="0.25">
      <c r="B2652" s="35" t="s">
        <v>53</v>
      </c>
      <c r="C2652" s="35">
        <v>2767810</v>
      </c>
      <c r="D2652" s="35">
        <v>10.29</v>
      </c>
      <c r="E2652" s="35" t="s">
        <v>240</v>
      </c>
      <c r="F2652" s="31" t="str">
        <f t="shared" si="82"/>
        <v>A3.10.01</v>
      </c>
      <c r="G2652" s="34">
        <f t="shared" si="83"/>
        <v>10.29</v>
      </c>
    </row>
    <row r="2653" spans="2:7" ht="13.8" customHeight="1" x14ac:dyDescent="0.25">
      <c r="B2653" s="35" t="s">
        <v>53</v>
      </c>
      <c r="C2653" s="35">
        <v>2767811</v>
      </c>
      <c r="D2653" s="35">
        <v>1.55</v>
      </c>
      <c r="E2653" s="35" t="s">
        <v>240</v>
      </c>
      <c r="F2653" s="31" t="str">
        <f t="shared" si="82"/>
        <v>A3.10.01</v>
      </c>
      <c r="G2653" s="34">
        <f t="shared" si="83"/>
        <v>1.55</v>
      </c>
    </row>
    <row r="2654" spans="2:7" ht="13.8" customHeight="1" x14ac:dyDescent="0.25">
      <c r="B2654" s="35" t="s">
        <v>53</v>
      </c>
      <c r="C2654" s="35">
        <v>2767813</v>
      </c>
      <c r="D2654" s="35">
        <v>2.46</v>
      </c>
      <c r="E2654" s="35" t="s">
        <v>240</v>
      </c>
      <c r="F2654" s="31" t="str">
        <f t="shared" si="82"/>
        <v>A3.10.01</v>
      </c>
      <c r="G2654" s="34">
        <f t="shared" si="83"/>
        <v>2.46</v>
      </c>
    </row>
    <row r="2655" spans="2:7" ht="13.8" customHeight="1" x14ac:dyDescent="0.25">
      <c r="B2655" s="35" t="s">
        <v>53</v>
      </c>
      <c r="C2655" s="35">
        <v>2767873</v>
      </c>
      <c r="D2655" s="35">
        <v>3.65</v>
      </c>
      <c r="E2655" s="35" t="s">
        <v>241</v>
      </c>
      <c r="F2655" s="31" t="str">
        <f t="shared" si="82"/>
        <v>A3.10.05</v>
      </c>
      <c r="G2655" s="34">
        <f t="shared" si="83"/>
        <v>3.65</v>
      </c>
    </row>
    <row r="2656" spans="2:7" ht="13.8" customHeight="1" x14ac:dyDescent="0.25">
      <c r="B2656" s="35" t="s">
        <v>53</v>
      </c>
      <c r="C2656" s="35">
        <v>2767876</v>
      </c>
      <c r="D2656" s="35">
        <v>0.61</v>
      </c>
      <c r="E2656" s="35" t="s">
        <v>241</v>
      </c>
      <c r="F2656" s="31" t="str">
        <f t="shared" si="82"/>
        <v>A3.10.05</v>
      </c>
      <c r="G2656" s="34">
        <f t="shared" si="83"/>
        <v>0.61</v>
      </c>
    </row>
    <row r="2657" spans="2:7" ht="13.8" customHeight="1" x14ac:dyDescent="0.25">
      <c r="B2657" s="35" t="s">
        <v>53</v>
      </c>
      <c r="C2657" s="35">
        <v>2767879</v>
      </c>
      <c r="D2657" s="35">
        <v>1.86</v>
      </c>
      <c r="E2657" s="35" t="s">
        <v>241</v>
      </c>
      <c r="F2657" s="31" t="str">
        <f t="shared" si="82"/>
        <v>A3.10.05</v>
      </c>
      <c r="G2657" s="34">
        <f t="shared" si="83"/>
        <v>1.86</v>
      </c>
    </row>
    <row r="2658" spans="2:7" ht="13.8" customHeight="1" x14ac:dyDescent="0.25">
      <c r="B2658" s="35" t="s">
        <v>53</v>
      </c>
      <c r="C2658" s="35">
        <v>2767881</v>
      </c>
      <c r="D2658" s="35">
        <v>0.8</v>
      </c>
      <c r="E2658" s="35" t="s">
        <v>241</v>
      </c>
      <c r="F2658" s="31" t="str">
        <f t="shared" si="82"/>
        <v>A3.10.05</v>
      </c>
      <c r="G2658" s="34">
        <f t="shared" si="83"/>
        <v>0.8</v>
      </c>
    </row>
    <row r="2659" spans="2:7" ht="13.8" customHeight="1" x14ac:dyDescent="0.25">
      <c r="B2659" s="35" t="s">
        <v>53</v>
      </c>
      <c r="C2659" s="35">
        <v>2767882</v>
      </c>
      <c r="D2659" s="35">
        <v>5.04</v>
      </c>
      <c r="E2659" s="35" t="s">
        <v>241</v>
      </c>
      <c r="F2659" s="31" t="str">
        <f t="shared" si="82"/>
        <v>A3.10.05</v>
      </c>
      <c r="G2659" s="34">
        <f t="shared" si="83"/>
        <v>5.04</v>
      </c>
    </row>
    <row r="2660" spans="2:7" ht="13.8" customHeight="1" x14ac:dyDescent="0.25">
      <c r="B2660" s="35" t="s">
        <v>53</v>
      </c>
      <c r="C2660" s="35">
        <v>2767883</v>
      </c>
      <c r="D2660" s="35">
        <v>5.42</v>
      </c>
      <c r="E2660" s="35" t="s">
        <v>241</v>
      </c>
      <c r="F2660" s="31" t="str">
        <f t="shared" si="82"/>
        <v>A3.10.05</v>
      </c>
      <c r="G2660" s="34">
        <f t="shared" si="83"/>
        <v>5.42</v>
      </c>
    </row>
    <row r="2661" spans="2:7" ht="13.8" customHeight="1" x14ac:dyDescent="0.25">
      <c r="B2661" s="35" t="s">
        <v>53</v>
      </c>
      <c r="C2661" s="35">
        <v>2767926</v>
      </c>
      <c r="D2661" s="35">
        <v>11.08</v>
      </c>
      <c r="E2661" s="35" t="s">
        <v>242</v>
      </c>
      <c r="F2661" s="31" t="str">
        <f t="shared" si="82"/>
        <v>A3.10.04</v>
      </c>
      <c r="G2661" s="34">
        <f t="shared" si="83"/>
        <v>11.08</v>
      </c>
    </row>
    <row r="2662" spans="2:7" ht="13.8" customHeight="1" x14ac:dyDescent="0.25">
      <c r="B2662" s="35" t="s">
        <v>53</v>
      </c>
      <c r="C2662" s="35">
        <v>2767929</v>
      </c>
      <c r="D2662" s="35">
        <v>5.04</v>
      </c>
      <c r="E2662" s="35" t="s">
        <v>242</v>
      </c>
      <c r="F2662" s="31" t="str">
        <f t="shared" si="82"/>
        <v>A3.10.04</v>
      </c>
      <c r="G2662" s="34">
        <f t="shared" si="83"/>
        <v>5.04</v>
      </c>
    </row>
    <row r="2663" spans="2:7" ht="13.8" customHeight="1" x14ac:dyDescent="0.25">
      <c r="B2663" s="35" t="s">
        <v>53</v>
      </c>
      <c r="C2663" s="35">
        <v>2767930</v>
      </c>
      <c r="D2663" s="35">
        <v>5.04</v>
      </c>
      <c r="E2663" s="35" t="s">
        <v>242</v>
      </c>
      <c r="F2663" s="31" t="str">
        <f t="shared" si="82"/>
        <v>A3.10.04</v>
      </c>
      <c r="G2663" s="34">
        <f t="shared" si="83"/>
        <v>5.04</v>
      </c>
    </row>
    <row r="2664" spans="2:7" ht="13.8" customHeight="1" x14ac:dyDescent="0.25">
      <c r="B2664" s="35" t="s">
        <v>53</v>
      </c>
      <c r="C2664" s="35">
        <v>2767988</v>
      </c>
      <c r="D2664" s="35">
        <v>3.65</v>
      </c>
      <c r="E2664" s="35" t="s">
        <v>243</v>
      </c>
      <c r="F2664" s="31" t="str">
        <f t="shared" si="82"/>
        <v>A3.10.03</v>
      </c>
      <c r="G2664" s="34">
        <f t="shared" si="83"/>
        <v>3.65</v>
      </c>
    </row>
    <row r="2665" spans="2:7" ht="13.8" customHeight="1" x14ac:dyDescent="0.25">
      <c r="B2665" s="35" t="s">
        <v>53</v>
      </c>
      <c r="C2665" s="35">
        <v>2767991</v>
      </c>
      <c r="D2665" s="35">
        <v>0.61</v>
      </c>
      <c r="E2665" s="35" t="s">
        <v>243</v>
      </c>
      <c r="F2665" s="31" t="str">
        <f t="shared" si="82"/>
        <v>A3.10.03</v>
      </c>
      <c r="G2665" s="34">
        <f t="shared" si="83"/>
        <v>0.61</v>
      </c>
    </row>
    <row r="2666" spans="2:7" ht="13.8" customHeight="1" x14ac:dyDescent="0.25">
      <c r="B2666" s="35" t="s">
        <v>53</v>
      </c>
      <c r="C2666" s="35">
        <v>2767994</v>
      </c>
      <c r="D2666" s="35">
        <v>5.42</v>
      </c>
      <c r="E2666" s="35" t="s">
        <v>243</v>
      </c>
      <c r="F2666" s="31" t="str">
        <f t="shared" si="82"/>
        <v>A3.10.03</v>
      </c>
      <c r="G2666" s="34">
        <f t="shared" si="83"/>
        <v>5.42</v>
      </c>
    </row>
    <row r="2667" spans="2:7" ht="13.8" customHeight="1" x14ac:dyDescent="0.25">
      <c r="B2667" s="35" t="s">
        <v>53</v>
      </c>
      <c r="C2667" s="35">
        <v>2767996</v>
      </c>
      <c r="D2667" s="35">
        <v>0.8</v>
      </c>
      <c r="E2667" s="35" t="s">
        <v>243</v>
      </c>
      <c r="F2667" s="31" t="str">
        <f t="shared" si="82"/>
        <v>A3.10.03</v>
      </c>
      <c r="G2667" s="34">
        <f t="shared" si="83"/>
        <v>0.8</v>
      </c>
    </row>
    <row r="2668" spans="2:7" ht="13.8" customHeight="1" x14ac:dyDescent="0.25">
      <c r="B2668" s="35" t="s">
        <v>53</v>
      </c>
      <c r="C2668" s="35">
        <v>2767998</v>
      </c>
      <c r="D2668" s="35">
        <v>1.86</v>
      </c>
      <c r="E2668" s="35" t="s">
        <v>243</v>
      </c>
      <c r="F2668" s="31" t="str">
        <f t="shared" si="82"/>
        <v>A3.10.03</v>
      </c>
      <c r="G2668" s="34">
        <f t="shared" si="83"/>
        <v>1.86</v>
      </c>
    </row>
    <row r="2669" spans="2:7" ht="13.8" customHeight="1" x14ac:dyDescent="0.25">
      <c r="B2669" s="35" t="s">
        <v>53</v>
      </c>
      <c r="C2669" s="35">
        <v>2768000</v>
      </c>
      <c r="D2669" s="35">
        <v>5.04</v>
      </c>
      <c r="E2669" s="35" t="s">
        <v>243</v>
      </c>
      <c r="F2669" s="31" t="str">
        <f t="shared" si="82"/>
        <v>A3.10.03</v>
      </c>
      <c r="G2669" s="34">
        <f t="shared" si="83"/>
        <v>5.04</v>
      </c>
    </row>
    <row r="2670" spans="2:7" ht="13.8" customHeight="1" x14ac:dyDescent="0.25">
      <c r="B2670" s="35" t="s">
        <v>53</v>
      </c>
      <c r="C2670" s="35">
        <v>2768060</v>
      </c>
      <c r="D2670" s="35">
        <v>2.46</v>
      </c>
      <c r="E2670" s="35" t="s">
        <v>244</v>
      </c>
      <c r="F2670" s="31" t="str">
        <f t="shared" si="82"/>
        <v>A3.10.02</v>
      </c>
      <c r="G2670" s="34">
        <f t="shared" si="83"/>
        <v>2.46</v>
      </c>
    </row>
    <row r="2671" spans="2:7" ht="13.8" customHeight="1" x14ac:dyDescent="0.25">
      <c r="B2671" s="35" t="s">
        <v>53</v>
      </c>
      <c r="C2671" s="35">
        <v>2768063</v>
      </c>
      <c r="D2671" s="35">
        <v>10.29</v>
      </c>
      <c r="E2671" s="35" t="s">
        <v>244</v>
      </c>
      <c r="F2671" s="31" t="str">
        <f t="shared" si="82"/>
        <v>A3.10.02</v>
      </c>
      <c r="G2671" s="34">
        <f t="shared" si="83"/>
        <v>10.29</v>
      </c>
    </row>
    <row r="2672" spans="2:7" ht="13.8" customHeight="1" x14ac:dyDescent="0.25">
      <c r="B2672" s="35" t="s">
        <v>53</v>
      </c>
      <c r="C2672" s="35">
        <v>2768065</v>
      </c>
      <c r="D2672" s="35">
        <v>2.46</v>
      </c>
      <c r="E2672" s="35" t="s">
        <v>244</v>
      </c>
      <c r="F2672" s="31" t="str">
        <f t="shared" si="82"/>
        <v>A3.10.02</v>
      </c>
      <c r="G2672" s="34">
        <f t="shared" si="83"/>
        <v>2.46</v>
      </c>
    </row>
    <row r="2673" spans="2:7" ht="13.8" customHeight="1" x14ac:dyDescent="0.25">
      <c r="B2673" s="35" t="s">
        <v>53</v>
      </c>
      <c r="C2673" s="35">
        <v>2768068</v>
      </c>
      <c r="D2673" s="35">
        <v>2.41</v>
      </c>
      <c r="E2673" s="35" t="s">
        <v>244</v>
      </c>
      <c r="F2673" s="31" t="str">
        <f t="shared" si="82"/>
        <v>A3.10.02</v>
      </c>
      <c r="G2673" s="34">
        <f t="shared" si="83"/>
        <v>2.41</v>
      </c>
    </row>
    <row r="2674" spans="2:7" ht="13.8" customHeight="1" x14ac:dyDescent="0.25">
      <c r="B2674" s="35" t="s">
        <v>53</v>
      </c>
      <c r="C2674" s="35">
        <v>2768069</v>
      </c>
      <c r="D2674" s="35">
        <v>2.71</v>
      </c>
      <c r="E2674" s="35" t="s">
        <v>244</v>
      </c>
      <c r="F2674" s="31" t="str">
        <f t="shared" si="82"/>
        <v>A3.10.02</v>
      </c>
      <c r="G2674" s="34">
        <f t="shared" si="83"/>
        <v>2.71</v>
      </c>
    </row>
    <row r="2675" spans="2:7" ht="13.8" customHeight="1" x14ac:dyDescent="0.25">
      <c r="B2675" s="35" t="s">
        <v>53</v>
      </c>
      <c r="C2675" s="35">
        <v>2768070</v>
      </c>
      <c r="D2675" s="35">
        <v>1.55</v>
      </c>
      <c r="E2675" s="35" t="s">
        <v>244</v>
      </c>
      <c r="F2675" s="31" t="str">
        <f t="shared" si="82"/>
        <v>A3.10.02</v>
      </c>
      <c r="G2675" s="34">
        <f t="shared" si="83"/>
        <v>1.55</v>
      </c>
    </row>
    <row r="2676" spans="2:7" ht="13.8" customHeight="1" x14ac:dyDescent="0.25">
      <c r="B2676" s="35" t="s">
        <v>53</v>
      </c>
      <c r="C2676" s="35">
        <v>2768733</v>
      </c>
      <c r="D2676" s="35">
        <v>6.62</v>
      </c>
      <c r="E2676" s="35" t="s">
        <v>253</v>
      </c>
      <c r="F2676" s="31" t="str">
        <f t="shared" si="82"/>
        <v>A6.10.04</v>
      </c>
      <c r="G2676" s="34">
        <f t="shared" si="83"/>
        <v>6.62</v>
      </c>
    </row>
    <row r="2677" spans="2:7" ht="13.8" customHeight="1" x14ac:dyDescent="0.25">
      <c r="B2677" s="35" t="s">
        <v>53</v>
      </c>
      <c r="C2677" s="35">
        <v>2768735</v>
      </c>
      <c r="D2677" s="35">
        <v>5</v>
      </c>
      <c r="E2677" s="35" t="s">
        <v>253</v>
      </c>
      <c r="F2677" s="31" t="str">
        <f t="shared" si="82"/>
        <v>A6.10.04</v>
      </c>
      <c r="G2677" s="34">
        <f t="shared" si="83"/>
        <v>5</v>
      </c>
    </row>
    <row r="2678" spans="2:7" ht="13.8" customHeight="1" x14ac:dyDescent="0.25">
      <c r="B2678" s="35" t="s">
        <v>53</v>
      </c>
      <c r="C2678" s="35">
        <v>2768737</v>
      </c>
      <c r="D2678" s="35">
        <v>4</v>
      </c>
      <c r="E2678" s="35" t="s">
        <v>253</v>
      </c>
      <c r="F2678" s="31" t="str">
        <f t="shared" si="82"/>
        <v>A6.10.04</v>
      </c>
      <c r="G2678" s="34">
        <f t="shared" si="83"/>
        <v>4</v>
      </c>
    </row>
    <row r="2679" spans="2:7" ht="13.8" customHeight="1" x14ac:dyDescent="0.25">
      <c r="B2679" s="35" t="s">
        <v>53</v>
      </c>
      <c r="C2679" s="35">
        <v>2768740</v>
      </c>
      <c r="D2679" s="35">
        <v>1.25</v>
      </c>
      <c r="E2679" s="35" t="s">
        <v>253</v>
      </c>
      <c r="F2679" s="31" t="str">
        <f t="shared" si="82"/>
        <v>A6.10.04</v>
      </c>
      <c r="G2679" s="34">
        <f t="shared" si="83"/>
        <v>1.25</v>
      </c>
    </row>
    <row r="2680" spans="2:7" ht="13.8" customHeight="1" x14ac:dyDescent="0.25">
      <c r="B2680" s="35" t="s">
        <v>53</v>
      </c>
      <c r="C2680" s="35">
        <v>2768741</v>
      </c>
      <c r="D2680" s="35">
        <v>1.25</v>
      </c>
      <c r="E2680" s="35" t="s">
        <v>253</v>
      </c>
      <c r="F2680" s="31" t="str">
        <f t="shared" si="82"/>
        <v>A6.10.04</v>
      </c>
      <c r="G2680" s="34">
        <f t="shared" si="83"/>
        <v>1.25</v>
      </c>
    </row>
    <row r="2681" spans="2:7" ht="13.8" customHeight="1" x14ac:dyDescent="0.25">
      <c r="B2681" s="35" t="s">
        <v>53</v>
      </c>
      <c r="C2681" s="35">
        <v>2768825</v>
      </c>
      <c r="D2681" s="35">
        <v>2.66</v>
      </c>
      <c r="E2681" s="35" t="s">
        <v>254</v>
      </c>
      <c r="F2681" s="31" t="str">
        <f t="shared" si="82"/>
        <v>A6.13.01</v>
      </c>
      <c r="G2681" s="34">
        <f t="shared" si="83"/>
        <v>2.66</v>
      </c>
    </row>
    <row r="2682" spans="2:7" ht="13.8" customHeight="1" x14ac:dyDescent="0.25">
      <c r="B2682" s="35" t="s">
        <v>53</v>
      </c>
      <c r="C2682" s="35">
        <v>2768828</v>
      </c>
      <c r="D2682" s="35">
        <v>1.55</v>
      </c>
      <c r="E2682" s="35" t="s">
        <v>254</v>
      </c>
      <c r="F2682" s="31" t="str">
        <f t="shared" si="82"/>
        <v>A6.13.01</v>
      </c>
      <c r="G2682" s="34">
        <f t="shared" si="83"/>
        <v>1.55</v>
      </c>
    </row>
    <row r="2683" spans="2:7" ht="13.8" customHeight="1" x14ac:dyDescent="0.25">
      <c r="B2683" s="35" t="s">
        <v>53</v>
      </c>
      <c r="C2683" s="35">
        <v>2768831</v>
      </c>
      <c r="D2683" s="35">
        <v>2.41</v>
      </c>
      <c r="E2683" s="35" t="s">
        <v>254</v>
      </c>
      <c r="F2683" s="31" t="str">
        <f t="shared" si="82"/>
        <v>A6.13.01</v>
      </c>
      <c r="G2683" s="34">
        <f t="shared" si="83"/>
        <v>2.41</v>
      </c>
    </row>
    <row r="2684" spans="2:7" ht="13.8" customHeight="1" x14ac:dyDescent="0.25">
      <c r="B2684" s="35" t="s">
        <v>53</v>
      </c>
      <c r="C2684" s="35">
        <v>2768834</v>
      </c>
      <c r="D2684" s="35">
        <v>2.71</v>
      </c>
      <c r="E2684" s="35" t="s">
        <v>254</v>
      </c>
      <c r="F2684" s="31" t="str">
        <f t="shared" si="82"/>
        <v>A6.13.01</v>
      </c>
      <c r="G2684" s="34">
        <f t="shared" si="83"/>
        <v>2.71</v>
      </c>
    </row>
    <row r="2685" spans="2:7" ht="13.8" customHeight="1" x14ac:dyDescent="0.25">
      <c r="B2685" s="35" t="s">
        <v>53</v>
      </c>
      <c r="C2685" s="35">
        <v>2768836</v>
      </c>
      <c r="D2685" s="35">
        <v>2.46</v>
      </c>
      <c r="E2685" s="35" t="s">
        <v>254</v>
      </c>
      <c r="F2685" s="31" t="str">
        <f t="shared" si="82"/>
        <v>A6.13.01</v>
      </c>
      <c r="G2685" s="34">
        <f t="shared" si="83"/>
        <v>2.46</v>
      </c>
    </row>
    <row r="2686" spans="2:7" ht="13.8" customHeight="1" x14ac:dyDescent="0.25">
      <c r="B2686" s="35" t="s">
        <v>53</v>
      </c>
      <c r="C2686" s="35">
        <v>2768837</v>
      </c>
      <c r="D2686" s="35">
        <v>4.01</v>
      </c>
      <c r="E2686" s="35" t="s">
        <v>254</v>
      </c>
      <c r="F2686" s="31" t="str">
        <f t="shared" si="82"/>
        <v>A6.13.01</v>
      </c>
      <c r="G2686" s="34">
        <f t="shared" si="83"/>
        <v>4.01</v>
      </c>
    </row>
    <row r="2687" spans="2:7" ht="13.8" customHeight="1" x14ac:dyDescent="0.25">
      <c r="B2687" s="35" t="s">
        <v>53</v>
      </c>
      <c r="C2687" s="35">
        <v>2768838</v>
      </c>
      <c r="D2687" s="35">
        <v>6.27</v>
      </c>
      <c r="E2687" s="35" t="s">
        <v>254</v>
      </c>
      <c r="F2687" s="31" t="str">
        <f t="shared" si="82"/>
        <v>A6.13.01</v>
      </c>
      <c r="G2687" s="34">
        <f t="shared" si="83"/>
        <v>6.27</v>
      </c>
    </row>
    <row r="2688" spans="2:7" ht="13.8" customHeight="1" x14ac:dyDescent="0.25">
      <c r="B2688" s="35" t="s">
        <v>53</v>
      </c>
      <c r="C2688" s="35">
        <v>2768839</v>
      </c>
      <c r="D2688" s="35">
        <v>2.46</v>
      </c>
      <c r="E2688" s="35" t="s">
        <v>254</v>
      </c>
      <c r="F2688" s="31" t="str">
        <f t="shared" si="82"/>
        <v>A6.13.01</v>
      </c>
      <c r="G2688" s="34">
        <f t="shared" si="83"/>
        <v>2.46</v>
      </c>
    </row>
    <row r="2689" spans="2:7" ht="13.8" customHeight="1" x14ac:dyDescent="0.25">
      <c r="B2689" s="35" t="s">
        <v>53</v>
      </c>
      <c r="C2689" s="35">
        <v>2768899</v>
      </c>
      <c r="D2689" s="35">
        <v>2.4500000000000002</v>
      </c>
      <c r="E2689" s="35" t="s">
        <v>255</v>
      </c>
      <c r="F2689" s="31" t="str">
        <f t="shared" si="82"/>
        <v>A6.13.02</v>
      </c>
      <c r="G2689" s="34">
        <f t="shared" si="83"/>
        <v>2.4500000000000002</v>
      </c>
    </row>
    <row r="2690" spans="2:7" ht="13.8" customHeight="1" x14ac:dyDescent="0.25">
      <c r="B2690" s="35" t="s">
        <v>53</v>
      </c>
      <c r="C2690" s="35">
        <v>2768902</v>
      </c>
      <c r="D2690" s="35">
        <v>5.04</v>
      </c>
      <c r="E2690" s="35" t="s">
        <v>255</v>
      </c>
      <c r="F2690" s="31" t="str">
        <f t="shared" si="82"/>
        <v>A6.13.02</v>
      </c>
      <c r="G2690" s="34">
        <f t="shared" si="83"/>
        <v>5.04</v>
      </c>
    </row>
    <row r="2691" spans="2:7" ht="13.8" customHeight="1" x14ac:dyDescent="0.25">
      <c r="B2691" s="35" t="s">
        <v>53</v>
      </c>
      <c r="C2691" s="35">
        <v>2768904</v>
      </c>
      <c r="D2691" s="35">
        <v>6.63</v>
      </c>
      <c r="E2691" s="35" t="s">
        <v>255</v>
      </c>
      <c r="F2691" s="31" t="str">
        <f t="shared" si="82"/>
        <v>A6.13.02</v>
      </c>
      <c r="G2691" s="34">
        <f t="shared" si="83"/>
        <v>6.63</v>
      </c>
    </row>
    <row r="2692" spans="2:7" ht="13.8" customHeight="1" x14ac:dyDescent="0.25">
      <c r="B2692" s="35" t="s">
        <v>53</v>
      </c>
      <c r="C2692" s="35">
        <v>2768906</v>
      </c>
      <c r="D2692" s="35">
        <v>6.32</v>
      </c>
      <c r="E2692" s="35" t="s">
        <v>255</v>
      </c>
      <c r="F2692" s="31" t="str">
        <f t="shared" si="82"/>
        <v>A6.13.02</v>
      </c>
      <c r="G2692" s="34">
        <f t="shared" si="83"/>
        <v>6.32</v>
      </c>
    </row>
    <row r="2693" spans="2:7" ht="13.8" customHeight="1" x14ac:dyDescent="0.25">
      <c r="B2693" s="35" t="s">
        <v>53</v>
      </c>
      <c r="C2693" s="35">
        <v>2768908</v>
      </c>
      <c r="D2693" s="35">
        <v>0.8</v>
      </c>
      <c r="E2693" s="35" t="s">
        <v>255</v>
      </c>
      <c r="F2693" s="31" t="str">
        <f t="shared" si="82"/>
        <v>A6.13.02</v>
      </c>
      <c r="G2693" s="34">
        <f t="shared" si="83"/>
        <v>0.8</v>
      </c>
    </row>
    <row r="2694" spans="2:7" ht="13.8" customHeight="1" x14ac:dyDescent="0.25">
      <c r="B2694" s="35" t="s">
        <v>53</v>
      </c>
      <c r="C2694" s="35">
        <v>2768909</v>
      </c>
      <c r="D2694" s="35">
        <v>0.8</v>
      </c>
      <c r="E2694" s="35" t="s">
        <v>255</v>
      </c>
      <c r="F2694" s="31" t="str">
        <f t="shared" si="82"/>
        <v>A6.13.02</v>
      </c>
      <c r="G2694" s="34">
        <f t="shared" si="83"/>
        <v>0.8</v>
      </c>
    </row>
    <row r="2695" spans="2:7" ht="13.8" customHeight="1" x14ac:dyDescent="0.25">
      <c r="B2695" s="35" t="s">
        <v>53</v>
      </c>
      <c r="C2695" s="35">
        <v>2768970</v>
      </c>
      <c r="D2695" s="35">
        <v>2.4500000000000002</v>
      </c>
      <c r="E2695" s="35" t="s">
        <v>256</v>
      </c>
      <c r="F2695" s="31" t="str">
        <f t="shared" ref="F2695:F2758" si="84">LEFT(E2695,8)</f>
        <v>A6.13.03</v>
      </c>
      <c r="G2695" s="34">
        <f t="shared" ref="G2695:G2758" si="85">D2695</f>
        <v>2.4500000000000002</v>
      </c>
    </row>
    <row r="2696" spans="2:7" ht="13.8" customHeight="1" x14ac:dyDescent="0.25">
      <c r="B2696" s="35" t="s">
        <v>53</v>
      </c>
      <c r="C2696" s="35">
        <v>2768973</v>
      </c>
      <c r="D2696" s="35">
        <v>6.63</v>
      </c>
      <c r="E2696" s="35" t="s">
        <v>256</v>
      </c>
      <c r="F2696" s="31" t="str">
        <f t="shared" si="84"/>
        <v>A6.13.03</v>
      </c>
      <c r="G2696" s="34">
        <f t="shared" si="85"/>
        <v>6.63</v>
      </c>
    </row>
    <row r="2697" spans="2:7" ht="13.8" customHeight="1" x14ac:dyDescent="0.25">
      <c r="B2697" s="35" t="s">
        <v>53</v>
      </c>
      <c r="C2697" s="35">
        <v>2768975</v>
      </c>
      <c r="D2697" s="35">
        <v>0.8</v>
      </c>
      <c r="E2697" s="35" t="s">
        <v>256</v>
      </c>
      <c r="F2697" s="31" t="str">
        <f t="shared" si="84"/>
        <v>A6.13.03</v>
      </c>
      <c r="G2697" s="34">
        <f t="shared" si="85"/>
        <v>0.8</v>
      </c>
    </row>
    <row r="2698" spans="2:7" ht="13.8" customHeight="1" x14ac:dyDescent="0.25">
      <c r="B2698" s="35" t="s">
        <v>53</v>
      </c>
      <c r="C2698" s="35">
        <v>2768976</v>
      </c>
      <c r="D2698" s="35">
        <v>6.32</v>
      </c>
      <c r="E2698" s="35" t="s">
        <v>256</v>
      </c>
      <c r="F2698" s="31" t="str">
        <f t="shared" si="84"/>
        <v>A6.13.03</v>
      </c>
      <c r="G2698" s="34">
        <f t="shared" si="85"/>
        <v>6.32</v>
      </c>
    </row>
    <row r="2699" spans="2:7" ht="13.8" customHeight="1" x14ac:dyDescent="0.25">
      <c r="B2699" s="35" t="s">
        <v>53</v>
      </c>
      <c r="C2699" s="35">
        <v>2768979</v>
      </c>
      <c r="D2699" s="35">
        <v>5.05</v>
      </c>
      <c r="E2699" s="35" t="s">
        <v>256</v>
      </c>
      <c r="F2699" s="31" t="str">
        <f t="shared" si="84"/>
        <v>A6.13.03</v>
      </c>
      <c r="G2699" s="34">
        <f t="shared" si="85"/>
        <v>5.05</v>
      </c>
    </row>
    <row r="2700" spans="2:7" ht="13.8" customHeight="1" x14ac:dyDescent="0.25">
      <c r="B2700" s="35" t="s">
        <v>53</v>
      </c>
      <c r="C2700" s="35">
        <v>2768980</v>
      </c>
      <c r="D2700" s="35">
        <v>0.8</v>
      </c>
      <c r="E2700" s="35" t="s">
        <v>256</v>
      </c>
      <c r="F2700" s="31" t="str">
        <f t="shared" si="84"/>
        <v>A6.13.03</v>
      </c>
      <c r="G2700" s="34">
        <f t="shared" si="85"/>
        <v>0.8</v>
      </c>
    </row>
    <row r="2701" spans="2:7" ht="13.8" customHeight="1" x14ac:dyDescent="0.25">
      <c r="B2701" s="35" t="s">
        <v>53</v>
      </c>
      <c r="C2701" s="35">
        <v>2769066</v>
      </c>
      <c r="D2701" s="35">
        <v>2.46</v>
      </c>
      <c r="E2701" s="35" t="s">
        <v>257</v>
      </c>
      <c r="F2701" s="31" t="str">
        <f t="shared" si="84"/>
        <v>A6.13.04</v>
      </c>
      <c r="G2701" s="34">
        <f t="shared" si="85"/>
        <v>2.46</v>
      </c>
    </row>
    <row r="2702" spans="2:7" ht="13.8" customHeight="1" x14ac:dyDescent="0.25">
      <c r="B2702" s="35" t="s">
        <v>53</v>
      </c>
      <c r="C2702" s="35">
        <v>2769069</v>
      </c>
      <c r="D2702" s="35">
        <v>4.01</v>
      </c>
      <c r="E2702" s="35" t="s">
        <v>257</v>
      </c>
      <c r="F2702" s="31" t="str">
        <f t="shared" si="84"/>
        <v>A6.13.04</v>
      </c>
      <c r="G2702" s="34">
        <f t="shared" si="85"/>
        <v>4.01</v>
      </c>
    </row>
    <row r="2703" spans="2:7" ht="13.8" customHeight="1" x14ac:dyDescent="0.25">
      <c r="B2703" s="35" t="s">
        <v>53</v>
      </c>
      <c r="C2703" s="35">
        <v>2769072</v>
      </c>
      <c r="D2703" s="35">
        <v>6.27</v>
      </c>
      <c r="E2703" s="35" t="s">
        <v>257</v>
      </c>
      <c r="F2703" s="31" t="str">
        <f t="shared" si="84"/>
        <v>A6.13.04</v>
      </c>
      <c r="G2703" s="34">
        <f t="shared" si="85"/>
        <v>6.27</v>
      </c>
    </row>
    <row r="2704" spans="2:7" ht="13.8" customHeight="1" x14ac:dyDescent="0.25">
      <c r="B2704" s="35" t="s">
        <v>53</v>
      </c>
      <c r="C2704" s="35">
        <v>2769074</v>
      </c>
      <c r="D2704" s="35">
        <v>2.46</v>
      </c>
      <c r="E2704" s="35" t="s">
        <v>257</v>
      </c>
      <c r="F2704" s="31" t="str">
        <f t="shared" si="84"/>
        <v>A6.13.04</v>
      </c>
      <c r="G2704" s="34">
        <f t="shared" si="85"/>
        <v>2.46</v>
      </c>
    </row>
    <row r="2705" spans="2:7" ht="13.8" customHeight="1" x14ac:dyDescent="0.25">
      <c r="B2705" s="35" t="s">
        <v>53</v>
      </c>
      <c r="C2705" s="35">
        <v>2769077</v>
      </c>
      <c r="D2705" s="35">
        <v>2.66</v>
      </c>
      <c r="E2705" s="35" t="s">
        <v>257</v>
      </c>
      <c r="F2705" s="31" t="str">
        <f t="shared" si="84"/>
        <v>A6.13.04</v>
      </c>
      <c r="G2705" s="34">
        <f t="shared" si="85"/>
        <v>2.66</v>
      </c>
    </row>
    <row r="2706" spans="2:7" ht="13.8" customHeight="1" x14ac:dyDescent="0.25">
      <c r="B2706" s="35" t="s">
        <v>53</v>
      </c>
      <c r="C2706" s="35">
        <v>2769078</v>
      </c>
      <c r="D2706" s="35">
        <v>2.71</v>
      </c>
      <c r="E2706" s="35" t="s">
        <v>257</v>
      </c>
      <c r="F2706" s="31" t="str">
        <f t="shared" si="84"/>
        <v>A6.13.04</v>
      </c>
      <c r="G2706" s="34">
        <f t="shared" si="85"/>
        <v>2.71</v>
      </c>
    </row>
    <row r="2707" spans="2:7" ht="13.8" customHeight="1" x14ac:dyDescent="0.25">
      <c r="B2707" s="35" t="s">
        <v>53</v>
      </c>
      <c r="C2707" s="35">
        <v>2769081</v>
      </c>
      <c r="D2707" s="35">
        <v>2.41</v>
      </c>
      <c r="E2707" s="35" t="s">
        <v>257</v>
      </c>
      <c r="F2707" s="31" t="str">
        <f t="shared" si="84"/>
        <v>A6.13.04</v>
      </c>
      <c r="G2707" s="34">
        <f t="shared" si="85"/>
        <v>2.41</v>
      </c>
    </row>
    <row r="2708" spans="2:7" ht="13.8" customHeight="1" x14ac:dyDescent="0.25">
      <c r="B2708" s="35" t="s">
        <v>53</v>
      </c>
      <c r="C2708" s="35">
        <v>2769082</v>
      </c>
      <c r="D2708" s="35">
        <v>1.55</v>
      </c>
      <c r="E2708" s="35" t="s">
        <v>257</v>
      </c>
      <c r="F2708" s="31" t="str">
        <f t="shared" si="84"/>
        <v>A6.13.04</v>
      </c>
      <c r="G2708" s="34">
        <f t="shared" si="85"/>
        <v>1.55</v>
      </c>
    </row>
    <row r="2709" spans="2:7" ht="13.8" customHeight="1" x14ac:dyDescent="0.25">
      <c r="B2709" s="35" t="s">
        <v>53</v>
      </c>
      <c r="C2709" s="35">
        <v>2770399</v>
      </c>
      <c r="D2709" s="35">
        <v>6.6</v>
      </c>
      <c r="E2709" s="35" t="s">
        <v>276</v>
      </c>
      <c r="F2709" s="31" t="str">
        <f t="shared" si="84"/>
        <v>A3.08.03</v>
      </c>
      <c r="G2709" s="34">
        <f t="shared" si="85"/>
        <v>6.6</v>
      </c>
    </row>
    <row r="2710" spans="2:7" ht="13.8" customHeight="1" x14ac:dyDescent="0.25">
      <c r="B2710" s="35" t="s">
        <v>53</v>
      </c>
      <c r="C2710" s="35">
        <v>2770401</v>
      </c>
      <c r="D2710" s="35">
        <v>1.02</v>
      </c>
      <c r="E2710" s="35" t="s">
        <v>276</v>
      </c>
      <c r="F2710" s="31" t="str">
        <f t="shared" si="84"/>
        <v>A3.08.03</v>
      </c>
      <c r="G2710" s="34">
        <f t="shared" si="85"/>
        <v>1.02</v>
      </c>
    </row>
    <row r="2711" spans="2:7" ht="13.8" customHeight="1" x14ac:dyDescent="0.25">
      <c r="B2711" s="35" t="s">
        <v>53</v>
      </c>
      <c r="C2711" s="35">
        <v>2770404</v>
      </c>
      <c r="D2711" s="35">
        <v>3.94</v>
      </c>
      <c r="E2711" s="35" t="s">
        <v>276</v>
      </c>
      <c r="F2711" s="31" t="str">
        <f t="shared" si="84"/>
        <v>A3.08.03</v>
      </c>
      <c r="G2711" s="34">
        <f t="shared" si="85"/>
        <v>3.94</v>
      </c>
    </row>
    <row r="2712" spans="2:7" ht="13.8" customHeight="1" x14ac:dyDescent="0.25">
      <c r="B2712" s="35" t="s">
        <v>53</v>
      </c>
      <c r="C2712" s="35">
        <v>2770405</v>
      </c>
      <c r="D2712" s="35">
        <v>7.12</v>
      </c>
      <c r="E2712" s="35" t="s">
        <v>276</v>
      </c>
      <c r="F2712" s="31" t="str">
        <f t="shared" si="84"/>
        <v>A3.08.03</v>
      </c>
      <c r="G2712" s="34">
        <f t="shared" si="85"/>
        <v>7.12</v>
      </c>
    </row>
    <row r="2713" spans="2:7" ht="13.8" customHeight="1" x14ac:dyDescent="0.25">
      <c r="B2713" s="35" t="s">
        <v>53</v>
      </c>
      <c r="C2713" s="35">
        <v>2770477</v>
      </c>
      <c r="D2713" s="35">
        <v>6.6</v>
      </c>
      <c r="E2713" s="35" t="s">
        <v>277</v>
      </c>
      <c r="F2713" s="31" t="str">
        <f t="shared" si="84"/>
        <v>A3.08.02</v>
      </c>
      <c r="G2713" s="34">
        <f t="shared" si="85"/>
        <v>6.6</v>
      </c>
    </row>
    <row r="2714" spans="2:7" ht="13.8" customHeight="1" x14ac:dyDescent="0.25">
      <c r="B2714" s="35" t="s">
        <v>53</v>
      </c>
      <c r="C2714" s="35">
        <v>2770479</v>
      </c>
      <c r="D2714" s="35">
        <v>7.12</v>
      </c>
      <c r="E2714" s="35" t="s">
        <v>277</v>
      </c>
      <c r="F2714" s="31" t="str">
        <f t="shared" si="84"/>
        <v>A3.08.02</v>
      </c>
      <c r="G2714" s="34">
        <f t="shared" si="85"/>
        <v>7.12</v>
      </c>
    </row>
    <row r="2715" spans="2:7" ht="13.8" customHeight="1" x14ac:dyDescent="0.25">
      <c r="B2715" s="35" t="s">
        <v>53</v>
      </c>
      <c r="C2715" s="35">
        <v>2770481</v>
      </c>
      <c r="D2715" s="35">
        <v>3.94</v>
      </c>
      <c r="E2715" s="35" t="s">
        <v>277</v>
      </c>
      <c r="F2715" s="31" t="str">
        <f t="shared" si="84"/>
        <v>A3.08.02</v>
      </c>
      <c r="G2715" s="34">
        <f t="shared" si="85"/>
        <v>3.94</v>
      </c>
    </row>
    <row r="2716" spans="2:7" ht="13.8" customHeight="1" x14ac:dyDescent="0.25">
      <c r="B2716" s="35" t="s">
        <v>53</v>
      </c>
      <c r="C2716" s="35">
        <v>2770483</v>
      </c>
      <c r="D2716" s="35">
        <v>1.02</v>
      </c>
      <c r="E2716" s="35" t="s">
        <v>277</v>
      </c>
      <c r="F2716" s="31" t="str">
        <f t="shared" si="84"/>
        <v>A3.08.02</v>
      </c>
      <c r="G2716" s="34">
        <f t="shared" si="85"/>
        <v>1.02</v>
      </c>
    </row>
    <row r="2717" spans="2:7" ht="13.8" customHeight="1" x14ac:dyDescent="0.25">
      <c r="B2717" s="35" t="s">
        <v>53</v>
      </c>
      <c r="C2717" s="35">
        <v>2770554</v>
      </c>
      <c r="D2717" s="35">
        <v>1.58</v>
      </c>
      <c r="E2717" s="35" t="s">
        <v>278</v>
      </c>
      <c r="F2717" s="31" t="str">
        <f t="shared" si="84"/>
        <v>C1.14.05</v>
      </c>
      <c r="G2717" s="34">
        <f t="shared" si="85"/>
        <v>1.58</v>
      </c>
    </row>
    <row r="2718" spans="2:7" ht="13.8" customHeight="1" x14ac:dyDescent="0.25">
      <c r="B2718" s="35" t="s">
        <v>53</v>
      </c>
      <c r="C2718" s="35">
        <v>2770557</v>
      </c>
      <c r="D2718" s="35">
        <v>6.6</v>
      </c>
      <c r="E2718" s="35" t="s">
        <v>278</v>
      </c>
      <c r="F2718" s="31" t="str">
        <f t="shared" si="84"/>
        <v>C1.14.05</v>
      </c>
      <c r="G2718" s="34">
        <f t="shared" si="85"/>
        <v>6.6</v>
      </c>
    </row>
    <row r="2719" spans="2:7" ht="13.8" customHeight="1" x14ac:dyDescent="0.25">
      <c r="B2719" s="35" t="s">
        <v>53</v>
      </c>
      <c r="C2719" s="35">
        <v>2770559</v>
      </c>
      <c r="D2719" s="35">
        <v>1.99</v>
      </c>
      <c r="E2719" s="35" t="s">
        <v>278</v>
      </c>
      <c r="F2719" s="31" t="str">
        <f t="shared" si="84"/>
        <v>C1.14.05</v>
      </c>
      <c r="G2719" s="34">
        <f t="shared" si="85"/>
        <v>1.99</v>
      </c>
    </row>
    <row r="2720" spans="2:7" ht="13.8" customHeight="1" x14ac:dyDescent="0.25">
      <c r="B2720" s="35" t="s">
        <v>53</v>
      </c>
      <c r="C2720" s="35">
        <v>2770561</v>
      </c>
      <c r="D2720" s="35">
        <v>6.62</v>
      </c>
      <c r="E2720" s="35" t="s">
        <v>278</v>
      </c>
      <c r="F2720" s="31" t="str">
        <f t="shared" si="84"/>
        <v>C1.14.05</v>
      </c>
      <c r="G2720" s="34">
        <f t="shared" si="85"/>
        <v>6.62</v>
      </c>
    </row>
    <row r="2721" spans="2:7" ht="13.8" customHeight="1" x14ac:dyDescent="0.25">
      <c r="B2721" s="35" t="s">
        <v>53</v>
      </c>
      <c r="C2721" s="35">
        <v>2770631</v>
      </c>
      <c r="D2721" s="35">
        <v>6.62</v>
      </c>
      <c r="E2721" s="35" t="s">
        <v>279</v>
      </c>
      <c r="F2721" s="31" t="str">
        <f t="shared" si="84"/>
        <v>C1.14.06</v>
      </c>
      <c r="G2721" s="34">
        <f t="shared" si="85"/>
        <v>6.62</v>
      </c>
    </row>
    <row r="2722" spans="2:7" ht="13.8" customHeight="1" x14ac:dyDescent="0.25">
      <c r="B2722" s="35" t="s">
        <v>53</v>
      </c>
      <c r="C2722" s="35">
        <v>2770633</v>
      </c>
      <c r="D2722" s="35">
        <v>6.6</v>
      </c>
      <c r="E2722" s="35" t="s">
        <v>279</v>
      </c>
      <c r="F2722" s="31" t="str">
        <f t="shared" si="84"/>
        <v>C1.14.06</v>
      </c>
      <c r="G2722" s="34">
        <f t="shared" si="85"/>
        <v>6.6</v>
      </c>
    </row>
    <row r="2723" spans="2:7" ht="13.8" customHeight="1" x14ac:dyDescent="0.25">
      <c r="B2723" s="35" t="s">
        <v>53</v>
      </c>
      <c r="C2723" s="35">
        <v>2770635</v>
      </c>
      <c r="D2723" s="35">
        <v>0.17</v>
      </c>
      <c r="E2723" s="35" t="s">
        <v>279</v>
      </c>
      <c r="F2723" s="31" t="str">
        <f t="shared" si="84"/>
        <v>C1.14.06</v>
      </c>
      <c r="G2723" s="34">
        <f t="shared" si="85"/>
        <v>0.17</v>
      </c>
    </row>
    <row r="2724" spans="2:7" ht="13.8" customHeight="1" x14ac:dyDescent="0.25">
      <c r="B2724" s="35" t="s">
        <v>53</v>
      </c>
      <c r="C2724" s="35">
        <v>2770637</v>
      </c>
      <c r="D2724" s="35">
        <v>3.14</v>
      </c>
      <c r="E2724" s="35" t="s">
        <v>279</v>
      </c>
      <c r="F2724" s="31" t="str">
        <f t="shared" si="84"/>
        <v>C1.14.06</v>
      </c>
      <c r="G2724" s="34">
        <f t="shared" si="85"/>
        <v>3.14</v>
      </c>
    </row>
    <row r="2725" spans="2:7" ht="13.8" customHeight="1" x14ac:dyDescent="0.25">
      <c r="B2725" s="35" t="s">
        <v>53</v>
      </c>
      <c r="C2725" s="35">
        <v>2770711</v>
      </c>
      <c r="D2725" s="35">
        <v>3.73</v>
      </c>
      <c r="E2725" s="35" t="s">
        <v>280</v>
      </c>
      <c r="F2725" s="31" t="str">
        <f t="shared" si="84"/>
        <v>C1.14.01</v>
      </c>
      <c r="G2725" s="34">
        <f t="shared" si="85"/>
        <v>3.73</v>
      </c>
    </row>
    <row r="2726" spans="2:7" ht="13.8" customHeight="1" x14ac:dyDescent="0.25">
      <c r="B2726" s="35" t="s">
        <v>53</v>
      </c>
      <c r="C2726" s="35">
        <v>2770714</v>
      </c>
      <c r="D2726" s="35">
        <v>0</v>
      </c>
      <c r="E2726" s="35" t="s">
        <v>280</v>
      </c>
      <c r="F2726" s="31" t="str">
        <f t="shared" si="84"/>
        <v>C1.14.01</v>
      </c>
      <c r="G2726" s="34">
        <f t="shared" si="85"/>
        <v>0</v>
      </c>
    </row>
    <row r="2727" spans="2:7" ht="13.8" customHeight="1" x14ac:dyDescent="0.25">
      <c r="B2727" s="35" t="s">
        <v>53</v>
      </c>
      <c r="C2727" s="35">
        <v>2770716</v>
      </c>
      <c r="D2727" s="35">
        <v>0.16</v>
      </c>
      <c r="E2727" s="35" t="s">
        <v>280</v>
      </c>
      <c r="F2727" s="31" t="str">
        <f t="shared" si="84"/>
        <v>C1.14.01</v>
      </c>
      <c r="G2727" s="34">
        <f t="shared" si="85"/>
        <v>0.16</v>
      </c>
    </row>
    <row r="2728" spans="2:7" ht="13.8" customHeight="1" x14ac:dyDescent="0.25">
      <c r="B2728" s="35" t="s">
        <v>53</v>
      </c>
      <c r="C2728" s="35">
        <v>2770718</v>
      </c>
      <c r="D2728" s="35">
        <v>6.6</v>
      </c>
      <c r="E2728" s="35" t="s">
        <v>280</v>
      </c>
      <c r="F2728" s="31" t="str">
        <f t="shared" si="84"/>
        <v>C1.14.01</v>
      </c>
      <c r="G2728" s="34">
        <f t="shared" si="85"/>
        <v>6.6</v>
      </c>
    </row>
    <row r="2729" spans="2:7" ht="13.8" customHeight="1" x14ac:dyDescent="0.25">
      <c r="B2729" s="35" t="s">
        <v>53</v>
      </c>
      <c r="C2729" s="35">
        <v>2770719</v>
      </c>
      <c r="D2729" s="35">
        <v>8.32</v>
      </c>
      <c r="E2729" s="35" t="s">
        <v>280</v>
      </c>
      <c r="F2729" s="31" t="str">
        <f t="shared" si="84"/>
        <v>C1.14.01</v>
      </c>
      <c r="G2729" s="34">
        <f t="shared" si="85"/>
        <v>8.32</v>
      </c>
    </row>
    <row r="2730" spans="2:7" ht="13.8" customHeight="1" x14ac:dyDescent="0.25">
      <c r="B2730" s="35" t="s">
        <v>53</v>
      </c>
      <c r="C2730" s="35">
        <v>2770828</v>
      </c>
      <c r="D2730" s="35">
        <v>7.62</v>
      </c>
      <c r="E2730" s="35" t="s">
        <v>282</v>
      </c>
      <c r="F2730" s="31" t="str">
        <f t="shared" si="84"/>
        <v>C1.14.03</v>
      </c>
      <c r="G2730" s="34">
        <f t="shared" si="85"/>
        <v>7.62</v>
      </c>
    </row>
    <row r="2731" spans="2:7" ht="13.8" customHeight="1" x14ac:dyDescent="0.25">
      <c r="B2731" s="35" t="s">
        <v>53</v>
      </c>
      <c r="C2731" s="35">
        <v>2770831</v>
      </c>
      <c r="D2731" s="35">
        <v>6.6</v>
      </c>
      <c r="E2731" s="35" t="s">
        <v>282</v>
      </c>
      <c r="F2731" s="31" t="str">
        <f t="shared" si="84"/>
        <v>C1.14.03</v>
      </c>
      <c r="G2731" s="34">
        <f t="shared" si="85"/>
        <v>6.6</v>
      </c>
    </row>
    <row r="2732" spans="2:7" ht="13.8" customHeight="1" x14ac:dyDescent="0.25">
      <c r="B2732" s="35" t="s">
        <v>53</v>
      </c>
      <c r="C2732" s="35">
        <v>2770832</v>
      </c>
      <c r="D2732" s="35">
        <v>6.6</v>
      </c>
      <c r="E2732" s="35" t="s">
        <v>282</v>
      </c>
      <c r="F2732" s="31" t="str">
        <f t="shared" si="84"/>
        <v>C1.14.03</v>
      </c>
      <c r="G2732" s="34">
        <f t="shared" si="85"/>
        <v>6.6</v>
      </c>
    </row>
    <row r="2733" spans="2:7" ht="13.8" customHeight="1" x14ac:dyDescent="0.25">
      <c r="B2733" s="35" t="s">
        <v>53</v>
      </c>
      <c r="C2733" s="35">
        <v>2770865</v>
      </c>
      <c r="D2733" s="35">
        <v>7.62</v>
      </c>
      <c r="E2733" s="35" t="s">
        <v>283</v>
      </c>
      <c r="F2733" s="31" t="str">
        <f t="shared" si="84"/>
        <v>C1.14.04</v>
      </c>
      <c r="G2733" s="34">
        <f t="shared" si="85"/>
        <v>7.62</v>
      </c>
    </row>
    <row r="2734" spans="2:7" ht="13.8" customHeight="1" x14ac:dyDescent="0.25">
      <c r="B2734" s="35" t="s">
        <v>53</v>
      </c>
      <c r="C2734" s="35">
        <v>2770868</v>
      </c>
      <c r="D2734" s="35">
        <v>6.6</v>
      </c>
      <c r="E2734" s="35" t="s">
        <v>283</v>
      </c>
      <c r="F2734" s="31" t="str">
        <f t="shared" si="84"/>
        <v>C1.14.04</v>
      </c>
      <c r="G2734" s="34">
        <f t="shared" si="85"/>
        <v>6.6</v>
      </c>
    </row>
    <row r="2735" spans="2:7" ht="13.8" customHeight="1" x14ac:dyDescent="0.25">
      <c r="B2735" s="35" t="s">
        <v>53</v>
      </c>
      <c r="C2735" s="35">
        <v>2770869</v>
      </c>
      <c r="D2735" s="35">
        <v>6.6</v>
      </c>
      <c r="E2735" s="35" t="s">
        <v>283</v>
      </c>
      <c r="F2735" s="31" t="str">
        <f t="shared" si="84"/>
        <v>C1.14.04</v>
      </c>
      <c r="G2735" s="34">
        <f t="shared" si="85"/>
        <v>6.6</v>
      </c>
    </row>
    <row r="2736" spans="2:7" ht="13.8" customHeight="1" x14ac:dyDescent="0.25">
      <c r="B2736" s="35" t="s">
        <v>53</v>
      </c>
      <c r="C2736" s="35">
        <v>2771325</v>
      </c>
      <c r="D2736" s="35">
        <v>11.31</v>
      </c>
      <c r="E2736" s="35" t="s">
        <v>290</v>
      </c>
      <c r="F2736" s="31" t="str">
        <f t="shared" si="84"/>
        <v>C1.09.08</v>
      </c>
      <c r="G2736" s="34">
        <f t="shared" si="85"/>
        <v>11.31</v>
      </c>
    </row>
    <row r="2737" spans="2:7" ht="13.8" customHeight="1" x14ac:dyDescent="0.25">
      <c r="B2737" s="35" t="s">
        <v>53</v>
      </c>
      <c r="C2737" s="35">
        <v>2771327</v>
      </c>
      <c r="D2737" s="35">
        <v>3.89</v>
      </c>
      <c r="E2737" s="35" t="s">
        <v>290</v>
      </c>
      <c r="F2737" s="31" t="str">
        <f t="shared" si="84"/>
        <v>C1.09.08</v>
      </c>
      <c r="G2737" s="34">
        <f t="shared" si="85"/>
        <v>3.89</v>
      </c>
    </row>
    <row r="2738" spans="2:7" ht="13.8" customHeight="1" x14ac:dyDescent="0.25">
      <c r="B2738" s="35" t="s">
        <v>53</v>
      </c>
      <c r="C2738" s="35">
        <v>2771329</v>
      </c>
      <c r="D2738" s="35">
        <v>2.46</v>
      </c>
      <c r="E2738" s="35" t="s">
        <v>290</v>
      </c>
      <c r="F2738" s="31" t="str">
        <f t="shared" si="84"/>
        <v>C1.09.08</v>
      </c>
      <c r="G2738" s="34">
        <f t="shared" si="85"/>
        <v>2.46</v>
      </c>
    </row>
    <row r="2739" spans="2:7" ht="13.8" customHeight="1" x14ac:dyDescent="0.25">
      <c r="B2739" s="35" t="s">
        <v>53</v>
      </c>
      <c r="C2739" s="35">
        <v>2771331</v>
      </c>
      <c r="D2739" s="35">
        <v>1.8</v>
      </c>
      <c r="E2739" s="35" t="s">
        <v>290</v>
      </c>
      <c r="F2739" s="31" t="str">
        <f t="shared" si="84"/>
        <v>C1.09.08</v>
      </c>
      <c r="G2739" s="34">
        <f t="shared" si="85"/>
        <v>1.8</v>
      </c>
    </row>
    <row r="2740" spans="2:7" ht="13.8" customHeight="1" x14ac:dyDescent="0.25">
      <c r="B2740" s="35" t="s">
        <v>53</v>
      </c>
      <c r="C2740" s="35">
        <v>2771395</v>
      </c>
      <c r="D2740" s="35">
        <v>3.89</v>
      </c>
      <c r="E2740" s="35" t="s">
        <v>291</v>
      </c>
      <c r="F2740" s="31" t="str">
        <f t="shared" si="84"/>
        <v>C1.09.07</v>
      </c>
      <c r="G2740" s="34">
        <f t="shared" si="85"/>
        <v>3.89</v>
      </c>
    </row>
    <row r="2741" spans="2:7" ht="13.8" customHeight="1" x14ac:dyDescent="0.25">
      <c r="B2741" s="35" t="s">
        <v>53</v>
      </c>
      <c r="C2741" s="35">
        <v>2771397</v>
      </c>
      <c r="D2741" s="35">
        <v>2.46</v>
      </c>
      <c r="E2741" s="35" t="s">
        <v>291</v>
      </c>
      <c r="F2741" s="31" t="str">
        <f t="shared" si="84"/>
        <v>C1.09.07</v>
      </c>
      <c r="G2741" s="34">
        <f t="shared" si="85"/>
        <v>2.46</v>
      </c>
    </row>
    <row r="2742" spans="2:7" ht="13.8" customHeight="1" x14ac:dyDescent="0.25">
      <c r="B2742" s="35" t="s">
        <v>53</v>
      </c>
      <c r="C2742" s="35">
        <v>2771400</v>
      </c>
      <c r="D2742" s="35">
        <v>1.8</v>
      </c>
      <c r="E2742" s="35" t="s">
        <v>291</v>
      </c>
      <c r="F2742" s="31" t="str">
        <f t="shared" si="84"/>
        <v>C1.09.07</v>
      </c>
      <c r="G2742" s="34">
        <f t="shared" si="85"/>
        <v>1.8</v>
      </c>
    </row>
    <row r="2743" spans="2:7" ht="13.8" customHeight="1" x14ac:dyDescent="0.25">
      <c r="B2743" s="35" t="s">
        <v>53</v>
      </c>
      <c r="C2743" s="35">
        <v>2771401</v>
      </c>
      <c r="D2743" s="35">
        <v>11.31</v>
      </c>
      <c r="E2743" s="35" t="s">
        <v>291</v>
      </c>
      <c r="F2743" s="31" t="str">
        <f t="shared" si="84"/>
        <v>C1.09.07</v>
      </c>
      <c r="G2743" s="34">
        <f t="shared" si="85"/>
        <v>11.31</v>
      </c>
    </row>
    <row r="2744" spans="2:7" ht="13.8" customHeight="1" x14ac:dyDescent="0.25">
      <c r="B2744" s="35" t="s">
        <v>53</v>
      </c>
      <c r="C2744" s="35">
        <v>2770785</v>
      </c>
      <c r="D2744" s="35">
        <v>0.28999999999999998</v>
      </c>
      <c r="E2744" s="35" t="s">
        <v>281</v>
      </c>
      <c r="F2744" s="31" t="str">
        <f t="shared" si="84"/>
        <v>C1.14.02</v>
      </c>
      <c r="G2744" s="34">
        <f t="shared" si="85"/>
        <v>0.28999999999999998</v>
      </c>
    </row>
    <row r="2745" spans="2:7" ht="13.8" customHeight="1" x14ac:dyDescent="0.25">
      <c r="B2745" s="35" t="s">
        <v>53</v>
      </c>
      <c r="C2745" s="35">
        <v>2770788</v>
      </c>
      <c r="D2745" s="35">
        <v>1.59</v>
      </c>
      <c r="E2745" s="35" t="s">
        <v>281</v>
      </c>
      <c r="F2745" s="31" t="str">
        <f t="shared" si="84"/>
        <v>C1.14.02</v>
      </c>
      <c r="G2745" s="34">
        <f t="shared" si="85"/>
        <v>1.59</v>
      </c>
    </row>
    <row r="2746" spans="2:7" ht="13.8" customHeight="1" x14ac:dyDescent="0.25">
      <c r="B2746" s="35" t="s">
        <v>53</v>
      </c>
      <c r="C2746" s="35">
        <v>2770790</v>
      </c>
      <c r="D2746" s="35">
        <v>8.32</v>
      </c>
      <c r="E2746" s="35" t="s">
        <v>281</v>
      </c>
      <c r="F2746" s="31" t="str">
        <f t="shared" si="84"/>
        <v>C1.14.02</v>
      </c>
      <c r="G2746" s="34">
        <f t="shared" si="85"/>
        <v>8.32</v>
      </c>
    </row>
    <row r="2747" spans="2:7" ht="13.8" customHeight="1" x14ac:dyDescent="0.25">
      <c r="B2747" s="35" t="s">
        <v>53</v>
      </c>
      <c r="C2747" s="35">
        <v>2770791</v>
      </c>
      <c r="D2747" s="35">
        <v>6.6</v>
      </c>
      <c r="E2747" s="35" t="s">
        <v>281</v>
      </c>
      <c r="F2747" s="31" t="str">
        <f t="shared" si="84"/>
        <v>C1.14.02</v>
      </c>
      <c r="G2747" s="34">
        <f t="shared" si="85"/>
        <v>6.6</v>
      </c>
    </row>
    <row r="2748" spans="2:7" ht="13.8" customHeight="1" x14ac:dyDescent="0.25">
      <c r="B2748" s="35" t="s">
        <v>10</v>
      </c>
      <c r="C2748" s="35">
        <v>2765547</v>
      </c>
      <c r="D2748" s="35">
        <v>1.36</v>
      </c>
      <c r="E2748" s="35" t="s">
        <v>205</v>
      </c>
      <c r="F2748" s="31" t="str">
        <f t="shared" si="84"/>
        <v>E2.01.04</v>
      </c>
      <c r="G2748" s="34">
        <f t="shared" si="85"/>
        <v>1.36</v>
      </c>
    </row>
    <row r="2749" spans="2:7" ht="13.8" customHeight="1" x14ac:dyDescent="0.25">
      <c r="B2749" s="35" t="s">
        <v>10</v>
      </c>
      <c r="C2749" s="35">
        <v>2765548</v>
      </c>
      <c r="D2749" s="35">
        <v>1.36</v>
      </c>
      <c r="E2749" s="35" t="s">
        <v>205</v>
      </c>
      <c r="F2749" s="31" t="str">
        <f t="shared" si="84"/>
        <v>E2.01.04</v>
      </c>
      <c r="G2749" s="34">
        <f t="shared" si="85"/>
        <v>1.36</v>
      </c>
    </row>
    <row r="2750" spans="2:7" ht="13.8" customHeight="1" x14ac:dyDescent="0.25">
      <c r="B2750" s="35" t="s">
        <v>10</v>
      </c>
      <c r="C2750" s="35">
        <v>2765549</v>
      </c>
      <c r="D2750" s="35">
        <v>1.36</v>
      </c>
      <c r="E2750" s="35" t="s">
        <v>205</v>
      </c>
      <c r="F2750" s="31" t="str">
        <f t="shared" si="84"/>
        <v>E2.01.04</v>
      </c>
      <c r="G2750" s="34">
        <f t="shared" si="85"/>
        <v>1.36</v>
      </c>
    </row>
    <row r="2751" spans="2:7" ht="13.8" customHeight="1" x14ac:dyDescent="0.25">
      <c r="B2751" s="35" t="s">
        <v>10</v>
      </c>
      <c r="C2751" s="35">
        <v>2765550</v>
      </c>
      <c r="D2751" s="35">
        <v>1.36</v>
      </c>
      <c r="E2751" s="35" t="s">
        <v>205</v>
      </c>
      <c r="F2751" s="31" t="str">
        <f t="shared" si="84"/>
        <v>E2.01.04</v>
      </c>
      <c r="G2751" s="34">
        <f t="shared" si="85"/>
        <v>1.36</v>
      </c>
    </row>
    <row r="2752" spans="2:7" ht="13.8" customHeight="1" x14ac:dyDescent="0.25">
      <c r="B2752" s="35" t="s">
        <v>10</v>
      </c>
      <c r="C2752" s="35">
        <v>2765613</v>
      </c>
      <c r="D2752" s="35">
        <v>1.36</v>
      </c>
      <c r="E2752" s="35" t="s">
        <v>206</v>
      </c>
      <c r="F2752" s="31" t="str">
        <f t="shared" si="84"/>
        <v>E2.01.03</v>
      </c>
      <c r="G2752" s="34">
        <f t="shared" si="85"/>
        <v>1.36</v>
      </c>
    </row>
    <row r="2753" spans="2:7" ht="13.8" customHeight="1" x14ac:dyDescent="0.25">
      <c r="B2753" s="35" t="s">
        <v>10</v>
      </c>
      <c r="C2753" s="35">
        <v>2765614</v>
      </c>
      <c r="D2753" s="35">
        <v>1.36</v>
      </c>
      <c r="E2753" s="35" t="s">
        <v>206</v>
      </c>
      <c r="F2753" s="31" t="str">
        <f t="shared" si="84"/>
        <v>E2.01.03</v>
      </c>
      <c r="G2753" s="34">
        <f t="shared" si="85"/>
        <v>1.36</v>
      </c>
    </row>
    <row r="2754" spans="2:7" ht="13.8" customHeight="1" x14ac:dyDescent="0.25">
      <c r="B2754" s="35" t="s">
        <v>10</v>
      </c>
      <c r="C2754" s="35">
        <v>2765615</v>
      </c>
      <c r="D2754" s="35">
        <v>1.36</v>
      </c>
      <c r="E2754" s="35" t="s">
        <v>206</v>
      </c>
      <c r="F2754" s="31" t="str">
        <f t="shared" si="84"/>
        <v>E2.01.03</v>
      </c>
      <c r="G2754" s="34">
        <f t="shared" si="85"/>
        <v>1.36</v>
      </c>
    </row>
    <row r="2755" spans="2:7" ht="13.8" customHeight="1" x14ac:dyDescent="0.25">
      <c r="B2755" s="35" t="s">
        <v>10</v>
      </c>
      <c r="C2755" s="35">
        <v>2765674</v>
      </c>
      <c r="D2755" s="35">
        <v>3.05</v>
      </c>
      <c r="E2755" s="35" t="s">
        <v>207</v>
      </c>
      <c r="F2755" s="31" t="str">
        <f t="shared" si="84"/>
        <v>E2.01.01</v>
      </c>
      <c r="G2755" s="34">
        <f t="shared" si="85"/>
        <v>3.05</v>
      </c>
    </row>
    <row r="2756" spans="2:7" ht="13.8" customHeight="1" x14ac:dyDescent="0.25">
      <c r="B2756" s="35" t="s">
        <v>10</v>
      </c>
      <c r="C2756" s="35">
        <v>2765683</v>
      </c>
      <c r="D2756" s="35">
        <v>1.36</v>
      </c>
      <c r="E2756" s="35" t="s">
        <v>207</v>
      </c>
      <c r="F2756" s="31" t="str">
        <f t="shared" si="84"/>
        <v>E2.01.01</v>
      </c>
      <c r="G2756" s="34">
        <f t="shared" si="85"/>
        <v>1.36</v>
      </c>
    </row>
    <row r="2757" spans="2:7" ht="13.8" customHeight="1" x14ac:dyDescent="0.25">
      <c r="B2757" s="35" t="s">
        <v>10</v>
      </c>
      <c r="C2757" s="35">
        <v>2765684</v>
      </c>
      <c r="D2757" s="35">
        <v>1.36</v>
      </c>
      <c r="E2757" s="35" t="s">
        <v>207</v>
      </c>
      <c r="F2757" s="31" t="str">
        <f t="shared" si="84"/>
        <v>E2.01.01</v>
      </c>
      <c r="G2757" s="34">
        <f t="shared" si="85"/>
        <v>1.36</v>
      </c>
    </row>
    <row r="2758" spans="2:7" ht="13.8" customHeight="1" x14ac:dyDescent="0.25">
      <c r="B2758" s="35" t="s">
        <v>10</v>
      </c>
      <c r="C2758" s="35">
        <v>2765685</v>
      </c>
      <c r="D2758" s="35">
        <v>1.36</v>
      </c>
      <c r="E2758" s="35" t="s">
        <v>207</v>
      </c>
      <c r="F2758" s="31" t="str">
        <f t="shared" si="84"/>
        <v>E2.01.01</v>
      </c>
      <c r="G2758" s="34">
        <f t="shared" si="85"/>
        <v>1.36</v>
      </c>
    </row>
    <row r="2759" spans="2:7" ht="13.8" customHeight="1" x14ac:dyDescent="0.25">
      <c r="B2759" s="35" t="s">
        <v>10</v>
      </c>
      <c r="C2759" s="35">
        <v>2765686</v>
      </c>
      <c r="D2759" s="35">
        <v>1.36</v>
      </c>
      <c r="E2759" s="35" t="s">
        <v>207</v>
      </c>
      <c r="F2759" s="31" t="str">
        <f t="shared" ref="F2759:F2822" si="86">LEFT(E2759,8)</f>
        <v>E2.01.01</v>
      </c>
      <c r="G2759" s="34">
        <f t="shared" ref="G2759:G2822" si="87">D2759</f>
        <v>1.36</v>
      </c>
    </row>
    <row r="2760" spans="2:7" ht="13.8" customHeight="1" x14ac:dyDescent="0.25">
      <c r="B2760" s="35" t="s">
        <v>10</v>
      </c>
      <c r="C2760" s="35">
        <v>2765744</v>
      </c>
      <c r="D2760" s="35">
        <v>1.36</v>
      </c>
      <c r="E2760" s="35" t="s">
        <v>208</v>
      </c>
      <c r="F2760" s="31" t="str">
        <f t="shared" si="86"/>
        <v>E2.01.02</v>
      </c>
      <c r="G2760" s="34">
        <f t="shared" si="87"/>
        <v>1.36</v>
      </c>
    </row>
    <row r="2761" spans="2:7" ht="13.8" customHeight="1" x14ac:dyDescent="0.25">
      <c r="B2761" s="35" t="s">
        <v>10</v>
      </c>
      <c r="C2761" s="35">
        <v>2765745</v>
      </c>
      <c r="D2761" s="35">
        <v>1.36</v>
      </c>
      <c r="E2761" s="35" t="s">
        <v>208</v>
      </c>
      <c r="F2761" s="31" t="str">
        <f t="shared" si="86"/>
        <v>E2.01.02</v>
      </c>
      <c r="G2761" s="34">
        <f t="shared" si="87"/>
        <v>1.36</v>
      </c>
    </row>
    <row r="2762" spans="2:7" ht="13.8" customHeight="1" x14ac:dyDescent="0.25">
      <c r="B2762" s="35" t="s">
        <v>10</v>
      </c>
      <c r="C2762" s="35">
        <v>2765746</v>
      </c>
      <c r="D2762" s="35">
        <v>1.36</v>
      </c>
      <c r="E2762" s="35" t="s">
        <v>208</v>
      </c>
      <c r="F2762" s="31" t="str">
        <f t="shared" si="86"/>
        <v>E2.01.02</v>
      </c>
      <c r="G2762" s="34">
        <f t="shared" si="87"/>
        <v>1.36</v>
      </c>
    </row>
    <row r="2763" spans="2:7" ht="13.8" customHeight="1" x14ac:dyDescent="0.25">
      <c r="B2763" s="35" t="s">
        <v>10</v>
      </c>
      <c r="C2763" s="35">
        <v>2765829</v>
      </c>
      <c r="D2763" s="35">
        <v>1.36</v>
      </c>
      <c r="E2763" s="35" t="s">
        <v>209</v>
      </c>
      <c r="F2763" s="31" t="str">
        <f t="shared" si="86"/>
        <v>E2.15.02</v>
      </c>
      <c r="G2763" s="34">
        <f t="shared" si="87"/>
        <v>1.36</v>
      </c>
    </row>
    <row r="2764" spans="2:7" ht="13.8" customHeight="1" x14ac:dyDescent="0.25">
      <c r="B2764" s="35" t="s">
        <v>10</v>
      </c>
      <c r="C2764" s="35">
        <v>2765830</v>
      </c>
      <c r="D2764" s="35">
        <v>1.36</v>
      </c>
      <c r="E2764" s="35" t="s">
        <v>209</v>
      </c>
      <c r="F2764" s="31" t="str">
        <f t="shared" si="86"/>
        <v>E2.15.02</v>
      </c>
      <c r="G2764" s="34">
        <f t="shared" si="87"/>
        <v>1.36</v>
      </c>
    </row>
    <row r="2765" spans="2:7" ht="13.8" customHeight="1" x14ac:dyDescent="0.25">
      <c r="B2765" s="35" t="s">
        <v>10</v>
      </c>
      <c r="C2765" s="35">
        <v>2765831</v>
      </c>
      <c r="D2765" s="35">
        <v>1.36</v>
      </c>
      <c r="E2765" s="35" t="s">
        <v>209</v>
      </c>
      <c r="F2765" s="31" t="str">
        <f t="shared" si="86"/>
        <v>E2.15.02</v>
      </c>
      <c r="G2765" s="34">
        <f t="shared" si="87"/>
        <v>1.36</v>
      </c>
    </row>
    <row r="2766" spans="2:7" ht="13.8" customHeight="1" x14ac:dyDescent="0.25">
      <c r="B2766" s="35" t="s">
        <v>10</v>
      </c>
      <c r="C2766" s="35">
        <v>2765832</v>
      </c>
      <c r="D2766" s="35">
        <v>1.36</v>
      </c>
      <c r="E2766" s="35" t="s">
        <v>209</v>
      </c>
      <c r="F2766" s="31" t="str">
        <f t="shared" si="86"/>
        <v>E2.15.02</v>
      </c>
      <c r="G2766" s="34">
        <f t="shared" si="87"/>
        <v>1.36</v>
      </c>
    </row>
    <row r="2767" spans="2:7" ht="13.8" customHeight="1" x14ac:dyDescent="0.25">
      <c r="B2767" s="35" t="s">
        <v>10</v>
      </c>
      <c r="C2767" s="35">
        <v>2765907</v>
      </c>
      <c r="D2767" s="35">
        <v>1.36</v>
      </c>
      <c r="E2767" s="35" t="s">
        <v>210</v>
      </c>
      <c r="F2767" s="31" t="str">
        <f t="shared" si="86"/>
        <v>E2.15.03</v>
      </c>
      <c r="G2767" s="34">
        <f t="shared" si="87"/>
        <v>1.36</v>
      </c>
    </row>
    <row r="2768" spans="2:7" ht="13.8" customHeight="1" x14ac:dyDescent="0.25">
      <c r="B2768" s="35" t="s">
        <v>10</v>
      </c>
      <c r="C2768" s="35">
        <v>2765908</v>
      </c>
      <c r="D2768" s="35">
        <v>1.36</v>
      </c>
      <c r="E2768" s="35" t="s">
        <v>210</v>
      </c>
      <c r="F2768" s="31" t="str">
        <f t="shared" si="86"/>
        <v>E2.15.03</v>
      </c>
      <c r="G2768" s="34">
        <f t="shared" si="87"/>
        <v>1.36</v>
      </c>
    </row>
    <row r="2769" spans="2:7" ht="13.8" customHeight="1" x14ac:dyDescent="0.25">
      <c r="B2769" s="35" t="s">
        <v>10</v>
      </c>
      <c r="C2769" s="35">
        <v>2765909</v>
      </c>
      <c r="D2769" s="35">
        <v>1.36</v>
      </c>
      <c r="E2769" s="35" t="s">
        <v>210</v>
      </c>
      <c r="F2769" s="31" t="str">
        <f t="shared" si="86"/>
        <v>E2.15.03</v>
      </c>
      <c r="G2769" s="34">
        <f t="shared" si="87"/>
        <v>1.36</v>
      </c>
    </row>
    <row r="2770" spans="2:7" ht="13.8" customHeight="1" x14ac:dyDescent="0.25">
      <c r="B2770" s="35" t="s">
        <v>10</v>
      </c>
      <c r="C2770" s="35">
        <v>2765910</v>
      </c>
      <c r="D2770" s="35">
        <v>1.36</v>
      </c>
      <c r="E2770" s="35" t="s">
        <v>210</v>
      </c>
      <c r="F2770" s="31" t="str">
        <f t="shared" si="86"/>
        <v>E2.15.03</v>
      </c>
      <c r="G2770" s="34">
        <f t="shared" si="87"/>
        <v>1.36</v>
      </c>
    </row>
    <row r="2771" spans="2:7" ht="13.8" customHeight="1" x14ac:dyDescent="0.25">
      <c r="B2771" s="35" t="s">
        <v>10</v>
      </c>
      <c r="C2771" s="35">
        <v>2765977</v>
      </c>
      <c r="D2771" s="35">
        <v>1.36</v>
      </c>
      <c r="E2771" s="35" t="s">
        <v>211</v>
      </c>
      <c r="F2771" s="31" t="str">
        <f t="shared" si="86"/>
        <v>E2.15.01</v>
      </c>
      <c r="G2771" s="34">
        <f t="shared" si="87"/>
        <v>1.36</v>
      </c>
    </row>
    <row r="2772" spans="2:7" ht="13.8" customHeight="1" x14ac:dyDescent="0.25">
      <c r="B2772" s="35" t="s">
        <v>10</v>
      </c>
      <c r="C2772" s="35">
        <v>2765978</v>
      </c>
      <c r="D2772" s="35">
        <v>1.36</v>
      </c>
      <c r="E2772" s="35" t="s">
        <v>211</v>
      </c>
      <c r="F2772" s="31" t="str">
        <f t="shared" si="86"/>
        <v>E2.15.01</v>
      </c>
      <c r="G2772" s="34">
        <f t="shared" si="87"/>
        <v>1.36</v>
      </c>
    </row>
    <row r="2773" spans="2:7" ht="13.8" customHeight="1" x14ac:dyDescent="0.25">
      <c r="B2773" s="35" t="s">
        <v>10</v>
      </c>
      <c r="C2773" s="35">
        <v>2765979</v>
      </c>
      <c r="D2773" s="35">
        <v>1.36</v>
      </c>
      <c r="E2773" s="35" t="s">
        <v>211</v>
      </c>
      <c r="F2773" s="31" t="str">
        <f t="shared" si="86"/>
        <v>E2.15.01</v>
      </c>
      <c r="G2773" s="34">
        <f t="shared" si="87"/>
        <v>1.36</v>
      </c>
    </row>
    <row r="2774" spans="2:7" ht="13.8" customHeight="1" x14ac:dyDescent="0.25">
      <c r="B2774" s="35" t="s">
        <v>10</v>
      </c>
      <c r="C2774" s="35">
        <v>2766065</v>
      </c>
      <c r="D2774" s="35">
        <v>1.36</v>
      </c>
      <c r="E2774" s="35" t="s">
        <v>212</v>
      </c>
      <c r="F2774" s="31" t="str">
        <f t="shared" si="86"/>
        <v>E2.15.06</v>
      </c>
      <c r="G2774" s="34">
        <f t="shared" si="87"/>
        <v>1.36</v>
      </c>
    </row>
    <row r="2775" spans="2:7" ht="13.8" customHeight="1" x14ac:dyDescent="0.25">
      <c r="B2775" s="35" t="s">
        <v>10</v>
      </c>
      <c r="C2775" s="35">
        <v>2766066</v>
      </c>
      <c r="D2775" s="35">
        <v>1.36</v>
      </c>
      <c r="E2775" s="35" t="s">
        <v>212</v>
      </c>
      <c r="F2775" s="31" t="str">
        <f t="shared" si="86"/>
        <v>E2.15.06</v>
      </c>
      <c r="G2775" s="34">
        <f t="shared" si="87"/>
        <v>1.36</v>
      </c>
    </row>
    <row r="2776" spans="2:7" ht="13.8" customHeight="1" x14ac:dyDescent="0.25">
      <c r="B2776" s="35" t="s">
        <v>10</v>
      </c>
      <c r="C2776" s="35">
        <v>2766067</v>
      </c>
      <c r="D2776" s="35">
        <v>1.36</v>
      </c>
      <c r="E2776" s="35" t="s">
        <v>212</v>
      </c>
      <c r="F2776" s="31" t="str">
        <f t="shared" si="86"/>
        <v>E2.15.06</v>
      </c>
      <c r="G2776" s="34">
        <f t="shared" si="87"/>
        <v>1.36</v>
      </c>
    </row>
    <row r="2777" spans="2:7" ht="13.8" customHeight="1" x14ac:dyDescent="0.25">
      <c r="B2777" s="35" t="s">
        <v>10</v>
      </c>
      <c r="C2777" s="35">
        <v>2766068</v>
      </c>
      <c r="D2777" s="35">
        <v>1.36</v>
      </c>
      <c r="E2777" s="35" t="s">
        <v>212</v>
      </c>
      <c r="F2777" s="31" t="str">
        <f t="shared" si="86"/>
        <v>E2.15.06</v>
      </c>
      <c r="G2777" s="34">
        <f t="shared" si="87"/>
        <v>1.36</v>
      </c>
    </row>
    <row r="2778" spans="2:7" ht="13.8" customHeight="1" x14ac:dyDescent="0.25">
      <c r="B2778" s="35" t="s">
        <v>10</v>
      </c>
      <c r="C2778" s="35">
        <v>2766069</v>
      </c>
      <c r="D2778" s="35">
        <v>1.36</v>
      </c>
      <c r="E2778" s="35" t="s">
        <v>212</v>
      </c>
      <c r="F2778" s="31" t="str">
        <f t="shared" si="86"/>
        <v>E2.15.06</v>
      </c>
      <c r="G2778" s="34">
        <f t="shared" si="87"/>
        <v>1.36</v>
      </c>
    </row>
    <row r="2779" spans="2:7" ht="13.8" customHeight="1" x14ac:dyDescent="0.25">
      <c r="B2779" s="35" t="s">
        <v>10</v>
      </c>
      <c r="C2779" s="35">
        <v>2766136</v>
      </c>
      <c r="D2779" s="35">
        <v>1.36</v>
      </c>
      <c r="E2779" s="35" t="s">
        <v>213</v>
      </c>
      <c r="F2779" s="31" t="str">
        <f t="shared" si="86"/>
        <v>E2.15.05</v>
      </c>
      <c r="G2779" s="34">
        <f t="shared" si="87"/>
        <v>1.36</v>
      </c>
    </row>
    <row r="2780" spans="2:7" ht="13.8" customHeight="1" x14ac:dyDescent="0.25">
      <c r="B2780" s="35" t="s">
        <v>10</v>
      </c>
      <c r="C2780" s="35">
        <v>2766137</v>
      </c>
      <c r="D2780" s="35">
        <v>1.36</v>
      </c>
      <c r="E2780" s="35" t="s">
        <v>213</v>
      </c>
      <c r="F2780" s="31" t="str">
        <f t="shared" si="86"/>
        <v>E2.15.05</v>
      </c>
      <c r="G2780" s="34">
        <f t="shared" si="87"/>
        <v>1.36</v>
      </c>
    </row>
    <row r="2781" spans="2:7" ht="13.8" customHeight="1" x14ac:dyDescent="0.25">
      <c r="B2781" s="35" t="s">
        <v>10</v>
      </c>
      <c r="C2781" s="35">
        <v>2766138</v>
      </c>
      <c r="D2781" s="35">
        <v>1.36</v>
      </c>
      <c r="E2781" s="35" t="s">
        <v>213</v>
      </c>
      <c r="F2781" s="31" t="str">
        <f t="shared" si="86"/>
        <v>E2.15.05</v>
      </c>
      <c r="G2781" s="34">
        <f t="shared" si="87"/>
        <v>1.36</v>
      </c>
    </row>
    <row r="2782" spans="2:7" ht="13.8" customHeight="1" x14ac:dyDescent="0.25">
      <c r="B2782" s="35" t="s">
        <v>10</v>
      </c>
      <c r="C2782" s="35">
        <v>2766209</v>
      </c>
      <c r="D2782" s="35">
        <v>1.36</v>
      </c>
      <c r="E2782" s="35" t="s">
        <v>214</v>
      </c>
      <c r="F2782" s="31" t="str">
        <f t="shared" si="86"/>
        <v>E2.15.07</v>
      </c>
      <c r="G2782" s="34">
        <f t="shared" si="87"/>
        <v>1.36</v>
      </c>
    </row>
    <row r="2783" spans="2:7" ht="13.8" customHeight="1" x14ac:dyDescent="0.25">
      <c r="B2783" s="35" t="s">
        <v>10</v>
      </c>
      <c r="C2783" s="35">
        <v>2766210</v>
      </c>
      <c r="D2783" s="35">
        <v>1.36</v>
      </c>
      <c r="E2783" s="35" t="s">
        <v>214</v>
      </c>
      <c r="F2783" s="31" t="str">
        <f t="shared" si="86"/>
        <v>E2.15.07</v>
      </c>
      <c r="G2783" s="34">
        <f t="shared" si="87"/>
        <v>1.36</v>
      </c>
    </row>
    <row r="2784" spans="2:7" ht="13.8" customHeight="1" x14ac:dyDescent="0.25">
      <c r="B2784" s="35" t="s">
        <v>10</v>
      </c>
      <c r="C2784" s="35">
        <v>2766211</v>
      </c>
      <c r="D2784" s="35">
        <v>1.36</v>
      </c>
      <c r="E2784" s="35" t="s">
        <v>214</v>
      </c>
      <c r="F2784" s="31" t="str">
        <f t="shared" si="86"/>
        <v>E2.15.07</v>
      </c>
      <c r="G2784" s="34">
        <f t="shared" si="87"/>
        <v>1.36</v>
      </c>
    </row>
    <row r="2785" spans="2:7" ht="13.8" customHeight="1" x14ac:dyDescent="0.25">
      <c r="B2785" s="35" t="s">
        <v>10</v>
      </c>
      <c r="C2785" s="35">
        <v>2766212</v>
      </c>
      <c r="D2785" s="35">
        <v>1.36</v>
      </c>
      <c r="E2785" s="35" t="s">
        <v>214</v>
      </c>
      <c r="F2785" s="31" t="str">
        <f t="shared" si="86"/>
        <v>E2.15.07</v>
      </c>
      <c r="G2785" s="34">
        <f t="shared" si="87"/>
        <v>1.36</v>
      </c>
    </row>
    <row r="2786" spans="2:7" ht="13.8" customHeight="1" x14ac:dyDescent="0.25">
      <c r="B2786" s="35" t="s">
        <v>10</v>
      </c>
      <c r="C2786" s="35">
        <v>2766279</v>
      </c>
      <c r="D2786" s="35">
        <v>1.36</v>
      </c>
      <c r="E2786" s="35" t="s">
        <v>215</v>
      </c>
      <c r="F2786" s="31" t="str">
        <f t="shared" si="86"/>
        <v>E2.15.04</v>
      </c>
      <c r="G2786" s="34">
        <f t="shared" si="87"/>
        <v>1.36</v>
      </c>
    </row>
    <row r="2787" spans="2:7" ht="13.8" customHeight="1" x14ac:dyDescent="0.25">
      <c r="B2787" s="35" t="s">
        <v>10</v>
      </c>
      <c r="C2787" s="35">
        <v>2766280</v>
      </c>
      <c r="D2787" s="35">
        <v>1.36</v>
      </c>
      <c r="E2787" s="35" t="s">
        <v>215</v>
      </c>
      <c r="F2787" s="31" t="str">
        <f t="shared" si="86"/>
        <v>E2.15.04</v>
      </c>
      <c r="G2787" s="34">
        <f t="shared" si="87"/>
        <v>1.36</v>
      </c>
    </row>
    <row r="2788" spans="2:7" ht="13.8" customHeight="1" x14ac:dyDescent="0.25">
      <c r="B2788" s="35" t="s">
        <v>10</v>
      </c>
      <c r="C2788" s="35">
        <v>2766281</v>
      </c>
      <c r="D2788" s="35">
        <v>1.36</v>
      </c>
      <c r="E2788" s="35" t="s">
        <v>215</v>
      </c>
      <c r="F2788" s="31" t="str">
        <f t="shared" si="86"/>
        <v>E2.15.04</v>
      </c>
      <c r="G2788" s="34">
        <f t="shared" si="87"/>
        <v>1.36</v>
      </c>
    </row>
    <row r="2789" spans="2:7" ht="13.8" customHeight="1" x14ac:dyDescent="0.25">
      <c r="B2789" s="35" t="s">
        <v>10</v>
      </c>
      <c r="C2789" s="35">
        <v>2766370</v>
      </c>
      <c r="D2789" s="35">
        <v>1.36</v>
      </c>
      <c r="E2789" s="35" t="s">
        <v>216</v>
      </c>
      <c r="F2789" s="31" t="str">
        <f t="shared" si="86"/>
        <v>E2.34.05</v>
      </c>
      <c r="G2789" s="34">
        <f t="shared" si="87"/>
        <v>1.36</v>
      </c>
    </row>
    <row r="2790" spans="2:7" ht="13.8" customHeight="1" x14ac:dyDescent="0.25">
      <c r="B2790" s="35" t="s">
        <v>10</v>
      </c>
      <c r="C2790" s="35">
        <v>2766441</v>
      </c>
      <c r="D2790" s="35">
        <v>1.36</v>
      </c>
      <c r="E2790" s="35" t="s">
        <v>217</v>
      </c>
      <c r="F2790" s="31" t="str">
        <f t="shared" si="86"/>
        <v>E2.34.06</v>
      </c>
      <c r="G2790" s="34">
        <f t="shared" si="87"/>
        <v>1.36</v>
      </c>
    </row>
    <row r="2791" spans="2:7" ht="13.8" customHeight="1" x14ac:dyDescent="0.25">
      <c r="B2791" s="35" t="s">
        <v>10</v>
      </c>
      <c r="C2791" s="35">
        <v>2766512</v>
      </c>
      <c r="D2791" s="35">
        <v>1.36</v>
      </c>
      <c r="E2791" s="35" t="s">
        <v>218</v>
      </c>
      <c r="F2791" s="31" t="str">
        <f t="shared" si="86"/>
        <v>E2.34.04</v>
      </c>
      <c r="G2791" s="34">
        <f t="shared" si="87"/>
        <v>1.36</v>
      </c>
    </row>
    <row r="2792" spans="2:7" ht="13.8" customHeight="1" x14ac:dyDescent="0.25">
      <c r="B2792" s="35" t="s">
        <v>10</v>
      </c>
      <c r="C2792" s="35">
        <v>2766583</v>
      </c>
      <c r="D2792" s="35">
        <v>1.36</v>
      </c>
      <c r="E2792" s="35" t="s">
        <v>219</v>
      </c>
      <c r="F2792" s="31" t="str">
        <f t="shared" si="86"/>
        <v>E2.34.01</v>
      </c>
      <c r="G2792" s="34">
        <f t="shared" si="87"/>
        <v>1.36</v>
      </c>
    </row>
    <row r="2793" spans="2:7" ht="13.8" customHeight="1" x14ac:dyDescent="0.25">
      <c r="B2793" s="35" t="s">
        <v>10</v>
      </c>
      <c r="C2793" s="35">
        <v>2766584</v>
      </c>
      <c r="D2793" s="35">
        <v>1.83</v>
      </c>
      <c r="E2793" s="35" t="s">
        <v>219</v>
      </c>
      <c r="F2793" s="31" t="str">
        <f t="shared" si="86"/>
        <v>E2.34.01</v>
      </c>
      <c r="G2793" s="34">
        <f t="shared" si="87"/>
        <v>1.83</v>
      </c>
    </row>
    <row r="2794" spans="2:7" ht="13.8" customHeight="1" x14ac:dyDescent="0.25">
      <c r="B2794" s="35" t="s">
        <v>10</v>
      </c>
      <c r="C2794" s="35">
        <v>2766678</v>
      </c>
      <c r="D2794" s="35">
        <v>1.36</v>
      </c>
      <c r="E2794" s="35" t="s">
        <v>220</v>
      </c>
      <c r="F2794" s="31" t="str">
        <f t="shared" si="86"/>
        <v>E2.34.02</v>
      </c>
      <c r="G2794" s="34">
        <f t="shared" si="87"/>
        <v>1.36</v>
      </c>
    </row>
    <row r="2795" spans="2:7" ht="13.8" customHeight="1" x14ac:dyDescent="0.25">
      <c r="B2795" s="35" t="s">
        <v>10</v>
      </c>
      <c r="C2795" s="35">
        <v>2766752</v>
      </c>
      <c r="D2795" s="35">
        <v>1.36</v>
      </c>
      <c r="E2795" s="35" t="s">
        <v>221</v>
      </c>
      <c r="F2795" s="31" t="str">
        <f t="shared" si="86"/>
        <v>E2.34.03</v>
      </c>
      <c r="G2795" s="34">
        <f t="shared" si="87"/>
        <v>1.36</v>
      </c>
    </row>
    <row r="2796" spans="2:7" ht="13.8" customHeight="1" x14ac:dyDescent="0.25">
      <c r="B2796" s="35" t="s">
        <v>10</v>
      </c>
      <c r="C2796" s="35">
        <v>2766820</v>
      </c>
      <c r="D2796" s="35">
        <v>1.36</v>
      </c>
      <c r="E2796" s="35" t="s">
        <v>222</v>
      </c>
      <c r="F2796" s="31" t="str">
        <f t="shared" si="86"/>
        <v>D1.09.02</v>
      </c>
      <c r="G2796" s="34">
        <f t="shared" si="87"/>
        <v>1.36</v>
      </c>
    </row>
    <row r="2797" spans="2:7" ht="13.8" customHeight="1" x14ac:dyDescent="0.25">
      <c r="B2797" s="35" t="s">
        <v>10</v>
      </c>
      <c r="C2797" s="35">
        <v>2766821</v>
      </c>
      <c r="D2797" s="35">
        <v>1.36</v>
      </c>
      <c r="E2797" s="35" t="s">
        <v>222</v>
      </c>
      <c r="F2797" s="31" t="str">
        <f t="shared" si="86"/>
        <v>D1.09.02</v>
      </c>
      <c r="G2797" s="34">
        <f t="shared" si="87"/>
        <v>1.36</v>
      </c>
    </row>
    <row r="2798" spans="2:7" ht="13.8" customHeight="1" x14ac:dyDescent="0.25">
      <c r="B2798" s="35" t="s">
        <v>10</v>
      </c>
      <c r="C2798" s="35">
        <v>2766822</v>
      </c>
      <c r="D2798" s="35">
        <v>1.36</v>
      </c>
      <c r="E2798" s="35" t="s">
        <v>222</v>
      </c>
      <c r="F2798" s="31" t="str">
        <f t="shared" si="86"/>
        <v>D1.09.02</v>
      </c>
      <c r="G2798" s="34">
        <f t="shared" si="87"/>
        <v>1.36</v>
      </c>
    </row>
    <row r="2799" spans="2:7" ht="13.8" customHeight="1" x14ac:dyDescent="0.25">
      <c r="B2799" s="35" t="s">
        <v>10</v>
      </c>
      <c r="C2799" s="35">
        <v>2766823</v>
      </c>
      <c r="D2799" s="35">
        <v>1.36</v>
      </c>
      <c r="E2799" s="35" t="s">
        <v>222</v>
      </c>
      <c r="F2799" s="31" t="str">
        <f t="shared" si="86"/>
        <v>D1.09.02</v>
      </c>
      <c r="G2799" s="34">
        <f t="shared" si="87"/>
        <v>1.36</v>
      </c>
    </row>
    <row r="2800" spans="2:7" ht="13.8" customHeight="1" x14ac:dyDescent="0.25">
      <c r="B2800" s="35" t="s">
        <v>10</v>
      </c>
      <c r="C2800" s="35">
        <v>2766887</v>
      </c>
      <c r="D2800" s="35">
        <v>1.36</v>
      </c>
      <c r="E2800" s="35" t="s">
        <v>223</v>
      </c>
      <c r="F2800" s="31" t="str">
        <f t="shared" si="86"/>
        <v>D1.09.03</v>
      </c>
      <c r="G2800" s="34">
        <f t="shared" si="87"/>
        <v>1.36</v>
      </c>
    </row>
    <row r="2801" spans="2:7" ht="13.8" customHeight="1" x14ac:dyDescent="0.25">
      <c r="B2801" s="35" t="s">
        <v>10</v>
      </c>
      <c r="C2801" s="35">
        <v>2766888</v>
      </c>
      <c r="D2801" s="35">
        <v>1.36</v>
      </c>
      <c r="E2801" s="35" t="s">
        <v>223</v>
      </c>
      <c r="F2801" s="31" t="str">
        <f t="shared" si="86"/>
        <v>D1.09.03</v>
      </c>
      <c r="G2801" s="34">
        <f t="shared" si="87"/>
        <v>1.36</v>
      </c>
    </row>
    <row r="2802" spans="2:7" ht="13.8" customHeight="1" x14ac:dyDescent="0.25">
      <c r="B2802" s="35" t="s">
        <v>10</v>
      </c>
      <c r="C2802" s="35">
        <v>2766889</v>
      </c>
      <c r="D2802" s="35">
        <v>1.36</v>
      </c>
      <c r="E2802" s="35" t="s">
        <v>223</v>
      </c>
      <c r="F2802" s="31" t="str">
        <f t="shared" si="86"/>
        <v>D1.09.03</v>
      </c>
      <c r="G2802" s="34">
        <f t="shared" si="87"/>
        <v>1.36</v>
      </c>
    </row>
    <row r="2803" spans="2:7" ht="13.8" customHeight="1" x14ac:dyDescent="0.25">
      <c r="B2803" s="35" t="s">
        <v>10</v>
      </c>
      <c r="C2803" s="35">
        <v>2766957</v>
      </c>
      <c r="D2803" s="35">
        <v>1.36</v>
      </c>
      <c r="E2803" s="35" t="s">
        <v>224</v>
      </c>
      <c r="F2803" s="31" t="str">
        <f t="shared" si="86"/>
        <v>D1.12.01</v>
      </c>
      <c r="G2803" s="34">
        <f t="shared" si="87"/>
        <v>1.36</v>
      </c>
    </row>
    <row r="2804" spans="2:7" ht="13.8" customHeight="1" x14ac:dyDescent="0.25">
      <c r="B2804" s="35" t="s">
        <v>10</v>
      </c>
      <c r="C2804" s="35">
        <v>2766958</v>
      </c>
      <c r="D2804" s="35">
        <v>1.36</v>
      </c>
      <c r="E2804" s="35" t="s">
        <v>224</v>
      </c>
      <c r="F2804" s="31" t="str">
        <f t="shared" si="86"/>
        <v>D1.12.01</v>
      </c>
      <c r="G2804" s="34">
        <f t="shared" si="87"/>
        <v>1.36</v>
      </c>
    </row>
    <row r="2805" spans="2:7" ht="13.8" customHeight="1" x14ac:dyDescent="0.25">
      <c r="B2805" s="35" t="s">
        <v>10</v>
      </c>
      <c r="C2805" s="35">
        <v>2766959</v>
      </c>
      <c r="D2805" s="35">
        <v>1.36</v>
      </c>
      <c r="E2805" s="35" t="s">
        <v>224</v>
      </c>
      <c r="F2805" s="31" t="str">
        <f t="shared" si="86"/>
        <v>D1.12.01</v>
      </c>
      <c r="G2805" s="34">
        <f t="shared" si="87"/>
        <v>1.36</v>
      </c>
    </row>
    <row r="2806" spans="2:7" ht="13.8" customHeight="1" x14ac:dyDescent="0.25">
      <c r="B2806" s="35" t="s">
        <v>10</v>
      </c>
      <c r="C2806" s="35">
        <v>2766995</v>
      </c>
      <c r="D2806" s="35">
        <v>1.36</v>
      </c>
      <c r="E2806" s="35" t="s">
        <v>225</v>
      </c>
      <c r="F2806" s="31" t="str">
        <f t="shared" si="86"/>
        <v>D1.12.02</v>
      </c>
      <c r="G2806" s="34">
        <f t="shared" si="87"/>
        <v>1.36</v>
      </c>
    </row>
    <row r="2807" spans="2:7" ht="13.8" customHeight="1" x14ac:dyDescent="0.25">
      <c r="B2807" s="35" t="s">
        <v>10</v>
      </c>
      <c r="C2807" s="35">
        <v>2767055</v>
      </c>
      <c r="D2807" s="35">
        <v>1.36</v>
      </c>
      <c r="E2807" s="35" t="s">
        <v>226</v>
      </c>
      <c r="F2807" s="31" t="str">
        <f t="shared" si="86"/>
        <v>D1.08.04</v>
      </c>
      <c r="G2807" s="34">
        <f t="shared" si="87"/>
        <v>1.36</v>
      </c>
    </row>
    <row r="2808" spans="2:7" ht="13.8" customHeight="1" x14ac:dyDescent="0.25">
      <c r="B2808" s="35" t="s">
        <v>10</v>
      </c>
      <c r="C2808" s="35">
        <v>2767056</v>
      </c>
      <c r="D2808" s="35">
        <v>1.36</v>
      </c>
      <c r="E2808" s="35" t="s">
        <v>226</v>
      </c>
      <c r="F2808" s="31" t="str">
        <f t="shared" si="86"/>
        <v>D1.08.04</v>
      </c>
      <c r="G2808" s="34">
        <f t="shared" si="87"/>
        <v>1.36</v>
      </c>
    </row>
    <row r="2809" spans="2:7" ht="13.8" customHeight="1" x14ac:dyDescent="0.25">
      <c r="B2809" s="35" t="s">
        <v>10</v>
      </c>
      <c r="C2809" s="35">
        <v>2767098</v>
      </c>
      <c r="D2809" s="35">
        <v>1.36</v>
      </c>
      <c r="E2809" s="35" t="s">
        <v>227</v>
      </c>
      <c r="F2809" s="31" t="str">
        <f t="shared" si="86"/>
        <v>D1.08.05</v>
      </c>
      <c r="G2809" s="34">
        <f t="shared" si="87"/>
        <v>1.36</v>
      </c>
    </row>
    <row r="2810" spans="2:7" ht="13.8" customHeight="1" x14ac:dyDescent="0.25">
      <c r="B2810" s="35" t="s">
        <v>10</v>
      </c>
      <c r="C2810" s="35">
        <v>2767099</v>
      </c>
      <c r="D2810" s="35">
        <v>1.36</v>
      </c>
      <c r="E2810" s="35" t="s">
        <v>227</v>
      </c>
      <c r="F2810" s="31" t="str">
        <f t="shared" si="86"/>
        <v>D1.08.05</v>
      </c>
      <c r="G2810" s="34">
        <f t="shared" si="87"/>
        <v>1.36</v>
      </c>
    </row>
    <row r="2811" spans="2:7" ht="13.8" customHeight="1" x14ac:dyDescent="0.25">
      <c r="B2811" s="35" t="s">
        <v>10</v>
      </c>
      <c r="C2811" s="35">
        <v>2767172</v>
      </c>
      <c r="D2811" s="35">
        <v>1.36</v>
      </c>
      <c r="E2811" s="35" t="s">
        <v>228</v>
      </c>
      <c r="F2811" s="31" t="str">
        <f t="shared" si="86"/>
        <v>D1.08.02</v>
      </c>
      <c r="G2811" s="34">
        <f t="shared" si="87"/>
        <v>1.36</v>
      </c>
    </row>
    <row r="2812" spans="2:7" ht="13.8" customHeight="1" x14ac:dyDescent="0.25">
      <c r="B2812" s="35" t="s">
        <v>10</v>
      </c>
      <c r="C2812" s="35">
        <v>2767173</v>
      </c>
      <c r="D2812" s="35">
        <v>1.36</v>
      </c>
      <c r="E2812" s="35" t="s">
        <v>228</v>
      </c>
      <c r="F2812" s="31" t="str">
        <f t="shared" si="86"/>
        <v>D1.08.02</v>
      </c>
      <c r="G2812" s="34">
        <f t="shared" si="87"/>
        <v>1.36</v>
      </c>
    </row>
    <row r="2813" spans="2:7" ht="13.8" customHeight="1" x14ac:dyDescent="0.25">
      <c r="B2813" s="35" t="s">
        <v>10</v>
      </c>
      <c r="C2813" s="35">
        <v>2767174</v>
      </c>
      <c r="D2813" s="35">
        <v>1.36</v>
      </c>
      <c r="E2813" s="35" t="s">
        <v>228</v>
      </c>
      <c r="F2813" s="31" t="str">
        <f t="shared" si="86"/>
        <v>D1.08.02</v>
      </c>
      <c r="G2813" s="34">
        <f t="shared" si="87"/>
        <v>1.36</v>
      </c>
    </row>
    <row r="2814" spans="2:7" ht="13.8" customHeight="1" x14ac:dyDescent="0.25">
      <c r="B2814" s="35" t="s">
        <v>10</v>
      </c>
      <c r="C2814" s="35">
        <v>2767175</v>
      </c>
      <c r="D2814" s="35">
        <v>1.36</v>
      </c>
      <c r="E2814" s="35" t="s">
        <v>228</v>
      </c>
      <c r="F2814" s="31" t="str">
        <f t="shared" si="86"/>
        <v>D1.08.02</v>
      </c>
      <c r="G2814" s="34">
        <f t="shared" si="87"/>
        <v>1.36</v>
      </c>
    </row>
    <row r="2815" spans="2:7" ht="13.8" customHeight="1" x14ac:dyDescent="0.25">
      <c r="B2815" s="35" t="s">
        <v>10</v>
      </c>
      <c r="C2815" s="35">
        <v>2767217</v>
      </c>
      <c r="D2815" s="35">
        <v>1.36</v>
      </c>
      <c r="E2815" s="35" t="s">
        <v>229</v>
      </c>
      <c r="F2815" s="31" t="str">
        <f t="shared" si="86"/>
        <v>D1.08.01</v>
      </c>
      <c r="G2815" s="34">
        <f t="shared" si="87"/>
        <v>1.36</v>
      </c>
    </row>
    <row r="2816" spans="2:7" ht="13.8" customHeight="1" x14ac:dyDescent="0.25">
      <c r="B2816" s="35" t="s">
        <v>10</v>
      </c>
      <c r="C2816" s="35">
        <v>2767282</v>
      </c>
      <c r="D2816" s="35">
        <v>1.36</v>
      </c>
      <c r="E2816" s="35" t="s">
        <v>230</v>
      </c>
      <c r="F2816" s="31" t="str">
        <f t="shared" si="86"/>
        <v>D1.08.03</v>
      </c>
      <c r="G2816" s="34">
        <f t="shared" si="87"/>
        <v>1.36</v>
      </c>
    </row>
    <row r="2817" spans="2:7" ht="13.8" customHeight="1" x14ac:dyDescent="0.25">
      <c r="B2817" s="35" t="s">
        <v>10</v>
      </c>
      <c r="C2817" s="35">
        <v>2767283</v>
      </c>
      <c r="D2817" s="35">
        <v>1.36</v>
      </c>
      <c r="E2817" s="35" t="s">
        <v>230</v>
      </c>
      <c r="F2817" s="31" t="str">
        <f t="shared" si="86"/>
        <v>D1.08.03</v>
      </c>
      <c r="G2817" s="34">
        <f t="shared" si="87"/>
        <v>1.36</v>
      </c>
    </row>
    <row r="2818" spans="2:7" ht="13.8" customHeight="1" x14ac:dyDescent="0.25">
      <c r="B2818" s="35" t="s">
        <v>10</v>
      </c>
      <c r="C2818" s="35">
        <v>2767284</v>
      </c>
      <c r="D2818" s="35">
        <v>1.36</v>
      </c>
      <c r="E2818" s="35" t="s">
        <v>230</v>
      </c>
      <c r="F2818" s="31" t="str">
        <f t="shared" si="86"/>
        <v>D1.08.03</v>
      </c>
      <c r="G2818" s="34">
        <f t="shared" si="87"/>
        <v>1.36</v>
      </c>
    </row>
    <row r="2819" spans="2:7" ht="13.8" customHeight="1" x14ac:dyDescent="0.25">
      <c r="B2819" s="35" t="s">
        <v>10</v>
      </c>
      <c r="C2819" s="35">
        <v>2767344</v>
      </c>
      <c r="D2819" s="35">
        <v>1.36</v>
      </c>
      <c r="E2819" s="35" t="s">
        <v>231</v>
      </c>
      <c r="F2819" s="31" t="str">
        <f t="shared" si="86"/>
        <v>B1.11.01</v>
      </c>
      <c r="G2819" s="34">
        <f t="shared" si="87"/>
        <v>1.36</v>
      </c>
    </row>
    <row r="2820" spans="2:7" ht="13.8" customHeight="1" x14ac:dyDescent="0.25">
      <c r="B2820" s="35" t="s">
        <v>10</v>
      </c>
      <c r="C2820" s="35">
        <v>2767345</v>
      </c>
      <c r="D2820" s="35">
        <v>1.36</v>
      </c>
      <c r="E2820" s="35" t="s">
        <v>231</v>
      </c>
      <c r="F2820" s="31" t="str">
        <f t="shared" si="86"/>
        <v>B1.11.01</v>
      </c>
      <c r="G2820" s="34">
        <f t="shared" si="87"/>
        <v>1.36</v>
      </c>
    </row>
    <row r="2821" spans="2:7" ht="13.8" customHeight="1" x14ac:dyDescent="0.25">
      <c r="B2821" s="35" t="s">
        <v>10</v>
      </c>
      <c r="C2821" s="35">
        <v>2767346</v>
      </c>
      <c r="D2821" s="35">
        <v>0.91</v>
      </c>
      <c r="E2821" s="35" t="s">
        <v>231</v>
      </c>
      <c r="F2821" s="31" t="str">
        <f t="shared" si="86"/>
        <v>B1.11.01</v>
      </c>
      <c r="G2821" s="34">
        <f t="shared" si="87"/>
        <v>0.91</v>
      </c>
    </row>
    <row r="2822" spans="2:7" ht="13.8" customHeight="1" x14ac:dyDescent="0.25">
      <c r="B2822" s="35" t="s">
        <v>10</v>
      </c>
      <c r="C2822" s="35">
        <v>2767381</v>
      </c>
      <c r="D2822" s="35">
        <v>1.36</v>
      </c>
      <c r="E2822" s="35" t="s">
        <v>232</v>
      </c>
      <c r="F2822" s="31" t="str">
        <f t="shared" si="86"/>
        <v>B1.11.02</v>
      </c>
      <c r="G2822" s="34">
        <f t="shared" si="87"/>
        <v>1.36</v>
      </c>
    </row>
    <row r="2823" spans="2:7" ht="13.8" customHeight="1" x14ac:dyDescent="0.25">
      <c r="B2823" s="35" t="s">
        <v>10</v>
      </c>
      <c r="C2823" s="35">
        <v>2767419</v>
      </c>
      <c r="D2823" s="35">
        <v>1.36</v>
      </c>
      <c r="E2823" s="35" t="s">
        <v>233</v>
      </c>
      <c r="F2823" s="31" t="str">
        <f t="shared" ref="F2823:F2886" si="88">LEFT(E2823,8)</f>
        <v>B1.07.01</v>
      </c>
      <c r="G2823" s="34">
        <f t="shared" ref="G2823:G2886" si="89">D2823</f>
        <v>1.36</v>
      </c>
    </row>
    <row r="2824" spans="2:7" ht="13.8" customHeight="1" x14ac:dyDescent="0.25">
      <c r="B2824" s="35" t="s">
        <v>10</v>
      </c>
      <c r="C2824" s="35">
        <v>2767488</v>
      </c>
      <c r="D2824" s="35">
        <v>1.36</v>
      </c>
      <c r="E2824" s="35" t="s">
        <v>234</v>
      </c>
      <c r="F2824" s="31" t="str">
        <f t="shared" si="88"/>
        <v>B1.07.02</v>
      </c>
      <c r="G2824" s="34">
        <f t="shared" si="89"/>
        <v>1.36</v>
      </c>
    </row>
    <row r="2825" spans="2:7" ht="13.8" customHeight="1" x14ac:dyDescent="0.25">
      <c r="B2825" s="35" t="s">
        <v>10</v>
      </c>
      <c r="C2825" s="35">
        <v>2767489</v>
      </c>
      <c r="D2825" s="35">
        <v>1.36</v>
      </c>
      <c r="E2825" s="35" t="s">
        <v>234</v>
      </c>
      <c r="F2825" s="31" t="str">
        <f t="shared" si="88"/>
        <v>B1.07.02</v>
      </c>
      <c r="G2825" s="34">
        <f t="shared" si="89"/>
        <v>1.36</v>
      </c>
    </row>
    <row r="2826" spans="2:7" ht="13.8" customHeight="1" x14ac:dyDescent="0.25">
      <c r="B2826" s="35" t="s">
        <v>10</v>
      </c>
      <c r="C2826" s="35">
        <v>2767490</v>
      </c>
      <c r="D2826" s="35">
        <v>0.91</v>
      </c>
      <c r="E2826" s="35" t="s">
        <v>234</v>
      </c>
      <c r="F2826" s="31" t="str">
        <f t="shared" si="88"/>
        <v>B1.07.02</v>
      </c>
      <c r="G2826" s="34">
        <f t="shared" si="89"/>
        <v>0.91</v>
      </c>
    </row>
    <row r="2827" spans="2:7" ht="13.8" customHeight="1" x14ac:dyDescent="0.25">
      <c r="B2827" s="35" t="s">
        <v>10</v>
      </c>
      <c r="C2827" s="35">
        <v>2767491</v>
      </c>
      <c r="D2827" s="35">
        <v>1.36</v>
      </c>
      <c r="E2827" s="35" t="s">
        <v>234</v>
      </c>
      <c r="F2827" s="31" t="str">
        <f t="shared" si="88"/>
        <v>B1.07.02</v>
      </c>
      <c r="G2827" s="34">
        <f t="shared" si="89"/>
        <v>1.36</v>
      </c>
    </row>
    <row r="2828" spans="2:7" ht="13.8" customHeight="1" x14ac:dyDescent="0.25">
      <c r="B2828" s="35" t="s">
        <v>10</v>
      </c>
      <c r="C2828" s="35">
        <v>2767543</v>
      </c>
      <c r="D2828" s="35">
        <v>1.36</v>
      </c>
      <c r="E2828" s="35" t="s">
        <v>235</v>
      </c>
      <c r="F2828" s="31" t="str">
        <f t="shared" si="88"/>
        <v>B1.07.03</v>
      </c>
      <c r="G2828" s="34">
        <f t="shared" si="89"/>
        <v>1.36</v>
      </c>
    </row>
    <row r="2829" spans="2:7" ht="13.8" customHeight="1" x14ac:dyDescent="0.25">
      <c r="B2829" s="35" t="s">
        <v>10</v>
      </c>
      <c r="C2829" s="35">
        <v>2767544</v>
      </c>
      <c r="D2829" s="35">
        <v>0.91</v>
      </c>
      <c r="E2829" s="35" t="s">
        <v>235</v>
      </c>
      <c r="F2829" s="31" t="str">
        <f t="shared" si="88"/>
        <v>B1.07.03</v>
      </c>
      <c r="G2829" s="34">
        <f t="shared" si="89"/>
        <v>0.91</v>
      </c>
    </row>
    <row r="2830" spans="2:7" ht="13.8" customHeight="1" x14ac:dyDescent="0.25">
      <c r="B2830" s="35" t="s">
        <v>10</v>
      </c>
      <c r="C2830" s="35">
        <v>2767545</v>
      </c>
      <c r="D2830" s="35">
        <v>1.36</v>
      </c>
      <c r="E2830" s="35" t="s">
        <v>235</v>
      </c>
      <c r="F2830" s="31" t="str">
        <f t="shared" si="88"/>
        <v>B1.07.03</v>
      </c>
      <c r="G2830" s="34">
        <f t="shared" si="89"/>
        <v>1.36</v>
      </c>
    </row>
    <row r="2831" spans="2:7" ht="13.8" customHeight="1" x14ac:dyDescent="0.25">
      <c r="B2831" s="35" t="s">
        <v>10</v>
      </c>
      <c r="C2831" s="35">
        <v>2767584</v>
      </c>
      <c r="D2831" s="35">
        <v>1.36</v>
      </c>
      <c r="E2831" s="35" t="s">
        <v>236</v>
      </c>
      <c r="F2831" s="31" t="str">
        <f t="shared" si="88"/>
        <v>B1.07.04</v>
      </c>
      <c r="G2831" s="34">
        <f t="shared" si="89"/>
        <v>1.36</v>
      </c>
    </row>
    <row r="2832" spans="2:7" ht="13.8" customHeight="1" x14ac:dyDescent="0.25">
      <c r="B2832" s="35" t="s">
        <v>10</v>
      </c>
      <c r="C2832" s="35">
        <v>2767622</v>
      </c>
      <c r="D2832" s="35">
        <v>1.36</v>
      </c>
      <c r="E2832" s="35" t="s">
        <v>237</v>
      </c>
      <c r="F2832" s="31" t="str">
        <f t="shared" si="88"/>
        <v>B1.07.05</v>
      </c>
      <c r="G2832" s="34">
        <f t="shared" si="89"/>
        <v>1.36</v>
      </c>
    </row>
    <row r="2833" spans="2:7" ht="13.8" customHeight="1" x14ac:dyDescent="0.25">
      <c r="B2833" s="35" t="s">
        <v>10</v>
      </c>
      <c r="C2833" s="35">
        <v>2767694</v>
      </c>
      <c r="D2833" s="35">
        <v>0.91</v>
      </c>
      <c r="E2833" s="35" t="s">
        <v>238</v>
      </c>
      <c r="F2833" s="31" t="str">
        <f t="shared" si="88"/>
        <v>B1.08.02</v>
      </c>
      <c r="G2833" s="34">
        <f t="shared" si="89"/>
        <v>0.91</v>
      </c>
    </row>
    <row r="2834" spans="2:7" ht="13.8" customHeight="1" x14ac:dyDescent="0.25">
      <c r="B2834" s="35" t="s">
        <v>10</v>
      </c>
      <c r="C2834" s="35">
        <v>2767695</v>
      </c>
      <c r="D2834" s="35">
        <v>1.36</v>
      </c>
      <c r="E2834" s="35" t="s">
        <v>238</v>
      </c>
      <c r="F2834" s="31" t="str">
        <f t="shared" si="88"/>
        <v>B1.08.02</v>
      </c>
      <c r="G2834" s="34">
        <f t="shared" si="89"/>
        <v>1.36</v>
      </c>
    </row>
    <row r="2835" spans="2:7" ht="13.8" customHeight="1" x14ac:dyDescent="0.25">
      <c r="B2835" s="35" t="s">
        <v>10</v>
      </c>
      <c r="C2835" s="35">
        <v>2767696</v>
      </c>
      <c r="D2835" s="35">
        <v>1.36</v>
      </c>
      <c r="E2835" s="35" t="s">
        <v>238</v>
      </c>
      <c r="F2835" s="31" t="str">
        <f t="shared" si="88"/>
        <v>B1.08.02</v>
      </c>
      <c r="G2835" s="34">
        <f t="shared" si="89"/>
        <v>1.36</v>
      </c>
    </row>
    <row r="2836" spans="2:7" ht="13.8" customHeight="1" x14ac:dyDescent="0.25">
      <c r="B2836" s="35" t="s">
        <v>10</v>
      </c>
      <c r="C2836" s="35">
        <v>2767697</v>
      </c>
      <c r="D2836" s="35">
        <v>1.36</v>
      </c>
      <c r="E2836" s="35" t="s">
        <v>238</v>
      </c>
      <c r="F2836" s="31" t="str">
        <f t="shared" si="88"/>
        <v>B1.08.02</v>
      </c>
      <c r="G2836" s="34">
        <f t="shared" si="89"/>
        <v>1.36</v>
      </c>
    </row>
    <row r="2837" spans="2:7" ht="13.8" customHeight="1" x14ac:dyDescent="0.25">
      <c r="B2837" s="35" t="s">
        <v>10</v>
      </c>
      <c r="C2837" s="35">
        <v>2767747</v>
      </c>
      <c r="D2837" s="35">
        <v>1.36</v>
      </c>
      <c r="E2837" s="35" t="s">
        <v>239</v>
      </c>
      <c r="F2837" s="31" t="str">
        <f t="shared" si="88"/>
        <v>B1.08.03</v>
      </c>
      <c r="G2837" s="34">
        <f t="shared" si="89"/>
        <v>1.36</v>
      </c>
    </row>
    <row r="2838" spans="2:7" ht="13.8" customHeight="1" x14ac:dyDescent="0.25">
      <c r="B2838" s="35" t="s">
        <v>10</v>
      </c>
      <c r="C2838" s="35">
        <v>2767748</v>
      </c>
      <c r="D2838" s="35">
        <v>0.91</v>
      </c>
      <c r="E2838" s="35" t="s">
        <v>239</v>
      </c>
      <c r="F2838" s="31" t="str">
        <f t="shared" si="88"/>
        <v>B1.08.03</v>
      </c>
      <c r="G2838" s="34">
        <f t="shared" si="89"/>
        <v>0.91</v>
      </c>
    </row>
    <row r="2839" spans="2:7" ht="13.8" customHeight="1" x14ac:dyDescent="0.25">
      <c r="B2839" s="35" t="s">
        <v>10</v>
      </c>
      <c r="C2839" s="35">
        <v>2767749</v>
      </c>
      <c r="D2839" s="35">
        <v>1.36</v>
      </c>
      <c r="E2839" s="35" t="s">
        <v>239</v>
      </c>
      <c r="F2839" s="31" t="str">
        <f t="shared" si="88"/>
        <v>B1.08.03</v>
      </c>
      <c r="G2839" s="34">
        <f t="shared" si="89"/>
        <v>1.36</v>
      </c>
    </row>
    <row r="2840" spans="2:7" ht="13.8" customHeight="1" x14ac:dyDescent="0.25">
      <c r="B2840" s="35" t="s">
        <v>10</v>
      </c>
      <c r="C2840" s="35">
        <v>2767817</v>
      </c>
      <c r="D2840" s="35">
        <v>1.36</v>
      </c>
      <c r="E2840" s="35" t="s">
        <v>240</v>
      </c>
      <c r="F2840" s="31" t="str">
        <f t="shared" si="88"/>
        <v>A3.10.01</v>
      </c>
      <c r="G2840" s="34">
        <f t="shared" si="89"/>
        <v>1.36</v>
      </c>
    </row>
    <row r="2841" spans="2:7" ht="13.8" customHeight="1" x14ac:dyDescent="0.25">
      <c r="B2841" s="35" t="s">
        <v>10</v>
      </c>
      <c r="C2841" s="35">
        <v>2767818</v>
      </c>
      <c r="D2841" s="35">
        <v>1.36</v>
      </c>
      <c r="E2841" s="35" t="s">
        <v>240</v>
      </c>
      <c r="F2841" s="31" t="str">
        <f t="shared" si="88"/>
        <v>A3.10.01</v>
      </c>
      <c r="G2841" s="34">
        <f t="shared" si="89"/>
        <v>1.36</v>
      </c>
    </row>
    <row r="2842" spans="2:7" ht="13.8" customHeight="1" x14ac:dyDescent="0.25">
      <c r="B2842" s="35" t="s">
        <v>10</v>
      </c>
      <c r="C2842" s="35">
        <v>2767819</v>
      </c>
      <c r="D2842" s="35">
        <v>1.36</v>
      </c>
      <c r="E2842" s="35" t="s">
        <v>240</v>
      </c>
      <c r="F2842" s="31" t="str">
        <f t="shared" si="88"/>
        <v>A3.10.01</v>
      </c>
      <c r="G2842" s="34">
        <f t="shared" si="89"/>
        <v>1.36</v>
      </c>
    </row>
    <row r="2843" spans="2:7" ht="13.8" customHeight="1" x14ac:dyDescent="0.25">
      <c r="B2843" s="35" t="s">
        <v>10</v>
      </c>
      <c r="C2843" s="35">
        <v>2767887</v>
      </c>
      <c r="D2843" s="35">
        <v>1.25</v>
      </c>
      <c r="E2843" s="35" t="s">
        <v>241</v>
      </c>
      <c r="F2843" s="31" t="str">
        <f t="shared" si="88"/>
        <v>A3.10.05</v>
      </c>
      <c r="G2843" s="34">
        <f t="shared" si="89"/>
        <v>1.25</v>
      </c>
    </row>
    <row r="2844" spans="2:7" ht="13.8" customHeight="1" x14ac:dyDescent="0.25">
      <c r="B2844" s="35" t="s">
        <v>10</v>
      </c>
      <c r="C2844" s="35">
        <v>2767888</v>
      </c>
      <c r="D2844" s="35">
        <v>1.25</v>
      </c>
      <c r="E2844" s="35" t="s">
        <v>241</v>
      </c>
      <c r="F2844" s="31" t="str">
        <f t="shared" si="88"/>
        <v>A3.10.05</v>
      </c>
      <c r="G2844" s="34">
        <f t="shared" si="89"/>
        <v>1.25</v>
      </c>
    </row>
    <row r="2845" spans="2:7" ht="13.8" customHeight="1" x14ac:dyDescent="0.25">
      <c r="B2845" s="35" t="s">
        <v>10</v>
      </c>
      <c r="C2845" s="35">
        <v>2767889</v>
      </c>
      <c r="D2845" s="35">
        <v>1.25</v>
      </c>
      <c r="E2845" s="35" t="s">
        <v>241</v>
      </c>
      <c r="F2845" s="31" t="str">
        <f t="shared" si="88"/>
        <v>A3.10.05</v>
      </c>
      <c r="G2845" s="34">
        <f t="shared" si="89"/>
        <v>1.25</v>
      </c>
    </row>
    <row r="2846" spans="2:7" ht="13.8" customHeight="1" x14ac:dyDescent="0.25">
      <c r="B2846" s="35" t="s">
        <v>10</v>
      </c>
      <c r="C2846" s="35">
        <v>2767932</v>
      </c>
      <c r="D2846" s="35">
        <v>1.25</v>
      </c>
      <c r="E2846" s="35" t="s">
        <v>242</v>
      </c>
      <c r="F2846" s="31" t="str">
        <f t="shared" si="88"/>
        <v>A3.10.04</v>
      </c>
      <c r="G2846" s="34">
        <f t="shared" si="89"/>
        <v>1.25</v>
      </c>
    </row>
    <row r="2847" spans="2:7" ht="13.8" customHeight="1" x14ac:dyDescent="0.25">
      <c r="B2847" s="35" t="s">
        <v>10</v>
      </c>
      <c r="C2847" s="35">
        <v>2767933</v>
      </c>
      <c r="D2847" s="35">
        <v>1.25</v>
      </c>
      <c r="E2847" s="35" t="s">
        <v>242</v>
      </c>
      <c r="F2847" s="31" t="str">
        <f t="shared" si="88"/>
        <v>A3.10.04</v>
      </c>
      <c r="G2847" s="34">
        <f t="shared" si="89"/>
        <v>1.25</v>
      </c>
    </row>
    <row r="2848" spans="2:7" ht="13.8" customHeight="1" x14ac:dyDescent="0.25">
      <c r="B2848" s="35" t="s">
        <v>10</v>
      </c>
      <c r="C2848" s="35">
        <v>2768004</v>
      </c>
      <c r="D2848" s="35">
        <v>1.25</v>
      </c>
      <c r="E2848" s="35" t="s">
        <v>243</v>
      </c>
      <c r="F2848" s="31" t="str">
        <f t="shared" si="88"/>
        <v>A3.10.03</v>
      </c>
      <c r="G2848" s="34">
        <f t="shared" si="89"/>
        <v>1.25</v>
      </c>
    </row>
    <row r="2849" spans="2:7" ht="13.8" customHeight="1" x14ac:dyDescent="0.25">
      <c r="B2849" s="35" t="s">
        <v>10</v>
      </c>
      <c r="C2849" s="35">
        <v>2768005</v>
      </c>
      <c r="D2849" s="35">
        <v>1.25</v>
      </c>
      <c r="E2849" s="35" t="s">
        <v>243</v>
      </c>
      <c r="F2849" s="31" t="str">
        <f t="shared" si="88"/>
        <v>A3.10.03</v>
      </c>
      <c r="G2849" s="34">
        <f t="shared" si="89"/>
        <v>1.25</v>
      </c>
    </row>
    <row r="2850" spans="2:7" ht="13.8" customHeight="1" x14ac:dyDescent="0.25">
      <c r="B2850" s="35" t="s">
        <v>10</v>
      </c>
      <c r="C2850" s="35">
        <v>2768006</v>
      </c>
      <c r="D2850" s="35">
        <v>1.25</v>
      </c>
      <c r="E2850" s="35" t="s">
        <v>243</v>
      </c>
      <c r="F2850" s="31" t="str">
        <f t="shared" si="88"/>
        <v>A3.10.03</v>
      </c>
      <c r="G2850" s="34">
        <f t="shared" si="89"/>
        <v>1.25</v>
      </c>
    </row>
    <row r="2851" spans="2:7" ht="13.8" customHeight="1" x14ac:dyDescent="0.25">
      <c r="B2851" s="35" t="s">
        <v>10</v>
      </c>
      <c r="C2851" s="35">
        <v>2768073</v>
      </c>
      <c r="D2851" s="35">
        <v>1.36</v>
      </c>
      <c r="E2851" s="35" t="s">
        <v>244</v>
      </c>
      <c r="F2851" s="31" t="str">
        <f t="shared" si="88"/>
        <v>A3.10.02</v>
      </c>
      <c r="G2851" s="34">
        <f t="shared" si="89"/>
        <v>1.36</v>
      </c>
    </row>
    <row r="2852" spans="2:7" ht="13.8" customHeight="1" x14ac:dyDescent="0.25">
      <c r="B2852" s="35" t="s">
        <v>10</v>
      </c>
      <c r="C2852" s="35">
        <v>2768074</v>
      </c>
      <c r="D2852" s="35">
        <v>1.36</v>
      </c>
      <c r="E2852" s="35" t="s">
        <v>244</v>
      </c>
      <c r="F2852" s="31" t="str">
        <f t="shared" si="88"/>
        <v>A3.10.02</v>
      </c>
      <c r="G2852" s="34">
        <f t="shared" si="89"/>
        <v>1.36</v>
      </c>
    </row>
    <row r="2853" spans="2:7" ht="13.8" customHeight="1" x14ac:dyDescent="0.25">
      <c r="B2853" s="35" t="s">
        <v>10</v>
      </c>
      <c r="C2853" s="35">
        <v>2768075</v>
      </c>
      <c r="D2853" s="35">
        <v>1.36</v>
      </c>
      <c r="E2853" s="35" t="s">
        <v>244</v>
      </c>
      <c r="F2853" s="31" t="str">
        <f t="shared" si="88"/>
        <v>A3.10.02</v>
      </c>
      <c r="G2853" s="34">
        <f t="shared" si="89"/>
        <v>1.36</v>
      </c>
    </row>
    <row r="2854" spans="2:7" ht="13.8" customHeight="1" x14ac:dyDescent="0.25">
      <c r="B2854" s="35" t="s">
        <v>10</v>
      </c>
      <c r="C2854" s="35">
        <v>2768152</v>
      </c>
      <c r="D2854" s="35">
        <v>1.25</v>
      </c>
      <c r="E2854" s="35" t="s">
        <v>245</v>
      </c>
      <c r="F2854" s="31" t="str">
        <f t="shared" si="88"/>
        <v>A3.07.05</v>
      </c>
      <c r="G2854" s="34">
        <f t="shared" si="89"/>
        <v>1.25</v>
      </c>
    </row>
    <row r="2855" spans="2:7" ht="13.8" customHeight="1" x14ac:dyDescent="0.25">
      <c r="B2855" s="35" t="s">
        <v>10</v>
      </c>
      <c r="C2855" s="35">
        <v>2768153</v>
      </c>
      <c r="D2855" s="35">
        <v>1.25</v>
      </c>
      <c r="E2855" s="35" t="s">
        <v>245</v>
      </c>
      <c r="F2855" s="31" t="str">
        <f t="shared" si="88"/>
        <v>A3.07.05</v>
      </c>
      <c r="G2855" s="34">
        <f t="shared" si="89"/>
        <v>1.25</v>
      </c>
    </row>
    <row r="2856" spans="2:7" ht="13.8" customHeight="1" x14ac:dyDescent="0.25">
      <c r="B2856" s="35" t="s">
        <v>10</v>
      </c>
      <c r="C2856" s="35">
        <v>2768154</v>
      </c>
      <c r="D2856" s="35">
        <v>1.25</v>
      </c>
      <c r="E2856" s="35" t="s">
        <v>245</v>
      </c>
      <c r="F2856" s="31" t="str">
        <f t="shared" si="88"/>
        <v>A3.07.05</v>
      </c>
      <c r="G2856" s="34">
        <f t="shared" si="89"/>
        <v>1.25</v>
      </c>
    </row>
    <row r="2857" spans="2:7" ht="13.8" customHeight="1" x14ac:dyDescent="0.25">
      <c r="B2857" s="35" t="s">
        <v>10</v>
      </c>
      <c r="C2857" s="35">
        <v>2768222</v>
      </c>
      <c r="D2857" s="35">
        <v>1.36</v>
      </c>
      <c r="E2857" s="35" t="s">
        <v>246</v>
      </c>
      <c r="F2857" s="31" t="str">
        <f t="shared" si="88"/>
        <v>A3.07.04</v>
      </c>
      <c r="G2857" s="34">
        <f t="shared" si="89"/>
        <v>1.36</v>
      </c>
    </row>
    <row r="2858" spans="2:7" ht="13.8" customHeight="1" x14ac:dyDescent="0.25">
      <c r="B2858" s="35" t="s">
        <v>10</v>
      </c>
      <c r="C2858" s="35">
        <v>2768223</v>
      </c>
      <c r="D2858" s="35">
        <v>1.36</v>
      </c>
      <c r="E2858" s="35" t="s">
        <v>246</v>
      </c>
      <c r="F2858" s="31" t="str">
        <f t="shared" si="88"/>
        <v>A3.07.04</v>
      </c>
      <c r="G2858" s="34">
        <f t="shared" si="89"/>
        <v>1.36</v>
      </c>
    </row>
    <row r="2859" spans="2:7" ht="13.8" customHeight="1" x14ac:dyDescent="0.25">
      <c r="B2859" s="35" t="s">
        <v>10</v>
      </c>
      <c r="C2859" s="35">
        <v>2768224</v>
      </c>
      <c r="D2859" s="35">
        <v>1.36</v>
      </c>
      <c r="E2859" s="35" t="s">
        <v>246</v>
      </c>
      <c r="F2859" s="31" t="str">
        <f t="shared" si="88"/>
        <v>A3.07.04</v>
      </c>
      <c r="G2859" s="34">
        <f t="shared" si="89"/>
        <v>1.36</v>
      </c>
    </row>
    <row r="2860" spans="2:7" ht="13.8" customHeight="1" x14ac:dyDescent="0.25">
      <c r="B2860" s="35" t="s">
        <v>10</v>
      </c>
      <c r="C2860" s="35">
        <v>2768301</v>
      </c>
      <c r="D2860" s="35">
        <v>1.25</v>
      </c>
      <c r="E2860" s="35" t="s">
        <v>247</v>
      </c>
      <c r="F2860" s="31" t="str">
        <f t="shared" si="88"/>
        <v>A3.07.08</v>
      </c>
      <c r="G2860" s="34">
        <f t="shared" si="89"/>
        <v>1.25</v>
      </c>
    </row>
    <row r="2861" spans="2:7" ht="13.8" customHeight="1" x14ac:dyDescent="0.25">
      <c r="B2861" s="35" t="s">
        <v>10</v>
      </c>
      <c r="C2861" s="35">
        <v>2768302</v>
      </c>
      <c r="D2861" s="35">
        <v>1.25</v>
      </c>
      <c r="E2861" s="35" t="s">
        <v>247</v>
      </c>
      <c r="F2861" s="31" t="str">
        <f t="shared" si="88"/>
        <v>A3.07.08</v>
      </c>
      <c r="G2861" s="34">
        <f t="shared" si="89"/>
        <v>1.25</v>
      </c>
    </row>
    <row r="2862" spans="2:7" ht="13.8" customHeight="1" x14ac:dyDescent="0.25">
      <c r="B2862" s="35" t="s">
        <v>10</v>
      </c>
      <c r="C2862" s="35">
        <v>2768303</v>
      </c>
      <c r="D2862" s="35">
        <v>1.25</v>
      </c>
      <c r="E2862" s="35" t="s">
        <v>247</v>
      </c>
      <c r="F2862" s="31" t="str">
        <f t="shared" si="88"/>
        <v>A3.07.08</v>
      </c>
      <c r="G2862" s="34">
        <f t="shared" si="89"/>
        <v>1.25</v>
      </c>
    </row>
    <row r="2863" spans="2:7" ht="13.8" customHeight="1" x14ac:dyDescent="0.25">
      <c r="B2863" s="35" t="s">
        <v>10</v>
      </c>
      <c r="C2863" s="35">
        <v>2768375</v>
      </c>
      <c r="D2863" s="35">
        <v>1.36</v>
      </c>
      <c r="E2863" s="35" t="s">
        <v>248</v>
      </c>
      <c r="F2863" s="31" t="str">
        <f t="shared" si="88"/>
        <v>A3.07.01</v>
      </c>
      <c r="G2863" s="34">
        <f t="shared" si="89"/>
        <v>1.36</v>
      </c>
    </row>
    <row r="2864" spans="2:7" ht="13.8" customHeight="1" x14ac:dyDescent="0.25">
      <c r="B2864" s="35" t="s">
        <v>10</v>
      </c>
      <c r="C2864" s="35">
        <v>2768376</v>
      </c>
      <c r="D2864" s="35">
        <v>1.36</v>
      </c>
      <c r="E2864" s="35" t="s">
        <v>248</v>
      </c>
      <c r="F2864" s="31" t="str">
        <f t="shared" si="88"/>
        <v>A3.07.01</v>
      </c>
      <c r="G2864" s="34">
        <f t="shared" si="89"/>
        <v>1.36</v>
      </c>
    </row>
    <row r="2865" spans="2:7" ht="13.8" customHeight="1" x14ac:dyDescent="0.25">
      <c r="B2865" s="35" t="s">
        <v>10</v>
      </c>
      <c r="C2865" s="35">
        <v>2768377</v>
      </c>
      <c r="D2865" s="35">
        <v>1.36</v>
      </c>
      <c r="E2865" s="35" t="s">
        <v>248</v>
      </c>
      <c r="F2865" s="31" t="str">
        <f t="shared" si="88"/>
        <v>A3.07.01</v>
      </c>
      <c r="G2865" s="34">
        <f t="shared" si="89"/>
        <v>1.36</v>
      </c>
    </row>
    <row r="2866" spans="2:7" ht="13.8" customHeight="1" x14ac:dyDescent="0.25">
      <c r="B2866" s="35" t="s">
        <v>10</v>
      </c>
      <c r="C2866" s="35">
        <v>2768459</v>
      </c>
      <c r="D2866" s="35">
        <v>1.25</v>
      </c>
      <c r="E2866" s="35" t="s">
        <v>249</v>
      </c>
      <c r="F2866" s="31" t="str">
        <f t="shared" si="88"/>
        <v>A3.07.02</v>
      </c>
      <c r="G2866" s="34">
        <f t="shared" si="89"/>
        <v>1.25</v>
      </c>
    </row>
    <row r="2867" spans="2:7" ht="13.8" customHeight="1" x14ac:dyDescent="0.25">
      <c r="B2867" s="35" t="s">
        <v>10</v>
      </c>
      <c r="C2867" s="35">
        <v>2768460</v>
      </c>
      <c r="D2867" s="35">
        <v>1.25</v>
      </c>
      <c r="E2867" s="35" t="s">
        <v>249</v>
      </c>
      <c r="F2867" s="31" t="str">
        <f t="shared" si="88"/>
        <v>A3.07.02</v>
      </c>
      <c r="G2867" s="34">
        <f t="shared" si="89"/>
        <v>1.25</v>
      </c>
    </row>
    <row r="2868" spans="2:7" ht="13.8" customHeight="1" x14ac:dyDescent="0.25">
      <c r="B2868" s="35" t="s">
        <v>10</v>
      </c>
      <c r="C2868" s="35">
        <v>2768461</v>
      </c>
      <c r="D2868" s="35">
        <v>1.25</v>
      </c>
      <c r="E2868" s="35" t="s">
        <v>249</v>
      </c>
      <c r="F2868" s="31" t="str">
        <f t="shared" si="88"/>
        <v>A3.07.02</v>
      </c>
      <c r="G2868" s="34">
        <f t="shared" si="89"/>
        <v>1.25</v>
      </c>
    </row>
    <row r="2869" spans="2:7" ht="13.8" customHeight="1" x14ac:dyDescent="0.25">
      <c r="B2869" s="35" t="s">
        <v>10</v>
      </c>
      <c r="C2869" s="35">
        <v>2768462</v>
      </c>
      <c r="D2869" s="35">
        <v>0.91</v>
      </c>
      <c r="E2869" s="35" t="s">
        <v>249</v>
      </c>
      <c r="F2869" s="31" t="str">
        <f t="shared" si="88"/>
        <v>A3.07.02</v>
      </c>
      <c r="G2869" s="34">
        <f t="shared" si="89"/>
        <v>0.91</v>
      </c>
    </row>
    <row r="2870" spans="2:7" ht="13.8" customHeight="1" x14ac:dyDescent="0.25">
      <c r="B2870" s="35" t="s">
        <v>10</v>
      </c>
      <c r="C2870" s="35">
        <v>2768463</v>
      </c>
      <c r="D2870" s="35">
        <v>1.25</v>
      </c>
      <c r="E2870" s="35" t="s">
        <v>249</v>
      </c>
      <c r="F2870" s="31" t="str">
        <f t="shared" si="88"/>
        <v>A3.07.02</v>
      </c>
      <c r="G2870" s="34">
        <f t="shared" si="89"/>
        <v>1.25</v>
      </c>
    </row>
    <row r="2871" spans="2:7" ht="13.8" customHeight="1" x14ac:dyDescent="0.25">
      <c r="B2871" s="35" t="s">
        <v>10</v>
      </c>
      <c r="C2871" s="35">
        <v>2768512</v>
      </c>
      <c r="D2871" s="35">
        <v>1.25</v>
      </c>
      <c r="E2871" s="35" t="s">
        <v>250</v>
      </c>
      <c r="F2871" s="31" t="str">
        <f t="shared" si="88"/>
        <v>A3.07.07</v>
      </c>
      <c r="G2871" s="34">
        <f t="shared" si="89"/>
        <v>1.25</v>
      </c>
    </row>
    <row r="2872" spans="2:7" ht="13.8" customHeight="1" x14ac:dyDescent="0.25">
      <c r="B2872" s="35" t="s">
        <v>10</v>
      </c>
      <c r="C2872" s="35">
        <v>2768588</v>
      </c>
      <c r="D2872" s="35">
        <v>1.25</v>
      </c>
      <c r="E2872" s="35" t="s">
        <v>251</v>
      </c>
      <c r="F2872" s="31" t="str">
        <f t="shared" si="88"/>
        <v>A3.07.03</v>
      </c>
      <c r="G2872" s="34">
        <f t="shared" si="89"/>
        <v>1.25</v>
      </c>
    </row>
    <row r="2873" spans="2:7" ht="13.8" customHeight="1" x14ac:dyDescent="0.25">
      <c r="B2873" s="35" t="s">
        <v>10</v>
      </c>
      <c r="C2873" s="35">
        <v>2768589</v>
      </c>
      <c r="D2873" s="35">
        <v>0.91</v>
      </c>
      <c r="E2873" s="35" t="s">
        <v>251</v>
      </c>
      <c r="F2873" s="31" t="str">
        <f t="shared" si="88"/>
        <v>A3.07.03</v>
      </c>
      <c r="G2873" s="34">
        <f t="shared" si="89"/>
        <v>0.91</v>
      </c>
    </row>
    <row r="2874" spans="2:7" ht="13.8" customHeight="1" x14ac:dyDescent="0.25">
      <c r="B2874" s="35" t="s">
        <v>10</v>
      </c>
      <c r="C2874" s="35">
        <v>2768590</v>
      </c>
      <c r="D2874" s="35">
        <v>1.25</v>
      </c>
      <c r="E2874" s="35" t="s">
        <v>251</v>
      </c>
      <c r="F2874" s="31" t="str">
        <f t="shared" si="88"/>
        <v>A3.07.03</v>
      </c>
      <c r="G2874" s="34">
        <f t="shared" si="89"/>
        <v>1.25</v>
      </c>
    </row>
    <row r="2875" spans="2:7" ht="13.8" customHeight="1" x14ac:dyDescent="0.25">
      <c r="B2875" s="35" t="s">
        <v>10</v>
      </c>
      <c r="C2875" s="35">
        <v>2768591</v>
      </c>
      <c r="D2875" s="35">
        <v>1.25</v>
      </c>
      <c r="E2875" s="35" t="s">
        <v>251</v>
      </c>
      <c r="F2875" s="31" t="str">
        <f t="shared" si="88"/>
        <v>A3.07.03</v>
      </c>
      <c r="G2875" s="34">
        <f t="shared" si="89"/>
        <v>1.25</v>
      </c>
    </row>
    <row r="2876" spans="2:7" ht="13.8" customHeight="1" x14ac:dyDescent="0.25">
      <c r="B2876" s="35" t="s">
        <v>10</v>
      </c>
      <c r="C2876" s="35">
        <v>2768592</v>
      </c>
      <c r="D2876" s="35">
        <v>1.25</v>
      </c>
      <c r="E2876" s="35" t="s">
        <v>251</v>
      </c>
      <c r="F2876" s="31" t="str">
        <f t="shared" si="88"/>
        <v>A3.07.03</v>
      </c>
      <c r="G2876" s="34">
        <f t="shared" si="89"/>
        <v>1.25</v>
      </c>
    </row>
    <row r="2877" spans="2:7" ht="13.8" customHeight="1" x14ac:dyDescent="0.25">
      <c r="B2877" s="35" t="s">
        <v>10</v>
      </c>
      <c r="C2877" s="35">
        <v>2768641</v>
      </c>
      <c r="D2877" s="35">
        <v>1.25</v>
      </c>
      <c r="E2877" s="35" t="s">
        <v>252</v>
      </c>
      <c r="F2877" s="31" t="str">
        <f t="shared" si="88"/>
        <v>A3.07.06</v>
      </c>
      <c r="G2877" s="34">
        <f t="shared" si="89"/>
        <v>1.25</v>
      </c>
    </row>
    <row r="2878" spans="2:7" ht="13.8" customHeight="1" x14ac:dyDescent="0.25">
      <c r="B2878" s="35" t="s">
        <v>10</v>
      </c>
      <c r="C2878" s="35">
        <v>2768746</v>
      </c>
      <c r="D2878" s="35">
        <v>1.36</v>
      </c>
      <c r="E2878" s="35" t="s">
        <v>253</v>
      </c>
      <c r="F2878" s="31" t="str">
        <f t="shared" si="88"/>
        <v>A6.10.04</v>
      </c>
      <c r="G2878" s="34">
        <f t="shared" si="89"/>
        <v>1.36</v>
      </c>
    </row>
    <row r="2879" spans="2:7" ht="13.8" customHeight="1" x14ac:dyDescent="0.25">
      <c r="B2879" s="35" t="s">
        <v>10</v>
      </c>
      <c r="C2879" s="35">
        <v>2768747</v>
      </c>
      <c r="D2879" s="35">
        <v>1.36</v>
      </c>
      <c r="E2879" s="35" t="s">
        <v>253</v>
      </c>
      <c r="F2879" s="31" t="str">
        <f t="shared" si="88"/>
        <v>A6.10.04</v>
      </c>
      <c r="G2879" s="34">
        <f t="shared" si="89"/>
        <v>1.36</v>
      </c>
    </row>
    <row r="2880" spans="2:7" ht="13.8" customHeight="1" x14ac:dyDescent="0.25">
      <c r="B2880" s="35" t="s">
        <v>10</v>
      </c>
      <c r="C2880" s="35">
        <v>2768748</v>
      </c>
      <c r="D2880" s="35">
        <v>0.91</v>
      </c>
      <c r="E2880" s="35" t="s">
        <v>253</v>
      </c>
      <c r="F2880" s="31" t="str">
        <f t="shared" si="88"/>
        <v>A6.10.04</v>
      </c>
      <c r="G2880" s="34">
        <f t="shared" si="89"/>
        <v>0.91</v>
      </c>
    </row>
    <row r="2881" spans="2:7" ht="13.8" customHeight="1" x14ac:dyDescent="0.25">
      <c r="B2881" s="35" t="s">
        <v>10</v>
      </c>
      <c r="C2881" s="35">
        <v>2768749</v>
      </c>
      <c r="D2881" s="35">
        <v>1.25</v>
      </c>
      <c r="E2881" s="35" t="s">
        <v>253</v>
      </c>
      <c r="F2881" s="31" t="str">
        <f t="shared" si="88"/>
        <v>A6.10.04</v>
      </c>
      <c r="G2881" s="34">
        <f t="shared" si="89"/>
        <v>1.25</v>
      </c>
    </row>
    <row r="2882" spans="2:7" ht="13.8" customHeight="1" x14ac:dyDescent="0.25">
      <c r="B2882" s="35" t="s">
        <v>10</v>
      </c>
      <c r="C2882" s="35">
        <v>2768750</v>
      </c>
      <c r="D2882" s="35">
        <v>0.91</v>
      </c>
      <c r="E2882" s="35" t="s">
        <v>253</v>
      </c>
      <c r="F2882" s="31" t="str">
        <f t="shared" si="88"/>
        <v>A6.10.04</v>
      </c>
      <c r="G2882" s="34">
        <f t="shared" si="89"/>
        <v>0.91</v>
      </c>
    </row>
    <row r="2883" spans="2:7" ht="13.8" customHeight="1" x14ac:dyDescent="0.25">
      <c r="B2883" s="35" t="s">
        <v>10</v>
      </c>
      <c r="C2883" s="35">
        <v>2768751</v>
      </c>
      <c r="D2883" s="35">
        <v>1.36</v>
      </c>
      <c r="E2883" s="35" t="s">
        <v>253</v>
      </c>
      <c r="F2883" s="31" t="str">
        <f t="shared" si="88"/>
        <v>A6.10.04</v>
      </c>
      <c r="G2883" s="34">
        <f t="shared" si="89"/>
        <v>1.36</v>
      </c>
    </row>
    <row r="2884" spans="2:7" ht="13.8" customHeight="1" x14ac:dyDescent="0.25">
      <c r="B2884" s="35" t="s">
        <v>10</v>
      </c>
      <c r="C2884" s="35">
        <v>2768752</v>
      </c>
      <c r="D2884" s="35">
        <v>1.25</v>
      </c>
      <c r="E2884" s="35" t="s">
        <v>253</v>
      </c>
      <c r="F2884" s="31" t="str">
        <f t="shared" si="88"/>
        <v>A6.10.04</v>
      </c>
      <c r="G2884" s="34">
        <f t="shared" si="89"/>
        <v>1.25</v>
      </c>
    </row>
    <row r="2885" spans="2:7" ht="13.8" customHeight="1" x14ac:dyDescent="0.25">
      <c r="B2885" s="35" t="s">
        <v>10</v>
      </c>
      <c r="C2885" s="35">
        <v>2768753</v>
      </c>
      <c r="D2885" s="35">
        <v>1.25</v>
      </c>
      <c r="E2885" s="35" t="s">
        <v>253</v>
      </c>
      <c r="F2885" s="31" t="str">
        <f t="shared" si="88"/>
        <v>A6.10.04</v>
      </c>
      <c r="G2885" s="34">
        <f t="shared" si="89"/>
        <v>1.25</v>
      </c>
    </row>
    <row r="2886" spans="2:7" ht="13.8" customHeight="1" x14ac:dyDescent="0.25">
      <c r="B2886" s="35" t="s">
        <v>10</v>
      </c>
      <c r="C2886" s="35">
        <v>2768842</v>
      </c>
      <c r="D2886" s="35">
        <v>1.36</v>
      </c>
      <c r="E2886" s="35" t="s">
        <v>254</v>
      </c>
      <c r="F2886" s="31" t="str">
        <f t="shared" si="88"/>
        <v>A6.13.01</v>
      </c>
      <c r="G2886" s="34">
        <f t="shared" si="89"/>
        <v>1.36</v>
      </c>
    </row>
    <row r="2887" spans="2:7" ht="13.8" customHeight="1" x14ac:dyDescent="0.25">
      <c r="B2887" s="35" t="s">
        <v>10</v>
      </c>
      <c r="C2887" s="35">
        <v>2768843</v>
      </c>
      <c r="D2887" s="35">
        <v>1.25</v>
      </c>
      <c r="E2887" s="35" t="s">
        <v>254</v>
      </c>
      <c r="F2887" s="31" t="str">
        <f t="shared" ref="F2887:F2950" si="90">LEFT(E2887,8)</f>
        <v>A6.13.01</v>
      </c>
      <c r="G2887" s="34">
        <f t="shared" ref="G2887:G2950" si="91">D2887</f>
        <v>1.25</v>
      </c>
    </row>
    <row r="2888" spans="2:7" ht="13.8" customHeight="1" x14ac:dyDescent="0.25">
      <c r="B2888" s="35" t="s">
        <v>10</v>
      </c>
      <c r="C2888" s="35">
        <v>2768844</v>
      </c>
      <c r="D2888" s="35">
        <v>1.36</v>
      </c>
      <c r="E2888" s="35" t="s">
        <v>254</v>
      </c>
      <c r="F2888" s="31" t="str">
        <f t="shared" si="90"/>
        <v>A6.13.01</v>
      </c>
      <c r="G2888" s="34">
        <f t="shared" si="91"/>
        <v>1.36</v>
      </c>
    </row>
    <row r="2889" spans="2:7" ht="13.8" customHeight="1" x14ac:dyDescent="0.25">
      <c r="B2889" s="35" t="s">
        <v>10</v>
      </c>
      <c r="C2889" s="35">
        <v>2768845</v>
      </c>
      <c r="D2889" s="35">
        <v>1.25</v>
      </c>
      <c r="E2889" s="35" t="s">
        <v>254</v>
      </c>
      <c r="F2889" s="31" t="str">
        <f t="shared" si="90"/>
        <v>A6.13.01</v>
      </c>
      <c r="G2889" s="34">
        <f t="shared" si="91"/>
        <v>1.25</v>
      </c>
    </row>
    <row r="2890" spans="2:7" ht="13.8" customHeight="1" x14ac:dyDescent="0.25">
      <c r="B2890" s="35" t="s">
        <v>10</v>
      </c>
      <c r="C2890" s="35">
        <v>2768846</v>
      </c>
      <c r="D2890" s="35">
        <v>1.25</v>
      </c>
      <c r="E2890" s="35" t="s">
        <v>254</v>
      </c>
      <c r="F2890" s="31" t="str">
        <f t="shared" si="90"/>
        <v>A6.13.01</v>
      </c>
      <c r="G2890" s="34">
        <f t="shared" si="91"/>
        <v>1.25</v>
      </c>
    </row>
    <row r="2891" spans="2:7" ht="13.8" customHeight="1" x14ac:dyDescent="0.25">
      <c r="B2891" s="35" t="s">
        <v>10</v>
      </c>
      <c r="C2891" s="35">
        <v>2768913</v>
      </c>
      <c r="D2891" s="35">
        <v>1.36</v>
      </c>
      <c r="E2891" s="35" t="s">
        <v>255</v>
      </c>
      <c r="F2891" s="31" t="str">
        <f t="shared" si="90"/>
        <v>A6.13.02</v>
      </c>
      <c r="G2891" s="34">
        <f t="shared" si="91"/>
        <v>1.36</v>
      </c>
    </row>
    <row r="2892" spans="2:7" ht="13.8" customHeight="1" x14ac:dyDescent="0.25">
      <c r="B2892" s="35" t="s">
        <v>10</v>
      </c>
      <c r="C2892" s="35">
        <v>2768914</v>
      </c>
      <c r="D2892" s="35">
        <v>1.36</v>
      </c>
      <c r="E2892" s="35" t="s">
        <v>255</v>
      </c>
      <c r="F2892" s="31" t="str">
        <f t="shared" si="90"/>
        <v>A6.13.02</v>
      </c>
      <c r="G2892" s="34">
        <f t="shared" si="91"/>
        <v>1.36</v>
      </c>
    </row>
    <row r="2893" spans="2:7" ht="13.8" customHeight="1" x14ac:dyDescent="0.25">
      <c r="B2893" s="35" t="s">
        <v>10</v>
      </c>
      <c r="C2893" s="35">
        <v>2768915</v>
      </c>
      <c r="D2893" s="35">
        <v>1.36</v>
      </c>
      <c r="E2893" s="35" t="s">
        <v>255</v>
      </c>
      <c r="F2893" s="31" t="str">
        <f t="shared" si="90"/>
        <v>A6.13.02</v>
      </c>
      <c r="G2893" s="34">
        <f t="shared" si="91"/>
        <v>1.36</v>
      </c>
    </row>
    <row r="2894" spans="2:7" ht="13.8" customHeight="1" x14ac:dyDescent="0.25">
      <c r="B2894" s="35" t="s">
        <v>10</v>
      </c>
      <c r="C2894" s="35">
        <v>2768984</v>
      </c>
      <c r="D2894" s="35">
        <v>1.36</v>
      </c>
      <c r="E2894" s="35" t="s">
        <v>256</v>
      </c>
      <c r="F2894" s="31" t="str">
        <f t="shared" si="90"/>
        <v>A6.13.03</v>
      </c>
      <c r="G2894" s="34">
        <f t="shared" si="91"/>
        <v>1.36</v>
      </c>
    </row>
    <row r="2895" spans="2:7" ht="13.8" customHeight="1" x14ac:dyDescent="0.25">
      <c r="B2895" s="35" t="s">
        <v>10</v>
      </c>
      <c r="C2895" s="35">
        <v>2768985</v>
      </c>
      <c r="D2895" s="35">
        <v>1.36</v>
      </c>
      <c r="E2895" s="35" t="s">
        <v>256</v>
      </c>
      <c r="F2895" s="31" t="str">
        <f t="shared" si="90"/>
        <v>A6.13.03</v>
      </c>
      <c r="G2895" s="34">
        <f t="shared" si="91"/>
        <v>1.36</v>
      </c>
    </row>
    <row r="2896" spans="2:7" ht="13.8" customHeight="1" x14ac:dyDescent="0.25">
      <c r="B2896" s="35" t="s">
        <v>10</v>
      </c>
      <c r="C2896" s="35">
        <v>2768986</v>
      </c>
      <c r="D2896" s="35">
        <v>1.36</v>
      </c>
      <c r="E2896" s="35" t="s">
        <v>256</v>
      </c>
      <c r="F2896" s="31" t="str">
        <f t="shared" si="90"/>
        <v>A6.13.03</v>
      </c>
      <c r="G2896" s="34">
        <f t="shared" si="91"/>
        <v>1.36</v>
      </c>
    </row>
    <row r="2897" spans="2:7" ht="13.8" customHeight="1" x14ac:dyDescent="0.25">
      <c r="B2897" s="35" t="s">
        <v>10</v>
      </c>
      <c r="C2897" s="35">
        <v>2769085</v>
      </c>
      <c r="D2897" s="35">
        <v>1.25</v>
      </c>
      <c r="E2897" s="35" t="s">
        <v>257</v>
      </c>
      <c r="F2897" s="31" t="str">
        <f t="shared" si="90"/>
        <v>A6.13.04</v>
      </c>
      <c r="G2897" s="34">
        <f t="shared" si="91"/>
        <v>1.25</v>
      </c>
    </row>
    <row r="2898" spans="2:7" ht="13.8" customHeight="1" x14ac:dyDescent="0.25">
      <c r="B2898" s="35" t="s">
        <v>10</v>
      </c>
      <c r="C2898" s="35">
        <v>2769086</v>
      </c>
      <c r="D2898" s="35">
        <v>1.25</v>
      </c>
      <c r="E2898" s="35" t="s">
        <v>257</v>
      </c>
      <c r="F2898" s="31" t="str">
        <f t="shared" si="90"/>
        <v>A6.13.04</v>
      </c>
      <c r="G2898" s="34">
        <f t="shared" si="91"/>
        <v>1.25</v>
      </c>
    </row>
    <row r="2899" spans="2:7" ht="13.8" customHeight="1" x14ac:dyDescent="0.25">
      <c r="B2899" s="35" t="s">
        <v>10</v>
      </c>
      <c r="C2899" s="35">
        <v>2769087</v>
      </c>
      <c r="D2899" s="35">
        <v>1.36</v>
      </c>
      <c r="E2899" s="35" t="s">
        <v>257</v>
      </c>
      <c r="F2899" s="31" t="str">
        <f t="shared" si="90"/>
        <v>A6.13.04</v>
      </c>
      <c r="G2899" s="34">
        <f t="shared" si="91"/>
        <v>1.36</v>
      </c>
    </row>
    <row r="2900" spans="2:7" ht="13.8" customHeight="1" x14ac:dyDescent="0.25">
      <c r="B2900" s="35" t="s">
        <v>10</v>
      </c>
      <c r="C2900" s="35">
        <v>2769088</v>
      </c>
      <c r="D2900" s="35">
        <v>1.25</v>
      </c>
      <c r="E2900" s="35" t="s">
        <v>257</v>
      </c>
      <c r="F2900" s="31" t="str">
        <f t="shared" si="90"/>
        <v>A6.13.04</v>
      </c>
      <c r="G2900" s="34">
        <f t="shared" si="91"/>
        <v>1.25</v>
      </c>
    </row>
    <row r="2901" spans="2:7" ht="13.8" customHeight="1" x14ac:dyDescent="0.25">
      <c r="B2901" s="35" t="s">
        <v>10</v>
      </c>
      <c r="C2901" s="35">
        <v>2769089</v>
      </c>
      <c r="D2901" s="35">
        <v>1.36</v>
      </c>
      <c r="E2901" s="35" t="s">
        <v>257</v>
      </c>
      <c r="F2901" s="31" t="str">
        <f t="shared" si="90"/>
        <v>A6.13.04</v>
      </c>
      <c r="G2901" s="34">
        <f t="shared" si="91"/>
        <v>1.36</v>
      </c>
    </row>
    <row r="2902" spans="2:7" ht="13.8" customHeight="1" x14ac:dyDescent="0.25">
      <c r="B2902" s="35" t="s">
        <v>10</v>
      </c>
      <c r="C2902" s="35">
        <v>2769174</v>
      </c>
      <c r="D2902" s="35">
        <v>1.36</v>
      </c>
      <c r="E2902" s="35" t="s">
        <v>258</v>
      </c>
      <c r="F2902" s="31" t="str">
        <f t="shared" si="90"/>
        <v>A6.09.06</v>
      </c>
      <c r="G2902" s="34">
        <f t="shared" si="91"/>
        <v>1.36</v>
      </c>
    </row>
    <row r="2903" spans="2:7" ht="13.8" customHeight="1" x14ac:dyDescent="0.25">
      <c r="B2903" s="35" t="s">
        <v>10</v>
      </c>
      <c r="C2903" s="35">
        <v>2769175</v>
      </c>
      <c r="D2903" s="35">
        <v>1.36</v>
      </c>
      <c r="E2903" s="35" t="s">
        <v>258</v>
      </c>
      <c r="F2903" s="31" t="str">
        <f t="shared" si="90"/>
        <v>A6.09.06</v>
      </c>
      <c r="G2903" s="34">
        <f t="shared" si="91"/>
        <v>1.36</v>
      </c>
    </row>
    <row r="2904" spans="2:7" ht="13.8" customHeight="1" x14ac:dyDescent="0.25">
      <c r="B2904" s="35" t="s">
        <v>10</v>
      </c>
      <c r="C2904" s="35">
        <v>2769176</v>
      </c>
      <c r="D2904" s="35">
        <v>1.36</v>
      </c>
      <c r="E2904" s="35" t="s">
        <v>258</v>
      </c>
      <c r="F2904" s="31" t="str">
        <f t="shared" si="90"/>
        <v>A6.09.06</v>
      </c>
      <c r="G2904" s="34">
        <f t="shared" si="91"/>
        <v>1.36</v>
      </c>
    </row>
    <row r="2905" spans="2:7" ht="13.8" customHeight="1" x14ac:dyDescent="0.25">
      <c r="B2905" s="35" t="s">
        <v>10</v>
      </c>
      <c r="C2905" s="35">
        <v>2769277</v>
      </c>
      <c r="D2905" s="35">
        <v>1.36</v>
      </c>
      <c r="E2905" s="35" t="s">
        <v>259</v>
      </c>
      <c r="F2905" s="31" t="str">
        <f t="shared" si="90"/>
        <v>A6.09.07</v>
      </c>
      <c r="G2905" s="34">
        <f t="shared" si="91"/>
        <v>1.36</v>
      </c>
    </row>
    <row r="2906" spans="2:7" ht="13.8" customHeight="1" x14ac:dyDescent="0.25">
      <c r="B2906" s="35" t="s">
        <v>10</v>
      </c>
      <c r="C2906" s="35">
        <v>2769278</v>
      </c>
      <c r="D2906" s="35">
        <v>1.25</v>
      </c>
      <c r="E2906" s="35" t="s">
        <v>259</v>
      </c>
      <c r="F2906" s="31" t="str">
        <f t="shared" si="90"/>
        <v>A6.09.07</v>
      </c>
      <c r="G2906" s="34">
        <f t="shared" si="91"/>
        <v>1.25</v>
      </c>
    </row>
    <row r="2907" spans="2:7" ht="13.8" customHeight="1" x14ac:dyDescent="0.25">
      <c r="B2907" s="35" t="s">
        <v>10</v>
      </c>
      <c r="C2907" s="35">
        <v>2769279</v>
      </c>
      <c r="D2907" s="35">
        <v>1.36</v>
      </c>
      <c r="E2907" s="35" t="s">
        <v>259</v>
      </c>
      <c r="F2907" s="31" t="str">
        <f t="shared" si="90"/>
        <v>A6.09.07</v>
      </c>
      <c r="G2907" s="34">
        <f t="shared" si="91"/>
        <v>1.36</v>
      </c>
    </row>
    <row r="2908" spans="2:7" ht="13.8" customHeight="1" x14ac:dyDescent="0.25">
      <c r="B2908" s="35" t="s">
        <v>10</v>
      </c>
      <c r="C2908" s="35">
        <v>2769280</v>
      </c>
      <c r="D2908" s="35">
        <v>1.25</v>
      </c>
      <c r="E2908" s="35" t="s">
        <v>259</v>
      </c>
      <c r="F2908" s="31" t="str">
        <f t="shared" si="90"/>
        <v>A6.09.07</v>
      </c>
      <c r="G2908" s="34">
        <f t="shared" si="91"/>
        <v>1.25</v>
      </c>
    </row>
    <row r="2909" spans="2:7" ht="13.8" customHeight="1" x14ac:dyDescent="0.25">
      <c r="B2909" s="35" t="s">
        <v>10</v>
      </c>
      <c r="C2909" s="35">
        <v>2769281</v>
      </c>
      <c r="D2909" s="35">
        <v>1.25</v>
      </c>
      <c r="E2909" s="35" t="s">
        <v>259</v>
      </c>
      <c r="F2909" s="31" t="str">
        <f t="shared" si="90"/>
        <v>A6.09.07</v>
      </c>
      <c r="G2909" s="34">
        <f t="shared" si="91"/>
        <v>1.25</v>
      </c>
    </row>
    <row r="2910" spans="2:7" ht="13.8" customHeight="1" x14ac:dyDescent="0.25">
      <c r="B2910" s="35" t="s">
        <v>10</v>
      </c>
      <c r="C2910" s="35">
        <v>2769376</v>
      </c>
      <c r="D2910" s="35">
        <v>1.36</v>
      </c>
      <c r="E2910" s="35" t="s">
        <v>260</v>
      </c>
      <c r="F2910" s="31" t="str">
        <f t="shared" si="90"/>
        <v>A6.09.02</v>
      </c>
      <c r="G2910" s="34">
        <f t="shared" si="91"/>
        <v>1.36</v>
      </c>
    </row>
    <row r="2911" spans="2:7" ht="13.8" customHeight="1" x14ac:dyDescent="0.25">
      <c r="B2911" s="35" t="s">
        <v>10</v>
      </c>
      <c r="C2911" s="35">
        <v>2769377</v>
      </c>
      <c r="D2911" s="35">
        <v>1.25</v>
      </c>
      <c r="E2911" s="35" t="s">
        <v>260</v>
      </c>
      <c r="F2911" s="31" t="str">
        <f t="shared" si="90"/>
        <v>A6.09.02</v>
      </c>
      <c r="G2911" s="34">
        <f t="shared" si="91"/>
        <v>1.25</v>
      </c>
    </row>
    <row r="2912" spans="2:7" ht="13.8" customHeight="1" x14ac:dyDescent="0.25">
      <c r="B2912" s="35" t="s">
        <v>10</v>
      </c>
      <c r="C2912" s="35">
        <v>2769378</v>
      </c>
      <c r="D2912" s="35">
        <v>1.36</v>
      </c>
      <c r="E2912" s="35" t="s">
        <v>260</v>
      </c>
      <c r="F2912" s="31" t="str">
        <f t="shared" si="90"/>
        <v>A6.09.02</v>
      </c>
      <c r="G2912" s="34">
        <f t="shared" si="91"/>
        <v>1.36</v>
      </c>
    </row>
    <row r="2913" spans="2:7" ht="13.8" customHeight="1" x14ac:dyDescent="0.25">
      <c r="B2913" s="35" t="s">
        <v>10</v>
      </c>
      <c r="C2913" s="35">
        <v>2769434</v>
      </c>
      <c r="D2913" s="35">
        <v>1.25</v>
      </c>
      <c r="E2913" s="35" t="s">
        <v>261</v>
      </c>
      <c r="F2913" s="31" t="str">
        <f t="shared" si="90"/>
        <v>A6.09.03</v>
      </c>
      <c r="G2913" s="34">
        <f t="shared" si="91"/>
        <v>1.25</v>
      </c>
    </row>
    <row r="2914" spans="2:7" ht="13.8" customHeight="1" x14ac:dyDescent="0.25">
      <c r="B2914" s="35" t="s">
        <v>10</v>
      </c>
      <c r="C2914" s="35">
        <v>2769435</v>
      </c>
      <c r="D2914" s="35">
        <v>1.25</v>
      </c>
      <c r="E2914" s="35" t="s">
        <v>261</v>
      </c>
      <c r="F2914" s="31" t="str">
        <f t="shared" si="90"/>
        <v>A6.09.03</v>
      </c>
      <c r="G2914" s="34">
        <f t="shared" si="91"/>
        <v>1.25</v>
      </c>
    </row>
    <row r="2915" spans="2:7" ht="13.8" customHeight="1" x14ac:dyDescent="0.25">
      <c r="B2915" s="35" t="s">
        <v>10</v>
      </c>
      <c r="C2915" s="35">
        <v>2769545</v>
      </c>
      <c r="D2915" s="35">
        <v>1.25</v>
      </c>
      <c r="E2915" s="35" t="s">
        <v>262</v>
      </c>
      <c r="F2915" s="31" t="str">
        <f t="shared" si="90"/>
        <v>A6.09.04</v>
      </c>
      <c r="G2915" s="34">
        <f t="shared" si="91"/>
        <v>1.25</v>
      </c>
    </row>
    <row r="2916" spans="2:7" ht="13.8" customHeight="1" x14ac:dyDescent="0.25">
      <c r="B2916" s="35" t="s">
        <v>10</v>
      </c>
      <c r="C2916" s="35">
        <v>2769546</v>
      </c>
      <c r="D2916" s="35">
        <v>1.25</v>
      </c>
      <c r="E2916" s="35" t="s">
        <v>262</v>
      </c>
      <c r="F2916" s="31" t="str">
        <f t="shared" si="90"/>
        <v>A6.09.04</v>
      </c>
      <c r="G2916" s="34">
        <f t="shared" si="91"/>
        <v>1.25</v>
      </c>
    </row>
    <row r="2917" spans="2:7" ht="13.8" customHeight="1" x14ac:dyDescent="0.25">
      <c r="B2917" s="35" t="s">
        <v>10</v>
      </c>
      <c r="C2917" s="35">
        <v>2769547</v>
      </c>
      <c r="D2917" s="35">
        <v>1.36</v>
      </c>
      <c r="E2917" s="35" t="s">
        <v>262</v>
      </c>
      <c r="F2917" s="31" t="str">
        <f t="shared" si="90"/>
        <v>A6.09.04</v>
      </c>
      <c r="G2917" s="34">
        <f t="shared" si="91"/>
        <v>1.36</v>
      </c>
    </row>
    <row r="2918" spans="2:7" ht="13.8" customHeight="1" x14ac:dyDescent="0.25">
      <c r="B2918" s="35" t="s">
        <v>10</v>
      </c>
      <c r="C2918" s="35">
        <v>2769548</v>
      </c>
      <c r="D2918" s="35">
        <v>1.36</v>
      </c>
      <c r="E2918" s="35" t="s">
        <v>262</v>
      </c>
      <c r="F2918" s="31" t="str">
        <f t="shared" si="90"/>
        <v>A6.09.04</v>
      </c>
      <c r="G2918" s="34">
        <f t="shared" si="91"/>
        <v>1.36</v>
      </c>
    </row>
    <row r="2919" spans="2:7" ht="13.8" customHeight="1" x14ac:dyDescent="0.25">
      <c r="B2919" s="35" t="s">
        <v>10</v>
      </c>
      <c r="C2919" s="35">
        <v>2769549</v>
      </c>
      <c r="D2919" s="35">
        <v>0.91</v>
      </c>
      <c r="E2919" s="35" t="s">
        <v>262</v>
      </c>
      <c r="F2919" s="31" t="str">
        <f t="shared" si="90"/>
        <v>A6.09.04</v>
      </c>
      <c r="G2919" s="34">
        <f t="shared" si="91"/>
        <v>0.91</v>
      </c>
    </row>
    <row r="2920" spans="2:7" ht="13.8" customHeight="1" x14ac:dyDescent="0.25">
      <c r="B2920" s="35" t="s">
        <v>10</v>
      </c>
      <c r="C2920" s="35">
        <v>2769550</v>
      </c>
      <c r="D2920" s="35">
        <v>1.25</v>
      </c>
      <c r="E2920" s="35" t="s">
        <v>262</v>
      </c>
      <c r="F2920" s="31" t="str">
        <f t="shared" si="90"/>
        <v>A6.09.04</v>
      </c>
      <c r="G2920" s="34">
        <f t="shared" si="91"/>
        <v>1.25</v>
      </c>
    </row>
    <row r="2921" spans="2:7" ht="13.8" customHeight="1" x14ac:dyDescent="0.25">
      <c r="B2921" s="35" t="s">
        <v>10</v>
      </c>
      <c r="C2921" s="35">
        <v>2769551</v>
      </c>
      <c r="D2921" s="35">
        <v>0.91</v>
      </c>
      <c r="E2921" s="35" t="s">
        <v>262</v>
      </c>
      <c r="F2921" s="31" t="str">
        <f t="shared" si="90"/>
        <v>A6.09.04</v>
      </c>
      <c r="G2921" s="34">
        <f t="shared" si="91"/>
        <v>0.91</v>
      </c>
    </row>
    <row r="2922" spans="2:7" ht="13.8" customHeight="1" x14ac:dyDescent="0.25">
      <c r="B2922" s="35" t="s">
        <v>10</v>
      </c>
      <c r="C2922" s="35">
        <v>2769552</v>
      </c>
      <c r="D2922" s="35">
        <v>1.36</v>
      </c>
      <c r="E2922" s="35" t="s">
        <v>262</v>
      </c>
      <c r="F2922" s="31" t="str">
        <f t="shared" si="90"/>
        <v>A6.09.04</v>
      </c>
      <c r="G2922" s="34">
        <f t="shared" si="91"/>
        <v>1.36</v>
      </c>
    </row>
    <row r="2923" spans="2:7" ht="13.8" customHeight="1" x14ac:dyDescent="0.25">
      <c r="B2923" s="35" t="s">
        <v>10</v>
      </c>
      <c r="C2923" s="35">
        <v>2769644</v>
      </c>
      <c r="D2923" s="35">
        <v>1.36</v>
      </c>
      <c r="E2923" s="35" t="s">
        <v>263</v>
      </c>
      <c r="F2923" s="31" t="str">
        <f t="shared" si="90"/>
        <v>A6.09.01</v>
      </c>
      <c r="G2923" s="34">
        <f t="shared" si="91"/>
        <v>1.36</v>
      </c>
    </row>
    <row r="2924" spans="2:7" ht="13.8" customHeight="1" x14ac:dyDescent="0.25">
      <c r="B2924" s="35" t="s">
        <v>10</v>
      </c>
      <c r="C2924" s="35">
        <v>2769645</v>
      </c>
      <c r="D2924" s="35">
        <v>1.25</v>
      </c>
      <c r="E2924" s="35" t="s">
        <v>263</v>
      </c>
      <c r="F2924" s="31" t="str">
        <f t="shared" si="90"/>
        <v>A6.09.01</v>
      </c>
      <c r="G2924" s="34">
        <f t="shared" si="91"/>
        <v>1.25</v>
      </c>
    </row>
    <row r="2925" spans="2:7" ht="13.8" customHeight="1" x14ac:dyDescent="0.25">
      <c r="B2925" s="35" t="s">
        <v>10</v>
      </c>
      <c r="C2925" s="35">
        <v>2769646</v>
      </c>
      <c r="D2925" s="35">
        <v>1.36</v>
      </c>
      <c r="E2925" s="35" t="s">
        <v>263</v>
      </c>
      <c r="F2925" s="31" t="str">
        <f t="shared" si="90"/>
        <v>A6.09.01</v>
      </c>
      <c r="G2925" s="34">
        <f t="shared" si="91"/>
        <v>1.36</v>
      </c>
    </row>
    <row r="2926" spans="2:7" ht="13.8" customHeight="1" x14ac:dyDescent="0.25">
      <c r="B2926" s="35" t="s">
        <v>10</v>
      </c>
      <c r="C2926" s="35">
        <v>2769647</v>
      </c>
      <c r="D2926" s="35">
        <v>1.25</v>
      </c>
      <c r="E2926" s="35" t="s">
        <v>263</v>
      </c>
      <c r="F2926" s="31" t="str">
        <f t="shared" si="90"/>
        <v>A6.09.01</v>
      </c>
      <c r="G2926" s="34">
        <f t="shared" si="91"/>
        <v>1.25</v>
      </c>
    </row>
    <row r="2927" spans="2:7" ht="13.8" customHeight="1" x14ac:dyDescent="0.25">
      <c r="B2927" s="35" t="s">
        <v>10</v>
      </c>
      <c r="C2927" s="35">
        <v>2769648</v>
      </c>
      <c r="D2927" s="35">
        <v>1.25</v>
      </c>
      <c r="E2927" s="35" t="s">
        <v>263</v>
      </c>
      <c r="F2927" s="31" t="str">
        <f t="shared" si="90"/>
        <v>A6.09.01</v>
      </c>
      <c r="G2927" s="34">
        <f t="shared" si="91"/>
        <v>1.25</v>
      </c>
    </row>
    <row r="2928" spans="2:7" ht="13.8" customHeight="1" x14ac:dyDescent="0.25">
      <c r="B2928" s="35" t="s">
        <v>10</v>
      </c>
      <c r="C2928" s="35">
        <v>2769706</v>
      </c>
      <c r="D2928" s="35">
        <v>1.36</v>
      </c>
      <c r="E2928" s="35" t="s">
        <v>264</v>
      </c>
      <c r="F2928" s="31" t="str">
        <f t="shared" si="90"/>
        <v>A6.09.05</v>
      </c>
      <c r="G2928" s="34">
        <f t="shared" si="91"/>
        <v>1.36</v>
      </c>
    </row>
    <row r="2929" spans="2:7" ht="13.8" customHeight="1" x14ac:dyDescent="0.25">
      <c r="B2929" s="35" t="s">
        <v>10</v>
      </c>
      <c r="C2929" s="35">
        <v>2769707</v>
      </c>
      <c r="D2929" s="35">
        <v>1.36</v>
      </c>
      <c r="E2929" s="35" t="s">
        <v>264</v>
      </c>
      <c r="F2929" s="31" t="str">
        <f t="shared" si="90"/>
        <v>A6.09.05</v>
      </c>
      <c r="G2929" s="34">
        <f t="shared" si="91"/>
        <v>1.36</v>
      </c>
    </row>
    <row r="2930" spans="2:7" ht="13.8" customHeight="1" x14ac:dyDescent="0.25">
      <c r="B2930" s="35" t="s">
        <v>10</v>
      </c>
      <c r="C2930" s="35">
        <v>2769741</v>
      </c>
      <c r="D2930" s="35">
        <v>1.36</v>
      </c>
      <c r="E2930" s="35" t="s">
        <v>265</v>
      </c>
      <c r="F2930" s="31" t="str">
        <f t="shared" si="90"/>
        <v>B1.02.01</v>
      </c>
      <c r="G2930" s="34">
        <f t="shared" si="91"/>
        <v>1.36</v>
      </c>
    </row>
    <row r="2931" spans="2:7" ht="13.8" customHeight="1" x14ac:dyDescent="0.25">
      <c r="B2931" s="35" t="s">
        <v>10</v>
      </c>
      <c r="C2931" s="35">
        <v>2769804</v>
      </c>
      <c r="D2931" s="35">
        <v>1.36</v>
      </c>
      <c r="E2931" s="35" t="s">
        <v>266</v>
      </c>
      <c r="F2931" s="31" t="str">
        <f t="shared" si="90"/>
        <v>B1.02.02</v>
      </c>
      <c r="G2931" s="34">
        <f t="shared" si="91"/>
        <v>1.36</v>
      </c>
    </row>
    <row r="2932" spans="2:7" ht="13.8" customHeight="1" x14ac:dyDescent="0.25">
      <c r="B2932" s="35" t="s">
        <v>10</v>
      </c>
      <c r="C2932" s="35">
        <v>2769805</v>
      </c>
      <c r="D2932" s="35">
        <v>1.36</v>
      </c>
      <c r="E2932" s="35" t="s">
        <v>266</v>
      </c>
      <c r="F2932" s="31" t="str">
        <f t="shared" si="90"/>
        <v>B1.02.02</v>
      </c>
      <c r="G2932" s="34">
        <f t="shared" si="91"/>
        <v>1.36</v>
      </c>
    </row>
    <row r="2933" spans="2:7" ht="13.8" customHeight="1" x14ac:dyDescent="0.25">
      <c r="B2933" s="35" t="s">
        <v>10</v>
      </c>
      <c r="C2933" s="35">
        <v>2769806</v>
      </c>
      <c r="D2933" s="35">
        <v>0.91</v>
      </c>
      <c r="E2933" s="35" t="s">
        <v>266</v>
      </c>
      <c r="F2933" s="31" t="str">
        <f t="shared" si="90"/>
        <v>B1.02.02</v>
      </c>
      <c r="G2933" s="34">
        <f t="shared" si="91"/>
        <v>0.91</v>
      </c>
    </row>
    <row r="2934" spans="2:7" ht="13.8" customHeight="1" x14ac:dyDescent="0.25">
      <c r="B2934" s="35" t="s">
        <v>10</v>
      </c>
      <c r="C2934" s="35">
        <v>2769807</v>
      </c>
      <c r="D2934" s="35">
        <v>1.36</v>
      </c>
      <c r="E2934" s="35" t="s">
        <v>266</v>
      </c>
      <c r="F2934" s="31" t="str">
        <f t="shared" si="90"/>
        <v>B1.02.02</v>
      </c>
      <c r="G2934" s="34">
        <f t="shared" si="91"/>
        <v>1.36</v>
      </c>
    </row>
    <row r="2935" spans="2:7" ht="13.8" customHeight="1" x14ac:dyDescent="0.25">
      <c r="B2935" s="35" t="s">
        <v>10</v>
      </c>
      <c r="C2935" s="35">
        <v>2769874</v>
      </c>
      <c r="D2935" s="35">
        <v>1.36</v>
      </c>
      <c r="E2935" s="35" t="s">
        <v>267</v>
      </c>
      <c r="F2935" s="31" t="str">
        <f t="shared" si="90"/>
        <v>D1.02.02</v>
      </c>
      <c r="G2935" s="34">
        <f t="shared" si="91"/>
        <v>1.36</v>
      </c>
    </row>
    <row r="2936" spans="2:7" ht="13.8" customHeight="1" x14ac:dyDescent="0.25">
      <c r="B2936" s="35" t="s">
        <v>10</v>
      </c>
      <c r="C2936" s="35">
        <v>2769875</v>
      </c>
      <c r="D2936" s="35">
        <v>1.36</v>
      </c>
      <c r="E2936" s="35" t="s">
        <v>267</v>
      </c>
      <c r="F2936" s="31" t="str">
        <f t="shared" si="90"/>
        <v>D1.02.02</v>
      </c>
      <c r="G2936" s="34">
        <f t="shared" si="91"/>
        <v>1.36</v>
      </c>
    </row>
    <row r="2937" spans="2:7" ht="13.8" customHeight="1" x14ac:dyDescent="0.25">
      <c r="B2937" s="35" t="s">
        <v>10</v>
      </c>
      <c r="C2937" s="35">
        <v>2769876</v>
      </c>
      <c r="D2937" s="35">
        <v>1.36</v>
      </c>
      <c r="E2937" s="35" t="s">
        <v>267</v>
      </c>
      <c r="F2937" s="31" t="str">
        <f t="shared" si="90"/>
        <v>D1.02.02</v>
      </c>
      <c r="G2937" s="34">
        <f t="shared" si="91"/>
        <v>1.36</v>
      </c>
    </row>
    <row r="2938" spans="2:7" ht="13.8" customHeight="1" x14ac:dyDescent="0.25">
      <c r="B2938" s="35" t="s">
        <v>10</v>
      </c>
      <c r="C2938" s="35">
        <v>2769877</v>
      </c>
      <c r="D2938" s="35">
        <v>1.36</v>
      </c>
      <c r="E2938" s="35" t="s">
        <v>267</v>
      </c>
      <c r="F2938" s="31" t="str">
        <f t="shared" si="90"/>
        <v>D1.02.02</v>
      </c>
      <c r="G2938" s="34">
        <f t="shared" si="91"/>
        <v>1.36</v>
      </c>
    </row>
    <row r="2939" spans="2:7" ht="13.8" customHeight="1" x14ac:dyDescent="0.25">
      <c r="B2939" s="35" t="s">
        <v>10</v>
      </c>
      <c r="C2939" s="35">
        <v>2769921</v>
      </c>
      <c r="D2939" s="35">
        <v>1.36</v>
      </c>
      <c r="E2939" s="35" t="s">
        <v>268</v>
      </c>
      <c r="F2939" s="31" t="str">
        <f t="shared" si="90"/>
        <v>D1.02.01</v>
      </c>
      <c r="G2939" s="34">
        <f t="shared" si="91"/>
        <v>1.36</v>
      </c>
    </row>
    <row r="2940" spans="2:7" ht="13.8" customHeight="1" x14ac:dyDescent="0.25">
      <c r="B2940" s="35" t="s">
        <v>10</v>
      </c>
      <c r="C2940" s="35">
        <v>2769972</v>
      </c>
      <c r="D2940" s="35">
        <v>0.73</v>
      </c>
      <c r="E2940" s="35" t="s">
        <v>269</v>
      </c>
      <c r="F2940" s="31" t="str">
        <f t="shared" si="90"/>
        <v>D1.02.04</v>
      </c>
      <c r="G2940" s="34">
        <f t="shared" si="91"/>
        <v>0.73</v>
      </c>
    </row>
    <row r="2941" spans="2:7" ht="13.8" customHeight="1" x14ac:dyDescent="0.25">
      <c r="B2941" s="35" t="s">
        <v>10</v>
      </c>
      <c r="C2941" s="35">
        <v>2769976</v>
      </c>
      <c r="D2941" s="35">
        <v>1.36</v>
      </c>
      <c r="E2941" s="35" t="s">
        <v>269</v>
      </c>
      <c r="F2941" s="31" t="str">
        <f t="shared" si="90"/>
        <v>D1.02.04</v>
      </c>
      <c r="G2941" s="34">
        <f t="shared" si="91"/>
        <v>1.36</v>
      </c>
    </row>
    <row r="2942" spans="2:7" ht="13.8" customHeight="1" x14ac:dyDescent="0.25">
      <c r="B2942" s="35" t="s">
        <v>10</v>
      </c>
      <c r="C2942" s="35">
        <v>2769977</v>
      </c>
      <c r="D2942" s="35">
        <v>1.36</v>
      </c>
      <c r="E2942" s="35" t="s">
        <v>269</v>
      </c>
      <c r="F2942" s="31" t="str">
        <f t="shared" si="90"/>
        <v>D1.02.04</v>
      </c>
      <c r="G2942" s="34">
        <f t="shared" si="91"/>
        <v>1.36</v>
      </c>
    </row>
    <row r="2943" spans="2:7" ht="13.8" customHeight="1" x14ac:dyDescent="0.25">
      <c r="B2943" s="35" t="s">
        <v>10</v>
      </c>
      <c r="C2943" s="35">
        <v>2773384</v>
      </c>
      <c r="D2943" s="35">
        <v>0.89</v>
      </c>
      <c r="E2943" s="35" t="s">
        <v>269</v>
      </c>
      <c r="F2943" s="31" t="str">
        <f t="shared" si="90"/>
        <v>D1.02.04</v>
      </c>
      <c r="G2943" s="34">
        <f t="shared" si="91"/>
        <v>0.89</v>
      </c>
    </row>
    <row r="2944" spans="2:7" ht="13.8" customHeight="1" x14ac:dyDescent="0.25">
      <c r="B2944" s="35" t="s">
        <v>10</v>
      </c>
      <c r="C2944" s="35">
        <v>2773385</v>
      </c>
      <c r="D2944" s="35">
        <v>2.2599999999999998</v>
      </c>
      <c r="E2944" s="35" t="s">
        <v>269</v>
      </c>
      <c r="F2944" s="31" t="str">
        <f t="shared" si="90"/>
        <v>D1.02.04</v>
      </c>
      <c r="G2944" s="34">
        <f t="shared" si="91"/>
        <v>2.2599999999999998</v>
      </c>
    </row>
    <row r="2945" spans="2:7" ht="13.8" customHeight="1" x14ac:dyDescent="0.25">
      <c r="B2945" s="35" t="s">
        <v>10</v>
      </c>
      <c r="C2945" s="35">
        <v>2770035</v>
      </c>
      <c r="D2945" s="35">
        <v>1.36</v>
      </c>
      <c r="E2945" s="35" t="s">
        <v>270</v>
      </c>
      <c r="F2945" s="31" t="str">
        <f t="shared" si="90"/>
        <v>D1.02.03</v>
      </c>
      <c r="G2945" s="34">
        <f t="shared" si="91"/>
        <v>1.36</v>
      </c>
    </row>
    <row r="2946" spans="2:7" ht="13.8" customHeight="1" x14ac:dyDescent="0.25">
      <c r="B2946" s="35" t="s">
        <v>10</v>
      </c>
      <c r="C2946" s="35">
        <v>2770036</v>
      </c>
      <c r="D2946" s="35">
        <v>1.36</v>
      </c>
      <c r="E2946" s="35" t="s">
        <v>270</v>
      </c>
      <c r="F2946" s="31" t="str">
        <f t="shared" si="90"/>
        <v>D1.02.03</v>
      </c>
      <c r="G2946" s="34">
        <f t="shared" si="91"/>
        <v>1.36</v>
      </c>
    </row>
    <row r="2947" spans="2:7" ht="13.8" customHeight="1" x14ac:dyDescent="0.25">
      <c r="B2947" s="35" t="s">
        <v>10</v>
      </c>
      <c r="C2947" s="35">
        <v>2770037</v>
      </c>
      <c r="D2947" s="35">
        <v>1.36</v>
      </c>
      <c r="E2947" s="35" t="s">
        <v>270</v>
      </c>
      <c r="F2947" s="31" t="str">
        <f t="shared" si="90"/>
        <v>D1.02.03</v>
      </c>
      <c r="G2947" s="34">
        <f t="shared" si="91"/>
        <v>1.36</v>
      </c>
    </row>
    <row r="2948" spans="2:7" ht="13.8" customHeight="1" x14ac:dyDescent="0.25">
      <c r="B2948" s="35" t="s">
        <v>10</v>
      </c>
      <c r="C2948" s="35">
        <v>2770079</v>
      </c>
      <c r="D2948" s="35">
        <v>1.36</v>
      </c>
      <c r="E2948" s="35" t="s">
        <v>271</v>
      </c>
      <c r="F2948" s="31" t="str">
        <f t="shared" si="90"/>
        <v>D1.02.05</v>
      </c>
      <c r="G2948" s="34">
        <f t="shared" si="91"/>
        <v>1.36</v>
      </c>
    </row>
    <row r="2949" spans="2:7" ht="13.8" customHeight="1" x14ac:dyDescent="0.25">
      <c r="B2949" s="35" t="s">
        <v>10</v>
      </c>
      <c r="C2949" s="35">
        <v>2770080</v>
      </c>
      <c r="D2949" s="35">
        <v>1.36</v>
      </c>
      <c r="E2949" s="35" t="s">
        <v>271</v>
      </c>
      <c r="F2949" s="31" t="str">
        <f t="shared" si="90"/>
        <v>D1.02.05</v>
      </c>
      <c r="G2949" s="34">
        <f t="shared" si="91"/>
        <v>1.36</v>
      </c>
    </row>
    <row r="2950" spans="2:7" ht="13.8" customHeight="1" x14ac:dyDescent="0.25">
      <c r="B2950" s="35" t="s">
        <v>10</v>
      </c>
      <c r="C2950" s="35">
        <v>2770140</v>
      </c>
      <c r="D2950" s="35">
        <v>1.36</v>
      </c>
      <c r="E2950" s="35" t="s">
        <v>272</v>
      </c>
      <c r="F2950" s="31" t="str">
        <f t="shared" si="90"/>
        <v>A6.01.01</v>
      </c>
      <c r="G2950" s="34">
        <f t="shared" si="91"/>
        <v>1.36</v>
      </c>
    </row>
    <row r="2951" spans="2:7" ht="13.8" customHeight="1" x14ac:dyDescent="0.25">
      <c r="B2951" s="35" t="s">
        <v>10</v>
      </c>
      <c r="C2951" s="35">
        <v>2770141</v>
      </c>
      <c r="D2951" s="35">
        <v>1.25</v>
      </c>
      <c r="E2951" s="35" t="s">
        <v>272</v>
      </c>
      <c r="F2951" s="31" t="str">
        <f t="shared" ref="F2951:F3014" si="92">LEFT(E2951,8)</f>
        <v>A6.01.01</v>
      </c>
      <c r="G2951" s="34">
        <f t="shared" ref="G2951:G3014" si="93">D2951</f>
        <v>1.25</v>
      </c>
    </row>
    <row r="2952" spans="2:7" ht="13.8" customHeight="1" x14ac:dyDescent="0.25">
      <c r="B2952" s="35" t="s">
        <v>10</v>
      </c>
      <c r="C2952" s="35">
        <v>2770208</v>
      </c>
      <c r="D2952" s="35">
        <v>1.25</v>
      </c>
      <c r="E2952" s="35" t="s">
        <v>273</v>
      </c>
      <c r="F2952" s="31" t="str">
        <f t="shared" si="92"/>
        <v>A6.01.02</v>
      </c>
      <c r="G2952" s="34">
        <f t="shared" si="93"/>
        <v>1.25</v>
      </c>
    </row>
    <row r="2953" spans="2:7" ht="13.8" customHeight="1" x14ac:dyDescent="0.25">
      <c r="B2953" s="35" t="s">
        <v>10</v>
      </c>
      <c r="C2953" s="35">
        <v>2770209</v>
      </c>
      <c r="D2953" s="35">
        <v>1.36</v>
      </c>
      <c r="E2953" s="35" t="s">
        <v>273</v>
      </c>
      <c r="F2953" s="31" t="str">
        <f t="shared" si="92"/>
        <v>A6.01.02</v>
      </c>
      <c r="G2953" s="34">
        <f t="shared" si="93"/>
        <v>1.36</v>
      </c>
    </row>
    <row r="2954" spans="2:7" ht="13.8" customHeight="1" x14ac:dyDescent="0.25">
      <c r="B2954" s="35" t="s">
        <v>10</v>
      </c>
      <c r="C2954" s="35">
        <v>2770269</v>
      </c>
      <c r="D2954" s="35">
        <v>1.36</v>
      </c>
      <c r="E2954" s="35" t="s">
        <v>274</v>
      </c>
      <c r="F2954" s="31" t="str">
        <f t="shared" si="92"/>
        <v>A3.01.02</v>
      </c>
      <c r="G2954" s="34">
        <f t="shared" si="93"/>
        <v>1.36</v>
      </c>
    </row>
    <row r="2955" spans="2:7" ht="13.8" customHeight="1" x14ac:dyDescent="0.25">
      <c r="B2955" s="35" t="s">
        <v>10</v>
      </c>
      <c r="C2955" s="35">
        <v>2770270</v>
      </c>
      <c r="D2955" s="35">
        <v>1.36</v>
      </c>
      <c r="E2955" s="35" t="s">
        <v>274</v>
      </c>
      <c r="F2955" s="31" t="str">
        <f t="shared" si="92"/>
        <v>A3.01.02</v>
      </c>
      <c r="G2955" s="34">
        <f t="shared" si="93"/>
        <v>1.36</v>
      </c>
    </row>
    <row r="2956" spans="2:7" ht="13.8" customHeight="1" x14ac:dyDescent="0.25">
      <c r="B2956" s="35" t="s">
        <v>10</v>
      </c>
      <c r="C2956" s="35">
        <v>2770332</v>
      </c>
      <c r="D2956" s="35">
        <v>1.36</v>
      </c>
      <c r="E2956" s="35" t="s">
        <v>275</v>
      </c>
      <c r="F2956" s="31" t="str">
        <f t="shared" si="92"/>
        <v>A3.01.01</v>
      </c>
      <c r="G2956" s="34">
        <f t="shared" si="93"/>
        <v>1.36</v>
      </c>
    </row>
    <row r="2957" spans="2:7" ht="13.8" customHeight="1" x14ac:dyDescent="0.25">
      <c r="B2957" s="35" t="s">
        <v>10</v>
      </c>
      <c r="C2957" s="35">
        <v>2770333</v>
      </c>
      <c r="D2957" s="35">
        <v>1.36</v>
      </c>
      <c r="E2957" s="35" t="s">
        <v>275</v>
      </c>
      <c r="F2957" s="31" t="str">
        <f t="shared" si="92"/>
        <v>A3.01.01</v>
      </c>
      <c r="G2957" s="34">
        <f t="shared" si="93"/>
        <v>1.36</v>
      </c>
    </row>
    <row r="2958" spans="2:7" ht="13.8" customHeight="1" x14ac:dyDescent="0.25">
      <c r="B2958" s="35" t="s">
        <v>10</v>
      </c>
      <c r="C2958" s="35">
        <v>2770409</v>
      </c>
      <c r="D2958" s="35">
        <v>1.25</v>
      </c>
      <c r="E2958" s="35" t="s">
        <v>276</v>
      </c>
      <c r="F2958" s="31" t="str">
        <f t="shared" si="92"/>
        <v>A3.08.03</v>
      </c>
      <c r="G2958" s="34">
        <f t="shared" si="93"/>
        <v>1.25</v>
      </c>
    </row>
    <row r="2959" spans="2:7" ht="13.8" customHeight="1" x14ac:dyDescent="0.25">
      <c r="B2959" s="35" t="s">
        <v>10</v>
      </c>
      <c r="C2959" s="35">
        <v>2770410</v>
      </c>
      <c r="D2959" s="35">
        <v>0.91</v>
      </c>
      <c r="E2959" s="35" t="s">
        <v>276</v>
      </c>
      <c r="F2959" s="31" t="str">
        <f t="shared" si="92"/>
        <v>A3.08.03</v>
      </c>
      <c r="G2959" s="34">
        <f t="shared" si="93"/>
        <v>0.91</v>
      </c>
    </row>
    <row r="2960" spans="2:7" ht="13.8" customHeight="1" x14ac:dyDescent="0.25">
      <c r="B2960" s="35" t="s">
        <v>10</v>
      </c>
      <c r="C2960" s="35">
        <v>2770411</v>
      </c>
      <c r="D2960" s="35">
        <v>1.25</v>
      </c>
      <c r="E2960" s="35" t="s">
        <v>276</v>
      </c>
      <c r="F2960" s="31" t="str">
        <f t="shared" si="92"/>
        <v>A3.08.03</v>
      </c>
      <c r="G2960" s="34">
        <f t="shared" si="93"/>
        <v>1.25</v>
      </c>
    </row>
    <row r="2961" spans="2:7" ht="13.8" customHeight="1" x14ac:dyDescent="0.25">
      <c r="B2961" s="35" t="s">
        <v>10</v>
      </c>
      <c r="C2961" s="35">
        <v>2770412</v>
      </c>
      <c r="D2961" s="35">
        <v>1.25</v>
      </c>
      <c r="E2961" s="35" t="s">
        <v>276</v>
      </c>
      <c r="F2961" s="31" t="str">
        <f t="shared" si="92"/>
        <v>A3.08.03</v>
      </c>
      <c r="G2961" s="34">
        <f t="shared" si="93"/>
        <v>1.25</v>
      </c>
    </row>
    <row r="2962" spans="2:7" ht="13.8" customHeight="1" x14ac:dyDescent="0.25">
      <c r="B2962" s="35" t="s">
        <v>10</v>
      </c>
      <c r="C2962" s="35">
        <v>2770413</v>
      </c>
      <c r="D2962" s="35">
        <v>1.25</v>
      </c>
      <c r="E2962" s="35" t="s">
        <v>276</v>
      </c>
      <c r="F2962" s="31" t="str">
        <f t="shared" si="92"/>
        <v>A3.08.03</v>
      </c>
      <c r="G2962" s="34">
        <f t="shared" si="93"/>
        <v>1.25</v>
      </c>
    </row>
    <row r="2963" spans="2:7" ht="13.8" customHeight="1" x14ac:dyDescent="0.25">
      <c r="B2963" s="35" t="s">
        <v>10</v>
      </c>
      <c r="C2963" s="35">
        <v>2770486</v>
      </c>
      <c r="D2963" s="35">
        <v>0.91</v>
      </c>
      <c r="E2963" s="35" t="s">
        <v>277</v>
      </c>
      <c r="F2963" s="31" t="str">
        <f t="shared" si="92"/>
        <v>A3.08.02</v>
      </c>
      <c r="G2963" s="34">
        <f t="shared" si="93"/>
        <v>0.91</v>
      </c>
    </row>
    <row r="2964" spans="2:7" ht="13.8" customHeight="1" x14ac:dyDescent="0.25">
      <c r="B2964" s="35" t="s">
        <v>10</v>
      </c>
      <c r="C2964" s="35">
        <v>2770487</v>
      </c>
      <c r="D2964" s="35">
        <v>1.25</v>
      </c>
      <c r="E2964" s="35" t="s">
        <v>277</v>
      </c>
      <c r="F2964" s="31" t="str">
        <f t="shared" si="92"/>
        <v>A3.08.02</v>
      </c>
      <c r="G2964" s="34">
        <f t="shared" si="93"/>
        <v>1.25</v>
      </c>
    </row>
    <row r="2965" spans="2:7" ht="13.8" customHeight="1" x14ac:dyDescent="0.25">
      <c r="B2965" s="35" t="s">
        <v>10</v>
      </c>
      <c r="C2965" s="35">
        <v>2770488</v>
      </c>
      <c r="D2965" s="35">
        <v>1.25</v>
      </c>
      <c r="E2965" s="35" t="s">
        <v>277</v>
      </c>
      <c r="F2965" s="31" t="str">
        <f t="shared" si="92"/>
        <v>A3.08.02</v>
      </c>
      <c r="G2965" s="34">
        <f t="shared" si="93"/>
        <v>1.25</v>
      </c>
    </row>
    <row r="2966" spans="2:7" ht="13.8" customHeight="1" x14ac:dyDescent="0.25">
      <c r="B2966" s="35" t="s">
        <v>10</v>
      </c>
      <c r="C2966" s="35">
        <v>2770489</v>
      </c>
      <c r="D2966" s="35">
        <v>1.25</v>
      </c>
      <c r="E2966" s="35" t="s">
        <v>277</v>
      </c>
      <c r="F2966" s="31" t="str">
        <f t="shared" si="92"/>
        <v>A3.08.02</v>
      </c>
      <c r="G2966" s="34">
        <f t="shared" si="93"/>
        <v>1.25</v>
      </c>
    </row>
    <row r="2967" spans="2:7" ht="13.8" customHeight="1" x14ac:dyDescent="0.25">
      <c r="B2967" s="35" t="s">
        <v>10</v>
      </c>
      <c r="C2967" s="35">
        <v>2770490</v>
      </c>
      <c r="D2967" s="35">
        <v>1.25</v>
      </c>
      <c r="E2967" s="35" t="s">
        <v>277</v>
      </c>
      <c r="F2967" s="31" t="str">
        <f t="shared" si="92"/>
        <v>A3.08.02</v>
      </c>
      <c r="G2967" s="34">
        <f t="shared" si="93"/>
        <v>1.25</v>
      </c>
    </row>
    <row r="2968" spans="2:7" ht="13.8" customHeight="1" x14ac:dyDescent="0.25">
      <c r="B2968" s="35" t="s">
        <v>10</v>
      </c>
      <c r="C2968" s="35">
        <v>2770568</v>
      </c>
      <c r="D2968" s="35">
        <v>1.47</v>
      </c>
      <c r="E2968" s="35" t="s">
        <v>278</v>
      </c>
      <c r="F2968" s="31" t="str">
        <f t="shared" si="92"/>
        <v>C1.14.05</v>
      </c>
      <c r="G2968" s="34">
        <f t="shared" si="93"/>
        <v>1.47</v>
      </c>
    </row>
    <row r="2969" spans="2:7" ht="13.8" customHeight="1" x14ac:dyDescent="0.25">
      <c r="B2969" s="35" t="s">
        <v>10</v>
      </c>
      <c r="C2969" s="35">
        <v>2770571</v>
      </c>
      <c r="D2969" s="35">
        <v>1.47</v>
      </c>
      <c r="E2969" s="35" t="s">
        <v>278</v>
      </c>
      <c r="F2969" s="31" t="str">
        <f t="shared" si="92"/>
        <v>C1.14.05</v>
      </c>
      <c r="G2969" s="34">
        <f t="shared" si="93"/>
        <v>1.47</v>
      </c>
    </row>
    <row r="2970" spans="2:7" ht="13.8" customHeight="1" x14ac:dyDescent="0.25">
      <c r="B2970" s="35" t="s">
        <v>10</v>
      </c>
      <c r="C2970" s="35">
        <v>2770574</v>
      </c>
      <c r="D2970" s="35">
        <v>1.1299999999999999</v>
      </c>
      <c r="E2970" s="35" t="s">
        <v>278</v>
      </c>
      <c r="F2970" s="31" t="str">
        <f t="shared" si="92"/>
        <v>C1.14.05</v>
      </c>
      <c r="G2970" s="34">
        <f t="shared" si="93"/>
        <v>1.1299999999999999</v>
      </c>
    </row>
    <row r="2971" spans="2:7" ht="13.8" customHeight="1" x14ac:dyDescent="0.25">
      <c r="B2971" s="35" t="s">
        <v>10</v>
      </c>
      <c r="C2971" s="35">
        <v>2770575</v>
      </c>
      <c r="D2971" s="35">
        <v>1.7</v>
      </c>
      <c r="E2971" s="35" t="s">
        <v>278</v>
      </c>
      <c r="F2971" s="31" t="str">
        <f t="shared" si="92"/>
        <v>C1.14.05</v>
      </c>
      <c r="G2971" s="34">
        <f t="shared" si="93"/>
        <v>1.7</v>
      </c>
    </row>
    <row r="2972" spans="2:7" ht="13.8" customHeight="1" x14ac:dyDescent="0.25">
      <c r="B2972" s="35" t="s">
        <v>10</v>
      </c>
      <c r="C2972" s="35">
        <v>2770641</v>
      </c>
      <c r="D2972" s="35">
        <v>1.47</v>
      </c>
      <c r="E2972" s="35" t="s">
        <v>279</v>
      </c>
      <c r="F2972" s="31" t="str">
        <f t="shared" si="92"/>
        <v>C1.14.06</v>
      </c>
      <c r="G2972" s="34">
        <f t="shared" si="93"/>
        <v>1.47</v>
      </c>
    </row>
    <row r="2973" spans="2:7" ht="13.8" customHeight="1" x14ac:dyDescent="0.25">
      <c r="B2973" s="35" t="s">
        <v>10</v>
      </c>
      <c r="C2973" s="35">
        <v>2770642</v>
      </c>
      <c r="D2973" s="35">
        <v>1.47</v>
      </c>
      <c r="E2973" s="35" t="s">
        <v>279</v>
      </c>
      <c r="F2973" s="31" t="str">
        <f t="shared" si="92"/>
        <v>C1.14.06</v>
      </c>
      <c r="G2973" s="34">
        <f t="shared" si="93"/>
        <v>1.47</v>
      </c>
    </row>
    <row r="2974" spans="2:7" ht="13.8" customHeight="1" x14ac:dyDescent="0.25">
      <c r="B2974" s="35" t="s">
        <v>10</v>
      </c>
      <c r="C2974" s="35">
        <v>2770643</v>
      </c>
      <c r="D2974" s="35">
        <v>1.47</v>
      </c>
      <c r="E2974" s="35" t="s">
        <v>279</v>
      </c>
      <c r="F2974" s="31" t="str">
        <f t="shared" si="92"/>
        <v>C1.14.06</v>
      </c>
      <c r="G2974" s="34">
        <f t="shared" si="93"/>
        <v>1.47</v>
      </c>
    </row>
    <row r="2975" spans="2:7" ht="13.8" customHeight="1" x14ac:dyDescent="0.25">
      <c r="B2975" s="35" t="s">
        <v>10</v>
      </c>
      <c r="C2975" s="35">
        <v>2770644</v>
      </c>
      <c r="D2975" s="35">
        <v>1.1299999999999999</v>
      </c>
      <c r="E2975" s="35" t="s">
        <v>279</v>
      </c>
      <c r="F2975" s="31" t="str">
        <f t="shared" si="92"/>
        <v>C1.14.06</v>
      </c>
      <c r="G2975" s="34">
        <f t="shared" si="93"/>
        <v>1.1299999999999999</v>
      </c>
    </row>
    <row r="2976" spans="2:7" ht="13.8" customHeight="1" x14ac:dyDescent="0.25">
      <c r="B2976" s="35" t="s">
        <v>10</v>
      </c>
      <c r="C2976" s="35">
        <v>2770724</v>
      </c>
      <c r="D2976" s="35">
        <v>1.47</v>
      </c>
      <c r="E2976" s="35" t="s">
        <v>280</v>
      </c>
      <c r="F2976" s="31" t="str">
        <f t="shared" si="92"/>
        <v>C1.14.01</v>
      </c>
      <c r="G2976" s="34">
        <f t="shared" si="93"/>
        <v>1.47</v>
      </c>
    </row>
    <row r="2977" spans="2:7" ht="13.8" customHeight="1" x14ac:dyDescent="0.25">
      <c r="B2977" s="35" t="s">
        <v>10</v>
      </c>
      <c r="C2977" s="35">
        <v>2770725</v>
      </c>
      <c r="D2977" s="35">
        <v>1.47</v>
      </c>
      <c r="E2977" s="35" t="s">
        <v>280</v>
      </c>
      <c r="F2977" s="31" t="str">
        <f t="shared" si="92"/>
        <v>C1.14.01</v>
      </c>
      <c r="G2977" s="34">
        <f t="shared" si="93"/>
        <v>1.47</v>
      </c>
    </row>
    <row r="2978" spans="2:7" ht="13.8" customHeight="1" x14ac:dyDescent="0.25">
      <c r="B2978" s="35" t="s">
        <v>10</v>
      </c>
      <c r="C2978" s="35">
        <v>2770726</v>
      </c>
      <c r="D2978" s="35">
        <v>1.1299999999999999</v>
      </c>
      <c r="E2978" s="35" t="s">
        <v>280</v>
      </c>
      <c r="F2978" s="31" t="str">
        <f t="shared" si="92"/>
        <v>C1.14.01</v>
      </c>
      <c r="G2978" s="34">
        <f t="shared" si="93"/>
        <v>1.1299999999999999</v>
      </c>
    </row>
    <row r="2979" spans="2:7" ht="13.8" customHeight="1" x14ac:dyDescent="0.25">
      <c r="B2979" s="35" t="s">
        <v>10</v>
      </c>
      <c r="C2979" s="35">
        <v>2770727</v>
      </c>
      <c r="D2979" s="35">
        <v>1.7</v>
      </c>
      <c r="E2979" s="35" t="s">
        <v>280</v>
      </c>
      <c r="F2979" s="31" t="str">
        <f t="shared" si="92"/>
        <v>C1.14.01</v>
      </c>
      <c r="G2979" s="34">
        <f t="shared" si="93"/>
        <v>1.7</v>
      </c>
    </row>
    <row r="2980" spans="2:7" ht="13.8" customHeight="1" x14ac:dyDescent="0.25">
      <c r="B2980" s="35" t="s">
        <v>10</v>
      </c>
      <c r="C2980" s="35">
        <v>2770728</v>
      </c>
      <c r="D2980" s="35">
        <v>1.7</v>
      </c>
      <c r="E2980" s="35" t="s">
        <v>280</v>
      </c>
      <c r="F2980" s="31" t="str">
        <f t="shared" si="92"/>
        <v>C1.14.01</v>
      </c>
      <c r="G2980" s="34">
        <f t="shared" si="93"/>
        <v>1.7</v>
      </c>
    </row>
    <row r="2981" spans="2:7" ht="13.8" customHeight="1" x14ac:dyDescent="0.25">
      <c r="B2981" s="35" t="s">
        <v>10</v>
      </c>
      <c r="C2981" s="35">
        <v>2770835</v>
      </c>
      <c r="D2981" s="35">
        <v>1.7</v>
      </c>
      <c r="E2981" s="35" t="s">
        <v>282</v>
      </c>
      <c r="F2981" s="31" t="str">
        <f t="shared" si="92"/>
        <v>C1.14.03</v>
      </c>
      <c r="G2981" s="34">
        <f t="shared" si="93"/>
        <v>1.7</v>
      </c>
    </row>
    <row r="2982" spans="2:7" ht="13.8" customHeight="1" x14ac:dyDescent="0.25">
      <c r="B2982" s="35" t="s">
        <v>10</v>
      </c>
      <c r="C2982" s="35">
        <v>2770872</v>
      </c>
      <c r="D2982" s="35">
        <v>1.7</v>
      </c>
      <c r="E2982" s="35" t="s">
        <v>283</v>
      </c>
      <c r="F2982" s="31" t="str">
        <f t="shared" si="92"/>
        <v>C1.14.04</v>
      </c>
      <c r="G2982" s="34">
        <f t="shared" si="93"/>
        <v>1.7</v>
      </c>
    </row>
    <row r="2983" spans="2:7" ht="13.8" customHeight="1" x14ac:dyDescent="0.25">
      <c r="B2983" s="35" t="s">
        <v>10</v>
      </c>
      <c r="C2983" s="35">
        <v>2770937</v>
      </c>
      <c r="D2983" s="35">
        <v>1.47</v>
      </c>
      <c r="E2983" s="35" t="s">
        <v>284</v>
      </c>
      <c r="F2983" s="31" t="str">
        <f t="shared" si="92"/>
        <v>C1.08.05</v>
      </c>
      <c r="G2983" s="34">
        <f t="shared" si="93"/>
        <v>1.47</v>
      </c>
    </row>
    <row r="2984" spans="2:7" ht="13.8" customHeight="1" x14ac:dyDescent="0.25">
      <c r="B2984" s="35" t="s">
        <v>10</v>
      </c>
      <c r="C2984" s="35">
        <v>2770938</v>
      </c>
      <c r="D2984" s="35">
        <v>1.47</v>
      </c>
      <c r="E2984" s="35" t="s">
        <v>284</v>
      </c>
      <c r="F2984" s="31" t="str">
        <f t="shared" si="92"/>
        <v>C1.08.05</v>
      </c>
      <c r="G2984" s="34">
        <f t="shared" si="93"/>
        <v>1.47</v>
      </c>
    </row>
    <row r="2985" spans="2:7" ht="13.8" customHeight="1" x14ac:dyDescent="0.25">
      <c r="B2985" s="35" t="s">
        <v>10</v>
      </c>
      <c r="C2985" s="35">
        <v>2770939</v>
      </c>
      <c r="D2985" s="35">
        <v>1.1299999999999999</v>
      </c>
      <c r="E2985" s="35" t="s">
        <v>284</v>
      </c>
      <c r="F2985" s="31" t="str">
        <f t="shared" si="92"/>
        <v>C1.08.05</v>
      </c>
      <c r="G2985" s="34">
        <f t="shared" si="93"/>
        <v>1.1299999999999999</v>
      </c>
    </row>
    <row r="2986" spans="2:7" ht="13.8" customHeight="1" x14ac:dyDescent="0.25">
      <c r="B2986" s="35" t="s">
        <v>10</v>
      </c>
      <c r="C2986" s="35">
        <v>2770940</v>
      </c>
      <c r="D2986" s="35">
        <v>1.7</v>
      </c>
      <c r="E2986" s="35" t="s">
        <v>284</v>
      </c>
      <c r="F2986" s="31" t="str">
        <f t="shared" si="92"/>
        <v>C1.08.05</v>
      </c>
      <c r="G2986" s="34">
        <f t="shared" si="93"/>
        <v>1.7</v>
      </c>
    </row>
    <row r="2987" spans="2:7" ht="13.8" customHeight="1" x14ac:dyDescent="0.25">
      <c r="B2987" s="35" t="s">
        <v>10</v>
      </c>
      <c r="C2987" s="35">
        <v>2771024</v>
      </c>
      <c r="D2987" s="35">
        <v>1.47</v>
      </c>
      <c r="E2987" s="35" t="s">
        <v>285</v>
      </c>
      <c r="F2987" s="31" t="str">
        <f t="shared" si="92"/>
        <v>C1.08.06</v>
      </c>
      <c r="G2987" s="34">
        <f t="shared" si="93"/>
        <v>1.47</v>
      </c>
    </row>
    <row r="2988" spans="2:7" ht="13.8" customHeight="1" x14ac:dyDescent="0.25">
      <c r="B2988" s="35" t="s">
        <v>10</v>
      </c>
      <c r="C2988" s="35">
        <v>2771027</v>
      </c>
      <c r="D2988" s="35">
        <v>1.47</v>
      </c>
      <c r="E2988" s="35" t="s">
        <v>285</v>
      </c>
      <c r="F2988" s="31" t="str">
        <f t="shared" si="92"/>
        <v>C1.08.06</v>
      </c>
      <c r="G2988" s="34">
        <f t="shared" si="93"/>
        <v>1.47</v>
      </c>
    </row>
    <row r="2989" spans="2:7" ht="13.8" customHeight="1" x14ac:dyDescent="0.25">
      <c r="B2989" s="35" t="s">
        <v>10</v>
      </c>
      <c r="C2989" s="35">
        <v>2771030</v>
      </c>
      <c r="D2989" s="35">
        <v>1.47</v>
      </c>
      <c r="E2989" s="35" t="s">
        <v>285</v>
      </c>
      <c r="F2989" s="31" t="str">
        <f t="shared" si="92"/>
        <v>C1.08.06</v>
      </c>
      <c r="G2989" s="34">
        <f t="shared" si="93"/>
        <v>1.47</v>
      </c>
    </row>
    <row r="2990" spans="2:7" ht="13.8" customHeight="1" x14ac:dyDescent="0.25">
      <c r="B2990" s="35" t="s">
        <v>10</v>
      </c>
      <c r="C2990" s="35">
        <v>2771031</v>
      </c>
      <c r="D2990" s="35">
        <v>1.1299999999999999</v>
      </c>
      <c r="E2990" s="35" t="s">
        <v>285</v>
      </c>
      <c r="F2990" s="31" t="str">
        <f t="shared" si="92"/>
        <v>C1.08.06</v>
      </c>
      <c r="G2990" s="34">
        <f t="shared" si="93"/>
        <v>1.1299999999999999</v>
      </c>
    </row>
    <row r="2991" spans="2:7" ht="13.8" customHeight="1" x14ac:dyDescent="0.25">
      <c r="B2991" s="35" t="s">
        <v>10</v>
      </c>
      <c r="C2991" s="35">
        <v>2771102</v>
      </c>
      <c r="D2991" s="35">
        <v>1.7</v>
      </c>
      <c r="E2991" s="35" t="s">
        <v>286</v>
      </c>
      <c r="F2991" s="31" t="str">
        <f t="shared" si="92"/>
        <v>C1.08.02</v>
      </c>
      <c r="G2991" s="34">
        <f t="shared" si="93"/>
        <v>1.7</v>
      </c>
    </row>
    <row r="2992" spans="2:7" ht="13.8" customHeight="1" x14ac:dyDescent="0.25">
      <c r="B2992" s="35" t="s">
        <v>10</v>
      </c>
      <c r="C2992" s="35">
        <v>2771103</v>
      </c>
      <c r="D2992" s="35">
        <v>1.1299999999999999</v>
      </c>
      <c r="E2992" s="35" t="s">
        <v>286</v>
      </c>
      <c r="F2992" s="31" t="str">
        <f t="shared" si="92"/>
        <v>C1.08.02</v>
      </c>
      <c r="G2992" s="34">
        <f t="shared" si="93"/>
        <v>1.1299999999999999</v>
      </c>
    </row>
    <row r="2993" spans="2:7" ht="13.8" customHeight="1" x14ac:dyDescent="0.25">
      <c r="B2993" s="35" t="s">
        <v>10</v>
      </c>
      <c r="C2993" s="35">
        <v>2771104</v>
      </c>
      <c r="D2993" s="35">
        <v>1.7</v>
      </c>
      <c r="E2993" s="35" t="s">
        <v>286</v>
      </c>
      <c r="F2993" s="31" t="str">
        <f t="shared" si="92"/>
        <v>C1.08.02</v>
      </c>
      <c r="G2993" s="34">
        <f t="shared" si="93"/>
        <v>1.7</v>
      </c>
    </row>
    <row r="2994" spans="2:7" ht="13.8" customHeight="1" x14ac:dyDescent="0.25">
      <c r="B2994" s="35" t="s">
        <v>10</v>
      </c>
      <c r="C2994" s="35">
        <v>2771105</v>
      </c>
      <c r="D2994" s="35">
        <v>1.7</v>
      </c>
      <c r="E2994" s="35" t="s">
        <v>286</v>
      </c>
      <c r="F2994" s="31" t="str">
        <f t="shared" si="92"/>
        <v>C1.08.02</v>
      </c>
      <c r="G2994" s="34">
        <f t="shared" si="93"/>
        <v>1.7</v>
      </c>
    </row>
    <row r="2995" spans="2:7" ht="13.8" customHeight="1" x14ac:dyDescent="0.25">
      <c r="B2995" s="35" t="s">
        <v>10</v>
      </c>
      <c r="C2995" s="35">
        <v>2771146</v>
      </c>
      <c r="D2995" s="35">
        <v>1.7</v>
      </c>
      <c r="E2995" s="35" t="s">
        <v>287</v>
      </c>
      <c r="F2995" s="31" t="str">
        <f t="shared" si="92"/>
        <v>C1.08.03</v>
      </c>
      <c r="G2995" s="34">
        <f t="shared" si="93"/>
        <v>1.7</v>
      </c>
    </row>
    <row r="2996" spans="2:7" ht="13.8" customHeight="1" x14ac:dyDescent="0.25">
      <c r="B2996" s="35" t="s">
        <v>10</v>
      </c>
      <c r="C2996" s="35">
        <v>2771187</v>
      </c>
      <c r="D2996" s="35">
        <v>1.7</v>
      </c>
      <c r="E2996" s="35" t="s">
        <v>288</v>
      </c>
      <c r="F2996" s="31" t="str">
        <f t="shared" si="92"/>
        <v>C1.08.04</v>
      </c>
      <c r="G2996" s="34">
        <f t="shared" si="93"/>
        <v>1.7</v>
      </c>
    </row>
    <row r="2997" spans="2:7" ht="13.8" customHeight="1" x14ac:dyDescent="0.25">
      <c r="B2997" s="35" t="s">
        <v>10</v>
      </c>
      <c r="C2997" s="35">
        <v>2771264</v>
      </c>
      <c r="D2997" s="35">
        <v>1.47</v>
      </c>
      <c r="E2997" s="35" t="s">
        <v>289</v>
      </c>
      <c r="F2997" s="31" t="str">
        <f t="shared" si="92"/>
        <v>C1.08.01</v>
      </c>
      <c r="G2997" s="34">
        <f t="shared" si="93"/>
        <v>1.47</v>
      </c>
    </row>
    <row r="2998" spans="2:7" ht="13.8" customHeight="1" x14ac:dyDescent="0.25">
      <c r="B2998" s="35" t="s">
        <v>10</v>
      </c>
      <c r="C2998" s="35">
        <v>2771265</v>
      </c>
      <c r="D2998" s="35">
        <v>1.1299999999999999</v>
      </c>
      <c r="E2998" s="35" t="s">
        <v>289</v>
      </c>
      <c r="F2998" s="31" t="str">
        <f t="shared" si="92"/>
        <v>C1.08.01</v>
      </c>
      <c r="G2998" s="34">
        <f t="shared" si="93"/>
        <v>1.1299999999999999</v>
      </c>
    </row>
    <row r="2999" spans="2:7" ht="13.8" customHeight="1" x14ac:dyDescent="0.25">
      <c r="B2999" s="35" t="s">
        <v>10</v>
      </c>
      <c r="C2999" s="35">
        <v>2771266</v>
      </c>
      <c r="D2999" s="35">
        <v>1.7</v>
      </c>
      <c r="E2999" s="35" t="s">
        <v>289</v>
      </c>
      <c r="F2999" s="31" t="str">
        <f t="shared" si="92"/>
        <v>C1.08.01</v>
      </c>
      <c r="G2999" s="34">
        <f t="shared" si="93"/>
        <v>1.7</v>
      </c>
    </row>
    <row r="3000" spans="2:7" ht="13.8" customHeight="1" x14ac:dyDescent="0.25">
      <c r="B3000" s="35" t="s">
        <v>10</v>
      </c>
      <c r="C3000" s="35">
        <v>2771267</v>
      </c>
      <c r="D3000" s="35">
        <v>1.7</v>
      </c>
      <c r="E3000" s="35" t="s">
        <v>289</v>
      </c>
      <c r="F3000" s="31" t="str">
        <f t="shared" si="92"/>
        <v>C1.08.01</v>
      </c>
      <c r="G3000" s="34">
        <f t="shared" si="93"/>
        <v>1.7</v>
      </c>
    </row>
    <row r="3001" spans="2:7" ht="13.8" customHeight="1" x14ac:dyDescent="0.25">
      <c r="B3001" s="35" t="s">
        <v>10</v>
      </c>
      <c r="C3001" s="35">
        <v>2771333</v>
      </c>
      <c r="D3001" s="35">
        <v>1.47</v>
      </c>
      <c r="E3001" s="35" t="s">
        <v>290</v>
      </c>
      <c r="F3001" s="31" t="str">
        <f t="shared" si="92"/>
        <v>C1.09.08</v>
      </c>
      <c r="G3001" s="34">
        <f t="shared" si="93"/>
        <v>1.47</v>
      </c>
    </row>
    <row r="3002" spans="2:7" ht="13.8" customHeight="1" x14ac:dyDescent="0.25">
      <c r="B3002" s="35" t="s">
        <v>10</v>
      </c>
      <c r="C3002" s="35">
        <v>2771334</v>
      </c>
      <c r="D3002" s="35">
        <v>1.47</v>
      </c>
      <c r="E3002" s="35" t="s">
        <v>290</v>
      </c>
      <c r="F3002" s="31" t="str">
        <f t="shared" si="92"/>
        <v>C1.09.08</v>
      </c>
      <c r="G3002" s="34">
        <f t="shared" si="93"/>
        <v>1.47</v>
      </c>
    </row>
    <row r="3003" spans="2:7" ht="13.8" customHeight="1" x14ac:dyDescent="0.25">
      <c r="B3003" s="35" t="s">
        <v>10</v>
      </c>
      <c r="C3003" s="35">
        <v>2771335</v>
      </c>
      <c r="D3003" s="35">
        <v>1.47</v>
      </c>
      <c r="E3003" s="35" t="s">
        <v>290</v>
      </c>
      <c r="F3003" s="31" t="str">
        <f t="shared" si="92"/>
        <v>C1.09.08</v>
      </c>
      <c r="G3003" s="34">
        <f t="shared" si="93"/>
        <v>1.47</v>
      </c>
    </row>
    <row r="3004" spans="2:7" ht="13.8" customHeight="1" x14ac:dyDescent="0.25">
      <c r="B3004" s="35" t="s">
        <v>10</v>
      </c>
      <c r="C3004" s="35">
        <v>2771336</v>
      </c>
      <c r="D3004" s="35">
        <v>1.47</v>
      </c>
      <c r="E3004" s="35" t="s">
        <v>290</v>
      </c>
      <c r="F3004" s="31" t="str">
        <f t="shared" si="92"/>
        <v>C1.09.08</v>
      </c>
      <c r="G3004" s="34">
        <f t="shared" si="93"/>
        <v>1.47</v>
      </c>
    </row>
    <row r="3005" spans="2:7" ht="13.8" customHeight="1" x14ac:dyDescent="0.25">
      <c r="B3005" s="35" t="s">
        <v>10</v>
      </c>
      <c r="C3005" s="35">
        <v>2771405</v>
      </c>
      <c r="D3005" s="35">
        <v>1.47</v>
      </c>
      <c r="E3005" s="35" t="s">
        <v>291</v>
      </c>
      <c r="F3005" s="31" t="str">
        <f t="shared" si="92"/>
        <v>C1.09.07</v>
      </c>
      <c r="G3005" s="34">
        <f t="shared" si="93"/>
        <v>1.47</v>
      </c>
    </row>
    <row r="3006" spans="2:7" ht="13.8" customHeight="1" x14ac:dyDescent="0.25">
      <c r="B3006" s="35" t="s">
        <v>10</v>
      </c>
      <c r="C3006" s="35">
        <v>2771406</v>
      </c>
      <c r="D3006" s="35">
        <v>1.47</v>
      </c>
      <c r="E3006" s="35" t="s">
        <v>291</v>
      </c>
      <c r="F3006" s="31" t="str">
        <f t="shared" si="92"/>
        <v>C1.09.07</v>
      </c>
      <c r="G3006" s="34">
        <f t="shared" si="93"/>
        <v>1.47</v>
      </c>
    </row>
    <row r="3007" spans="2:7" ht="13.8" customHeight="1" x14ac:dyDescent="0.25">
      <c r="B3007" s="35" t="s">
        <v>10</v>
      </c>
      <c r="C3007" s="35">
        <v>2771407</v>
      </c>
      <c r="D3007" s="35">
        <v>1.47</v>
      </c>
      <c r="E3007" s="35" t="s">
        <v>291</v>
      </c>
      <c r="F3007" s="31" t="str">
        <f t="shared" si="92"/>
        <v>C1.09.07</v>
      </c>
      <c r="G3007" s="34">
        <f t="shared" si="93"/>
        <v>1.47</v>
      </c>
    </row>
    <row r="3008" spans="2:7" ht="13.8" customHeight="1" x14ac:dyDescent="0.25">
      <c r="B3008" s="35" t="s">
        <v>10</v>
      </c>
      <c r="C3008" s="35">
        <v>2771408</v>
      </c>
      <c r="D3008" s="35">
        <v>1.47</v>
      </c>
      <c r="E3008" s="35" t="s">
        <v>291</v>
      </c>
      <c r="F3008" s="31" t="str">
        <f t="shared" si="92"/>
        <v>C1.09.07</v>
      </c>
      <c r="G3008" s="34">
        <f t="shared" si="93"/>
        <v>1.47</v>
      </c>
    </row>
    <row r="3009" spans="2:7" ht="13.8" customHeight="1" x14ac:dyDescent="0.25">
      <c r="B3009" s="35" t="s">
        <v>10</v>
      </c>
      <c r="C3009" s="35">
        <v>2771476</v>
      </c>
      <c r="D3009" s="35">
        <v>1.47</v>
      </c>
      <c r="E3009" s="35" t="s">
        <v>292</v>
      </c>
      <c r="F3009" s="31" t="str">
        <f t="shared" si="92"/>
        <v>C1.08.08</v>
      </c>
      <c r="G3009" s="34">
        <f t="shared" si="93"/>
        <v>1.47</v>
      </c>
    </row>
    <row r="3010" spans="2:7" ht="13.8" customHeight="1" x14ac:dyDescent="0.25">
      <c r="B3010" s="35" t="s">
        <v>10</v>
      </c>
      <c r="C3010" s="35">
        <v>2771477</v>
      </c>
      <c r="D3010" s="35">
        <v>1.47</v>
      </c>
      <c r="E3010" s="35" t="s">
        <v>292</v>
      </c>
      <c r="F3010" s="31" t="str">
        <f t="shared" si="92"/>
        <v>C1.08.08</v>
      </c>
      <c r="G3010" s="34">
        <f t="shared" si="93"/>
        <v>1.47</v>
      </c>
    </row>
    <row r="3011" spans="2:7" ht="13.8" customHeight="1" x14ac:dyDescent="0.25">
      <c r="B3011" s="35" t="s">
        <v>10</v>
      </c>
      <c r="C3011" s="35">
        <v>2771478</v>
      </c>
      <c r="D3011" s="35">
        <v>1.47</v>
      </c>
      <c r="E3011" s="35" t="s">
        <v>292</v>
      </c>
      <c r="F3011" s="31" t="str">
        <f t="shared" si="92"/>
        <v>C1.08.08</v>
      </c>
      <c r="G3011" s="34">
        <f t="shared" si="93"/>
        <v>1.47</v>
      </c>
    </row>
    <row r="3012" spans="2:7" ht="13.8" customHeight="1" x14ac:dyDescent="0.25">
      <c r="B3012" s="35" t="s">
        <v>10</v>
      </c>
      <c r="C3012" s="35">
        <v>2771479</v>
      </c>
      <c r="D3012" s="35">
        <v>1.47</v>
      </c>
      <c r="E3012" s="35" t="s">
        <v>292</v>
      </c>
      <c r="F3012" s="31" t="str">
        <f t="shared" si="92"/>
        <v>C1.08.08</v>
      </c>
      <c r="G3012" s="34">
        <f t="shared" si="93"/>
        <v>1.47</v>
      </c>
    </row>
    <row r="3013" spans="2:7" ht="13.8" customHeight="1" x14ac:dyDescent="0.25">
      <c r="B3013" s="35" t="s">
        <v>10</v>
      </c>
      <c r="C3013" s="35">
        <v>2771550</v>
      </c>
      <c r="D3013" s="35">
        <v>1.47</v>
      </c>
      <c r="E3013" s="35" t="s">
        <v>293</v>
      </c>
      <c r="F3013" s="31" t="str">
        <f t="shared" si="92"/>
        <v>C1.08.07</v>
      </c>
      <c r="G3013" s="34">
        <f t="shared" si="93"/>
        <v>1.47</v>
      </c>
    </row>
    <row r="3014" spans="2:7" ht="13.8" customHeight="1" x14ac:dyDescent="0.25">
      <c r="B3014" s="35" t="s">
        <v>10</v>
      </c>
      <c r="C3014" s="35">
        <v>2771551</v>
      </c>
      <c r="D3014" s="35">
        <v>1.47</v>
      </c>
      <c r="E3014" s="35" t="s">
        <v>293</v>
      </c>
      <c r="F3014" s="31" t="str">
        <f t="shared" si="92"/>
        <v>C1.08.07</v>
      </c>
      <c r="G3014" s="34">
        <f t="shared" si="93"/>
        <v>1.47</v>
      </c>
    </row>
    <row r="3015" spans="2:7" ht="13.8" customHeight="1" x14ac:dyDescent="0.25">
      <c r="B3015" s="35" t="s">
        <v>10</v>
      </c>
      <c r="C3015" s="35">
        <v>2771552</v>
      </c>
      <c r="D3015" s="35">
        <v>1.47</v>
      </c>
      <c r="E3015" s="35" t="s">
        <v>293</v>
      </c>
      <c r="F3015" s="31" t="str">
        <f t="shared" ref="F3015:F3078" si="94">LEFT(E3015,8)</f>
        <v>C1.08.07</v>
      </c>
      <c r="G3015" s="34">
        <f t="shared" ref="G3015:G3078" si="95">D3015</f>
        <v>1.47</v>
      </c>
    </row>
    <row r="3016" spans="2:7" ht="13.8" customHeight="1" x14ac:dyDescent="0.25">
      <c r="B3016" s="35" t="s">
        <v>10</v>
      </c>
      <c r="C3016" s="35">
        <v>2771553</v>
      </c>
      <c r="D3016" s="35">
        <v>1.47</v>
      </c>
      <c r="E3016" s="35" t="s">
        <v>293</v>
      </c>
      <c r="F3016" s="31" t="str">
        <f t="shared" si="94"/>
        <v>C1.08.07</v>
      </c>
      <c r="G3016" s="34">
        <f t="shared" si="95"/>
        <v>1.47</v>
      </c>
    </row>
    <row r="3017" spans="2:7" ht="13.8" customHeight="1" x14ac:dyDescent="0.25">
      <c r="B3017" s="35" t="s">
        <v>10</v>
      </c>
      <c r="C3017" s="35">
        <v>2771616</v>
      </c>
      <c r="D3017" s="35">
        <v>1.7</v>
      </c>
      <c r="E3017" s="35" t="s">
        <v>294</v>
      </c>
      <c r="F3017" s="31" t="str">
        <f t="shared" si="94"/>
        <v>C1.01.02</v>
      </c>
      <c r="G3017" s="34">
        <f t="shared" si="95"/>
        <v>1.7</v>
      </c>
    </row>
    <row r="3018" spans="2:7" ht="13.8" customHeight="1" x14ac:dyDescent="0.25">
      <c r="B3018" s="35" t="s">
        <v>10</v>
      </c>
      <c r="C3018" s="35">
        <v>2771617</v>
      </c>
      <c r="D3018" s="35">
        <v>1.1299999999999999</v>
      </c>
      <c r="E3018" s="35" t="s">
        <v>294</v>
      </c>
      <c r="F3018" s="31" t="str">
        <f t="shared" si="94"/>
        <v>C1.01.02</v>
      </c>
      <c r="G3018" s="34">
        <f t="shared" si="95"/>
        <v>1.1299999999999999</v>
      </c>
    </row>
    <row r="3019" spans="2:7" ht="13.8" customHeight="1" x14ac:dyDescent="0.25">
      <c r="B3019" s="35" t="s">
        <v>10</v>
      </c>
      <c r="C3019" s="35">
        <v>2771618</v>
      </c>
      <c r="D3019" s="35">
        <v>1.7</v>
      </c>
      <c r="E3019" s="35" t="s">
        <v>294</v>
      </c>
      <c r="F3019" s="31" t="str">
        <f t="shared" si="94"/>
        <v>C1.01.02</v>
      </c>
      <c r="G3019" s="34">
        <f t="shared" si="95"/>
        <v>1.7</v>
      </c>
    </row>
    <row r="3020" spans="2:7" ht="13.8" customHeight="1" x14ac:dyDescent="0.25">
      <c r="B3020" s="35" t="s">
        <v>10</v>
      </c>
      <c r="C3020" s="35">
        <v>2771619</v>
      </c>
      <c r="D3020" s="35">
        <v>1.7</v>
      </c>
      <c r="E3020" s="35" t="s">
        <v>294</v>
      </c>
      <c r="F3020" s="31" t="str">
        <f t="shared" si="94"/>
        <v>C1.01.02</v>
      </c>
      <c r="G3020" s="34">
        <f t="shared" si="95"/>
        <v>1.7</v>
      </c>
    </row>
    <row r="3021" spans="2:7" ht="13.8" customHeight="1" x14ac:dyDescent="0.25">
      <c r="B3021" s="35" t="s">
        <v>10</v>
      </c>
      <c r="C3021" s="35">
        <v>2771653</v>
      </c>
      <c r="D3021" s="35">
        <v>1.7</v>
      </c>
      <c r="E3021" s="35" t="s">
        <v>295</v>
      </c>
      <c r="F3021" s="31" t="str">
        <f t="shared" si="94"/>
        <v>C1.01.03</v>
      </c>
      <c r="G3021" s="34">
        <f t="shared" si="95"/>
        <v>1.7</v>
      </c>
    </row>
    <row r="3022" spans="2:7" ht="13.8" customHeight="1" x14ac:dyDescent="0.25">
      <c r="B3022" s="35" t="s">
        <v>10</v>
      </c>
      <c r="C3022" s="35">
        <v>2771687</v>
      </c>
      <c r="D3022" s="35">
        <v>1.7</v>
      </c>
      <c r="E3022" s="35" t="s">
        <v>296</v>
      </c>
      <c r="F3022" s="31" t="str">
        <f t="shared" si="94"/>
        <v>C1.01.04</v>
      </c>
      <c r="G3022" s="34">
        <f t="shared" si="95"/>
        <v>1.7</v>
      </c>
    </row>
    <row r="3023" spans="2:7" ht="13.8" customHeight="1" x14ac:dyDescent="0.25">
      <c r="B3023" s="35" t="s">
        <v>10</v>
      </c>
      <c r="C3023" s="35">
        <v>2771736</v>
      </c>
      <c r="D3023" s="35">
        <v>1.1299999999999999</v>
      </c>
      <c r="E3023" s="35" t="s">
        <v>297</v>
      </c>
      <c r="F3023" s="31" t="str">
        <f t="shared" si="94"/>
        <v>C1.01.05</v>
      </c>
      <c r="G3023" s="34">
        <f t="shared" si="95"/>
        <v>1.1299999999999999</v>
      </c>
    </row>
    <row r="3024" spans="2:7" ht="13.8" customHeight="1" x14ac:dyDescent="0.25">
      <c r="B3024" s="35" t="s">
        <v>10</v>
      </c>
      <c r="C3024" s="35">
        <v>2771737</v>
      </c>
      <c r="D3024" s="35">
        <v>1.7</v>
      </c>
      <c r="E3024" s="35" t="s">
        <v>297</v>
      </c>
      <c r="F3024" s="31" t="str">
        <f t="shared" si="94"/>
        <v>C1.01.05</v>
      </c>
      <c r="G3024" s="34">
        <f t="shared" si="95"/>
        <v>1.7</v>
      </c>
    </row>
    <row r="3025" spans="2:7" ht="13.8" customHeight="1" x14ac:dyDescent="0.25">
      <c r="B3025" s="35" t="s">
        <v>10</v>
      </c>
      <c r="C3025" s="35">
        <v>2771787</v>
      </c>
      <c r="D3025" s="35">
        <v>1.47</v>
      </c>
      <c r="E3025" s="35" t="s">
        <v>298</v>
      </c>
      <c r="F3025" s="31" t="str">
        <f t="shared" si="94"/>
        <v>C1.01.06</v>
      </c>
      <c r="G3025" s="34">
        <f t="shared" si="95"/>
        <v>1.47</v>
      </c>
    </row>
    <row r="3026" spans="2:7" ht="13.8" customHeight="1" x14ac:dyDescent="0.25">
      <c r="B3026" s="35" t="s">
        <v>10</v>
      </c>
      <c r="C3026" s="35">
        <v>2771788</v>
      </c>
      <c r="D3026" s="35">
        <v>1.1299999999999999</v>
      </c>
      <c r="E3026" s="35" t="s">
        <v>298</v>
      </c>
      <c r="F3026" s="31" t="str">
        <f t="shared" si="94"/>
        <v>C1.01.06</v>
      </c>
      <c r="G3026" s="34">
        <f t="shared" si="95"/>
        <v>1.1299999999999999</v>
      </c>
    </row>
    <row r="3027" spans="2:7" ht="13.8" customHeight="1" x14ac:dyDescent="0.25">
      <c r="B3027" s="35" t="s">
        <v>10</v>
      </c>
      <c r="C3027" s="35">
        <v>2771852</v>
      </c>
      <c r="D3027" s="35">
        <v>1.47</v>
      </c>
      <c r="E3027" s="35" t="s">
        <v>299</v>
      </c>
      <c r="F3027" s="31" t="str">
        <f t="shared" si="94"/>
        <v>C1.01.01</v>
      </c>
      <c r="G3027" s="34">
        <f t="shared" si="95"/>
        <v>1.47</v>
      </c>
    </row>
    <row r="3028" spans="2:7" ht="13.8" customHeight="1" x14ac:dyDescent="0.25">
      <c r="B3028" s="35" t="s">
        <v>10</v>
      </c>
      <c r="C3028" s="35">
        <v>2771853</v>
      </c>
      <c r="D3028" s="35">
        <v>1.7</v>
      </c>
      <c r="E3028" s="35" t="s">
        <v>299</v>
      </c>
      <c r="F3028" s="31" t="str">
        <f t="shared" si="94"/>
        <v>C1.01.01</v>
      </c>
      <c r="G3028" s="34">
        <f t="shared" si="95"/>
        <v>1.7</v>
      </c>
    </row>
    <row r="3029" spans="2:7" ht="13.8" customHeight="1" x14ac:dyDescent="0.25">
      <c r="B3029" s="35" t="s">
        <v>10</v>
      </c>
      <c r="C3029" s="35">
        <v>2771854</v>
      </c>
      <c r="D3029" s="35">
        <v>1.1299999999999999</v>
      </c>
      <c r="E3029" s="35" t="s">
        <v>299</v>
      </c>
      <c r="F3029" s="31" t="str">
        <f t="shared" si="94"/>
        <v>C1.01.01</v>
      </c>
      <c r="G3029" s="34">
        <f t="shared" si="95"/>
        <v>1.1299999999999999</v>
      </c>
    </row>
    <row r="3030" spans="2:7" ht="13.8" customHeight="1" x14ac:dyDescent="0.25">
      <c r="B3030" s="35" t="s">
        <v>10</v>
      </c>
      <c r="C3030" s="35">
        <v>2771855</v>
      </c>
      <c r="D3030" s="35">
        <v>1.7</v>
      </c>
      <c r="E3030" s="35" t="s">
        <v>299</v>
      </c>
      <c r="F3030" s="31" t="str">
        <f t="shared" si="94"/>
        <v>C1.01.01</v>
      </c>
      <c r="G3030" s="34">
        <f t="shared" si="95"/>
        <v>1.7</v>
      </c>
    </row>
    <row r="3031" spans="2:7" ht="13.8" customHeight="1" x14ac:dyDescent="0.25">
      <c r="B3031" s="35" t="s">
        <v>10</v>
      </c>
      <c r="C3031" s="35">
        <v>2770795</v>
      </c>
      <c r="D3031" s="35">
        <v>1.7</v>
      </c>
      <c r="E3031" s="35" t="s">
        <v>281</v>
      </c>
      <c r="F3031" s="31" t="str">
        <f t="shared" si="94"/>
        <v>C1.14.02</v>
      </c>
      <c r="G3031" s="34">
        <f t="shared" si="95"/>
        <v>1.7</v>
      </c>
    </row>
    <row r="3032" spans="2:7" ht="13.8" customHeight="1" x14ac:dyDescent="0.25">
      <c r="B3032" s="35" t="s">
        <v>10</v>
      </c>
      <c r="C3032" s="35">
        <v>2770796</v>
      </c>
      <c r="D3032" s="35">
        <v>1.1299999999999999</v>
      </c>
      <c r="E3032" s="35" t="s">
        <v>281</v>
      </c>
      <c r="F3032" s="31" t="str">
        <f t="shared" si="94"/>
        <v>C1.14.02</v>
      </c>
      <c r="G3032" s="34">
        <f t="shared" si="95"/>
        <v>1.1299999999999999</v>
      </c>
    </row>
    <row r="3033" spans="2:7" ht="13.8" customHeight="1" x14ac:dyDescent="0.25">
      <c r="B3033" s="35" t="s">
        <v>10</v>
      </c>
      <c r="C3033" s="35">
        <v>2770797</v>
      </c>
      <c r="D3033" s="35">
        <v>1.7</v>
      </c>
      <c r="E3033" s="35" t="s">
        <v>281</v>
      </c>
      <c r="F3033" s="31" t="str">
        <f t="shared" si="94"/>
        <v>C1.14.02</v>
      </c>
      <c r="G3033" s="34">
        <f t="shared" si="95"/>
        <v>1.7</v>
      </c>
    </row>
    <row r="3034" spans="2:7" ht="13.8" customHeight="1" x14ac:dyDescent="0.25">
      <c r="B3034" s="35" t="s">
        <v>10</v>
      </c>
      <c r="C3034" s="35">
        <v>2770798</v>
      </c>
      <c r="D3034" s="35">
        <v>1.7</v>
      </c>
      <c r="E3034" s="35" t="s">
        <v>281</v>
      </c>
      <c r="F3034" s="31" t="str">
        <f t="shared" si="94"/>
        <v>C1.14.02</v>
      </c>
      <c r="G3034" s="34">
        <f t="shared" si="95"/>
        <v>1.7</v>
      </c>
    </row>
    <row r="3035" spans="2:7" ht="13.8" customHeight="1" x14ac:dyDescent="0.25">
      <c r="B3035" s="35" t="s">
        <v>52</v>
      </c>
      <c r="C3035" s="35">
        <v>2765541</v>
      </c>
      <c r="D3035" s="35">
        <v>0.15</v>
      </c>
      <c r="E3035" s="35" t="s">
        <v>205</v>
      </c>
      <c r="F3035" s="31" t="str">
        <f t="shared" si="94"/>
        <v>E2.01.04</v>
      </c>
      <c r="G3035" s="34">
        <f t="shared" si="95"/>
        <v>0.15</v>
      </c>
    </row>
    <row r="3036" spans="2:7" ht="13.8" customHeight="1" x14ac:dyDescent="0.25">
      <c r="B3036" s="35" t="s">
        <v>52</v>
      </c>
      <c r="C3036" s="35">
        <v>2765542</v>
      </c>
      <c r="D3036" s="35">
        <v>3.24</v>
      </c>
      <c r="E3036" s="35" t="s">
        <v>205</v>
      </c>
      <c r="F3036" s="31" t="str">
        <f t="shared" si="94"/>
        <v>E2.01.04</v>
      </c>
      <c r="G3036" s="34">
        <f t="shared" si="95"/>
        <v>3.24</v>
      </c>
    </row>
    <row r="3037" spans="2:7" ht="13.8" customHeight="1" x14ac:dyDescent="0.25">
      <c r="B3037" s="35" t="s">
        <v>52</v>
      </c>
      <c r="C3037" s="35">
        <v>2765545</v>
      </c>
      <c r="D3037" s="35">
        <v>3.05</v>
      </c>
      <c r="E3037" s="35" t="s">
        <v>205</v>
      </c>
      <c r="F3037" s="31" t="str">
        <f t="shared" si="94"/>
        <v>E2.01.04</v>
      </c>
      <c r="G3037" s="34">
        <f t="shared" si="95"/>
        <v>3.05</v>
      </c>
    </row>
    <row r="3038" spans="2:7" ht="13.8" customHeight="1" x14ac:dyDescent="0.25">
      <c r="B3038" s="35" t="s">
        <v>52</v>
      </c>
      <c r="C3038" s="35">
        <v>2765546</v>
      </c>
      <c r="D3038" s="35">
        <v>3.24</v>
      </c>
      <c r="E3038" s="35" t="s">
        <v>205</v>
      </c>
      <c r="F3038" s="31" t="str">
        <f t="shared" si="94"/>
        <v>E2.01.04</v>
      </c>
      <c r="G3038" s="34">
        <f t="shared" si="95"/>
        <v>3.24</v>
      </c>
    </row>
    <row r="3039" spans="2:7" ht="13.8" customHeight="1" x14ac:dyDescent="0.25">
      <c r="B3039" s="35" t="s">
        <v>52</v>
      </c>
      <c r="C3039" s="35">
        <v>2773232</v>
      </c>
      <c r="D3039" s="35">
        <v>1.07</v>
      </c>
      <c r="E3039" s="35" t="s">
        <v>205</v>
      </c>
      <c r="F3039" s="31" t="str">
        <f t="shared" si="94"/>
        <v>E2.01.04</v>
      </c>
      <c r="G3039" s="34">
        <f t="shared" si="95"/>
        <v>1.07</v>
      </c>
    </row>
    <row r="3040" spans="2:7" ht="13.8" customHeight="1" x14ac:dyDescent="0.25">
      <c r="B3040" s="35" t="s">
        <v>52</v>
      </c>
      <c r="C3040" s="35">
        <v>2773233</v>
      </c>
      <c r="D3040" s="35">
        <v>1.83</v>
      </c>
      <c r="E3040" s="35" t="s">
        <v>205</v>
      </c>
      <c r="F3040" s="31" t="str">
        <f t="shared" si="94"/>
        <v>E2.01.04</v>
      </c>
      <c r="G3040" s="34">
        <f t="shared" si="95"/>
        <v>1.83</v>
      </c>
    </row>
    <row r="3041" spans="2:7" ht="13.8" customHeight="1" x14ac:dyDescent="0.25">
      <c r="B3041" s="35" t="s">
        <v>52</v>
      </c>
      <c r="C3041" s="35">
        <v>2765606</v>
      </c>
      <c r="D3041" s="35">
        <v>2.9</v>
      </c>
      <c r="E3041" s="35" t="s">
        <v>206</v>
      </c>
      <c r="F3041" s="31" t="str">
        <f t="shared" si="94"/>
        <v>E2.01.03</v>
      </c>
      <c r="G3041" s="34">
        <f t="shared" si="95"/>
        <v>2.9</v>
      </c>
    </row>
    <row r="3042" spans="2:7" ht="13.8" customHeight="1" x14ac:dyDescent="0.25">
      <c r="B3042" s="35" t="s">
        <v>52</v>
      </c>
      <c r="C3042" s="35">
        <v>2765607</v>
      </c>
      <c r="D3042" s="35">
        <v>1.52</v>
      </c>
      <c r="E3042" s="35" t="s">
        <v>206</v>
      </c>
      <c r="F3042" s="31" t="str">
        <f t="shared" si="94"/>
        <v>E2.01.03</v>
      </c>
      <c r="G3042" s="34">
        <f t="shared" si="95"/>
        <v>1.52</v>
      </c>
    </row>
    <row r="3043" spans="2:7" ht="13.8" customHeight="1" x14ac:dyDescent="0.25">
      <c r="B3043" s="35" t="s">
        <v>52</v>
      </c>
      <c r="C3043" s="35">
        <v>2765608</v>
      </c>
      <c r="D3043" s="35">
        <v>3.05</v>
      </c>
      <c r="E3043" s="35" t="s">
        <v>206</v>
      </c>
      <c r="F3043" s="31" t="str">
        <f t="shared" si="94"/>
        <v>E2.01.03</v>
      </c>
      <c r="G3043" s="34">
        <f t="shared" si="95"/>
        <v>3.05</v>
      </c>
    </row>
    <row r="3044" spans="2:7" ht="13.8" customHeight="1" x14ac:dyDescent="0.25">
      <c r="B3044" s="35" t="s">
        <v>52</v>
      </c>
      <c r="C3044" s="35">
        <v>2765611</v>
      </c>
      <c r="D3044" s="35">
        <v>2.9</v>
      </c>
      <c r="E3044" s="35" t="s">
        <v>206</v>
      </c>
      <c r="F3044" s="31" t="str">
        <f t="shared" si="94"/>
        <v>E2.01.03</v>
      </c>
      <c r="G3044" s="34">
        <f t="shared" si="95"/>
        <v>2.9</v>
      </c>
    </row>
    <row r="3045" spans="2:7" ht="13.8" customHeight="1" x14ac:dyDescent="0.25">
      <c r="B3045" s="35" t="s">
        <v>52</v>
      </c>
      <c r="C3045" s="35">
        <v>2765612</v>
      </c>
      <c r="D3045" s="35">
        <v>3.01</v>
      </c>
      <c r="E3045" s="35" t="s">
        <v>206</v>
      </c>
      <c r="F3045" s="31" t="str">
        <f t="shared" si="94"/>
        <v>E2.01.03</v>
      </c>
      <c r="G3045" s="34">
        <f t="shared" si="95"/>
        <v>3.01</v>
      </c>
    </row>
    <row r="3046" spans="2:7" ht="13.8" customHeight="1" x14ac:dyDescent="0.25">
      <c r="B3046" s="35" t="s">
        <v>52</v>
      </c>
      <c r="C3046" s="35">
        <v>2773235</v>
      </c>
      <c r="D3046" s="35">
        <v>3.05</v>
      </c>
      <c r="E3046" s="35" t="s">
        <v>206</v>
      </c>
      <c r="F3046" s="31" t="str">
        <f t="shared" si="94"/>
        <v>E2.01.03</v>
      </c>
      <c r="G3046" s="34">
        <f t="shared" si="95"/>
        <v>3.05</v>
      </c>
    </row>
    <row r="3047" spans="2:7" ht="13.8" customHeight="1" x14ac:dyDescent="0.25">
      <c r="B3047" s="35" t="s">
        <v>52</v>
      </c>
      <c r="C3047" s="35">
        <v>2773288</v>
      </c>
      <c r="D3047" s="35">
        <v>1.49</v>
      </c>
      <c r="E3047" s="35" t="s">
        <v>206</v>
      </c>
      <c r="F3047" s="31" t="str">
        <f t="shared" si="94"/>
        <v>E2.01.03</v>
      </c>
      <c r="G3047" s="34">
        <f t="shared" si="95"/>
        <v>1.49</v>
      </c>
    </row>
    <row r="3048" spans="2:7" ht="13.8" customHeight="1" x14ac:dyDescent="0.25">
      <c r="B3048" s="35" t="s">
        <v>52</v>
      </c>
      <c r="C3048" s="35">
        <v>2765675</v>
      </c>
      <c r="D3048" s="35">
        <v>3.05</v>
      </c>
      <c r="E3048" s="35" t="s">
        <v>207</v>
      </c>
      <c r="F3048" s="31" t="str">
        <f t="shared" si="94"/>
        <v>E2.01.01</v>
      </c>
      <c r="G3048" s="34">
        <f t="shared" si="95"/>
        <v>3.05</v>
      </c>
    </row>
    <row r="3049" spans="2:7" ht="13.8" customHeight="1" x14ac:dyDescent="0.25">
      <c r="B3049" s="35" t="s">
        <v>52</v>
      </c>
      <c r="C3049" s="35">
        <v>2765680</v>
      </c>
      <c r="D3049" s="35">
        <v>3.05</v>
      </c>
      <c r="E3049" s="35" t="s">
        <v>207</v>
      </c>
      <c r="F3049" s="31" t="str">
        <f t="shared" si="94"/>
        <v>E2.01.01</v>
      </c>
      <c r="G3049" s="34">
        <f t="shared" si="95"/>
        <v>3.05</v>
      </c>
    </row>
    <row r="3050" spans="2:7" ht="13.8" customHeight="1" x14ac:dyDescent="0.25">
      <c r="B3050" s="35" t="s">
        <v>52</v>
      </c>
      <c r="C3050" s="35">
        <v>2765739</v>
      </c>
      <c r="D3050" s="35">
        <v>3.01</v>
      </c>
      <c r="E3050" s="35" t="s">
        <v>208</v>
      </c>
      <c r="F3050" s="31" t="str">
        <f t="shared" si="94"/>
        <v>E2.01.02</v>
      </c>
      <c r="G3050" s="34">
        <f t="shared" si="95"/>
        <v>3.01</v>
      </c>
    </row>
    <row r="3051" spans="2:7" ht="13.8" customHeight="1" x14ac:dyDescent="0.25">
      <c r="B3051" s="35" t="s">
        <v>52</v>
      </c>
      <c r="C3051" s="35">
        <v>2765740</v>
      </c>
      <c r="D3051" s="35">
        <v>0.15</v>
      </c>
      <c r="E3051" s="35" t="s">
        <v>208</v>
      </c>
      <c r="F3051" s="31" t="str">
        <f t="shared" si="94"/>
        <v>E2.01.02</v>
      </c>
      <c r="G3051" s="34">
        <f t="shared" si="95"/>
        <v>0.15</v>
      </c>
    </row>
    <row r="3052" spans="2:7" ht="13.8" customHeight="1" x14ac:dyDescent="0.25">
      <c r="B3052" s="35" t="s">
        <v>52</v>
      </c>
      <c r="C3052" s="35">
        <v>2765742</v>
      </c>
      <c r="D3052" s="35">
        <v>3.01</v>
      </c>
      <c r="E3052" s="35" t="s">
        <v>208</v>
      </c>
      <c r="F3052" s="31" t="str">
        <f t="shared" si="94"/>
        <v>E2.01.02</v>
      </c>
      <c r="G3052" s="34">
        <f t="shared" si="95"/>
        <v>3.01</v>
      </c>
    </row>
    <row r="3053" spans="2:7" ht="13.8" customHeight="1" x14ac:dyDescent="0.25">
      <c r="B3053" s="35" t="s">
        <v>52</v>
      </c>
      <c r="C3053" s="35">
        <v>2765743</v>
      </c>
      <c r="D3053" s="35">
        <v>2.9</v>
      </c>
      <c r="E3053" s="35" t="s">
        <v>208</v>
      </c>
      <c r="F3053" s="31" t="str">
        <f t="shared" si="94"/>
        <v>E2.01.02</v>
      </c>
      <c r="G3053" s="34">
        <f t="shared" si="95"/>
        <v>2.9</v>
      </c>
    </row>
    <row r="3054" spans="2:7" ht="13.8" customHeight="1" x14ac:dyDescent="0.25">
      <c r="B3054" s="35" t="s">
        <v>52</v>
      </c>
      <c r="C3054" s="35">
        <v>2773254</v>
      </c>
      <c r="D3054" s="35">
        <v>0.92</v>
      </c>
      <c r="E3054" s="35" t="s">
        <v>208</v>
      </c>
      <c r="F3054" s="31" t="str">
        <f t="shared" si="94"/>
        <v>E2.01.02</v>
      </c>
      <c r="G3054" s="34">
        <f t="shared" si="95"/>
        <v>0.92</v>
      </c>
    </row>
    <row r="3055" spans="2:7" ht="13.8" customHeight="1" x14ac:dyDescent="0.25">
      <c r="B3055" s="35" t="s">
        <v>52</v>
      </c>
      <c r="C3055" s="35">
        <v>2773255</v>
      </c>
      <c r="D3055" s="35">
        <v>1.83</v>
      </c>
      <c r="E3055" s="35" t="s">
        <v>208</v>
      </c>
      <c r="F3055" s="31" t="str">
        <f t="shared" si="94"/>
        <v>E2.01.02</v>
      </c>
      <c r="G3055" s="34">
        <f t="shared" si="95"/>
        <v>1.83</v>
      </c>
    </row>
    <row r="3056" spans="2:7" ht="13.8" customHeight="1" x14ac:dyDescent="0.25">
      <c r="B3056" s="35" t="s">
        <v>52</v>
      </c>
      <c r="C3056" s="35">
        <v>2765823</v>
      </c>
      <c r="D3056" s="35">
        <v>3.05</v>
      </c>
      <c r="E3056" s="35" t="s">
        <v>209</v>
      </c>
      <c r="F3056" s="31" t="str">
        <f t="shared" si="94"/>
        <v>E2.15.02</v>
      </c>
      <c r="G3056" s="34">
        <f t="shared" si="95"/>
        <v>3.05</v>
      </c>
    </row>
    <row r="3057" spans="2:7" ht="13.8" customHeight="1" x14ac:dyDescent="0.25">
      <c r="B3057" s="35" t="s">
        <v>52</v>
      </c>
      <c r="C3057" s="35">
        <v>2765824</v>
      </c>
      <c r="D3057" s="35">
        <v>3.24</v>
      </c>
      <c r="E3057" s="35" t="s">
        <v>209</v>
      </c>
      <c r="F3057" s="31" t="str">
        <f t="shared" si="94"/>
        <v>E2.15.02</v>
      </c>
      <c r="G3057" s="34">
        <f t="shared" si="95"/>
        <v>3.24</v>
      </c>
    </row>
    <row r="3058" spans="2:7" ht="13.8" customHeight="1" x14ac:dyDescent="0.25">
      <c r="B3058" s="35" t="s">
        <v>52</v>
      </c>
      <c r="C3058" s="35">
        <v>2765827</v>
      </c>
      <c r="D3058" s="35">
        <v>3.05</v>
      </c>
      <c r="E3058" s="35" t="s">
        <v>209</v>
      </c>
      <c r="F3058" s="31" t="str">
        <f t="shared" si="94"/>
        <v>E2.15.02</v>
      </c>
      <c r="G3058" s="34">
        <f t="shared" si="95"/>
        <v>3.05</v>
      </c>
    </row>
    <row r="3059" spans="2:7" ht="13.8" customHeight="1" x14ac:dyDescent="0.25">
      <c r="B3059" s="35" t="s">
        <v>52</v>
      </c>
      <c r="C3059" s="35">
        <v>2765828</v>
      </c>
      <c r="D3059" s="35">
        <v>3.24</v>
      </c>
      <c r="E3059" s="35" t="s">
        <v>209</v>
      </c>
      <c r="F3059" s="31" t="str">
        <f t="shared" si="94"/>
        <v>E2.15.02</v>
      </c>
      <c r="G3059" s="34">
        <f t="shared" si="95"/>
        <v>3.24</v>
      </c>
    </row>
    <row r="3060" spans="2:7" ht="13.8" customHeight="1" x14ac:dyDescent="0.25">
      <c r="B3060" s="35" t="s">
        <v>52</v>
      </c>
      <c r="C3060" s="35">
        <v>2765901</v>
      </c>
      <c r="D3060" s="35">
        <v>3.05</v>
      </c>
      <c r="E3060" s="35" t="s">
        <v>210</v>
      </c>
      <c r="F3060" s="31" t="str">
        <f t="shared" si="94"/>
        <v>E2.15.03</v>
      </c>
      <c r="G3060" s="34">
        <f t="shared" si="95"/>
        <v>3.05</v>
      </c>
    </row>
    <row r="3061" spans="2:7" ht="13.8" customHeight="1" x14ac:dyDescent="0.25">
      <c r="B3061" s="35" t="s">
        <v>52</v>
      </c>
      <c r="C3061" s="35">
        <v>2765902</v>
      </c>
      <c r="D3061" s="35">
        <v>3.05</v>
      </c>
      <c r="E3061" s="35" t="s">
        <v>210</v>
      </c>
      <c r="F3061" s="31" t="str">
        <f t="shared" si="94"/>
        <v>E2.15.03</v>
      </c>
      <c r="G3061" s="34">
        <f t="shared" si="95"/>
        <v>3.05</v>
      </c>
    </row>
    <row r="3062" spans="2:7" ht="13.8" customHeight="1" x14ac:dyDescent="0.25">
      <c r="B3062" s="35" t="s">
        <v>52</v>
      </c>
      <c r="C3062" s="35">
        <v>2765905</v>
      </c>
      <c r="D3062" s="35">
        <v>3.05</v>
      </c>
      <c r="E3062" s="35" t="s">
        <v>210</v>
      </c>
      <c r="F3062" s="31" t="str">
        <f t="shared" si="94"/>
        <v>E2.15.03</v>
      </c>
      <c r="G3062" s="34">
        <f t="shared" si="95"/>
        <v>3.05</v>
      </c>
    </row>
    <row r="3063" spans="2:7" ht="13.8" customHeight="1" x14ac:dyDescent="0.25">
      <c r="B3063" s="35" t="s">
        <v>52</v>
      </c>
      <c r="C3063" s="35">
        <v>2765906</v>
      </c>
      <c r="D3063" s="35">
        <v>3.05</v>
      </c>
      <c r="E3063" s="35" t="s">
        <v>210</v>
      </c>
      <c r="F3063" s="31" t="str">
        <f t="shared" si="94"/>
        <v>E2.15.03</v>
      </c>
      <c r="G3063" s="34">
        <f t="shared" si="95"/>
        <v>3.05</v>
      </c>
    </row>
    <row r="3064" spans="2:7" ht="13.8" customHeight="1" x14ac:dyDescent="0.25">
      <c r="B3064" s="35" t="s">
        <v>52</v>
      </c>
      <c r="C3064" s="35">
        <v>2765971</v>
      </c>
      <c r="D3064" s="35">
        <v>3.02</v>
      </c>
      <c r="E3064" s="35" t="s">
        <v>211</v>
      </c>
      <c r="F3064" s="31" t="str">
        <f t="shared" si="94"/>
        <v>E2.15.01</v>
      </c>
      <c r="G3064" s="34">
        <f t="shared" si="95"/>
        <v>3.02</v>
      </c>
    </row>
    <row r="3065" spans="2:7" ht="13.8" customHeight="1" x14ac:dyDescent="0.25">
      <c r="B3065" s="35" t="s">
        <v>52</v>
      </c>
      <c r="C3065" s="35">
        <v>2765972</v>
      </c>
      <c r="D3065" s="35">
        <v>2.9</v>
      </c>
      <c r="E3065" s="35" t="s">
        <v>211</v>
      </c>
      <c r="F3065" s="31" t="str">
        <f t="shared" si="94"/>
        <v>E2.15.01</v>
      </c>
      <c r="G3065" s="34">
        <f t="shared" si="95"/>
        <v>2.9</v>
      </c>
    </row>
    <row r="3066" spans="2:7" ht="13.8" customHeight="1" x14ac:dyDescent="0.25">
      <c r="B3066" s="35" t="s">
        <v>52</v>
      </c>
      <c r="C3066" s="35">
        <v>2765975</v>
      </c>
      <c r="D3066" s="35">
        <v>3.02</v>
      </c>
      <c r="E3066" s="35" t="s">
        <v>211</v>
      </c>
      <c r="F3066" s="31" t="str">
        <f t="shared" si="94"/>
        <v>E2.15.01</v>
      </c>
      <c r="G3066" s="34">
        <f t="shared" si="95"/>
        <v>3.02</v>
      </c>
    </row>
    <row r="3067" spans="2:7" ht="13.8" customHeight="1" x14ac:dyDescent="0.25">
      <c r="B3067" s="35" t="s">
        <v>52</v>
      </c>
      <c r="C3067" s="35">
        <v>2765976</v>
      </c>
      <c r="D3067" s="35">
        <v>2.9</v>
      </c>
      <c r="E3067" s="35" t="s">
        <v>211</v>
      </c>
      <c r="F3067" s="31" t="str">
        <f t="shared" si="94"/>
        <v>E2.15.01</v>
      </c>
      <c r="G3067" s="34">
        <f t="shared" si="95"/>
        <v>2.9</v>
      </c>
    </row>
    <row r="3068" spans="2:7" ht="13.8" customHeight="1" x14ac:dyDescent="0.25">
      <c r="B3068" s="35" t="s">
        <v>52</v>
      </c>
      <c r="C3068" s="35">
        <v>2773527</v>
      </c>
      <c r="D3068" s="35">
        <v>3.05</v>
      </c>
      <c r="E3068" s="35" t="s">
        <v>211</v>
      </c>
      <c r="F3068" s="31" t="str">
        <f t="shared" si="94"/>
        <v>E2.15.01</v>
      </c>
      <c r="G3068" s="34">
        <f t="shared" si="95"/>
        <v>3.05</v>
      </c>
    </row>
    <row r="3069" spans="2:7" ht="13.8" customHeight="1" x14ac:dyDescent="0.25">
      <c r="B3069" s="35" t="s">
        <v>52</v>
      </c>
      <c r="C3069" s="35">
        <v>2773529</v>
      </c>
      <c r="D3069" s="35">
        <v>3.05</v>
      </c>
      <c r="E3069" s="35" t="s">
        <v>211</v>
      </c>
      <c r="F3069" s="31" t="str">
        <f t="shared" si="94"/>
        <v>E2.15.01</v>
      </c>
      <c r="G3069" s="34">
        <f t="shared" si="95"/>
        <v>3.05</v>
      </c>
    </row>
    <row r="3070" spans="2:7" ht="13.8" customHeight="1" x14ac:dyDescent="0.25">
      <c r="B3070" s="35" t="s">
        <v>52</v>
      </c>
      <c r="C3070" s="35">
        <v>2766057</v>
      </c>
      <c r="D3070" s="35">
        <v>3.05</v>
      </c>
      <c r="E3070" s="35" t="s">
        <v>212</v>
      </c>
      <c r="F3070" s="31" t="str">
        <f t="shared" si="94"/>
        <v>E2.15.06</v>
      </c>
      <c r="G3070" s="34">
        <f t="shared" si="95"/>
        <v>3.05</v>
      </c>
    </row>
    <row r="3071" spans="2:7" ht="13.8" customHeight="1" x14ac:dyDescent="0.25">
      <c r="B3071" s="35" t="s">
        <v>52</v>
      </c>
      <c r="C3071" s="35">
        <v>2766058</v>
      </c>
      <c r="D3071" s="35">
        <v>3.24</v>
      </c>
      <c r="E3071" s="35" t="s">
        <v>212</v>
      </c>
      <c r="F3071" s="31" t="str">
        <f t="shared" si="94"/>
        <v>E2.15.06</v>
      </c>
      <c r="G3071" s="34">
        <f t="shared" si="95"/>
        <v>3.24</v>
      </c>
    </row>
    <row r="3072" spans="2:7" ht="13.8" customHeight="1" x14ac:dyDescent="0.25">
      <c r="B3072" s="35" t="s">
        <v>52</v>
      </c>
      <c r="C3072" s="35">
        <v>2766061</v>
      </c>
      <c r="D3072" s="35">
        <v>3.05</v>
      </c>
      <c r="E3072" s="35" t="s">
        <v>212</v>
      </c>
      <c r="F3072" s="31" t="str">
        <f t="shared" si="94"/>
        <v>E2.15.06</v>
      </c>
      <c r="G3072" s="34">
        <f t="shared" si="95"/>
        <v>3.05</v>
      </c>
    </row>
    <row r="3073" spans="2:7" ht="13.8" customHeight="1" x14ac:dyDescent="0.25">
      <c r="B3073" s="35" t="s">
        <v>52</v>
      </c>
      <c r="C3073" s="35">
        <v>2766062</v>
      </c>
      <c r="D3073" s="35">
        <v>3.24</v>
      </c>
      <c r="E3073" s="35" t="s">
        <v>212</v>
      </c>
      <c r="F3073" s="31" t="str">
        <f t="shared" si="94"/>
        <v>E2.15.06</v>
      </c>
      <c r="G3073" s="34">
        <f t="shared" si="95"/>
        <v>3.24</v>
      </c>
    </row>
    <row r="3074" spans="2:7" ht="13.8" customHeight="1" x14ac:dyDescent="0.25">
      <c r="B3074" s="35" t="s">
        <v>52</v>
      </c>
      <c r="C3074" s="35">
        <v>2766130</v>
      </c>
      <c r="D3074" s="35">
        <v>2.9</v>
      </c>
      <c r="E3074" s="35" t="s">
        <v>213</v>
      </c>
      <c r="F3074" s="31" t="str">
        <f t="shared" si="94"/>
        <v>E2.15.05</v>
      </c>
      <c r="G3074" s="34">
        <f t="shared" si="95"/>
        <v>2.9</v>
      </c>
    </row>
    <row r="3075" spans="2:7" ht="13.8" customHeight="1" x14ac:dyDescent="0.25">
      <c r="B3075" s="35" t="s">
        <v>52</v>
      </c>
      <c r="C3075" s="35">
        <v>2766131</v>
      </c>
      <c r="D3075" s="35">
        <v>3.01</v>
      </c>
      <c r="E3075" s="35" t="s">
        <v>213</v>
      </c>
      <c r="F3075" s="31" t="str">
        <f t="shared" si="94"/>
        <v>E2.15.05</v>
      </c>
      <c r="G3075" s="34">
        <f t="shared" si="95"/>
        <v>3.01</v>
      </c>
    </row>
    <row r="3076" spans="2:7" ht="13.8" customHeight="1" x14ac:dyDescent="0.25">
      <c r="B3076" s="35" t="s">
        <v>52</v>
      </c>
      <c r="C3076" s="35">
        <v>2766134</v>
      </c>
      <c r="D3076" s="35">
        <v>2.9</v>
      </c>
      <c r="E3076" s="35" t="s">
        <v>213</v>
      </c>
      <c r="F3076" s="31" t="str">
        <f t="shared" si="94"/>
        <v>E2.15.05</v>
      </c>
      <c r="G3076" s="34">
        <f t="shared" si="95"/>
        <v>2.9</v>
      </c>
    </row>
    <row r="3077" spans="2:7" ht="13.8" customHeight="1" x14ac:dyDescent="0.25">
      <c r="B3077" s="35" t="s">
        <v>52</v>
      </c>
      <c r="C3077" s="35">
        <v>2766135</v>
      </c>
      <c r="D3077" s="35">
        <v>3.01</v>
      </c>
      <c r="E3077" s="35" t="s">
        <v>213</v>
      </c>
      <c r="F3077" s="31" t="str">
        <f t="shared" si="94"/>
        <v>E2.15.05</v>
      </c>
      <c r="G3077" s="34">
        <f t="shared" si="95"/>
        <v>3.01</v>
      </c>
    </row>
    <row r="3078" spans="2:7" ht="13.8" customHeight="1" x14ac:dyDescent="0.25">
      <c r="B3078" s="35" t="s">
        <v>52</v>
      </c>
      <c r="C3078" s="35">
        <v>2773523</v>
      </c>
      <c r="D3078" s="35">
        <v>3.05</v>
      </c>
      <c r="E3078" s="35" t="s">
        <v>213</v>
      </c>
      <c r="F3078" s="31" t="str">
        <f t="shared" si="94"/>
        <v>E2.15.05</v>
      </c>
      <c r="G3078" s="34">
        <f t="shared" si="95"/>
        <v>3.05</v>
      </c>
    </row>
    <row r="3079" spans="2:7" ht="13.8" customHeight="1" x14ac:dyDescent="0.25">
      <c r="B3079" s="35" t="s">
        <v>52</v>
      </c>
      <c r="C3079" s="35">
        <v>2773525</v>
      </c>
      <c r="D3079" s="35">
        <v>3.05</v>
      </c>
      <c r="E3079" s="35" t="s">
        <v>213</v>
      </c>
      <c r="F3079" s="31" t="str">
        <f t="shared" ref="F3079:F3143" si="96">LEFT(E3079,8)</f>
        <v>E2.15.05</v>
      </c>
      <c r="G3079" s="34">
        <f t="shared" ref="G3079:G3142" si="97">D3079</f>
        <v>3.05</v>
      </c>
    </row>
    <row r="3080" spans="2:7" ht="13.8" customHeight="1" x14ac:dyDescent="0.25">
      <c r="B3080" s="35" t="s">
        <v>52</v>
      </c>
      <c r="C3080" s="35">
        <v>2766202</v>
      </c>
      <c r="D3080" s="35">
        <v>2.9</v>
      </c>
      <c r="E3080" s="35" t="s">
        <v>214</v>
      </c>
      <c r="F3080" s="31" t="str">
        <f t="shared" si="96"/>
        <v>E2.15.07</v>
      </c>
      <c r="G3080" s="34">
        <f t="shared" si="97"/>
        <v>2.9</v>
      </c>
    </row>
    <row r="3081" spans="2:7" ht="13.8" customHeight="1" x14ac:dyDescent="0.25">
      <c r="B3081" s="35" t="s">
        <v>52</v>
      </c>
      <c r="C3081" s="35">
        <v>2766204</v>
      </c>
      <c r="D3081" s="35">
        <v>3.02</v>
      </c>
      <c r="E3081" s="35" t="s">
        <v>214</v>
      </c>
      <c r="F3081" s="31" t="str">
        <f t="shared" si="96"/>
        <v>E2.15.07</v>
      </c>
      <c r="G3081" s="34">
        <f t="shared" si="97"/>
        <v>3.02</v>
      </c>
    </row>
    <row r="3082" spans="2:7" ht="13.8" customHeight="1" x14ac:dyDescent="0.25">
      <c r="B3082" s="35" t="s">
        <v>52</v>
      </c>
      <c r="C3082" s="35">
        <v>2766207</v>
      </c>
      <c r="D3082" s="35">
        <v>3.02</v>
      </c>
      <c r="E3082" s="35" t="s">
        <v>214</v>
      </c>
      <c r="F3082" s="31" t="str">
        <f t="shared" si="96"/>
        <v>E2.15.07</v>
      </c>
      <c r="G3082" s="34">
        <f t="shared" si="97"/>
        <v>3.02</v>
      </c>
    </row>
    <row r="3083" spans="2:7" ht="13.8" customHeight="1" x14ac:dyDescent="0.25">
      <c r="B3083" s="35" t="s">
        <v>52</v>
      </c>
      <c r="C3083" s="35">
        <v>2766208</v>
      </c>
      <c r="D3083" s="35">
        <v>2.9</v>
      </c>
      <c r="E3083" s="35" t="s">
        <v>214</v>
      </c>
      <c r="F3083" s="31" t="str">
        <f t="shared" si="96"/>
        <v>E2.15.07</v>
      </c>
      <c r="G3083" s="34">
        <f t="shared" si="97"/>
        <v>2.9</v>
      </c>
    </row>
    <row r="3084" spans="2:7" ht="13.8" customHeight="1" x14ac:dyDescent="0.25">
      <c r="B3084" s="35" t="s">
        <v>52</v>
      </c>
      <c r="C3084" s="35">
        <v>2766274</v>
      </c>
      <c r="D3084" s="35">
        <v>3.01</v>
      </c>
      <c r="E3084" s="35" t="s">
        <v>215</v>
      </c>
      <c r="F3084" s="31" t="str">
        <f t="shared" si="96"/>
        <v>E2.15.04</v>
      </c>
      <c r="G3084" s="34">
        <f t="shared" si="97"/>
        <v>3.01</v>
      </c>
    </row>
    <row r="3085" spans="2:7" ht="13.8" customHeight="1" x14ac:dyDescent="0.25">
      <c r="B3085" s="35" t="s">
        <v>52</v>
      </c>
      <c r="C3085" s="35">
        <v>2766275</v>
      </c>
      <c r="D3085" s="35">
        <v>2.9</v>
      </c>
      <c r="E3085" s="35" t="s">
        <v>215</v>
      </c>
      <c r="F3085" s="31" t="str">
        <f t="shared" si="96"/>
        <v>E2.15.04</v>
      </c>
      <c r="G3085" s="34">
        <f t="shared" si="97"/>
        <v>2.9</v>
      </c>
    </row>
    <row r="3086" spans="2:7" ht="13.8" customHeight="1" x14ac:dyDescent="0.25">
      <c r="B3086" s="35" t="s">
        <v>52</v>
      </c>
      <c r="C3086" s="35">
        <v>2766277</v>
      </c>
      <c r="D3086" s="35">
        <v>3.01</v>
      </c>
      <c r="E3086" s="35" t="s">
        <v>215</v>
      </c>
      <c r="F3086" s="31" t="str">
        <f t="shared" si="96"/>
        <v>E2.15.04</v>
      </c>
      <c r="G3086" s="34">
        <f t="shared" si="97"/>
        <v>3.01</v>
      </c>
    </row>
    <row r="3087" spans="2:7" ht="13.8" customHeight="1" x14ac:dyDescent="0.25">
      <c r="B3087" s="35" t="s">
        <v>52</v>
      </c>
      <c r="C3087" s="35">
        <v>2766278</v>
      </c>
      <c r="D3087" s="35">
        <v>2.9</v>
      </c>
      <c r="E3087" s="35" t="s">
        <v>215</v>
      </c>
      <c r="F3087" s="31" t="str">
        <f t="shared" si="96"/>
        <v>E2.15.04</v>
      </c>
      <c r="G3087" s="34">
        <f t="shared" si="97"/>
        <v>2.9</v>
      </c>
    </row>
    <row r="3088" spans="2:7" ht="13.8" customHeight="1" x14ac:dyDescent="0.25">
      <c r="B3088" s="35" t="s">
        <v>52</v>
      </c>
      <c r="C3088" s="35">
        <v>2766366</v>
      </c>
      <c r="D3088" s="35">
        <v>3.05</v>
      </c>
      <c r="E3088" s="35" t="s">
        <v>216</v>
      </c>
      <c r="F3088" s="31" t="str">
        <f t="shared" si="96"/>
        <v>E2.34.05</v>
      </c>
      <c r="G3088" s="34">
        <f t="shared" si="97"/>
        <v>3.05</v>
      </c>
    </row>
    <row r="3089" spans="2:7" ht="13.8" customHeight="1" x14ac:dyDescent="0.25">
      <c r="B3089" s="35" t="s">
        <v>52</v>
      </c>
      <c r="C3089" s="35">
        <v>2766367</v>
      </c>
      <c r="D3089" s="35">
        <v>3.24</v>
      </c>
      <c r="E3089" s="35" t="s">
        <v>216</v>
      </c>
      <c r="F3089" s="31" t="str">
        <f t="shared" si="96"/>
        <v>E2.34.05</v>
      </c>
      <c r="G3089" s="34">
        <f t="shared" si="97"/>
        <v>3.24</v>
      </c>
    </row>
    <row r="3090" spans="2:7" ht="13.8" customHeight="1" x14ac:dyDescent="0.25">
      <c r="B3090" s="35" t="s">
        <v>52</v>
      </c>
      <c r="C3090" s="35">
        <v>2766437</v>
      </c>
      <c r="D3090" s="35">
        <v>3.02</v>
      </c>
      <c r="E3090" s="35" t="s">
        <v>217</v>
      </c>
      <c r="F3090" s="31" t="str">
        <f t="shared" si="96"/>
        <v>E2.34.06</v>
      </c>
      <c r="G3090" s="34">
        <f t="shared" si="97"/>
        <v>3.02</v>
      </c>
    </row>
    <row r="3091" spans="2:7" ht="13.8" customHeight="1" x14ac:dyDescent="0.25">
      <c r="B3091" s="35" t="s">
        <v>52</v>
      </c>
      <c r="C3091" s="35">
        <v>2766438</v>
      </c>
      <c r="D3091" s="35">
        <v>2.9</v>
      </c>
      <c r="E3091" s="35" t="s">
        <v>217</v>
      </c>
      <c r="F3091" s="31" t="str">
        <f t="shared" si="96"/>
        <v>E2.34.06</v>
      </c>
      <c r="G3091" s="34">
        <f t="shared" si="97"/>
        <v>2.9</v>
      </c>
    </row>
    <row r="3092" spans="2:7" ht="13.8" customHeight="1" x14ac:dyDescent="0.25">
      <c r="B3092" s="35" t="s">
        <v>52</v>
      </c>
      <c r="C3092" s="35">
        <v>2766508</v>
      </c>
      <c r="D3092" s="35">
        <v>2.9</v>
      </c>
      <c r="E3092" s="35" t="s">
        <v>218</v>
      </c>
      <c r="F3092" s="31" t="str">
        <f t="shared" si="96"/>
        <v>E2.34.04</v>
      </c>
      <c r="G3092" s="34">
        <f t="shared" si="97"/>
        <v>2.9</v>
      </c>
    </row>
    <row r="3093" spans="2:7" ht="13.8" customHeight="1" x14ac:dyDescent="0.25">
      <c r="B3093" s="35" t="s">
        <v>52</v>
      </c>
      <c r="C3093" s="35">
        <v>2766509</v>
      </c>
      <c r="D3093" s="35">
        <v>3.01</v>
      </c>
      <c r="E3093" s="35" t="s">
        <v>218</v>
      </c>
      <c r="F3093" s="31" t="str">
        <f t="shared" si="96"/>
        <v>E2.34.04</v>
      </c>
      <c r="G3093" s="34">
        <f t="shared" si="97"/>
        <v>3.01</v>
      </c>
    </row>
    <row r="3094" spans="2:7" ht="13.8" customHeight="1" x14ac:dyDescent="0.25">
      <c r="B3094" s="35" t="s">
        <v>52</v>
      </c>
      <c r="C3094" s="35">
        <v>2773531</v>
      </c>
      <c r="D3094" s="35">
        <v>3.05</v>
      </c>
      <c r="E3094" s="35" t="s">
        <v>218</v>
      </c>
      <c r="F3094" s="31" t="str">
        <f t="shared" si="96"/>
        <v>E2.34.04</v>
      </c>
      <c r="G3094" s="34">
        <f t="shared" si="97"/>
        <v>3.05</v>
      </c>
    </row>
    <row r="3095" spans="2:7" ht="13.8" customHeight="1" x14ac:dyDescent="0.25">
      <c r="B3095" s="35" t="s">
        <v>52</v>
      </c>
      <c r="C3095" s="35">
        <v>2766579</v>
      </c>
      <c r="D3095" s="35">
        <v>3.02</v>
      </c>
      <c r="E3095" s="35" t="s">
        <v>219</v>
      </c>
      <c r="F3095" s="31" t="str">
        <f t="shared" si="96"/>
        <v>E2.34.01</v>
      </c>
      <c r="G3095" s="34">
        <f t="shared" si="97"/>
        <v>3.02</v>
      </c>
    </row>
    <row r="3096" spans="2:7" ht="13.8" customHeight="1" x14ac:dyDescent="0.25">
      <c r="B3096" s="35" t="s">
        <v>52</v>
      </c>
      <c r="C3096" s="35">
        <v>2766580</v>
      </c>
      <c r="D3096" s="35">
        <v>2.9</v>
      </c>
      <c r="E3096" s="35" t="s">
        <v>219</v>
      </c>
      <c r="F3096" s="31" t="str">
        <f t="shared" si="96"/>
        <v>E2.34.01</v>
      </c>
      <c r="G3096" s="34">
        <f t="shared" si="97"/>
        <v>2.9</v>
      </c>
    </row>
    <row r="3097" spans="2:7" ht="13.8" customHeight="1" x14ac:dyDescent="0.25">
      <c r="B3097" s="35" t="s">
        <v>52</v>
      </c>
      <c r="C3097" s="35">
        <v>2773533</v>
      </c>
      <c r="D3097" s="35">
        <v>3.05</v>
      </c>
      <c r="E3097" s="35" t="s">
        <v>219</v>
      </c>
      <c r="F3097" s="31" t="str">
        <f t="shared" si="96"/>
        <v>E2.34.01</v>
      </c>
      <c r="G3097" s="34">
        <f t="shared" si="97"/>
        <v>3.05</v>
      </c>
    </row>
    <row r="3098" spans="2:7" ht="13.8" customHeight="1" x14ac:dyDescent="0.25">
      <c r="B3098" s="35" t="s">
        <v>52</v>
      </c>
      <c r="C3098" s="35">
        <v>2766673</v>
      </c>
      <c r="D3098" s="35">
        <v>3.24</v>
      </c>
      <c r="E3098" s="35" t="s">
        <v>220</v>
      </c>
      <c r="F3098" s="31" t="str">
        <f t="shared" si="96"/>
        <v>E2.34.02</v>
      </c>
      <c r="G3098" s="34">
        <f t="shared" si="97"/>
        <v>3.24</v>
      </c>
    </row>
    <row r="3099" spans="2:7" ht="13.8" customHeight="1" x14ac:dyDescent="0.25">
      <c r="B3099" s="35" t="s">
        <v>52</v>
      </c>
      <c r="C3099" s="35">
        <v>2766676</v>
      </c>
      <c r="D3099" s="35">
        <v>3.05</v>
      </c>
      <c r="E3099" s="35" t="s">
        <v>220</v>
      </c>
      <c r="F3099" s="31" t="str">
        <f t="shared" si="96"/>
        <v>E2.34.02</v>
      </c>
      <c r="G3099" s="34">
        <f t="shared" si="97"/>
        <v>3.05</v>
      </c>
    </row>
    <row r="3100" spans="2:7" ht="13.8" customHeight="1" x14ac:dyDescent="0.25">
      <c r="B3100" s="35" t="s">
        <v>52</v>
      </c>
      <c r="C3100" s="35">
        <v>2766747</v>
      </c>
      <c r="D3100" s="35">
        <v>3.01</v>
      </c>
      <c r="E3100" s="35" t="s">
        <v>221</v>
      </c>
      <c r="F3100" s="31" t="str">
        <f t="shared" si="96"/>
        <v>E2.34.03</v>
      </c>
      <c r="G3100" s="34">
        <f t="shared" si="97"/>
        <v>3.01</v>
      </c>
    </row>
    <row r="3101" spans="2:7" ht="13.8" customHeight="1" x14ac:dyDescent="0.25">
      <c r="B3101" s="35" t="s">
        <v>52</v>
      </c>
      <c r="C3101" s="35">
        <v>2766750</v>
      </c>
      <c r="D3101" s="35">
        <v>2.9</v>
      </c>
      <c r="E3101" s="35" t="s">
        <v>221</v>
      </c>
      <c r="F3101" s="31" t="str">
        <f t="shared" si="96"/>
        <v>E2.34.03</v>
      </c>
      <c r="G3101" s="34">
        <f t="shared" si="97"/>
        <v>2.9</v>
      </c>
    </row>
    <row r="3102" spans="2:7" ht="13.8" customHeight="1" x14ac:dyDescent="0.25">
      <c r="B3102" s="35" t="s">
        <v>52</v>
      </c>
      <c r="C3102" s="35">
        <v>2766818</v>
      </c>
      <c r="D3102" s="35">
        <v>5.62</v>
      </c>
      <c r="E3102" s="35" t="s">
        <v>222</v>
      </c>
      <c r="F3102" s="31" t="str">
        <f t="shared" si="96"/>
        <v>D1.09.02</v>
      </c>
      <c r="G3102" s="34">
        <f t="shared" si="97"/>
        <v>5.62</v>
      </c>
    </row>
    <row r="3103" spans="2:7" ht="13.8" customHeight="1" x14ac:dyDescent="0.25">
      <c r="B3103" s="35" t="s">
        <v>52</v>
      </c>
      <c r="C3103" s="35">
        <v>2773514</v>
      </c>
      <c r="D3103" s="35">
        <v>0.79</v>
      </c>
      <c r="E3103" s="35" t="s">
        <v>223</v>
      </c>
      <c r="F3103" s="31" t="str">
        <f t="shared" si="96"/>
        <v>D1.09.03</v>
      </c>
      <c r="G3103" s="34">
        <f t="shared" si="97"/>
        <v>0.79</v>
      </c>
    </row>
    <row r="3104" spans="2:7" ht="13.8" customHeight="1" x14ac:dyDescent="0.25">
      <c r="B3104" s="35" t="s">
        <v>52</v>
      </c>
      <c r="C3104" s="35">
        <v>2773517</v>
      </c>
      <c r="D3104" s="35">
        <v>3.4</v>
      </c>
      <c r="E3104" s="35" t="s">
        <v>223</v>
      </c>
      <c r="F3104" s="31" t="str">
        <f t="shared" si="96"/>
        <v>D1.09.03</v>
      </c>
      <c r="G3104" s="34">
        <f t="shared" si="97"/>
        <v>3.4</v>
      </c>
    </row>
    <row r="3105" spans="2:7" ht="13.8" customHeight="1" x14ac:dyDescent="0.25">
      <c r="B3105" s="35" t="s">
        <v>52</v>
      </c>
      <c r="C3105" s="35">
        <v>2766955</v>
      </c>
      <c r="D3105" s="35">
        <v>3.93</v>
      </c>
      <c r="E3105" s="35" t="s">
        <v>224</v>
      </c>
      <c r="F3105" s="31" t="str">
        <f t="shared" si="96"/>
        <v>D1.12.01</v>
      </c>
      <c r="G3105" s="34">
        <f t="shared" si="97"/>
        <v>3.93</v>
      </c>
    </row>
    <row r="3106" spans="2:7" ht="13.8" customHeight="1" x14ac:dyDescent="0.25">
      <c r="B3106" s="35" t="s">
        <v>52</v>
      </c>
      <c r="C3106" s="35">
        <v>2773518</v>
      </c>
      <c r="D3106" s="35">
        <v>0.79</v>
      </c>
      <c r="E3106" s="35" t="s">
        <v>225</v>
      </c>
      <c r="F3106" s="31" t="str">
        <f t="shared" si="96"/>
        <v>D1.12.02</v>
      </c>
      <c r="G3106" s="34">
        <f t="shared" si="97"/>
        <v>0.79</v>
      </c>
    </row>
    <row r="3107" spans="2:7" ht="13.8" customHeight="1" x14ac:dyDescent="0.25">
      <c r="B3107" s="35" t="s">
        <v>52</v>
      </c>
      <c r="C3107" s="35">
        <v>2773521</v>
      </c>
      <c r="D3107" s="35">
        <v>2.6</v>
      </c>
      <c r="E3107" s="35" t="s">
        <v>225</v>
      </c>
      <c r="F3107" s="31" t="str">
        <f t="shared" si="96"/>
        <v>D1.12.02</v>
      </c>
      <c r="G3107" s="34">
        <f t="shared" si="97"/>
        <v>2.6</v>
      </c>
    </row>
    <row r="3108" spans="2:7" ht="13.8" customHeight="1" x14ac:dyDescent="0.25">
      <c r="B3108" s="35" t="s">
        <v>52</v>
      </c>
      <c r="C3108" s="35">
        <v>2767049</v>
      </c>
      <c r="D3108" s="35">
        <v>3.89</v>
      </c>
      <c r="E3108" s="35" t="s">
        <v>226</v>
      </c>
      <c r="F3108" s="31" t="str">
        <f t="shared" si="96"/>
        <v>D1.08.04</v>
      </c>
      <c r="G3108" s="34">
        <f t="shared" si="97"/>
        <v>3.89</v>
      </c>
    </row>
    <row r="3109" spans="2:7" ht="13.8" customHeight="1" x14ac:dyDescent="0.25">
      <c r="B3109" s="35" t="s">
        <v>52</v>
      </c>
      <c r="C3109" s="35">
        <v>2767052</v>
      </c>
      <c r="D3109" s="35">
        <v>3.89</v>
      </c>
      <c r="E3109" s="35" t="s">
        <v>226</v>
      </c>
      <c r="F3109" s="31" t="str">
        <f t="shared" si="96"/>
        <v>D1.08.04</v>
      </c>
      <c r="G3109" s="34">
        <f t="shared" si="97"/>
        <v>3.89</v>
      </c>
    </row>
    <row r="3110" spans="2:7" ht="13.8" customHeight="1" x14ac:dyDescent="0.25">
      <c r="B3110" s="35" t="s">
        <v>52</v>
      </c>
      <c r="C3110" s="35">
        <v>2767096</v>
      </c>
      <c r="D3110" s="35">
        <v>3.39</v>
      </c>
      <c r="E3110" s="35" t="s">
        <v>227</v>
      </c>
      <c r="F3110" s="31" t="str">
        <f t="shared" si="96"/>
        <v>D1.08.05</v>
      </c>
      <c r="G3110" s="34">
        <f t="shared" si="97"/>
        <v>3.39</v>
      </c>
    </row>
    <row r="3111" spans="2:7" ht="13.8" customHeight="1" x14ac:dyDescent="0.25">
      <c r="B3111" s="35" t="s">
        <v>52</v>
      </c>
      <c r="C3111" s="35">
        <v>2767101</v>
      </c>
      <c r="D3111" s="35">
        <v>2.6</v>
      </c>
      <c r="E3111" s="35" t="s">
        <v>227</v>
      </c>
      <c r="F3111" s="31" t="str">
        <f t="shared" si="96"/>
        <v>D1.08.05</v>
      </c>
      <c r="G3111" s="34">
        <f t="shared" si="97"/>
        <v>2.6</v>
      </c>
    </row>
    <row r="3112" spans="2:7" ht="13.8" customHeight="1" x14ac:dyDescent="0.25">
      <c r="B3112" s="35" t="s">
        <v>52</v>
      </c>
      <c r="C3112" s="35">
        <v>2772031</v>
      </c>
      <c r="D3112" s="35">
        <v>0.79</v>
      </c>
      <c r="E3112" s="35" t="s">
        <v>227</v>
      </c>
      <c r="F3112" s="31" t="str">
        <f t="shared" si="96"/>
        <v>D1.08.05</v>
      </c>
      <c r="G3112" s="34">
        <f t="shared" si="97"/>
        <v>0.79</v>
      </c>
    </row>
    <row r="3113" spans="2:7" ht="13.8" customHeight="1" x14ac:dyDescent="0.25">
      <c r="B3113" s="35" t="s">
        <v>52</v>
      </c>
      <c r="C3113" s="35">
        <v>2767170</v>
      </c>
      <c r="D3113" s="35">
        <v>5.62</v>
      </c>
      <c r="E3113" s="35" t="s">
        <v>228</v>
      </c>
      <c r="F3113" s="31" t="str">
        <f t="shared" si="96"/>
        <v>D1.08.02</v>
      </c>
      <c r="G3113" s="34">
        <f t="shared" si="97"/>
        <v>5.62</v>
      </c>
    </row>
    <row r="3114" spans="2:7" ht="13.8" customHeight="1" x14ac:dyDescent="0.25">
      <c r="B3114" s="35" t="s">
        <v>52</v>
      </c>
      <c r="C3114" s="35">
        <v>2767177</v>
      </c>
      <c r="D3114" s="35">
        <v>4.47</v>
      </c>
      <c r="E3114" s="35" t="s">
        <v>228</v>
      </c>
      <c r="F3114" s="31" t="str">
        <f t="shared" si="96"/>
        <v>D1.08.02</v>
      </c>
      <c r="G3114" s="34">
        <f t="shared" si="97"/>
        <v>4.47</v>
      </c>
    </row>
    <row r="3115" spans="2:7" ht="13.8" customHeight="1" x14ac:dyDescent="0.25">
      <c r="B3115" s="35" t="s">
        <v>52</v>
      </c>
      <c r="C3115" s="35">
        <v>2772004</v>
      </c>
      <c r="D3115" s="35">
        <v>2.2599999999999998</v>
      </c>
      <c r="E3115" s="35" t="s">
        <v>229</v>
      </c>
      <c r="F3115" s="31" t="str">
        <f t="shared" si="96"/>
        <v>D1.08.01</v>
      </c>
      <c r="G3115" s="34">
        <f t="shared" si="97"/>
        <v>2.2599999999999998</v>
      </c>
    </row>
    <row r="3116" spans="2:7" ht="13.8" customHeight="1" x14ac:dyDescent="0.25">
      <c r="B3116" s="35" t="s">
        <v>52</v>
      </c>
      <c r="C3116" s="35">
        <v>2772008</v>
      </c>
      <c r="D3116" s="35">
        <v>0.47</v>
      </c>
      <c r="E3116" s="35" t="s">
        <v>229</v>
      </c>
      <c r="F3116" s="31" t="str">
        <f t="shared" si="96"/>
        <v>D1.08.01</v>
      </c>
      <c r="G3116" s="34">
        <f t="shared" si="97"/>
        <v>0.47</v>
      </c>
    </row>
    <row r="3117" spans="2:7" ht="13.8" customHeight="1" x14ac:dyDescent="0.25">
      <c r="B3117" s="35" t="s">
        <v>52</v>
      </c>
      <c r="C3117" s="35">
        <v>2772012</v>
      </c>
      <c r="D3117" s="35">
        <v>0.47</v>
      </c>
      <c r="E3117" s="35" t="s">
        <v>229</v>
      </c>
      <c r="F3117" s="31" t="str">
        <f t="shared" si="96"/>
        <v>D1.08.01</v>
      </c>
      <c r="G3117" s="34">
        <f t="shared" si="97"/>
        <v>0.47</v>
      </c>
    </row>
    <row r="3118" spans="2:7" ht="13.8" customHeight="1" x14ac:dyDescent="0.25">
      <c r="B3118" s="35" t="s">
        <v>52</v>
      </c>
      <c r="C3118" s="35">
        <v>2772015</v>
      </c>
      <c r="D3118" s="35">
        <v>2.2599999999999998</v>
      </c>
      <c r="E3118" s="35" t="s">
        <v>229</v>
      </c>
      <c r="F3118" s="31" t="str">
        <f t="shared" si="96"/>
        <v>D1.08.01</v>
      </c>
      <c r="G3118" s="34">
        <f t="shared" si="97"/>
        <v>2.2599999999999998</v>
      </c>
    </row>
    <row r="3119" spans="2:7" ht="13.8" customHeight="1" x14ac:dyDescent="0.25">
      <c r="B3119" s="35" t="s">
        <v>52</v>
      </c>
      <c r="C3119" s="35">
        <v>2772019</v>
      </c>
      <c r="D3119" s="35">
        <v>0.47</v>
      </c>
      <c r="E3119" s="35" t="s">
        <v>229</v>
      </c>
      <c r="F3119" s="31" t="str">
        <f t="shared" si="96"/>
        <v>D1.08.01</v>
      </c>
      <c r="G3119" s="34">
        <f t="shared" si="97"/>
        <v>0.47</v>
      </c>
    </row>
    <row r="3120" spans="2:7" ht="13.8" customHeight="1" x14ac:dyDescent="0.25">
      <c r="B3120" s="35" t="s">
        <v>52</v>
      </c>
      <c r="C3120" s="35">
        <v>2772020</v>
      </c>
      <c r="D3120" s="35">
        <v>0.47</v>
      </c>
      <c r="E3120" s="35" t="s">
        <v>229</v>
      </c>
      <c r="F3120" s="31" t="str">
        <f t="shared" si="96"/>
        <v>D1.08.01</v>
      </c>
      <c r="G3120" s="34">
        <f t="shared" si="97"/>
        <v>0.47</v>
      </c>
    </row>
    <row r="3121" spans="2:7" ht="13.8" customHeight="1" x14ac:dyDescent="0.25">
      <c r="B3121" s="35" t="s">
        <v>52</v>
      </c>
      <c r="C3121" s="35">
        <v>2767285</v>
      </c>
      <c r="D3121" s="35">
        <v>1.1399999999999999</v>
      </c>
      <c r="E3121" s="35" t="s">
        <v>230</v>
      </c>
      <c r="F3121" s="31" t="str">
        <f t="shared" si="96"/>
        <v>D1.08.03</v>
      </c>
      <c r="G3121" s="34">
        <f t="shared" si="97"/>
        <v>1.1399999999999999</v>
      </c>
    </row>
    <row r="3122" spans="2:7" ht="13.8" customHeight="1" x14ac:dyDescent="0.25">
      <c r="B3122" s="35" t="s">
        <v>52</v>
      </c>
      <c r="C3122" s="35">
        <v>2767288</v>
      </c>
      <c r="D3122" s="35">
        <v>3.05</v>
      </c>
      <c r="E3122" s="35" t="s">
        <v>230</v>
      </c>
      <c r="F3122" s="31" t="str">
        <f t="shared" si="96"/>
        <v>D1.08.03</v>
      </c>
      <c r="G3122" s="34">
        <f t="shared" si="97"/>
        <v>3.05</v>
      </c>
    </row>
    <row r="3123" spans="2:7" ht="13.8" customHeight="1" x14ac:dyDescent="0.25">
      <c r="B3123" s="35" t="s">
        <v>52</v>
      </c>
      <c r="C3123" s="35">
        <v>2767289</v>
      </c>
      <c r="D3123" s="35">
        <v>4.1900000000000004</v>
      </c>
      <c r="E3123" s="35" t="s">
        <v>230</v>
      </c>
      <c r="F3123" s="31" t="str">
        <f t="shared" si="96"/>
        <v>D1.08.03</v>
      </c>
      <c r="G3123" s="34">
        <f t="shared" si="97"/>
        <v>4.1900000000000004</v>
      </c>
    </row>
    <row r="3124" spans="2:7" ht="13.8" customHeight="1" x14ac:dyDescent="0.25">
      <c r="B3124" s="35" t="s">
        <v>52</v>
      </c>
      <c r="C3124" s="35">
        <v>2771974</v>
      </c>
      <c r="D3124" s="35">
        <v>0.54</v>
      </c>
      <c r="E3124" s="35" t="s">
        <v>231</v>
      </c>
      <c r="F3124" s="31" t="str">
        <f t="shared" si="96"/>
        <v>B1.11.01</v>
      </c>
      <c r="G3124" s="34">
        <f t="shared" si="97"/>
        <v>0.54</v>
      </c>
    </row>
    <row r="3125" spans="2:7" ht="13.8" customHeight="1" x14ac:dyDescent="0.25">
      <c r="B3125" s="35" t="s">
        <v>52</v>
      </c>
      <c r="C3125" s="35">
        <v>2771975</v>
      </c>
      <c r="D3125" s="35">
        <v>0.4</v>
      </c>
      <c r="E3125" s="35" t="s">
        <v>231</v>
      </c>
      <c r="F3125" s="31" t="str">
        <f t="shared" si="96"/>
        <v>B1.11.01</v>
      </c>
      <c r="G3125" s="34">
        <f t="shared" si="97"/>
        <v>0.4</v>
      </c>
    </row>
    <row r="3126" spans="2:7" ht="13.8" customHeight="1" x14ac:dyDescent="0.25">
      <c r="B3126" s="35" t="s">
        <v>52</v>
      </c>
      <c r="C3126" s="35">
        <v>2771978</v>
      </c>
      <c r="D3126" s="35">
        <v>2.2599999999999998</v>
      </c>
      <c r="E3126" s="35" t="s">
        <v>231</v>
      </c>
      <c r="F3126" s="31" t="str">
        <f t="shared" si="96"/>
        <v>B1.11.01</v>
      </c>
      <c r="G3126" s="34">
        <f t="shared" si="97"/>
        <v>2.2599999999999998</v>
      </c>
    </row>
    <row r="3127" spans="2:7" ht="13.8" customHeight="1" x14ac:dyDescent="0.25">
      <c r="B3127" s="35" t="s">
        <v>52</v>
      </c>
      <c r="C3127" s="35">
        <v>2767380</v>
      </c>
      <c r="D3127" s="35">
        <v>1.01</v>
      </c>
      <c r="E3127" s="35" t="s">
        <v>232</v>
      </c>
      <c r="F3127" s="31" t="str">
        <f t="shared" si="96"/>
        <v>B1.11.02</v>
      </c>
      <c r="G3127" s="34">
        <f t="shared" si="97"/>
        <v>1.01</v>
      </c>
    </row>
    <row r="3128" spans="2:7" ht="13.8" customHeight="1" x14ac:dyDescent="0.25">
      <c r="B3128" s="35" t="s">
        <v>52</v>
      </c>
      <c r="C3128" s="35">
        <v>2771970</v>
      </c>
      <c r="D3128" s="35">
        <v>2.2599999999999998</v>
      </c>
      <c r="E3128" s="35" t="s">
        <v>232</v>
      </c>
      <c r="F3128" s="31" t="str">
        <f t="shared" si="96"/>
        <v>B1.11.02</v>
      </c>
      <c r="G3128" s="34">
        <f t="shared" si="97"/>
        <v>2.2599999999999998</v>
      </c>
    </row>
    <row r="3129" spans="2:7" ht="13.8" customHeight="1" x14ac:dyDescent="0.25">
      <c r="B3129" s="35" t="s">
        <v>52</v>
      </c>
      <c r="C3129" s="35">
        <v>2767420</v>
      </c>
      <c r="D3129" s="35">
        <v>3.76</v>
      </c>
      <c r="E3129" s="35" t="s">
        <v>233</v>
      </c>
      <c r="F3129" s="31" t="str">
        <f t="shared" si="96"/>
        <v>B1.07.01</v>
      </c>
      <c r="G3129" s="34">
        <f t="shared" si="97"/>
        <v>3.76</v>
      </c>
    </row>
    <row r="3130" spans="2:7" ht="13.8" customHeight="1" x14ac:dyDescent="0.25">
      <c r="B3130" s="35" t="s">
        <v>52</v>
      </c>
      <c r="C3130" s="35">
        <v>2767423</v>
      </c>
      <c r="D3130" s="35">
        <v>3.19</v>
      </c>
      <c r="E3130" s="35" t="s">
        <v>233</v>
      </c>
      <c r="F3130" s="31" t="str">
        <f t="shared" si="96"/>
        <v>B1.07.01</v>
      </c>
      <c r="G3130" s="34">
        <f t="shared" si="97"/>
        <v>3.19</v>
      </c>
    </row>
    <row r="3131" spans="2:7" ht="13.8" customHeight="1" x14ac:dyDescent="0.25">
      <c r="B3131" s="35" t="s">
        <v>52</v>
      </c>
      <c r="C3131" s="35">
        <v>2767484</v>
      </c>
      <c r="D3131" s="35">
        <v>3.82</v>
      </c>
      <c r="E3131" s="35" t="s">
        <v>234</v>
      </c>
      <c r="F3131" s="31" t="str">
        <f t="shared" si="96"/>
        <v>B1.07.02</v>
      </c>
      <c r="G3131" s="34">
        <f t="shared" si="97"/>
        <v>3.82</v>
      </c>
    </row>
    <row r="3132" spans="2:7" ht="13.8" customHeight="1" x14ac:dyDescent="0.25">
      <c r="B3132" s="35" t="s">
        <v>52</v>
      </c>
      <c r="C3132" s="35">
        <v>2767492</v>
      </c>
      <c r="D3132" s="35">
        <v>3.05</v>
      </c>
      <c r="E3132" s="35" t="s">
        <v>234</v>
      </c>
      <c r="F3132" s="31" t="str">
        <f t="shared" si="96"/>
        <v>B1.07.02</v>
      </c>
      <c r="G3132" s="34">
        <f t="shared" si="97"/>
        <v>3.05</v>
      </c>
    </row>
    <row r="3133" spans="2:7" ht="13.8" customHeight="1" x14ac:dyDescent="0.25">
      <c r="B3133" s="35" t="s">
        <v>52</v>
      </c>
      <c r="C3133" s="35">
        <v>2773483</v>
      </c>
      <c r="D3133" s="35">
        <v>0.77</v>
      </c>
      <c r="E3133" s="35" t="s">
        <v>234</v>
      </c>
      <c r="F3133" s="31" t="str">
        <f t="shared" si="96"/>
        <v>B1.07.02</v>
      </c>
      <c r="G3133" s="34">
        <f t="shared" si="97"/>
        <v>0.77</v>
      </c>
    </row>
    <row r="3134" spans="2:7" ht="13.8" customHeight="1" x14ac:dyDescent="0.25">
      <c r="B3134" s="35" t="s">
        <v>52</v>
      </c>
      <c r="C3134" s="35">
        <v>2767540</v>
      </c>
      <c r="D3134" s="35">
        <v>3.19</v>
      </c>
      <c r="E3134" s="35" t="s">
        <v>235</v>
      </c>
      <c r="F3134" s="31" t="str">
        <f t="shared" si="96"/>
        <v>B1.07.03</v>
      </c>
      <c r="G3134" s="34">
        <f t="shared" si="97"/>
        <v>3.19</v>
      </c>
    </row>
    <row r="3135" spans="2:7" ht="13.8" customHeight="1" x14ac:dyDescent="0.25">
      <c r="B3135" s="35" t="s">
        <v>52</v>
      </c>
      <c r="C3135" s="35">
        <v>2767546</v>
      </c>
      <c r="D3135" s="35">
        <v>2.7</v>
      </c>
      <c r="E3135" s="35" t="s">
        <v>235</v>
      </c>
      <c r="F3135" s="31" t="str">
        <f t="shared" si="96"/>
        <v>B1.07.03</v>
      </c>
      <c r="G3135" s="34">
        <f t="shared" si="97"/>
        <v>2.7</v>
      </c>
    </row>
    <row r="3136" spans="2:7" ht="13.8" customHeight="1" x14ac:dyDescent="0.25">
      <c r="B3136" s="35" t="s">
        <v>52</v>
      </c>
      <c r="C3136" s="35">
        <v>2773467</v>
      </c>
      <c r="D3136" s="35">
        <v>0.5</v>
      </c>
      <c r="E3136" s="35" t="s">
        <v>235</v>
      </c>
      <c r="F3136" s="31" t="str">
        <f t="shared" si="96"/>
        <v>B1.07.03</v>
      </c>
      <c r="G3136" s="34">
        <f t="shared" si="97"/>
        <v>0.5</v>
      </c>
    </row>
    <row r="3137" spans="2:7" ht="13.8" customHeight="1" x14ac:dyDescent="0.25">
      <c r="B3137" s="35" t="s">
        <v>52</v>
      </c>
      <c r="C3137" s="35">
        <v>2767585</v>
      </c>
      <c r="D3137" s="35">
        <v>0.94</v>
      </c>
      <c r="E3137" s="35" t="s">
        <v>236</v>
      </c>
      <c r="F3137" s="31" t="str">
        <f t="shared" si="96"/>
        <v>B1.07.04</v>
      </c>
      <c r="G3137" s="34">
        <f t="shared" si="97"/>
        <v>0.94</v>
      </c>
    </row>
    <row r="3138" spans="2:7" ht="13.8" customHeight="1" x14ac:dyDescent="0.25">
      <c r="B3138" s="35" t="s">
        <v>52</v>
      </c>
      <c r="C3138" s="35">
        <v>2767586</v>
      </c>
      <c r="D3138" s="35">
        <v>3.2</v>
      </c>
      <c r="E3138" s="35" t="s">
        <v>236</v>
      </c>
      <c r="F3138" s="31" t="str">
        <f t="shared" si="96"/>
        <v>B1.07.04</v>
      </c>
      <c r="G3138" s="34">
        <f t="shared" si="97"/>
        <v>3.2</v>
      </c>
    </row>
    <row r="3139" spans="2:7" ht="13.8" customHeight="1" x14ac:dyDescent="0.25">
      <c r="B3139" s="35" t="s">
        <v>52</v>
      </c>
      <c r="C3139" s="35">
        <v>2773469</v>
      </c>
      <c r="D3139" s="35">
        <v>2.2599999999999998</v>
      </c>
      <c r="E3139" s="35" t="s">
        <v>236</v>
      </c>
      <c r="F3139" s="31" t="str">
        <f t="shared" si="96"/>
        <v>B1.07.04</v>
      </c>
      <c r="G3139" s="34">
        <f t="shared" si="97"/>
        <v>2.2599999999999998</v>
      </c>
    </row>
    <row r="3140" spans="2:7" ht="13.8" customHeight="1" x14ac:dyDescent="0.25">
      <c r="B3140" s="35" t="s">
        <v>52</v>
      </c>
      <c r="C3140" s="35">
        <v>2767625</v>
      </c>
      <c r="D3140" s="35">
        <v>0.54</v>
      </c>
      <c r="E3140" s="35" t="s">
        <v>237</v>
      </c>
      <c r="F3140" s="31" t="str">
        <f t="shared" si="96"/>
        <v>B1.07.05</v>
      </c>
      <c r="G3140" s="34">
        <f t="shared" si="97"/>
        <v>0.54</v>
      </c>
    </row>
    <row r="3141" spans="2:7" ht="13.8" customHeight="1" x14ac:dyDescent="0.25">
      <c r="B3141" s="35" t="s">
        <v>52</v>
      </c>
      <c r="C3141" s="35">
        <v>2767629</v>
      </c>
      <c r="D3141" s="35">
        <v>0.4</v>
      </c>
      <c r="E3141" s="35" t="s">
        <v>237</v>
      </c>
      <c r="F3141" s="31" t="str">
        <f t="shared" si="96"/>
        <v>B1.07.05</v>
      </c>
      <c r="G3141" s="34">
        <f t="shared" si="97"/>
        <v>0.4</v>
      </c>
    </row>
    <row r="3142" spans="2:7" ht="13.8" customHeight="1" x14ac:dyDescent="0.25">
      <c r="B3142" s="35" t="s">
        <v>52</v>
      </c>
      <c r="C3142" s="35">
        <v>2771865</v>
      </c>
      <c r="D3142" s="35">
        <v>1.33</v>
      </c>
      <c r="E3142" s="35" t="s">
        <v>237</v>
      </c>
      <c r="F3142" s="31" t="str">
        <f t="shared" si="96"/>
        <v>B1.07.05</v>
      </c>
      <c r="G3142" s="34">
        <f t="shared" si="97"/>
        <v>1.33</v>
      </c>
    </row>
    <row r="3143" spans="2:7" ht="13.8" customHeight="1" x14ac:dyDescent="0.25">
      <c r="B3143" s="35" t="s">
        <v>52</v>
      </c>
      <c r="C3143" s="35">
        <v>2771868</v>
      </c>
      <c r="D3143" s="35">
        <v>0.93</v>
      </c>
      <c r="E3143" s="35" t="s">
        <v>237</v>
      </c>
      <c r="F3143" s="31" t="str">
        <f t="shared" si="96"/>
        <v>B1.07.05</v>
      </c>
      <c r="G3143" s="34">
        <f t="shared" ref="G3143:G3192" si="98">D3143</f>
        <v>0.93</v>
      </c>
    </row>
    <row r="3144" spans="2:7" ht="13.8" customHeight="1" x14ac:dyDescent="0.25">
      <c r="B3144" s="35" t="s">
        <v>52</v>
      </c>
      <c r="C3144" s="35">
        <v>2773472</v>
      </c>
      <c r="D3144" s="35">
        <v>0.4</v>
      </c>
      <c r="E3144" s="35" t="s">
        <v>237</v>
      </c>
      <c r="F3144" s="31" t="str">
        <f t="shared" ref="F3144:F3207" si="99">LEFT(E3144,8)</f>
        <v>B1.07.05</v>
      </c>
      <c r="G3144" s="34">
        <f t="shared" si="98"/>
        <v>0.4</v>
      </c>
    </row>
    <row r="3145" spans="2:7" ht="13.8" customHeight="1" x14ac:dyDescent="0.25">
      <c r="B3145" s="35" t="s">
        <v>52</v>
      </c>
      <c r="C3145" s="35">
        <v>2773475</v>
      </c>
      <c r="D3145" s="35">
        <v>2.2599999999999998</v>
      </c>
      <c r="E3145" s="35" t="s">
        <v>237</v>
      </c>
      <c r="F3145" s="31" t="str">
        <f t="shared" si="99"/>
        <v>B1.07.05</v>
      </c>
      <c r="G3145" s="34">
        <f t="shared" si="98"/>
        <v>2.2599999999999998</v>
      </c>
    </row>
    <row r="3146" spans="2:7" ht="13.8" customHeight="1" x14ac:dyDescent="0.25">
      <c r="B3146" s="35" t="s">
        <v>52</v>
      </c>
      <c r="C3146" s="35">
        <v>2773479</v>
      </c>
      <c r="D3146" s="35">
        <v>0.54</v>
      </c>
      <c r="E3146" s="35" t="s">
        <v>237</v>
      </c>
      <c r="F3146" s="31" t="str">
        <f t="shared" si="99"/>
        <v>B1.07.05</v>
      </c>
      <c r="G3146" s="34">
        <f t="shared" si="98"/>
        <v>0.54</v>
      </c>
    </row>
    <row r="3147" spans="2:7" ht="13.8" customHeight="1" x14ac:dyDescent="0.25">
      <c r="B3147" s="35" t="s">
        <v>52</v>
      </c>
      <c r="C3147" s="35">
        <v>2771960</v>
      </c>
      <c r="D3147" s="35">
        <v>0.77</v>
      </c>
      <c r="E3147" s="35" t="s">
        <v>238</v>
      </c>
      <c r="F3147" s="31" t="str">
        <f t="shared" si="99"/>
        <v>B1.08.02</v>
      </c>
      <c r="G3147" s="34">
        <f t="shared" si="98"/>
        <v>0.77</v>
      </c>
    </row>
    <row r="3148" spans="2:7" ht="13.8" customHeight="1" x14ac:dyDescent="0.25">
      <c r="B3148" s="35" t="s">
        <v>52</v>
      </c>
      <c r="C3148" s="35">
        <v>2771963</v>
      </c>
      <c r="D3148" s="35">
        <v>3.05</v>
      </c>
      <c r="E3148" s="35" t="s">
        <v>238</v>
      </c>
      <c r="F3148" s="31" t="str">
        <f t="shared" si="99"/>
        <v>B1.08.02</v>
      </c>
      <c r="G3148" s="34">
        <f t="shared" si="98"/>
        <v>3.05</v>
      </c>
    </row>
    <row r="3149" spans="2:7" ht="13.8" customHeight="1" x14ac:dyDescent="0.25">
      <c r="B3149" s="35" t="s">
        <v>52</v>
      </c>
      <c r="C3149" s="35">
        <v>2767750</v>
      </c>
      <c r="D3149" s="35">
        <v>2.7</v>
      </c>
      <c r="E3149" s="35" t="s">
        <v>239</v>
      </c>
      <c r="F3149" s="31" t="str">
        <f t="shared" si="99"/>
        <v>B1.08.03</v>
      </c>
      <c r="G3149" s="34">
        <f t="shared" si="98"/>
        <v>2.7</v>
      </c>
    </row>
    <row r="3150" spans="2:7" ht="13.8" customHeight="1" x14ac:dyDescent="0.25">
      <c r="B3150" s="35" t="s">
        <v>52</v>
      </c>
      <c r="C3150" s="35">
        <v>2771967</v>
      </c>
      <c r="D3150" s="35">
        <v>0.5</v>
      </c>
      <c r="E3150" s="35" t="s">
        <v>239</v>
      </c>
      <c r="F3150" s="31" t="str">
        <f t="shared" si="99"/>
        <v>B1.08.03</v>
      </c>
      <c r="G3150" s="34">
        <f t="shared" si="98"/>
        <v>0.5</v>
      </c>
    </row>
    <row r="3151" spans="2:7" ht="13.8" customHeight="1" x14ac:dyDescent="0.25">
      <c r="B3151" s="35" t="s">
        <v>52</v>
      </c>
      <c r="C3151" s="35">
        <v>2771929</v>
      </c>
      <c r="D3151" s="35">
        <v>1.4</v>
      </c>
      <c r="E3151" s="35" t="s">
        <v>240</v>
      </c>
      <c r="F3151" s="31" t="str">
        <f t="shared" si="99"/>
        <v>A3.10.01</v>
      </c>
      <c r="G3151" s="34">
        <f t="shared" si="98"/>
        <v>1.4</v>
      </c>
    </row>
    <row r="3152" spans="2:7" ht="13.8" customHeight="1" x14ac:dyDescent="0.25">
      <c r="B3152" s="35" t="s">
        <v>52</v>
      </c>
      <c r="C3152" s="35">
        <v>2771932</v>
      </c>
      <c r="D3152" s="35">
        <v>2.2599999999999998</v>
      </c>
      <c r="E3152" s="35" t="s">
        <v>240</v>
      </c>
      <c r="F3152" s="31" t="str">
        <f t="shared" si="99"/>
        <v>A3.10.01</v>
      </c>
      <c r="G3152" s="34">
        <f t="shared" si="98"/>
        <v>2.2599999999999998</v>
      </c>
    </row>
    <row r="3153" spans="2:7" ht="13.8" customHeight="1" x14ac:dyDescent="0.25">
      <c r="B3153" s="35" t="s">
        <v>52</v>
      </c>
      <c r="C3153" s="35">
        <v>2771934</v>
      </c>
      <c r="D3153" s="35">
        <v>0.84</v>
      </c>
      <c r="E3153" s="35" t="s">
        <v>240</v>
      </c>
      <c r="F3153" s="31" t="str">
        <f t="shared" si="99"/>
        <v>A3.10.01</v>
      </c>
      <c r="G3153" s="34">
        <f t="shared" si="98"/>
        <v>0.84</v>
      </c>
    </row>
    <row r="3154" spans="2:7" ht="13.8" customHeight="1" x14ac:dyDescent="0.25">
      <c r="B3154" s="35" t="s">
        <v>52</v>
      </c>
      <c r="C3154" s="35">
        <v>2767890</v>
      </c>
      <c r="D3154" s="35">
        <v>4.9400000000000004</v>
      </c>
      <c r="E3154" s="35" t="s">
        <v>241</v>
      </c>
      <c r="F3154" s="31" t="str">
        <f t="shared" si="99"/>
        <v>A3.10.05</v>
      </c>
      <c r="G3154" s="34">
        <f t="shared" si="98"/>
        <v>4.9400000000000004</v>
      </c>
    </row>
    <row r="3155" spans="2:7" ht="13.8" customHeight="1" x14ac:dyDescent="0.25">
      <c r="B3155" s="35" t="s">
        <v>52</v>
      </c>
      <c r="C3155" s="35">
        <v>2771935</v>
      </c>
      <c r="D3155" s="35">
        <v>0.95</v>
      </c>
      <c r="E3155" s="35" t="s">
        <v>242</v>
      </c>
      <c r="F3155" s="31" t="str">
        <f t="shared" si="99"/>
        <v>A3.10.04</v>
      </c>
      <c r="G3155" s="34">
        <f t="shared" si="98"/>
        <v>0.95</v>
      </c>
    </row>
    <row r="3156" spans="2:7" ht="13.8" customHeight="1" x14ac:dyDescent="0.25">
      <c r="B3156" s="35" t="s">
        <v>52</v>
      </c>
      <c r="C3156" s="35">
        <v>2771938</v>
      </c>
      <c r="D3156" s="35">
        <v>1.35</v>
      </c>
      <c r="E3156" s="35" t="s">
        <v>242</v>
      </c>
      <c r="F3156" s="31" t="str">
        <f t="shared" si="99"/>
        <v>A3.10.04</v>
      </c>
      <c r="G3156" s="34">
        <f t="shared" si="98"/>
        <v>1.35</v>
      </c>
    </row>
    <row r="3157" spans="2:7" ht="13.8" customHeight="1" x14ac:dyDescent="0.25">
      <c r="B3157" s="35" t="s">
        <v>52</v>
      </c>
      <c r="C3157" s="35">
        <v>2771942</v>
      </c>
      <c r="D3157" s="35">
        <v>0.88</v>
      </c>
      <c r="E3157" s="35" t="s">
        <v>242</v>
      </c>
      <c r="F3157" s="31" t="str">
        <f t="shared" si="99"/>
        <v>A3.10.04</v>
      </c>
      <c r="G3157" s="34">
        <f t="shared" si="98"/>
        <v>0.88</v>
      </c>
    </row>
    <row r="3158" spans="2:7" ht="13.8" customHeight="1" x14ac:dyDescent="0.25">
      <c r="B3158" s="35" t="s">
        <v>52</v>
      </c>
      <c r="C3158" s="35">
        <v>2768002</v>
      </c>
      <c r="D3158" s="35">
        <v>4.93</v>
      </c>
      <c r="E3158" s="35" t="s">
        <v>243</v>
      </c>
      <c r="F3158" s="31" t="str">
        <f t="shared" si="99"/>
        <v>A3.10.03</v>
      </c>
      <c r="G3158" s="34">
        <f t="shared" si="98"/>
        <v>4.93</v>
      </c>
    </row>
    <row r="3159" spans="2:7" ht="13.8" customHeight="1" x14ac:dyDescent="0.25">
      <c r="B3159" s="35" t="s">
        <v>52</v>
      </c>
      <c r="C3159" s="35">
        <v>2771921</v>
      </c>
      <c r="D3159" s="35">
        <v>3.1</v>
      </c>
      <c r="E3159" s="35" t="s">
        <v>244</v>
      </c>
      <c r="F3159" s="31" t="str">
        <f t="shared" si="99"/>
        <v>A3.10.02</v>
      </c>
      <c r="G3159" s="34">
        <f t="shared" si="98"/>
        <v>3.1</v>
      </c>
    </row>
    <row r="3160" spans="2:7" ht="13.8" customHeight="1" x14ac:dyDescent="0.25">
      <c r="B3160" s="35" t="s">
        <v>52</v>
      </c>
      <c r="C3160" s="35">
        <v>2771928</v>
      </c>
      <c r="D3160" s="35">
        <v>1.4</v>
      </c>
      <c r="E3160" s="35" t="s">
        <v>244</v>
      </c>
      <c r="F3160" s="31" t="str">
        <f t="shared" si="99"/>
        <v>A3.10.02</v>
      </c>
      <c r="G3160" s="34">
        <f t="shared" si="98"/>
        <v>1.4</v>
      </c>
    </row>
    <row r="3161" spans="2:7" ht="13.8" customHeight="1" x14ac:dyDescent="0.25">
      <c r="B3161" s="35" t="s">
        <v>52</v>
      </c>
      <c r="C3161" s="35">
        <v>2768155</v>
      </c>
      <c r="D3161" s="35">
        <v>2.2599999999999998</v>
      </c>
      <c r="E3161" s="35" t="s">
        <v>245</v>
      </c>
      <c r="F3161" s="31" t="str">
        <f t="shared" si="99"/>
        <v>A3.07.05</v>
      </c>
      <c r="G3161" s="34">
        <f t="shared" si="98"/>
        <v>2.2599999999999998</v>
      </c>
    </row>
    <row r="3162" spans="2:7" ht="13.8" customHeight="1" x14ac:dyDescent="0.25">
      <c r="B3162" s="35" t="s">
        <v>52</v>
      </c>
      <c r="C3162" s="35">
        <v>2773417</v>
      </c>
      <c r="D3162" s="35">
        <v>1.49</v>
      </c>
      <c r="E3162" s="35" t="s">
        <v>245</v>
      </c>
      <c r="F3162" s="31" t="str">
        <f t="shared" si="99"/>
        <v>A3.07.05</v>
      </c>
      <c r="G3162" s="34">
        <f t="shared" si="98"/>
        <v>1.49</v>
      </c>
    </row>
    <row r="3163" spans="2:7" ht="13.8" customHeight="1" x14ac:dyDescent="0.25">
      <c r="B3163" s="35" t="s">
        <v>52</v>
      </c>
      <c r="C3163" s="35">
        <v>2773420</v>
      </c>
      <c r="D3163" s="35">
        <v>2.2599999999999998</v>
      </c>
      <c r="E3163" s="35" t="s">
        <v>245</v>
      </c>
      <c r="F3163" s="31" t="str">
        <f t="shared" si="99"/>
        <v>A3.07.05</v>
      </c>
      <c r="G3163" s="34">
        <f t="shared" si="98"/>
        <v>2.2599999999999998</v>
      </c>
    </row>
    <row r="3164" spans="2:7" ht="13.8" customHeight="1" x14ac:dyDescent="0.25">
      <c r="B3164" s="35" t="s">
        <v>52</v>
      </c>
      <c r="C3164" s="35">
        <v>2773428</v>
      </c>
      <c r="D3164" s="35">
        <v>1.49</v>
      </c>
      <c r="E3164" s="35" t="s">
        <v>245</v>
      </c>
      <c r="F3164" s="31" t="str">
        <f t="shared" si="99"/>
        <v>A3.07.05</v>
      </c>
      <c r="G3164" s="34">
        <f t="shared" si="98"/>
        <v>1.49</v>
      </c>
    </row>
    <row r="3165" spans="2:7" ht="13.8" customHeight="1" x14ac:dyDescent="0.25">
      <c r="B3165" s="35" t="s">
        <v>52</v>
      </c>
      <c r="C3165" s="35">
        <v>2768225</v>
      </c>
      <c r="D3165" s="35">
        <v>4.5</v>
      </c>
      <c r="E3165" s="35" t="s">
        <v>246</v>
      </c>
      <c r="F3165" s="31" t="str">
        <f t="shared" si="99"/>
        <v>A3.07.04</v>
      </c>
      <c r="G3165" s="34">
        <f t="shared" si="98"/>
        <v>4.5</v>
      </c>
    </row>
    <row r="3166" spans="2:7" ht="13.8" customHeight="1" x14ac:dyDescent="0.25">
      <c r="B3166" s="35" t="s">
        <v>52</v>
      </c>
      <c r="C3166" s="35">
        <v>2773455</v>
      </c>
      <c r="D3166" s="35">
        <v>0.84</v>
      </c>
      <c r="E3166" s="35" t="s">
        <v>246</v>
      </c>
      <c r="F3166" s="31" t="str">
        <f t="shared" si="99"/>
        <v>A3.07.04</v>
      </c>
      <c r="G3166" s="34">
        <f t="shared" si="98"/>
        <v>0.84</v>
      </c>
    </row>
    <row r="3167" spans="2:7" ht="13.8" customHeight="1" x14ac:dyDescent="0.25">
      <c r="B3167" s="35" t="s">
        <v>52</v>
      </c>
      <c r="C3167" s="35">
        <v>2773458</v>
      </c>
      <c r="D3167" s="35">
        <v>1.4</v>
      </c>
      <c r="E3167" s="35" t="s">
        <v>246</v>
      </c>
      <c r="F3167" s="31" t="str">
        <f t="shared" si="99"/>
        <v>A3.07.04</v>
      </c>
      <c r="G3167" s="34">
        <f t="shared" si="98"/>
        <v>1.4</v>
      </c>
    </row>
    <row r="3168" spans="2:7" ht="13.8" customHeight="1" x14ac:dyDescent="0.25">
      <c r="B3168" s="35" t="s">
        <v>52</v>
      </c>
      <c r="C3168" s="35">
        <v>2773462</v>
      </c>
      <c r="D3168" s="35">
        <v>2.2599999999999998</v>
      </c>
      <c r="E3168" s="35" t="s">
        <v>246</v>
      </c>
      <c r="F3168" s="31" t="str">
        <f t="shared" si="99"/>
        <v>A3.07.04</v>
      </c>
      <c r="G3168" s="34">
        <f t="shared" si="98"/>
        <v>2.2599999999999998</v>
      </c>
    </row>
    <row r="3169" spans="2:7" ht="13.8" customHeight="1" x14ac:dyDescent="0.25">
      <c r="B3169" s="35" t="s">
        <v>52</v>
      </c>
      <c r="C3169" s="35">
        <v>2773430</v>
      </c>
      <c r="D3169" s="35">
        <v>1.5</v>
      </c>
      <c r="E3169" s="35" t="s">
        <v>247</v>
      </c>
      <c r="F3169" s="31" t="str">
        <f t="shared" si="99"/>
        <v>A3.07.08</v>
      </c>
      <c r="G3169" s="34">
        <f t="shared" si="98"/>
        <v>1.5</v>
      </c>
    </row>
    <row r="3170" spans="2:7" ht="13.8" customHeight="1" x14ac:dyDescent="0.25">
      <c r="B3170" s="35" t="s">
        <v>52</v>
      </c>
      <c r="C3170" s="35">
        <v>2773433</v>
      </c>
      <c r="D3170" s="35">
        <v>2.2599999999999998</v>
      </c>
      <c r="E3170" s="35" t="s">
        <v>247</v>
      </c>
      <c r="F3170" s="31" t="str">
        <f t="shared" si="99"/>
        <v>A3.07.08</v>
      </c>
      <c r="G3170" s="34">
        <f t="shared" si="98"/>
        <v>2.2599999999999998</v>
      </c>
    </row>
    <row r="3171" spans="2:7" ht="13.8" customHeight="1" x14ac:dyDescent="0.25">
      <c r="B3171" s="35" t="s">
        <v>52</v>
      </c>
      <c r="C3171" s="35">
        <v>2773445</v>
      </c>
      <c r="D3171" s="35">
        <v>1.5</v>
      </c>
      <c r="E3171" s="35" t="s">
        <v>247</v>
      </c>
      <c r="F3171" s="31" t="str">
        <f t="shared" si="99"/>
        <v>A3.07.08</v>
      </c>
      <c r="G3171" s="34">
        <f t="shared" si="98"/>
        <v>1.5</v>
      </c>
    </row>
    <row r="3172" spans="2:7" ht="13.8" customHeight="1" x14ac:dyDescent="0.25">
      <c r="B3172" s="35" t="s">
        <v>52</v>
      </c>
      <c r="C3172" s="35">
        <v>2773446</v>
      </c>
      <c r="D3172" s="35">
        <v>2.2599999999999998</v>
      </c>
      <c r="E3172" s="35" t="s">
        <v>247</v>
      </c>
      <c r="F3172" s="31" t="str">
        <f t="shared" si="99"/>
        <v>A3.07.08</v>
      </c>
      <c r="G3172" s="34">
        <f t="shared" si="98"/>
        <v>2.2599999999999998</v>
      </c>
    </row>
    <row r="3173" spans="2:7" ht="13.8" customHeight="1" x14ac:dyDescent="0.25">
      <c r="B3173" s="35" t="s">
        <v>52</v>
      </c>
      <c r="C3173" s="35">
        <v>2768380</v>
      </c>
      <c r="D3173" s="35">
        <v>4.5</v>
      </c>
      <c r="E3173" s="35" t="s">
        <v>248</v>
      </c>
      <c r="F3173" s="31" t="str">
        <f t="shared" si="99"/>
        <v>A3.07.01</v>
      </c>
      <c r="G3173" s="34">
        <f t="shared" si="98"/>
        <v>4.5</v>
      </c>
    </row>
    <row r="3174" spans="2:7" ht="13.8" customHeight="1" x14ac:dyDescent="0.25">
      <c r="B3174" s="35" t="s">
        <v>52</v>
      </c>
      <c r="C3174" s="35">
        <v>2773448</v>
      </c>
      <c r="D3174" s="35">
        <v>1.4</v>
      </c>
      <c r="E3174" s="35" t="s">
        <v>248</v>
      </c>
      <c r="F3174" s="31" t="str">
        <f t="shared" si="99"/>
        <v>A3.07.01</v>
      </c>
      <c r="G3174" s="34">
        <f t="shared" si="98"/>
        <v>1.4</v>
      </c>
    </row>
    <row r="3175" spans="2:7" ht="13.8" customHeight="1" x14ac:dyDescent="0.25">
      <c r="B3175" s="35" t="s">
        <v>52</v>
      </c>
      <c r="C3175" s="35">
        <v>2773453</v>
      </c>
      <c r="D3175" s="35">
        <v>2.2599999999999998</v>
      </c>
      <c r="E3175" s="35" t="s">
        <v>248</v>
      </c>
      <c r="F3175" s="31" t="str">
        <f t="shared" si="99"/>
        <v>A3.07.01</v>
      </c>
      <c r="G3175" s="34">
        <f t="shared" si="98"/>
        <v>2.2599999999999998</v>
      </c>
    </row>
    <row r="3176" spans="2:7" ht="13.8" customHeight="1" x14ac:dyDescent="0.25">
      <c r="B3176" s="35" t="s">
        <v>52</v>
      </c>
      <c r="C3176" s="35">
        <v>2773454</v>
      </c>
      <c r="D3176" s="35">
        <v>0.84</v>
      </c>
      <c r="E3176" s="35" t="s">
        <v>248</v>
      </c>
      <c r="F3176" s="31" t="str">
        <f t="shared" si="99"/>
        <v>A3.07.01</v>
      </c>
      <c r="G3176" s="34">
        <f t="shared" si="98"/>
        <v>0.84</v>
      </c>
    </row>
    <row r="3177" spans="2:7" ht="13.8" customHeight="1" x14ac:dyDescent="0.25">
      <c r="B3177" s="35" t="s">
        <v>52</v>
      </c>
      <c r="C3177" s="35">
        <v>2768457</v>
      </c>
      <c r="D3177" s="35">
        <v>5.87</v>
      </c>
      <c r="E3177" s="35" t="s">
        <v>249</v>
      </c>
      <c r="F3177" s="31" t="str">
        <f t="shared" si="99"/>
        <v>A3.07.02</v>
      </c>
      <c r="G3177" s="34">
        <f t="shared" si="98"/>
        <v>5.87</v>
      </c>
    </row>
    <row r="3178" spans="2:7" ht="13.8" customHeight="1" x14ac:dyDescent="0.25">
      <c r="B3178" s="35" t="s">
        <v>52</v>
      </c>
      <c r="C3178" s="35">
        <v>2768464</v>
      </c>
      <c r="D3178" s="35">
        <v>5.04</v>
      </c>
      <c r="E3178" s="35" t="s">
        <v>249</v>
      </c>
      <c r="F3178" s="31" t="str">
        <f t="shared" si="99"/>
        <v>A3.07.02</v>
      </c>
      <c r="G3178" s="34">
        <f t="shared" si="98"/>
        <v>5.04</v>
      </c>
    </row>
    <row r="3179" spans="2:7" ht="13.8" customHeight="1" x14ac:dyDescent="0.25">
      <c r="B3179" s="35" t="s">
        <v>52</v>
      </c>
      <c r="C3179" s="35">
        <v>2768508</v>
      </c>
      <c r="D3179" s="35">
        <v>2.86</v>
      </c>
      <c r="E3179" s="35" t="s">
        <v>250</v>
      </c>
      <c r="F3179" s="31" t="str">
        <f t="shared" si="99"/>
        <v>A3.07.07</v>
      </c>
      <c r="G3179" s="34">
        <f t="shared" si="98"/>
        <v>2.86</v>
      </c>
    </row>
    <row r="3180" spans="2:7" ht="13.8" customHeight="1" x14ac:dyDescent="0.25">
      <c r="B3180" s="35" t="s">
        <v>52</v>
      </c>
      <c r="C3180" s="35">
        <v>2768510</v>
      </c>
      <c r="D3180" s="35">
        <v>2.86</v>
      </c>
      <c r="E3180" s="35" t="s">
        <v>250</v>
      </c>
      <c r="F3180" s="31" t="str">
        <f t="shared" si="99"/>
        <v>A3.07.07</v>
      </c>
      <c r="G3180" s="34">
        <f t="shared" si="98"/>
        <v>2.86</v>
      </c>
    </row>
    <row r="3181" spans="2:7" ht="13.8" customHeight="1" x14ac:dyDescent="0.25">
      <c r="B3181" s="35" t="s">
        <v>52</v>
      </c>
      <c r="C3181" s="35">
        <v>2768595</v>
      </c>
      <c r="D3181" s="35">
        <v>4.6100000000000003</v>
      </c>
      <c r="E3181" s="35" t="s">
        <v>251</v>
      </c>
      <c r="F3181" s="31" t="str">
        <f t="shared" si="99"/>
        <v>A3.07.03</v>
      </c>
      <c r="G3181" s="34">
        <f t="shared" si="98"/>
        <v>4.6100000000000003</v>
      </c>
    </row>
    <row r="3182" spans="2:7" ht="13.8" customHeight="1" x14ac:dyDescent="0.25">
      <c r="B3182" s="35" t="s">
        <v>52</v>
      </c>
      <c r="C3182" s="35">
        <v>2768596</v>
      </c>
      <c r="D3182" s="35">
        <v>5.45</v>
      </c>
      <c r="E3182" s="35" t="s">
        <v>251</v>
      </c>
      <c r="F3182" s="31" t="str">
        <f t="shared" si="99"/>
        <v>A3.07.03</v>
      </c>
      <c r="G3182" s="34">
        <f t="shared" si="98"/>
        <v>5.45</v>
      </c>
    </row>
    <row r="3183" spans="2:7" ht="13.8" customHeight="1" x14ac:dyDescent="0.25">
      <c r="B3183" s="35" t="s">
        <v>52</v>
      </c>
      <c r="C3183" s="35">
        <v>2768642</v>
      </c>
      <c r="D3183" s="35">
        <v>2.87</v>
      </c>
      <c r="E3183" s="35" t="s">
        <v>252</v>
      </c>
      <c r="F3183" s="31" t="str">
        <f t="shared" si="99"/>
        <v>A3.07.06</v>
      </c>
      <c r="G3183" s="34">
        <f t="shared" si="98"/>
        <v>2.87</v>
      </c>
    </row>
    <row r="3184" spans="2:7" ht="13.8" customHeight="1" x14ac:dyDescent="0.25">
      <c r="B3184" s="35" t="s">
        <v>52</v>
      </c>
      <c r="C3184" s="35">
        <v>2768643</v>
      </c>
      <c r="D3184" s="35">
        <v>2.87</v>
      </c>
      <c r="E3184" s="35" t="s">
        <v>252</v>
      </c>
      <c r="F3184" s="31" t="str">
        <f t="shared" si="99"/>
        <v>A3.07.06</v>
      </c>
      <c r="G3184" s="34">
        <f t="shared" si="98"/>
        <v>2.87</v>
      </c>
    </row>
    <row r="3185" spans="2:7" ht="13.8" customHeight="1" x14ac:dyDescent="0.25">
      <c r="B3185" s="35" t="s">
        <v>52</v>
      </c>
      <c r="C3185" s="35">
        <v>2768744</v>
      </c>
      <c r="D3185" s="35">
        <v>5.75</v>
      </c>
      <c r="E3185" s="35" t="s">
        <v>253</v>
      </c>
      <c r="F3185" s="31" t="str">
        <f t="shared" si="99"/>
        <v>A6.10.04</v>
      </c>
      <c r="G3185" s="34">
        <f t="shared" si="98"/>
        <v>5.75</v>
      </c>
    </row>
    <row r="3186" spans="2:7" ht="13.8" customHeight="1" x14ac:dyDescent="0.25">
      <c r="B3186" s="35" t="s">
        <v>52</v>
      </c>
      <c r="C3186" s="35">
        <v>2771947</v>
      </c>
      <c r="D3186" s="35">
        <v>1.79</v>
      </c>
      <c r="E3186" s="35" t="s">
        <v>254</v>
      </c>
      <c r="F3186" s="31" t="str">
        <f t="shared" si="99"/>
        <v>A6.13.01</v>
      </c>
      <c r="G3186" s="34">
        <f t="shared" si="98"/>
        <v>1.79</v>
      </c>
    </row>
    <row r="3187" spans="2:7" ht="13.8" customHeight="1" x14ac:dyDescent="0.25">
      <c r="B3187" s="35" t="s">
        <v>52</v>
      </c>
      <c r="C3187" s="35">
        <v>2771950</v>
      </c>
      <c r="D3187" s="35">
        <v>3.43</v>
      </c>
      <c r="E3187" s="35" t="s">
        <v>254</v>
      </c>
      <c r="F3187" s="31" t="str">
        <f t="shared" si="99"/>
        <v>A6.13.01</v>
      </c>
      <c r="G3187" s="34">
        <f t="shared" si="98"/>
        <v>3.43</v>
      </c>
    </row>
    <row r="3188" spans="2:7" ht="13.8" customHeight="1" x14ac:dyDescent="0.25">
      <c r="B3188" s="35" t="s">
        <v>52</v>
      </c>
      <c r="C3188" s="35">
        <v>2768916</v>
      </c>
      <c r="D3188" s="35">
        <v>4.37</v>
      </c>
      <c r="E3188" s="35" t="s">
        <v>255</v>
      </c>
      <c r="F3188" s="31" t="str">
        <f t="shared" si="99"/>
        <v>A6.13.02</v>
      </c>
      <c r="G3188" s="34">
        <f t="shared" si="98"/>
        <v>4.37</v>
      </c>
    </row>
    <row r="3189" spans="2:7" ht="13.8" customHeight="1" x14ac:dyDescent="0.25">
      <c r="B3189" s="35" t="s">
        <v>52</v>
      </c>
      <c r="C3189" s="35">
        <v>2768982</v>
      </c>
      <c r="D3189" s="35">
        <v>4.37</v>
      </c>
      <c r="E3189" s="35" t="s">
        <v>256</v>
      </c>
      <c r="F3189" s="31" t="str">
        <f t="shared" si="99"/>
        <v>A6.13.03</v>
      </c>
      <c r="G3189" s="34">
        <f t="shared" si="98"/>
        <v>4.37</v>
      </c>
    </row>
    <row r="3190" spans="2:7" ht="13.8" customHeight="1" x14ac:dyDescent="0.25">
      <c r="B3190" s="35" t="s">
        <v>52</v>
      </c>
      <c r="C3190" s="35">
        <v>2769090</v>
      </c>
      <c r="D3190" s="35">
        <v>3.43</v>
      </c>
      <c r="E3190" s="35" t="s">
        <v>257</v>
      </c>
      <c r="F3190" s="31" t="str">
        <f t="shared" si="99"/>
        <v>A6.13.04</v>
      </c>
      <c r="G3190" s="34">
        <f t="shared" si="98"/>
        <v>3.43</v>
      </c>
    </row>
    <row r="3191" spans="2:7" ht="13.8" customHeight="1" x14ac:dyDescent="0.25">
      <c r="B3191" s="35" t="s">
        <v>52</v>
      </c>
      <c r="C3191" s="35">
        <v>2771946</v>
      </c>
      <c r="D3191" s="35">
        <v>1.79</v>
      </c>
      <c r="E3191" s="35" t="s">
        <v>257</v>
      </c>
      <c r="F3191" s="31" t="str">
        <f t="shared" si="99"/>
        <v>A6.13.04</v>
      </c>
      <c r="G3191" s="34">
        <f t="shared" si="98"/>
        <v>1.79</v>
      </c>
    </row>
    <row r="3192" spans="2:7" ht="13.8" customHeight="1" x14ac:dyDescent="0.25">
      <c r="B3192" s="35" t="s">
        <v>52</v>
      </c>
      <c r="C3192" s="35">
        <v>2769179</v>
      </c>
      <c r="D3192" s="35">
        <v>3.81</v>
      </c>
      <c r="E3192" s="35" t="s">
        <v>258</v>
      </c>
      <c r="F3192" s="31" t="str">
        <f t="shared" si="99"/>
        <v>A6.09.06</v>
      </c>
      <c r="G3192" s="34">
        <f t="shared" si="98"/>
        <v>3.81</v>
      </c>
    </row>
    <row r="3193" spans="2:7" ht="13.8" customHeight="1" x14ac:dyDescent="0.25">
      <c r="B3193" s="29" t="s">
        <v>52</v>
      </c>
      <c r="C3193" s="29">
        <v>2773508</v>
      </c>
      <c r="D3193" s="29">
        <v>1.5</v>
      </c>
      <c r="E3193" s="29" t="s">
        <v>258</v>
      </c>
      <c r="F3193" s="31" t="str">
        <f t="shared" si="99"/>
        <v>A6.09.06</v>
      </c>
      <c r="G3193" s="34">
        <f t="shared" ref="G3193:G3256" si="100">D3193</f>
        <v>1.5</v>
      </c>
    </row>
    <row r="3194" spans="2:7" ht="13.8" customHeight="1" x14ac:dyDescent="0.25">
      <c r="B3194" s="29" t="s">
        <v>52</v>
      </c>
      <c r="C3194" s="29">
        <v>2773511</v>
      </c>
      <c r="D3194" s="29">
        <v>2.2599999999999998</v>
      </c>
      <c r="E3194" s="29" t="s">
        <v>258</v>
      </c>
      <c r="F3194" s="31" t="str">
        <f t="shared" si="99"/>
        <v>A6.09.06</v>
      </c>
      <c r="G3194" s="34">
        <f t="shared" si="100"/>
        <v>2.2599999999999998</v>
      </c>
    </row>
    <row r="3195" spans="2:7" ht="13.8" customHeight="1" x14ac:dyDescent="0.25">
      <c r="B3195" s="29" t="s">
        <v>52</v>
      </c>
      <c r="C3195" s="29">
        <v>2769274</v>
      </c>
      <c r="D3195" s="29">
        <v>5.23</v>
      </c>
      <c r="E3195" s="29" t="s">
        <v>259</v>
      </c>
      <c r="F3195" s="31" t="str">
        <f t="shared" si="99"/>
        <v>A6.09.07</v>
      </c>
      <c r="G3195" s="34">
        <f t="shared" si="100"/>
        <v>5.23</v>
      </c>
    </row>
    <row r="3196" spans="2:7" ht="13.8" customHeight="1" x14ac:dyDescent="0.25">
      <c r="B3196" s="29" t="s">
        <v>52</v>
      </c>
      <c r="C3196" s="29">
        <v>2769282</v>
      </c>
      <c r="D3196" s="29">
        <v>3.43</v>
      </c>
      <c r="E3196" s="29" t="s">
        <v>259</v>
      </c>
      <c r="F3196" s="31" t="str">
        <f t="shared" si="99"/>
        <v>A6.09.07</v>
      </c>
      <c r="G3196" s="34">
        <f t="shared" si="100"/>
        <v>3.43</v>
      </c>
    </row>
    <row r="3197" spans="2:7" ht="13.8" customHeight="1" x14ac:dyDescent="0.25">
      <c r="B3197" s="29" t="s">
        <v>52</v>
      </c>
      <c r="C3197" s="29">
        <v>2773507</v>
      </c>
      <c r="D3197" s="29">
        <v>1.79</v>
      </c>
      <c r="E3197" s="29" t="s">
        <v>259</v>
      </c>
      <c r="F3197" s="31" t="str">
        <f t="shared" si="99"/>
        <v>A6.09.07</v>
      </c>
      <c r="G3197" s="34">
        <f t="shared" si="100"/>
        <v>1.79</v>
      </c>
    </row>
    <row r="3198" spans="2:7" ht="13.8" customHeight="1" x14ac:dyDescent="0.25">
      <c r="B3198" s="29" t="s">
        <v>52</v>
      </c>
      <c r="C3198" s="29">
        <v>2769374</v>
      </c>
      <c r="D3198" s="29">
        <v>4.37</v>
      </c>
      <c r="E3198" s="29" t="s">
        <v>260</v>
      </c>
      <c r="F3198" s="31" t="str">
        <f t="shared" si="99"/>
        <v>A6.09.02</v>
      </c>
      <c r="G3198" s="34">
        <f t="shared" si="100"/>
        <v>4.37</v>
      </c>
    </row>
    <row r="3199" spans="2:7" ht="13.8" customHeight="1" x14ac:dyDescent="0.25">
      <c r="B3199" s="29" t="s">
        <v>52</v>
      </c>
      <c r="C3199" s="29">
        <v>2769382</v>
      </c>
      <c r="D3199" s="29">
        <v>3.81</v>
      </c>
      <c r="E3199" s="29" t="s">
        <v>260</v>
      </c>
      <c r="F3199" s="31" t="str">
        <f t="shared" si="99"/>
        <v>A6.09.02</v>
      </c>
      <c r="G3199" s="34">
        <f t="shared" si="100"/>
        <v>3.81</v>
      </c>
    </row>
    <row r="3200" spans="2:7" ht="13.8" customHeight="1" x14ac:dyDescent="0.25">
      <c r="B3200" s="29" t="s">
        <v>52</v>
      </c>
      <c r="C3200" s="29">
        <v>2769430</v>
      </c>
      <c r="D3200" s="29">
        <v>4.2300000000000004</v>
      </c>
      <c r="E3200" s="29" t="s">
        <v>261</v>
      </c>
      <c r="F3200" s="31" t="str">
        <f t="shared" si="99"/>
        <v>A6.09.03</v>
      </c>
      <c r="G3200" s="34">
        <f t="shared" si="100"/>
        <v>4.2300000000000004</v>
      </c>
    </row>
    <row r="3201" spans="2:7" ht="13.8" customHeight="1" x14ac:dyDescent="0.25">
      <c r="B3201" s="29" t="s">
        <v>52</v>
      </c>
      <c r="C3201" s="29">
        <v>2769432</v>
      </c>
      <c r="D3201" s="29">
        <v>4.2300000000000004</v>
      </c>
      <c r="E3201" s="29" t="s">
        <v>261</v>
      </c>
      <c r="F3201" s="31" t="str">
        <f t="shared" si="99"/>
        <v>A6.09.03</v>
      </c>
      <c r="G3201" s="34">
        <f t="shared" si="100"/>
        <v>4.2300000000000004</v>
      </c>
    </row>
    <row r="3202" spans="2:7" ht="13.8" customHeight="1" x14ac:dyDescent="0.25">
      <c r="B3202" s="29" t="s">
        <v>52</v>
      </c>
      <c r="C3202" s="29">
        <v>2769543</v>
      </c>
      <c r="D3202" s="29">
        <v>5.75</v>
      </c>
      <c r="E3202" s="29" t="s">
        <v>262</v>
      </c>
      <c r="F3202" s="31" t="str">
        <f t="shared" si="99"/>
        <v>A6.09.04</v>
      </c>
      <c r="G3202" s="34">
        <f t="shared" si="100"/>
        <v>5.75</v>
      </c>
    </row>
    <row r="3203" spans="2:7" ht="13.8" customHeight="1" x14ac:dyDescent="0.25">
      <c r="B3203" s="29" t="s">
        <v>52</v>
      </c>
      <c r="C3203" s="29">
        <v>2769554</v>
      </c>
      <c r="D3203" s="29">
        <v>5.08</v>
      </c>
      <c r="E3203" s="29" t="s">
        <v>262</v>
      </c>
      <c r="F3203" s="31" t="str">
        <f t="shared" si="99"/>
        <v>A6.09.04</v>
      </c>
      <c r="G3203" s="34">
        <f t="shared" si="100"/>
        <v>5.08</v>
      </c>
    </row>
    <row r="3204" spans="2:7" ht="13.8" customHeight="1" x14ac:dyDescent="0.25">
      <c r="B3204" s="29" t="s">
        <v>52</v>
      </c>
      <c r="C3204" s="29">
        <v>2769649</v>
      </c>
      <c r="D3204" s="29">
        <v>5.23</v>
      </c>
      <c r="E3204" s="29" t="s">
        <v>263</v>
      </c>
      <c r="F3204" s="31" t="str">
        <f t="shared" si="99"/>
        <v>A6.09.01</v>
      </c>
      <c r="G3204" s="34">
        <f t="shared" si="100"/>
        <v>5.23</v>
      </c>
    </row>
    <row r="3205" spans="2:7" ht="13.8" customHeight="1" x14ac:dyDescent="0.25">
      <c r="B3205" s="29" t="s">
        <v>52</v>
      </c>
      <c r="C3205" s="29">
        <v>2773497</v>
      </c>
      <c r="D3205" s="29">
        <v>1.79</v>
      </c>
      <c r="E3205" s="29" t="s">
        <v>263</v>
      </c>
      <c r="F3205" s="31" t="str">
        <f t="shared" si="99"/>
        <v>A6.09.01</v>
      </c>
      <c r="G3205" s="34">
        <f t="shared" si="100"/>
        <v>1.79</v>
      </c>
    </row>
    <row r="3206" spans="2:7" ht="13.8" customHeight="1" x14ac:dyDescent="0.25">
      <c r="B3206" s="29" t="s">
        <v>52</v>
      </c>
      <c r="C3206" s="29">
        <v>2773502</v>
      </c>
      <c r="D3206" s="29">
        <v>2.2599999999999998</v>
      </c>
      <c r="E3206" s="29" t="s">
        <v>263</v>
      </c>
      <c r="F3206" s="31" t="str">
        <f t="shared" si="99"/>
        <v>A6.09.01</v>
      </c>
      <c r="G3206" s="34">
        <f t="shared" si="100"/>
        <v>2.2599999999999998</v>
      </c>
    </row>
    <row r="3207" spans="2:7" ht="13.8" customHeight="1" x14ac:dyDescent="0.25">
      <c r="B3207" s="29" t="s">
        <v>52</v>
      </c>
      <c r="C3207" s="29">
        <v>2773503</v>
      </c>
      <c r="D3207" s="29">
        <v>1.17</v>
      </c>
      <c r="E3207" s="29" t="s">
        <v>263</v>
      </c>
      <c r="F3207" s="31" t="str">
        <f t="shared" si="99"/>
        <v>A6.09.01</v>
      </c>
      <c r="G3207" s="34">
        <f t="shared" si="100"/>
        <v>1.17</v>
      </c>
    </row>
    <row r="3208" spans="2:7" ht="13.8" customHeight="1" x14ac:dyDescent="0.25">
      <c r="B3208" s="29" t="s">
        <v>52</v>
      </c>
      <c r="C3208" s="29">
        <v>2769702</v>
      </c>
      <c r="D3208" s="29">
        <v>4.2300000000000004</v>
      </c>
      <c r="E3208" s="29" t="s">
        <v>264</v>
      </c>
      <c r="F3208" s="31" t="str">
        <f t="shared" ref="F3208:F3271" si="101">LEFT(E3208,8)</f>
        <v>A6.09.05</v>
      </c>
      <c r="G3208" s="34">
        <f t="shared" si="100"/>
        <v>4.2300000000000004</v>
      </c>
    </row>
    <row r="3209" spans="2:7" ht="13.8" customHeight="1" x14ac:dyDescent="0.25">
      <c r="B3209" s="29" t="s">
        <v>52</v>
      </c>
      <c r="C3209" s="29">
        <v>2769704</v>
      </c>
      <c r="D3209" s="29">
        <v>4.2300000000000004</v>
      </c>
      <c r="E3209" s="29" t="s">
        <v>264</v>
      </c>
      <c r="F3209" s="31" t="str">
        <f t="shared" si="101"/>
        <v>A6.09.05</v>
      </c>
      <c r="G3209" s="34">
        <f t="shared" si="100"/>
        <v>4.2300000000000004</v>
      </c>
    </row>
    <row r="3210" spans="2:7" ht="13.8" customHeight="1" x14ac:dyDescent="0.25">
      <c r="B3210" s="29" t="s">
        <v>52</v>
      </c>
      <c r="C3210" s="29">
        <v>2769737</v>
      </c>
      <c r="D3210" s="29">
        <v>0.56999999999999995</v>
      </c>
      <c r="E3210" s="29" t="s">
        <v>265</v>
      </c>
      <c r="F3210" s="31" t="str">
        <f t="shared" si="101"/>
        <v>B1.02.01</v>
      </c>
      <c r="G3210" s="34">
        <f t="shared" si="100"/>
        <v>0.56999999999999995</v>
      </c>
    </row>
    <row r="3211" spans="2:7" ht="13.8" customHeight="1" x14ac:dyDescent="0.25">
      <c r="B3211" s="29" t="s">
        <v>52</v>
      </c>
      <c r="C3211" s="29">
        <v>2769745</v>
      </c>
      <c r="D3211" s="29">
        <v>3.2</v>
      </c>
      <c r="E3211" s="29" t="s">
        <v>265</v>
      </c>
      <c r="F3211" s="31" t="str">
        <f t="shared" si="101"/>
        <v>B1.02.01</v>
      </c>
      <c r="G3211" s="34">
        <f t="shared" si="100"/>
        <v>3.2</v>
      </c>
    </row>
    <row r="3212" spans="2:7" ht="13.8" customHeight="1" x14ac:dyDescent="0.25">
      <c r="B3212" s="29" t="s">
        <v>52</v>
      </c>
      <c r="C3212" s="29">
        <v>2773362</v>
      </c>
      <c r="D3212" s="29">
        <v>2.2599999999999998</v>
      </c>
      <c r="E3212" s="29" t="s">
        <v>265</v>
      </c>
      <c r="F3212" s="31" t="str">
        <f t="shared" si="101"/>
        <v>B1.02.01</v>
      </c>
      <c r="G3212" s="34">
        <f t="shared" si="100"/>
        <v>2.2599999999999998</v>
      </c>
    </row>
    <row r="3213" spans="2:7" ht="13.8" customHeight="1" x14ac:dyDescent="0.25">
      <c r="B3213" s="29" t="s">
        <v>52</v>
      </c>
      <c r="C3213" s="29">
        <v>2773363</v>
      </c>
      <c r="D3213" s="29">
        <v>0.93</v>
      </c>
      <c r="E3213" s="29" t="s">
        <v>265</v>
      </c>
      <c r="F3213" s="31" t="str">
        <f t="shared" si="101"/>
        <v>B1.02.01</v>
      </c>
      <c r="G3213" s="34">
        <f t="shared" si="100"/>
        <v>0.93</v>
      </c>
    </row>
    <row r="3214" spans="2:7" ht="13.8" customHeight="1" x14ac:dyDescent="0.25">
      <c r="B3214" s="29" t="s">
        <v>52</v>
      </c>
      <c r="C3214" s="29">
        <v>2769808</v>
      </c>
      <c r="D3214" s="29">
        <v>3.82</v>
      </c>
      <c r="E3214" s="29" t="s">
        <v>266</v>
      </c>
      <c r="F3214" s="31" t="str">
        <f t="shared" si="101"/>
        <v>B1.02.02</v>
      </c>
      <c r="G3214" s="34">
        <f t="shared" si="100"/>
        <v>3.82</v>
      </c>
    </row>
    <row r="3215" spans="2:7" ht="13.8" customHeight="1" x14ac:dyDescent="0.25">
      <c r="B3215" s="29" t="s">
        <v>52</v>
      </c>
      <c r="C3215" s="29">
        <v>2773342</v>
      </c>
      <c r="D3215" s="29">
        <v>0.77</v>
      </c>
      <c r="E3215" s="29" t="s">
        <v>266</v>
      </c>
      <c r="F3215" s="31" t="str">
        <f t="shared" si="101"/>
        <v>B1.02.02</v>
      </c>
      <c r="G3215" s="34">
        <f t="shared" si="100"/>
        <v>0.77</v>
      </c>
    </row>
    <row r="3216" spans="2:7" ht="13.8" customHeight="1" x14ac:dyDescent="0.25">
      <c r="B3216" s="29" t="s">
        <v>52</v>
      </c>
      <c r="C3216" s="29">
        <v>2773345</v>
      </c>
      <c r="D3216" s="29">
        <v>3.05</v>
      </c>
      <c r="E3216" s="29" t="s">
        <v>266</v>
      </c>
      <c r="F3216" s="31" t="str">
        <f t="shared" si="101"/>
        <v>B1.02.02</v>
      </c>
      <c r="G3216" s="34">
        <f t="shared" si="100"/>
        <v>3.05</v>
      </c>
    </row>
    <row r="3217" spans="2:7" ht="13.8" customHeight="1" x14ac:dyDescent="0.25">
      <c r="B3217" s="29" t="s">
        <v>52</v>
      </c>
      <c r="C3217" s="29">
        <v>2769867</v>
      </c>
      <c r="D3217" s="29">
        <v>3.63</v>
      </c>
      <c r="E3217" s="29" t="s">
        <v>267</v>
      </c>
      <c r="F3217" s="31" t="str">
        <f t="shared" si="101"/>
        <v>D1.02.02</v>
      </c>
      <c r="G3217" s="34">
        <f t="shared" si="100"/>
        <v>3.63</v>
      </c>
    </row>
    <row r="3218" spans="2:7" ht="13.8" customHeight="1" x14ac:dyDescent="0.25">
      <c r="B3218" s="29" t="s">
        <v>52</v>
      </c>
      <c r="C3218" s="29">
        <v>2769878</v>
      </c>
      <c r="D3218" s="29">
        <v>4.47</v>
      </c>
      <c r="E3218" s="29" t="s">
        <v>267</v>
      </c>
      <c r="F3218" s="31" t="str">
        <f t="shared" si="101"/>
        <v>D1.02.02</v>
      </c>
      <c r="G3218" s="34">
        <f t="shared" si="100"/>
        <v>4.47</v>
      </c>
    </row>
    <row r="3219" spans="2:7" ht="13.8" customHeight="1" x14ac:dyDescent="0.25">
      <c r="B3219" s="29" t="s">
        <v>52</v>
      </c>
      <c r="C3219" s="29">
        <v>2773402</v>
      </c>
      <c r="D3219" s="29">
        <v>1.99</v>
      </c>
      <c r="E3219" s="29" t="s">
        <v>267</v>
      </c>
      <c r="F3219" s="31" t="str">
        <f t="shared" si="101"/>
        <v>D1.02.02</v>
      </c>
      <c r="G3219" s="34">
        <f t="shared" si="100"/>
        <v>1.99</v>
      </c>
    </row>
    <row r="3220" spans="2:7" ht="13.8" customHeight="1" x14ac:dyDescent="0.25">
      <c r="B3220" s="29" t="s">
        <v>52</v>
      </c>
      <c r="C3220" s="29">
        <v>2769912</v>
      </c>
      <c r="D3220" s="29">
        <v>1.6</v>
      </c>
      <c r="E3220" s="29" t="s">
        <v>268</v>
      </c>
      <c r="F3220" s="31" t="str">
        <f t="shared" si="101"/>
        <v>D1.02.01</v>
      </c>
      <c r="G3220" s="34">
        <f t="shared" si="100"/>
        <v>1.6</v>
      </c>
    </row>
    <row r="3221" spans="2:7" ht="13.8" customHeight="1" x14ac:dyDescent="0.25">
      <c r="B3221" s="29" t="s">
        <v>52</v>
      </c>
      <c r="C3221" s="29">
        <v>2769919</v>
      </c>
      <c r="D3221" s="29">
        <v>0.28999999999999998</v>
      </c>
      <c r="E3221" s="29" t="s">
        <v>268</v>
      </c>
      <c r="F3221" s="31" t="str">
        <f t="shared" si="101"/>
        <v>D1.02.01</v>
      </c>
      <c r="G3221" s="34">
        <f t="shared" si="100"/>
        <v>0.28999999999999998</v>
      </c>
    </row>
    <row r="3222" spans="2:7" ht="13.8" customHeight="1" x14ac:dyDescent="0.25">
      <c r="B3222" s="29" t="s">
        <v>52</v>
      </c>
      <c r="C3222" s="29">
        <v>2769923</v>
      </c>
      <c r="D3222" s="29">
        <v>3.2</v>
      </c>
      <c r="E3222" s="29" t="s">
        <v>268</v>
      </c>
      <c r="F3222" s="31" t="str">
        <f t="shared" si="101"/>
        <v>D1.02.01</v>
      </c>
      <c r="G3222" s="34">
        <f t="shared" si="100"/>
        <v>3.2</v>
      </c>
    </row>
    <row r="3223" spans="2:7" ht="13.8" customHeight="1" x14ac:dyDescent="0.25">
      <c r="B3223" s="29" t="s">
        <v>52</v>
      </c>
      <c r="C3223" s="29">
        <v>2773410</v>
      </c>
      <c r="D3223" s="29">
        <v>2.2599999999999998</v>
      </c>
      <c r="E3223" s="29" t="s">
        <v>268</v>
      </c>
      <c r="F3223" s="31" t="str">
        <f t="shared" si="101"/>
        <v>D1.02.01</v>
      </c>
      <c r="G3223" s="34">
        <f t="shared" si="100"/>
        <v>2.2599999999999998</v>
      </c>
    </row>
    <row r="3224" spans="2:7" ht="13.8" customHeight="1" x14ac:dyDescent="0.25">
      <c r="B3224" s="29" t="s">
        <v>52</v>
      </c>
      <c r="C3224" s="29">
        <v>2773413</v>
      </c>
      <c r="D3224" s="29">
        <v>0.18</v>
      </c>
      <c r="E3224" s="29" t="s">
        <v>268</v>
      </c>
      <c r="F3224" s="31" t="str">
        <f t="shared" si="101"/>
        <v>D1.02.01</v>
      </c>
      <c r="G3224" s="34">
        <f t="shared" si="100"/>
        <v>0.18</v>
      </c>
    </row>
    <row r="3225" spans="2:7" ht="13.8" customHeight="1" x14ac:dyDescent="0.25">
      <c r="B3225" s="29" t="s">
        <v>52</v>
      </c>
      <c r="C3225" s="29">
        <v>2769973</v>
      </c>
      <c r="D3225" s="29">
        <v>3.89</v>
      </c>
      <c r="E3225" s="29" t="s">
        <v>269</v>
      </c>
      <c r="F3225" s="31" t="str">
        <f t="shared" si="101"/>
        <v>D1.02.04</v>
      </c>
      <c r="G3225" s="34">
        <f t="shared" si="100"/>
        <v>3.89</v>
      </c>
    </row>
    <row r="3226" spans="2:7" ht="13.8" customHeight="1" x14ac:dyDescent="0.25">
      <c r="B3226" s="29" t="s">
        <v>52</v>
      </c>
      <c r="C3226" s="29">
        <v>2770027</v>
      </c>
      <c r="D3226" s="29">
        <v>4.43</v>
      </c>
      <c r="E3226" s="29" t="s">
        <v>270</v>
      </c>
      <c r="F3226" s="31" t="str">
        <f t="shared" si="101"/>
        <v>D1.02.03</v>
      </c>
      <c r="G3226" s="34">
        <f t="shared" si="100"/>
        <v>4.43</v>
      </c>
    </row>
    <row r="3227" spans="2:7" ht="13.8" customHeight="1" x14ac:dyDescent="0.25">
      <c r="B3227" s="29" t="s">
        <v>52</v>
      </c>
      <c r="C3227" s="29">
        <v>2770041</v>
      </c>
      <c r="D3227" s="29">
        <v>3.83</v>
      </c>
      <c r="E3227" s="29" t="s">
        <v>270</v>
      </c>
      <c r="F3227" s="31" t="str">
        <f t="shared" si="101"/>
        <v>D1.02.03</v>
      </c>
      <c r="G3227" s="34">
        <f t="shared" si="100"/>
        <v>3.83</v>
      </c>
    </row>
    <row r="3228" spans="2:7" ht="13.8" customHeight="1" x14ac:dyDescent="0.25">
      <c r="B3228" s="29" t="s">
        <v>52</v>
      </c>
      <c r="C3228" s="29">
        <v>2773395</v>
      </c>
      <c r="D3228" s="29">
        <v>1.1399999999999999</v>
      </c>
      <c r="E3228" s="29" t="s">
        <v>270</v>
      </c>
      <c r="F3228" s="31" t="str">
        <f t="shared" si="101"/>
        <v>D1.02.03</v>
      </c>
      <c r="G3228" s="34">
        <f t="shared" si="100"/>
        <v>1.1399999999999999</v>
      </c>
    </row>
    <row r="3229" spans="2:7" ht="13.8" customHeight="1" x14ac:dyDescent="0.25">
      <c r="B3229" s="29" t="s">
        <v>52</v>
      </c>
      <c r="C3229" s="29">
        <v>2773396</v>
      </c>
      <c r="D3229" s="29">
        <v>2.2599999999999998</v>
      </c>
      <c r="E3229" s="29" t="s">
        <v>270</v>
      </c>
      <c r="F3229" s="31" t="str">
        <f t="shared" si="101"/>
        <v>D1.02.03</v>
      </c>
      <c r="G3229" s="34">
        <f t="shared" si="100"/>
        <v>2.2599999999999998</v>
      </c>
    </row>
    <row r="3230" spans="2:7" ht="13.8" customHeight="1" x14ac:dyDescent="0.25">
      <c r="B3230" s="29" t="s">
        <v>52</v>
      </c>
      <c r="C3230" s="29">
        <v>2770077</v>
      </c>
      <c r="D3230" s="29">
        <v>3.39</v>
      </c>
      <c r="E3230" s="29" t="s">
        <v>271</v>
      </c>
      <c r="F3230" s="31" t="str">
        <f t="shared" si="101"/>
        <v>D1.02.05</v>
      </c>
      <c r="G3230" s="34">
        <f t="shared" si="100"/>
        <v>3.39</v>
      </c>
    </row>
    <row r="3231" spans="2:7" ht="13.8" customHeight="1" x14ac:dyDescent="0.25">
      <c r="B3231" s="29" t="s">
        <v>52</v>
      </c>
      <c r="C3231" s="29">
        <v>2770132</v>
      </c>
      <c r="D3231" s="29">
        <v>4.8600000000000003</v>
      </c>
      <c r="E3231" s="29" t="s">
        <v>272</v>
      </c>
      <c r="F3231" s="31" t="str">
        <f t="shared" si="101"/>
        <v>A6.01.01</v>
      </c>
      <c r="G3231" s="34">
        <f t="shared" si="100"/>
        <v>4.8600000000000003</v>
      </c>
    </row>
    <row r="3232" spans="2:7" ht="13.8" customHeight="1" x14ac:dyDescent="0.25">
      <c r="B3232" s="29" t="s">
        <v>52</v>
      </c>
      <c r="C3232" s="29">
        <v>2770142</v>
      </c>
      <c r="D3232" s="29">
        <v>5.23</v>
      </c>
      <c r="E3232" s="29" t="s">
        <v>272</v>
      </c>
      <c r="F3232" s="31" t="str">
        <f t="shared" si="101"/>
        <v>A6.01.01</v>
      </c>
      <c r="G3232" s="34">
        <f t="shared" si="100"/>
        <v>5.23</v>
      </c>
    </row>
    <row r="3233" spans="2:7" ht="13.8" customHeight="1" x14ac:dyDescent="0.25">
      <c r="B3233" s="29" t="s">
        <v>52</v>
      </c>
      <c r="C3233" s="29">
        <v>2772168</v>
      </c>
      <c r="D3233" s="29">
        <v>5.43</v>
      </c>
      <c r="E3233" s="29" t="s">
        <v>272</v>
      </c>
      <c r="F3233" s="31" t="str">
        <f t="shared" si="101"/>
        <v>A6.01.01</v>
      </c>
      <c r="G3233" s="34">
        <f t="shared" si="100"/>
        <v>5.43</v>
      </c>
    </row>
    <row r="3234" spans="2:7" ht="13.8" customHeight="1" x14ac:dyDescent="0.25">
      <c r="B3234" s="29" t="s">
        <v>52</v>
      </c>
      <c r="C3234" s="29">
        <v>2770200</v>
      </c>
      <c r="D3234" s="29">
        <v>10.29</v>
      </c>
      <c r="E3234" s="29" t="s">
        <v>273</v>
      </c>
      <c r="F3234" s="31" t="str">
        <f t="shared" si="101"/>
        <v>A6.01.02</v>
      </c>
      <c r="G3234" s="34">
        <f t="shared" si="100"/>
        <v>10.29</v>
      </c>
    </row>
    <row r="3235" spans="2:7" ht="13.8" customHeight="1" x14ac:dyDescent="0.25">
      <c r="B3235" s="29" t="s">
        <v>52</v>
      </c>
      <c r="C3235" s="29">
        <v>2770205</v>
      </c>
      <c r="D3235" s="29">
        <v>5.25</v>
      </c>
      <c r="E3235" s="29" t="s">
        <v>273</v>
      </c>
      <c r="F3235" s="31" t="str">
        <f t="shared" si="101"/>
        <v>A6.01.02</v>
      </c>
      <c r="G3235" s="34">
        <f t="shared" si="100"/>
        <v>5.25</v>
      </c>
    </row>
    <row r="3236" spans="2:7" ht="13.8" customHeight="1" x14ac:dyDescent="0.25">
      <c r="B3236" s="29" t="s">
        <v>52</v>
      </c>
      <c r="C3236" s="29">
        <v>2770261</v>
      </c>
      <c r="D3236" s="29">
        <v>0</v>
      </c>
      <c r="E3236" s="29" t="s">
        <v>274</v>
      </c>
      <c r="F3236" s="31" t="str">
        <f t="shared" si="101"/>
        <v>A3.01.02</v>
      </c>
      <c r="G3236" s="34">
        <f t="shared" si="100"/>
        <v>0</v>
      </c>
    </row>
    <row r="3237" spans="2:7" ht="13.8" customHeight="1" x14ac:dyDescent="0.25">
      <c r="B3237" s="29" t="s">
        <v>52</v>
      </c>
      <c r="C3237" s="29">
        <v>2771914</v>
      </c>
      <c r="D3237" s="29">
        <v>4.5</v>
      </c>
      <c r="E3237" s="29" t="s">
        <v>274</v>
      </c>
      <c r="F3237" s="31" t="str">
        <f t="shared" si="101"/>
        <v>A3.01.02</v>
      </c>
      <c r="G3237" s="34">
        <f t="shared" si="100"/>
        <v>4.5</v>
      </c>
    </row>
    <row r="3238" spans="2:7" ht="13.8" customHeight="1" x14ac:dyDescent="0.25">
      <c r="B3238" s="29" t="s">
        <v>52</v>
      </c>
      <c r="C3238" s="29">
        <v>2772971</v>
      </c>
      <c r="D3238" s="29">
        <v>10.29</v>
      </c>
      <c r="E3238" s="29" t="s">
        <v>274</v>
      </c>
      <c r="F3238" s="31" t="str">
        <f t="shared" si="101"/>
        <v>A3.01.02</v>
      </c>
      <c r="G3238" s="34">
        <f t="shared" si="100"/>
        <v>10.29</v>
      </c>
    </row>
    <row r="3239" spans="2:7" ht="13.8" customHeight="1" x14ac:dyDescent="0.25">
      <c r="B3239" s="29" t="s">
        <v>52</v>
      </c>
      <c r="C3239" s="29">
        <v>2770323</v>
      </c>
      <c r="D3239" s="29">
        <v>5.53</v>
      </c>
      <c r="E3239" s="29" t="s">
        <v>275</v>
      </c>
      <c r="F3239" s="31" t="str">
        <f t="shared" si="101"/>
        <v>A3.01.01</v>
      </c>
      <c r="G3239" s="34">
        <f t="shared" si="100"/>
        <v>5.53</v>
      </c>
    </row>
    <row r="3240" spans="2:7" ht="13.8" customHeight="1" x14ac:dyDescent="0.25">
      <c r="B3240" s="29" t="s">
        <v>52</v>
      </c>
      <c r="C3240" s="29">
        <v>2770334</v>
      </c>
      <c r="D3240" s="29">
        <v>4.5</v>
      </c>
      <c r="E3240" s="29" t="s">
        <v>275</v>
      </c>
      <c r="F3240" s="31" t="str">
        <f t="shared" si="101"/>
        <v>A3.01.01</v>
      </c>
      <c r="G3240" s="34">
        <f t="shared" si="100"/>
        <v>4.5</v>
      </c>
    </row>
    <row r="3241" spans="2:7" ht="13.8" customHeight="1" x14ac:dyDescent="0.25">
      <c r="B3241" s="29" t="s">
        <v>52</v>
      </c>
      <c r="C3241" s="29">
        <v>2772197</v>
      </c>
      <c r="D3241" s="29">
        <v>4.76</v>
      </c>
      <c r="E3241" s="29" t="s">
        <v>275</v>
      </c>
      <c r="F3241" s="31" t="str">
        <f t="shared" si="101"/>
        <v>A3.01.01</v>
      </c>
      <c r="G3241" s="34">
        <f t="shared" si="100"/>
        <v>4.76</v>
      </c>
    </row>
    <row r="3242" spans="2:7" ht="13.8" customHeight="1" x14ac:dyDescent="0.25">
      <c r="B3242" s="29" t="s">
        <v>52</v>
      </c>
      <c r="C3242" s="29">
        <v>2770414</v>
      </c>
      <c r="D3242" s="29">
        <v>5.87</v>
      </c>
      <c r="E3242" s="29" t="s">
        <v>276</v>
      </c>
      <c r="F3242" s="31" t="str">
        <f t="shared" si="101"/>
        <v>A3.08.03</v>
      </c>
      <c r="G3242" s="34">
        <f t="shared" si="100"/>
        <v>5.87</v>
      </c>
    </row>
    <row r="3243" spans="2:7" ht="13.8" customHeight="1" x14ac:dyDescent="0.25">
      <c r="B3243" s="29" t="s">
        <v>52</v>
      </c>
      <c r="C3243" s="29">
        <v>2770485</v>
      </c>
      <c r="D3243" s="29">
        <v>3.1</v>
      </c>
      <c r="E3243" s="29" t="s">
        <v>277</v>
      </c>
      <c r="F3243" s="31" t="str">
        <f t="shared" si="101"/>
        <v>A3.08.02</v>
      </c>
      <c r="G3243" s="34">
        <f t="shared" si="100"/>
        <v>3.1</v>
      </c>
    </row>
    <row r="3244" spans="2:7" ht="13.8" customHeight="1" x14ac:dyDescent="0.25">
      <c r="B3244" s="29" t="s">
        <v>52</v>
      </c>
      <c r="C3244" s="29">
        <v>2771920</v>
      </c>
      <c r="D3244" s="29">
        <v>2.78</v>
      </c>
      <c r="E3244" s="29" t="s">
        <v>277</v>
      </c>
      <c r="F3244" s="31" t="str">
        <f t="shared" si="101"/>
        <v>A3.08.02</v>
      </c>
      <c r="G3244" s="34">
        <f t="shared" si="100"/>
        <v>2.78</v>
      </c>
    </row>
    <row r="3245" spans="2:7" ht="13.8" customHeight="1" x14ac:dyDescent="0.25">
      <c r="B3245" s="29" t="s">
        <v>52</v>
      </c>
      <c r="C3245" s="29">
        <v>2771987</v>
      </c>
      <c r="D3245" s="29">
        <v>2.0499999999999998</v>
      </c>
      <c r="E3245" s="29" t="s">
        <v>278</v>
      </c>
      <c r="F3245" s="31" t="str">
        <f t="shared" si="101"/>
        <v>C1.14.05</v>
      </c>
      <c r="G3245" s="34">
        <f t="shared" si="100"/>
        <v>2.0499999999999998</v>
      </c>
    </row>
    <row r="3246" spans="2:7" ht="13.8" customHeight="1" x14ac:dyDescent="0.25">
      <c r="B3246" s="29" t="s">
        <v>52</v>
      </c>
      <c r="C3246" s="29">
        <v>2771990</v>
      </c>
      <c r="D3246" s="29">
        <v>2.15</v>
      </c>
      <c r="E3246" s="29" t="s">
        <v>278</v>
      </c>
      <c r="F3246" s="31" t="str">
        <f t="shared" si="101"/>
        <v>C1.14.05</v>
      </c>
      <c r="G3246" s="34">
        <f t="shared" si="100"/>
        <v>2.15</v>
      </c>
    </row>
    <row r="3247" spans="2:7" ht="13.8" customHeight="1" x14ac:dyDescent="0.25">
      <c r="B3247" s="29" t="s">
        <v>52</v>
      </c>
      <c r="C3247" s="29">
        <v>2771992</v>
      </c>
      <c r="D3247" s="29">
        <v>0</v>
      </c>
      <c r="E3247" s="29" t="s">
        <v>278</v>
      </c>
      <c r="F3247" s="31" t="str">
        <f t="shared" si="101"/>
        <v>C1.14.05</v>
      </c>
      <c r="G3247" s="34">
        <f t="shared" si="100"/>
        <v>0</v>
      </c>
    </row>
    <row r="3248" spans="2:7" ht="13.8" customHeight="1" x14ac:dyDescent="0.25">
      <c r="B3248" s="29" t="s">
        <v>52</v>
      </c>
      <c r="C3248" s="29">
        <v>2770639</v>
      </c>
      <c r="D3248" s="29">
        <v>4.99</v>
      </c>
      <c r="E3248" s="29" t="s">
        <v>279</v>
      </c>
      <c r="F3248" s="31" t="str">
        <f t="shared" si="101"/>
        <v>C1.14.06</v>
      </c>
      <c r="G3248" s="34">
        <f t="shared" si="100"/>
        <v>4.99</v>
      </c>
    </row>
    <row r="3249" spans="2:7" ht="13.8" customHeight="1" x14ac:dyDescent="0.25">
      <c r="B3249" s="29" t="s">
        <v>52</v>
      </c>
      <c r="C3249" s="29">
        <v>2772001</v>
      </c>
      <c r="D3249" s="29">
        <v>2.12</v>
      </c>
      <c r="E3249" s="29" t="s">
        <v>280</v>
      </c>
      <c r="F3249" s="31" t="str">
        <f t="shared" si="101"/>
        <v>C1.14.01</v>
      </c>
      <c r="G3249" s="34">
        <f t="shared" si="100"/>
        <v>2.12</v>
      </c>
    </row>
    <row r="3250" spans="2:7" ht="13.8" customHeight="1" x14ac:dyDescent="0.25">
      <c r="B3250" s="29" t="s">
        <v>52</v>
      </c>
      <c r="C3250" s="29">
        <v>2772003</v>
      </c>
      <c r="D3250" s="29">
        <v>2.15</v>
      </c>
      <c r="E3250" s="29" t="s">
        <v>280</v>
      </c>
      <c r="F3250" s="31" t="str">
        <f t="shared" si="101"/>
        <v>C1.14.01</v>
      </c>
      <c r="G3250" s="34">
        <f t="shared" si="100"/>
        <v>2.15</v>
      </c>
    </row>
    <row r="3251" spans="2:7" ht="13.8" customHeight="1" x14ac:dyDescent="0.25">
      <c r="B3251" s="29" t="s">
        <v>52</v>
      </c>
      <c r="C3251" s="29">
        <v>2770833</v>
      </c>
      <c r="D3251" s="29">
        <v>3.72</v>
      </c>
      <c r="E3251" s="29" t="s">
        <v>282</v>
      </c>
      <c r="F3251" s="31" t="str">
        <f t="shared" si="101"/>
        <v>C1.14.03</v>
      </c>
      <c r="G3251" s="34">
        <f t="shared" si="100"/>
        <v>3.72</v>
      </c>
    </row>
    <row r="3252" spans="2:7" ht="13.8" customHeight="1" x14ac:dyDescent="0.25">
      <c r="B3252" s="29" t="s">
        <v>52</v>
      </c>
      <c r="C3252" s="29">
        <v>2771995</v>
      </c>
      <c r="D3252" s="29">
        <v>0.41</v>
      </c>
      <c r="E3252" s="29" t="s">
        <v>283</v>
      </c>
      <c r="F3252" s="31" t="str">
        <f t="shared" si="101"/>
        <v>C1.14.04</v>
      </c>
      <c r="G3252" s="34">
        <f t="shared" si="100"/>
        <v>0.41</v>
      </c>
    </row>
    <row r="3253" spans="2:7" ht="13.8" customHeight="1" x14ac:dyDescent="0.25">
      <c r="B3253" s="29" t="s">
        <v>52</v>
      </c>
      <c r="C3253" s="29">
        <v>2771996</v>
      </c>
      <c r="D3253" s="29">
        <v>0.42</v>
      </c>
      <c r="E3253" s="29" t="s">
        <v>283</v>
      </c>
      <c r="F3253" s="31" t="str">
        <f t="shared" si="101"/>
        <v>C1.14.04</v>
      </c>
      <c r="G3253" s="34">
        <f t="shared" si="100"/>
        <v>0.42</v>
      </c>
    </row>
    <row r="3254" spans="2:7" ht="13.8" customHeight="1" x14ac:dyDescent="0.25">
      <c r="B3254" s="29" t="s">
        <v>52</v>
      </c>
      <c r="C3254" s="29">
        <v>2771999</v>
      </c>
      <c r="D3254" s="29">
        <v>2.15</v>
      </c>
      <c r="E3254" s="29" t="s">
        <v>283</v>
      </c>
      <c r="F3254" s="31" t="str">
        <f t="shared" si="101"/>
        <v>C1.14.04</v>
      </c>
      <c r="G3254" s="34">
        <f t="shared" si="100"/>
        <v>2.15</v>
      </c>
    </row>
    <row r="3255" spans="2:7" ht="13.8" customHeight="1" x14ac:dyDescent="0.25">
      <c r="B3255" s="29" t="s">
        <v>52</v>
      </c>
      <c r="C3255" s="29">
        <v>2770943</v>
      </c>
      <c r="D3255" s="29">
        <v>4.17</v>
      </c>
      <c r="E3255" s="29" t="s">
        <v>284</v>
      </c>
      <c r="F3255" s="31" t="str">
        <f t="shared" si="101"/>
        <v>C1.08.05</v>
      </c>
      <c r="G3255" s="34">
        <f t="shared" si="100"/>
        <v>4.17</v>
      </c>
    </row>
    <row r="3256" spans="2:7" ht="13.8" customHeight="1" x14ac:dyDescent="0.25">
      <c r="B3256" s="29" t="s">
        <v>52</v>
      </c>
      <c r="C3256" s="29">
        <v>2773487</v>
      </c>
      <c r="D3256" s="29">
        <v>2.15</v>
      </c>
      <c r="E3256" s="29" t="s">
        <v>284</v>
      </c>
      <c r="F3256" s="31" t="str">
        <f t="shared" si="101"/>
        <v>C1.08.05</v>
      </c>
      <c r="G3256" s="34">
        <f t="shared" si="100"/>
        <v>2.15</v>
      </c>
    </row>
    <row r="3257" spans="2:7" ht="13.8" customHeight="1" x14ac:dyDescent="0.25">
      <c r="B3257" s="29" t="s">
        <v>52</v>
      </c>
      <c r="C3257" s="29">
        <v>2773488</v>
      </c>
      <c r="D3257" s="29">
        <v>2.02</v>
      </c>
      <c r="E3257" s="29" t="s">
        <v>284</v>
      </c>
      <c r="F3257" s="31" t="str">
        <f t="shared" si="101"/>
        <v>C1.08.05</v>
      </c>
      <c r="G3257" s="34">
        <f t="shared" ref="G3257:G3320" si="102">D3257</f>
        <v>2.02</v>
      </c>
    </row>
    <row r="3258" spans="2:7" ht="13.8" customHeight="1" x14ac:dyDescent="0.25">
      <c r="B3258" s="29" t="s">
        <v>52</v>
      </c>
      <c r="C3258" s="29">
        <v>2771022</v>
      </c>
      <c r="D3258" s="29">
        <v>4.99</v>
      </c>
      <c r="E3258" s="29" t="s">
        <v>285</v>
      </c>
      <c r="F3258" s="31" t="str">
        <f t="shared" si="101"/>
        <v>C1.08.06</v>
      </c>
      <c r="G3258" s="34">
        <f t="shared" si="102"/>
        <v>4.99</v>
      </c>
    </row>
    <row r="3259" spans="2:7" ht="13.8" customHeight="1" x14ac:dyDescent="0.25">
      <c r="B3259" s="29" t="s">
        <v>52</v>
      </c>
      <c r="C3259" s="29">
        <v>2771034</v>
      </c>
      <c r="D3259" s="29">
        <v>4.99</v>
      </c>
      <c r="E3259" s="29" t="s">
        <v>285</v>
      </c>
      <c r="F3259" s="31" t="str">
        <f t="shared" si="101"/>
        <v>C1.08.06</v>
      </c>
      <c r="G3259" s="34">
        <f t="shared" si="102"/>
        <v>4.99</v>
      </c>
    </row>
    <row r="3260" spans="2:7" ht="13.8" customHeight="1" x14ac:dyDescent="0.25">
      <c r="B3260" s="29" t="s">
        <v>52</v>
      </c>
      <c r="C3260" s="29">
        <v>2771100</v>
      </c>
      <c r="D3260" s="29">
        <v>4.99</v>
      </c>
      <c r="E3260" s="29" t="s">
        <v>286</v>
      </c>
      <c r="F3260" s="31" t="str">
        <f t="shared" si="101"/>
        <v>C1.08.02</v>
      </c>
      <c r="G3260" s="34">
        <f t="shared" si="102"/>
        <v>4.99</v>
      </c>
    </row>
    <row r="3261" spans="2:7" ht="13.8" customHeight="1" x14ac:dyDescent="0.25">
      <c r="B3261" s="29" t="s">
        <v>52</v>
      </c>
      <c r="C3261" s="29">
        <v>2771109</v>
      </c>
      <c r="D3261" s="29">
        <v>4.22</v>
      </c>
      <c r="E3261" s="29" t="s">
        <v>286</v>
      </c>
      <c r="F3261" s="31" t="str">
        <f t="shared" si="101"/>
        <v>C1.08.02</v>
      </c>
      <c r="G3261" s="34">
        <f t="shared" si="102"/>
        <v>4.22</v>
      </c>
    </row>
    <row r="3262" spans="2:7" ht="13.8" customHeight="1" x14ac:dyDescent="0.25">
      <c r="B3262" s="29" t="s">
        <v>52</v>
      </c>
      <c r="C3262" s="29">
        <v>2771144</v>
      </c>
      <c r="D3262" s="29">
        <v>3.72</v>
      </c>
      <c r="E3262" s="29" t="s">
        <v>287</v>
      </c>
      <c r="F3262" s="31" t="str">
        <f t="shared" si="101"/>
        <v>C1.08.03</v>
      </c>
      <c r="G3262" s="34">
        <f t="shared" si="102"/>
        <v>3.72</v>
      </c>
    </row>
    <row r="3263" spans="2:7" ht="13.8" customHeight="1" x14ac:dyDescent="0.25">
      <c r="B3263" s="29" t="s">
        <v>52</v>
      </c>
      <c r="C3263" s="29">
        <v>2771149</v>
      </c>
      <c r="D3263" s="29">
        <v>2.97</v>
      </c>
      <c r="E3263" s="29" t="s">
        <v>287</v>
      </c>
      <c r="F3263" s="31" t="str">
        <f t="shared" si="101"/>
        <v>C1.08.03</v>
      </c>
      <c r="G3263" s="34">
        <f t="shared" si="102"/>
        <v>2.97</v>
      </c>
    </row>
    <row r="3264" spans="2:7" ht="13.8" customHeight="1" x14ac:dyDescent="0.25">
      <c r="B3264" s="29" t="s">
        <v>52</v>
      </c>
      <c r="C3264" s="29">
        <v>2771189</v>
      </c>
      <c r="D3264" s="29">
        <v>2.97</v>
      </c>
      <c r="E3264" s="29" t="s">
        <v>288</v>
      </c>
      <c r="F3264" s="31" t="str">
        <f t="shared" si="101"/>
        <v>C1.08.04</v>
      </c>
      <c r="G3264" s="34">
        <f t="shared" si="102"/>
        <v>2.97</v>
      </c>
    </row>
    <row r="3265" spans="2:7" ht="13.8" customHeight="1" x14ac:dyDescent="0.25">
      <c r="B3265" s="29" t="s">
        <v>52</v>
      </c>
      <c r="C3265" s="29">
        <v>2773490</v>
      </c>
      <c r="D3265" s="29">
        <v>0.41</v>
      </c>
      <c r="E3265" s="29" t="s">
        <v>288</v>
      </c>
      <c r="F3265" s="31" t="str">
        <f t="shared" si="101"/>
        <v>C1.08.04</v>
      </c>
      <c r="G3265" s="34">
        <f t="shared" si="102"/>
        <v>0.41</v>
      </c>
    </row>
    <row r="3266" spans="2:7" ht="13.8" customHeight="1" x14ac:dyDescent="0.25">
      <c r="B3266" s="29" t="s">
        <v>52</v>
      </c>
      <c r="C3266" s="29">
        <v>2773495</v>
      </c>
      <c r="D3266" s="29">
        <v>0.42</v>
      </c>
      <c r="E3266" s="29" t="s">
        <v>288</v>
      </c>
      <c r="F3266" s="31" t="str">
        <f t="shared" si="101"/>
        <v>C1.08.04</v>
      </c>
      <c r="G3266" s="34">
        <f t="shared" si="102"/>
        <v>0.42</v>
      </c>
    </row>
    <row r="3267" spans="2:7" ht="13.8" customHeight="1" x14ac:dyDescent="0.25">
      <c r="B3267" s="29" t="s">
        <v>52</v>
      </c>
      <c r="C3267" s="29">
        <v>2773496</v>
      </c>
      <c r="D3267" s="29">
        <v>2.15</v>
      </c>
      <c r="E3267" s="29" t="s">
        <v>288</v>
      </c>
      <c r="F3267" s="31" t="str">
        <f t="shared" si="101"/>
        <v>C1.08.04</v>
      </c>
      <c r="G3267" s="34">
        <f t="shared" si="102"/>
        <v>2.15</v>
      </c>
    </row>
    <row r="3268" spans="2:7" ht="13.8" customHeight="1" x14ac:dyDescent="0.25">
      <c r="B3268" s="29" t="s">
        <v>52</v>
      </c>
      <c r="C3268" s="29">
        <v>2771269</v>
      </c>
      <c r="D3268" s="29">
        <v>4.2699999999999996</v>
      </c>
      <c r="E3268" s="29" t="s">
        <v>289</v>
      </c>
      <c r="F3268" s="31" t="str">
        <f t="shared" si="101"/>
        <v>C1.08.01</v>
      </c>
      <c r="G3268" s="34">
        <f t="shared" si="102"/>
        <v>4.2699999999999996</v>
      </c>
    </row>
    <row r="3269" spans="2:7" ht="13.8" customHeight="1" x14ac:dyDescent="0.25">
      <c r="B3269" s="29" t="s">
        <v>52</v>
      </c>
      <c r="C3269" s="29">
        <v>2771982</v>
      </c>
      <c r="D3269" s="29">
        <v>2.12</v>
      </c>
      <c r="E3269" s="29" t="s">
        <v>289</v>
      </c>
      <c r="F3269" s="31" t="str">
        <f t="shared" si="101"/>
        <v>C1.08.01</v>
      </c>
      <c r="G3269" s="34">
        <f t="shared" si="102"/>
        <v>2.12</v>
      </c>
    </row>
    <row r="3270" spans="2:7" ht="13.8" customHeight="1" x14ac:dyDescent="0.25">
      <c r="B3270" s="29" t="s">
        <v>52</v>
      </c>
      <c r="C3270" s="29">
        <v>2771986</v>
      </c>
      <c r="D3270" s="29">
        <v>2.15</v>
      </c>
      <c r="E3270" s="29" t="s">
        <v>289</v>
      </c>
      <c r="F3270" s="31" t="str">
        <f t="shared" si="101"/>
        <v>C1.08.01</v>
      </c>
      <c r="G3270" s="34">
        <f t="shared" si="102"/>
        <v>2.15</v>
      </c>
    </row>
    <row r="3271" spans="2:7" ht="13.8" customHeight="1" x14ac:dyDescent="0.25">
      <c r="B3271" s="29" t="s">
        <v>52</v>
      </c>
      <c r="C3271" s="29">
        <v>2771337</v>
      </c>
      <c r="D3271" s="29">
        <v>5.69</v>
      </c>
      <c r="E3271" s="29" t="s">
        <v>290</v>
      </c>
      <c r="F3271" s="31" t="str">
        <f t="shared" si="101"/>
        <v>C1.09.08</v>
      </c>
      <c r="G3271" s="34">
        <f t="shared" si="102"/>
        <v>5.69</v>
      </c>
    </row>
    <row r="3272" spans="2:7" ht="13.8" customHeight="1" x14ac:dyDescent="0.25">
      <c r="B3272" s="29" t="s">
        <v>52</v>
      </c>
      <c r="C3272" s="29">
        <v>2771409</v>
      </c>
      <c r="D3272" s="29">
        <v>5.69</v>
      </c>
      <c r="E3272" s="29" t="s">
        <v>291</v>
      </c>
      <c r="F3272" s="31" t="str">
        <f t="shared" ref="F3272:F3335" si="103">LEFT(E3272,8)</f>
        <v>C1.09.07</v>
      </c>
      <c r="G3272" s="34">
        <f t="shared" si="102"/>
        <v>5.69</v>
      </c>
    </row>
    <row r="3273" spans="2:7" ht="13.8" customHeight="1" x14ac:dyDescent="0.25">
      <c r="B3273" s="29" t="s">
        <v>52</v>
      </c>
      <c r="C3273" s="29">
        <v>2771474</v>
      </c>
      <c r="D3273" s="29">
        <v>5.69</v>
      </c>
      <c r="E3273" s="29" t="s">
        <v>292</v>
      </c>
      <c r="F3273" s="31" t="str">
        <f t="shared" si="103"/>
        <v>C1.08.08</v>
      </c>
      <c r="G3273" s="34">
        <f t="shared" si="102"/>
        <v>5.69</v>
      </c>
    </row>
    <row r="3274" spans="2:7" ht="13.8" customHeight="1" x14ac:dyDescent="0.25">
      <c r="B3274" s="29" t="s">
        <v>52</v>
      </c>
      <c r="C3274" s="29">
        <v>2771483</v>
      </c>
      <c r="D3274" s="29">
        <v>4.79</v>
      </c>
      <c r="E3274" s="29" t="s">
        <v>292</v>
      </c>
      <c r="F3274" s="31" t="str">
        <f t="shared" si="103"/>
        <v>C1.08.08</v>
      </c>
      <c r="G3274" s="34">
        <f t="shared" si="102"/>
        <v>4.79</v>
      </c>
    </row>
    <row r="3275" spans="2:7" ht="13.8" customHeight="1" x14ac:dyDescent="0.25">
      <c r="B3275" s="29" t="s">
        <v>52</v>
      </c>
      <c r="C3275" s="29">
        <v>2771554</v>
      </c>
      <c r="D3275" s="29">
        <v>5.69</v>
      </c>
      <c r="E3275" s="29" t="s">
        <v>293</v>
      </c>
      <c r="F3275" s="31" t="str">
        <f t="shared" si="103"/>
        <v>C1.08.07</v>
      </c>
      <c r="G3275" s="34">
        <f t="shared" si="102"/>
        <v>5.69</v>
      </c>
    </row>
    <row r="3276" spans="2:7" ht="13.8" customHeight="1" x14ac:dyDescent="0.25">
      <c r="B3276" s="29" t="s">
        <v>52</v>
      </c>
      <c r="C3276" s="29">
        <v>2771555</v>
      </c>
      <c r="D3276" s="29">
        <v>4.79</v>
      </c>
      <c r="E3276" s="29" t="s">
        <v>293</v>
      </c>
      <c r="F3276" s="31" t="str">
        <f t="shared" si="103"/>
        <v>C1.08.07</v>
      </c>
      <c r="G3276" s="34">
        <f t="shared" si="102"/>
        <v>4.79</v>
      </c>
    </row>
    <row r="3277" spans="2:7" ht="13.8" customHeight="1" x14ac:dyDescent="0.25">
      <c r="B3277" s="29" t="s">
        <v>52</v>
      </c>
      <c r="C3277" s="29">
        <v>2771611</v>
      </c>
      <c r="D3277" s="29">
        <v>0.79</v>
      </c>
      <c r="E3277" s="29" t="s">
        <v>294</v>
      </c>
      <c r="F3277" s="31" t="str">
        <f t="shared" si="103"/>
        <v>C1.01.02</v>
      </c>
      <c r="G3277" s="34">
        <f t="shared" si="102"/>
        <v>0.79</v>
      </c>
    </row>
    <row r="3278" spans="2:7" ht="13.8" customHeight="1" x14ac:dyDescent="0.25">
      <c r="B3278" s="29" t="s">
        <v>52</v>
      </c>
      <c r="C3278" s="29">
        <v>2771622</v>
      </c>
      <c r="D3278" s="29">
        <v>4.22</v>
      </c>
      <c r="E3278" s="29" t="s">
        <v>294</v>
      </c>
      <c r="F3278" s="31" t="str">
        <f t="shared" si="103"/>
        <v>C1.01.02</v>
      </c>
      <c r="G3278" s="34">
        <f t="shared" si="102"/>
        <v>4.22</v>
      </c>
    </row>
    <row r="3279" spans="2:7" ht="13.8" customHeight="1" x14ac:dyDescent="0.25">
      <c r="B3279" s="29" t="s">
        <v>52</v>
      </c>
      <c r="C3279" s="29">
        <v>2773168</v>
      </c>
      <c r="D3279" s="29">
        <v>2.15</v>
      </c>
      <c r="E3279" s="29" t="s">
        <v>294</v>
      </c>
      <c r="F3279" s="31" t="str">
        <f t="shared" si="103"/>
        <v>C1.01.02</v>
      </c>
      <c r="G3279" s="34">
        <f t="shared" si="102"/>
        <v>2.15</v>
      </c>
    </row>
    <row r="3280" spans="2:7" ht="13.8" customHeight="1" x14ac:dyDescent="0.25">
      <c r="B3280" s="29" t="s">
        <v>52</v>
      </c>
      <c r="C3280" s="29">
        <v>2773169</v>
      </c>
      <c r="D3280" s="29">
        <v>5.67</v>
      </c>
      <c r="E3280" s="29" t="s">
        <v>294</v>
      </c>
      <c r="F3280" s="31" t="str">
        <f t="shared" si="103"/>
        <v>C1.01.02</v>
      </c>
      <c r="G3280" s="34">
        <f t="shared" si="102"/>
        <v>5.67</v>
      </c>
    </row>
    <row r="3281" spans="2:7" ht="13.8" customHeight="1" x14ac:dyDescent="0.25">
      <c r="B3281" s="29" t="s">
        <v>52</v>
      </c>
      <c r="C3281" s="29">
        <v>2771650</v>
      </c>
      <c r="D3281" s="29">
        <v>1.05</v>
      </c>
      <c r="E3281" s="29" t="s">
        <v>295</v>
      </c>
      <c r="F3281" s="31" t="str">
        <f t="shared" si="103"/>
        <v>C1.01.03</v>
      </c>
      <c r="G3281" s="34">
        <f t="shared" si="102"/>
        <v>1.05</v>
      </c>
    </row>
    <row r="3282" spans="2:7" ht="13.8" customHeight="1" x14ac:dyDescent="0.25">
      <c r="B3282" s="29" t="s">
        <v>52</v>
      </c>
      <c r="C3282" s="29">
        <v>2771656</v>
      </c>
      <c r="D3282" s="29">
        <v>2.97</v>
      </c>
      <c r="E3282" s="29" t="s">
        <v>295</v>
      </c>
      <c r="F3282" s="31" t="str">
        <f t="shared" si="103"/>
        <v>C1.01.03</v>
      </c>
      <c r="G3282" s="34">
        <f t="shared" si="102"/>
        <v>2.97</v>
      </c>
    </row>
    <row r="3283" spans="2:7" ht="13.8" customHeight="1" x14ac:dyDescent="0.25">
      <c r="B3283" s="29" t="s">
        <v>52</v>
      </c>
      <c r="C3283" s="29">
        <v>2773084</v>
      </c>
      <c r="D3283" s="29">
        <v>3.35</v>
      </c>
      <c r="E3283" s="29" t="s">
        <v>295</v>
      </c>
      <c r="F3283" s="31" t="str">
        <f t="shared" si="103"/>
        <v>C1.01.03</v>
      </c>
      <c r="G3283" s="34">
        <f t="shared" si="102"/>
        <v>3.35</v>
      </c>
    </row>
    <row r="3284" spans="2:7" ht="13.8" customHeight="1" x14ac:dyDescent="0.25">
      <c r="B3284" s="29" t="s">
        <v>52</v>
      </c>
      <c r="C3284" s="29">
        <v>2773156</v>
      </c>
      <c r="D3284" s="29">
        <v>2.15</v>
      </c>
      <c r="E3284" s="29" t="s">
        <v>295</v>
      </c>
      <c r="F3284" s="31" t="str">
        <f t="shared" si="103"/>
        <v>C1.01.03</v>
      </c>
      <c r="G3284" s="34">
        <f t="shared" si="102"/>
        <v>2.15</v>
      </c>
    </row>
    <row r="3285" spans="2:7" ht="13.8" customHeight="1" x14ac:dyDescent="0.25">
      <c r="B3285" s="29" t="s">
        <v>52</v>
      </c>
      <c r="C3285" s="29">
        <v>2773158</v>
      </c>
      <c r="D3285" s="29">
        <v>1.07</v>
      </c>
      <c r="E3285" s="29" t="s">
        <v>295</v>
      </c>
      <c r="F3285" s="31" t="str">
        <f t="shared" si="103"/>
        <v>C1.01.03</v>
      </c>
      <c r="G3285" s="34">
        <f t="shared" si="102"/>
        <v>1.07</v>
      </c>
    </row>
    <row r="3286" spans="2:7" ht="13.8" customHeight="1" x14ac:dyDescent="0.25">
      <c r="B3286" s="29" t="s">
        <v>52</v>
      </c>
      <c r="C3286" s="29">
        <v>2771684</v>
      </c>
      <c r="D3286" s="29">
        <v>4.32</v>
      </c>
      <c r="E3286" s="29" t="s">
        <v>296</v>
      </c>
      <c r="F3286" s="31" t="str">
        <f t="shared" si="103"/>
        <v>C1.01.04</v>
      </c>
      <c r="G3286" s="34">
        <f t="shared" si="102"/>
        <v>4.32</v>
      </c>
    </row>
    <row r="3287" spans="2:7" ht="13.8" customHeight="1" x14ac:dyDescent="0.25">
      <c r="B3287" s="29" t="s">
        <v>52</v>
      </c>
      <c r="C3287" s="29">
        <v>2771688</v>
      </c>
      <c r="D3287" s="29">
        <v>2.97</v>
      </c>
      <c r="E3287" s="29" t="s">
        <v>296</v>
      </c>
      <c r="F3287" s="31" t="str">
        <f t="shared" si="103"/>
        <v>C1.01.04</v>
      </c>
      <c r="G3287" s="34">
        <f t="shared" si="102"/>
        <v>2.97</v>
      </c>
    </row>
    <row r="3288" spans="2:7" ht="13.8" customHeight="1" x14ac:dyDescent="0.25">
      <c r="B3288" s="29" t="s">
        <v>52</v>
      </c>
      <c r="C3288" s="29">
        <v>2773108</v>
      </c>
      <c r="D3288" s="29">
        <v>2.15</v>
      </c>
      <c r="E3288" s="29" t="s">
        <v>296</v>
      </c>
      <c r="F3288" s="31" t="str">
        <f t="shared" si="103"/>
        <v>C1.01.04</v>
      </c>
      <c r="G3288" s="34">
        <f t="shared" si="102"/>
        <v>2.15</v>
      </c>
    </row>
    <row r="3289" spans="2:7" ht="13.8" customHeight="1" x14ac:dyDescent="0.25">
      <c r="B3289" s="29" t="s">
        <v>52</v>
      </c>
      <c r="C3289" s="29">
        <v>2773109</v>
      </c>
      <c r="D3289" s="29">
        <v>1.1599999999999999</v>
      </c>
      <c r="E3289" s="29" t="s">
        <v>296</v>
      </c>
      <c r="F3289" s="31" t="str">
        <f t="shared" si="103"/>
        <v>C1.01.04</v>
      </c>
      <c r="G3289" s="34">
        <f t="shared" si="102"/>
        <v>1.1599999999999999</v>
      </c>
    </row>
    <row r="3290" spans="2:7" ht="13.8" customHeight="1" x14ac:dyDescent="0.25">
      <c r="B3290" s="29" t="s">
        <v>52</v>
      </c>
      <c r="C3290" s="29">
        <v>2771733</v>
      </c>
      <c r="D3290" s="29">
        <v>2.75</v>
      </c>
      <c r="E3290" s="29" t="s">
        <v>297</v>
      </c>
      <c r="F3290" s="31" t="str">
        <f t="shared" si="103"/>
        <v>C1.01.05</v>
      </c>
      <c r="G3290" s="34">
        <f t="shared" si="102"/>
        <v>2.75</v>
      </c>
    </row>
    <row r="3291" spans="2:7" ht="13.8" customHeight="1" x14ac:dyDescent="0.25">
      <c r="B3291" s="29" t="s">
        <v>52</v>
      </c>
      <c r="C3291" s="29">
        <v>2771738</v>
      </c>
      <c r="D3291" s="29">
        <v>4.22</v>
      </c>
      <c r="E3291" s="29" t="s">
        <v>297</v>
      </c>
      <c r="F3291" s="31" t="str">
        <f t="shared" si="103"/>
        <v>C1.01.05</v>
      </c>
      <c r="G3291" s="34">
        <f t="shared" si="102"/>
        <v>4.22</v>
      </c>
    </row>
    <row r="3292" spans="2:7" ht="13.8" customHeight="1" x14ac:dyDescent="0.25">
      <c r="B3292" s="29" t="s">
        <v>52</v>
      </c>
      <c r="C3292" s="29">
        <v>2773082</v>
      </c>
      <c r="D3292" s="29">
        <v>5.85</v>
      </c>
      <c r="E3292" s="29" t="s">
        <v>297</v>
      </c>
      <c r="F3292" s="31" t="str">
        <f t="shared" si="103"/>
        <v>C1.01.05</v>
      </c>
      <c r="G3292" s="34">
        <f t="shared" si="102"/>
        <v>5.85</v>
      </c>
    </row>
    <row r="3293" spans="2:7" ht="13.8" customHeight="1" x14ac:dyDescent="0.25">
      <c r="B3293" s="29" t="s">
        <v>52</v>
      </c>
      <c r="C3293" s="29">
        <v>2771783</v>
      </c>
      <c r="D3293" s="29">
        <v>0.79</v>
      </c>
      <c r="E3293" s="29" t="s">
        <v>298</v>
      </c>
      <c r="F3293" s="31" t="str">
        <f t="shared" si="103"/>
        <v>C1.01.06</v>
      </c>
      <c r="G3293" s="34">
        <f t="shared" si="102"/>
        <v>0.79</v>
      </c>
    </row>
    <row r="3294" spans="2:7" ht="13.8" customHeight="1" x14ac:dyDescent="0.25">
      <c r="B3294" s="29" t="s">
        <v>52</v>
      </c>
      <c r="C3294" s="29">
        <v>2771792</v>
      </c>
      <c r="D3294" s="29">
        <v>4.2</v>
      </c>
      <c r="E3294" s="29" t="s">
        <v>298</v>
      </c>
      <c r="F3294" s="31" t="str">
        <f t="shared" si="103"/>
        <v>C1.01.06</v>
      </c>
      <c r="G3294" s="34">
        <f t="shared" si="102"/>
        <v>4.2</v>
      </c>
    </row>
    <row r="3295" spans="2:7" ht="13.8" customHeight="1" x14ac:dyDescent="0.25">
      <c r="B3295" s="29" t="s">
        <v>52</v>
      </c>
      <c r="C3295" s="29">
        <v>2773200</v>
      </c>
      <c r="D3295" s="29">
        <v>2.15</v>
      </c>
      <c r="E3295" s="29" t="s">
        <v>298</v>
      </c>
      <c r="F3295" s="31" t="str">
        <f t="shared" si="103"/>
        <v>C1.01.06</v>
      </c>
      <c r="G3295" s="34">
        <f t="shared" si="102"/>
        <v>2.15</v>
      </c>
    </row>
    <row r="3296" spans="2:7" ht="13.8" customHeight="1" x14ac:dyDescent="0.25">
      <c r="B3296" s="29" t="s">
        <v>52</v>
      </c>
      <c r="C3296" s="29">
        <v>2773202</v>
      </c>
      <c r="D3296" s="29">
        <v>1.01</v>
      </c>
      <c r="E3296" s="29" t="s">
        <v>298</v>
      </c>
      <c r="F3296" s="31" t="str">
        <f t="shared" si="103"/>
        <v>C1.01.06</v>
      </c>
      <c r="G3296" s="34">
        <f t="shared" si="102"/>
        <v>1.01</v>
      </c>
    </row>
    <row r="3297" spans="2:7" ht="13.8" customHeight="1" x14ac:dyDescent="0.25">
      <c r="B3297" s="29" t="s">
        <v>52</v>
      </c>
      <c r="C3297" s="29">
        <v>2773215</v>
      </c>
      <c r="D3297" s="29">
        <v>1.04</v>
      </c>
      <c r="E3297" s="29" t="s">
        <v>298</v>
      </c>
      <c r="F3297" s="31" t="str">
        <f t="shared" si="103"/>
        <v>C1.01.06</v>
      </c>
      <c r="G3297" s="34">
        <f t="shared" si="102"/>
        <v>1.04</v>
      </c>
    </row>
    <row r="3298" spans="2:7" ht="13.8" customHeight="1" x14ac:dyDescent="0.25">
      <c r="B3298" s="29" t="s">
        <v>52</v>
      </c>
      <c r="C3298" s="29">
        <v>2771856</v>
      </c>
      <c r="D3298" s="29">
        <v>4.2</v>
      </c>
      <c r="E3298" s="29" t="s">
        <v>299</v>
      </c>
      <c r="F3298" s="31" t="str">
        <f t="shared" si="103"/>
        <v>C1.01.01</v>
      </c>
      <c r="G3298" s="34">
        <f t="shared" si="102"/>
        <v>4.2</v>
      </c>
    </row>
    <row r="3299" spans="2:7" ht="13.8" customHeight="1" x14ac:dyDescent="0.25">
      <c r="B3299" s="29" t="s">
        <v>52</v>
      </c>
      <c r="C3299" s="29">
        <v>2770793</v>
      </c>
      <c r="D3299" s="29">
        <v>4.99</v>
      </c>
      <c r="E3299" s="29" t="s">
        <v>281</v>
      </c>
      <c r="F3299" s="31" t="str">
        <f t="shared" si="103"/>
        <v>C1.14.02</v>
      </c>
      <c r="G3299" s="34">
        <f t="shared" si="102"/>
        <v>4.99</v>
      </c>
    </row>
    <row r="3300" spans="2:7" ht="13.8" customHeight="1" x14ac:dyDescent="0.25">
      <c r="B3300" s="29" t="s">
        <v>56</v>
      </c>
      <c r="C3300" s="29">
        <v>2773634</v>
      </c>
      <c r="D3300" s="29">
        <v>1.87</v>
      </c>
      <c r="E3300" s="29" t="s">
        <v>205</v>
      </c>
      <c r="F3300" s="31" t="str">
        <f t="shared" si="103"/>
        <v>E2.01.04</v>
      </c>
      <c r="G3300" s="34">
        <f t="shared" si="102"/>
        <v>1.87</v>
      </c>
    </row>
    <row r="3301" spans="2:7" ht="13.8" customHeight="1" x14ac:dyDescent="0.25">
      <c r="B3301" s="29" t="s">
        <v>56</v>
      </c>
      <c r="C3301" s="29">
        <v>2773638</v>
      </c>
      <c r="D3301" s="29">
        <v>2.88</v>
      </c>
      <c r="E3301" s="29" t="s">
        <v>205</v>
      </c>
      <c r="F3301" s="31" t="str">
        <f t="shared" si="103"/>
        <v>E2.01.04</v>
      </c>
      <c r="G3301" s="34">
        <f t="shared" si="102"/>
        <v>2.88</v>
      </c>
    </row>
    <row r="3302" spans="2:7" ht="13.8" customHeight="1" x14ac:dyDescent="0.25">
      <c r="B3302" s="29" t="s">
        <v>56</v>
      </c>
      <c r="C3302" s="29">
        <v>2773282</v>
      </c>
      <c r="D3302" s="29">
        <v>3.96</v>
      </c>
      <c r="E3302" s="29" t="s">
        <v>206</v>
      </c>
      <c r="F3302" s="31" t="str">
        <f t="shared" si="103"/>
        <v>E2.01.03</v>
      </c>
      <c r="G3302" s="34">
        <f t="shared" si="102"/>
        <v>3.96</v>
      </c>
    </row>
    <row r="3303" spans="2:7" ht="13.8" customHeight="1" x14ac:dyDescent="0.25">
      <c r="B3303" s="29" t="s">
        <v>56</v>
      </c>
      <c r="C3303" s="29">
        <v>2773290</v>
      </c>
      <c r="D3303" s="29">
        <v>3.96</v>
      </c>
      <c r="E3303" s="29" t="s">
        <v>206</v>
      </c>
      <c r="F3303" s="31" t="str">
        <f t="shared" si="103"/>
        <v>E2.01.03</v>
      </c>
      <c r="G3303" s="34">
        <f t="shared" si="102"/>
        <v>3.96</v>
      </c>
    </row>
    <row r="3304" spans="2:7" ht="13.8" customHeight="1" x14ac:dyDescent="0.25">
      <c r="B3304" s="29" t="s">
        <v>56</v>
      </c>
      <c r="C3304" s="29">
        <v>2773299</v>
      </c>
      <c r="D3304" s="29">
        <v>6.86</v>
      </c>
      <c r="E3304" s="29" t="s">
        <v>208</v>
      </c>
      <c r="F3304" s="31" t="str">
        <f t="shared" si="103"/>
        <v>E2.01.02</v>
      </c>
      <c r="G3304" s="34">
        <f t="shared" si="102"/>
        <v>6.86</v>
      </c>
    </row>
    <row r="3305" spans="2:7" ht="13.8" customHeight="1" x14ac:dyDescent="0.25">
      <c r="B3305" s="29" t="s">
        <v>56</v>
      </c>
      <c r="C3305" s="29">
        <v>2773308</v>
      </c>
      <c r="D3305" s="29">
        <v>6.86</v>
      </c>
      <c r="E3305" s="29" t="s">
        <v>208</v>
      </c>
      <c r="F3305" s="31" t="str">
        <f t="shared" si="103"/>
        <v>E2.01.02</v>
      </c>
      <c r="G3305" s="34">
        <f t="shared" si="102"/>
        <v>6.86</v>
      </c>
    </row>
    <row r="3306" spans="2:7" ht="13.8" customHeight="1" x14ac:dyDescent="0.25">
      <c r="B3306" s="29" t="s">
        <v>56</v>
      </c>
      <c r="C3306" s="29">
        <v>2772159</v>
      </c>
      <c r="D3306" s="29">
        <v>2.71</v>
      </c>
      <c r="E3306" s="29" t="s">
        <v>272</v>
      </c>
      <c r="F3306" s="31" t="str">
        <f t="shared" si="103"/>
        <v>A6.01.01</v>
      </c>
      <c r="G3306" s="34">
        <f t="shared" si="102"/>
        <v>2.71</v>
      </c>
    </row>
    <row r="3307" spans="2:7" ht="13.8" customHeight="1" x14ac:dyDescent="0.25">
      <c r="B3307" s="29" t="s">
        <v>56</v>
      </c>
      <c r="C3307" s="29">
        <v>2772170</v>
      </c>
      <c r="D3307" s="29">
        <v>2.71</v>
      </c>
      <c r="E3307" s="29" t="s">
        <v>272</v>
      </c>
      <c r="F3307" s="31" t="str">
        <f t="shared" si="103"/>
        <v>A6.01.01</v>
      </c>
      <c r="G3307" s="34">
        <f t="shared" si="102"/>
        <v>2.71</v>
      </c>
    </row>
    <row r="3308" spans="2:7" ht="13.8" customHeight="1" x14ac:dyDescent="0.25">
      <c r="B3308" s="29" t="s">
        <v>56</v>
      </c>
      <c r="C3308" s="29">
        <v>2772171</v>
      </c>
      <c r="D3308" s="29">
        <v>4.8600000000000003</v>
      </c>
      <c r="E3308" s="29" t="s">
        <v>272</v>
      </c>
      <c r="F3308" s="31" t="str">
        <f t="shared" si="103"/>
        <v>A6.01.01</v>
      </c>
      <c r="G3308" s="34">
        <f t="shared" si="102"/>
        <v>4.8600000000000003</v>
      </c>
    </row>
    <row r="3309" spans="2:7" ht="13.8" customHeight="1" x14ac:dyDescent="0.25">
      <c r="B3309" s="29" t="s">
        <v>56</v>
      </c>
      <c r="C3309" s="29">
        <v>2772174</v>
      </c>
      <c r="D3309" s="29">
        <v>1.55</v>
      </c>
      <c r="E3309" s="29" t="s">
        <v>273</v>
      </c>
      <c r="F3309" s="31" t="str">
        <f t="shared" si="103"/>
        <v>A6.01.02</v>
      </c>
      <c r="G3309" s="34">
        <f t="shared" si="102"/>
        <v>1.55</v>
      </c>
    </row>
    <row r="3310" spans="2:7" ht="13.8" customHeight="1" x14ac:dyDescent="0.25">
      <c r="B3310" s="29" t="s">
        <v>56</v>
      </c>
      <c r="C3310" s="29">
        <v>2772178</v>
      </c>
      <c r="D3310" s="29">
        <v>1.7</v>
      </c>
      <c r="E3310" s="29" t="s">
        <v>273</v>
      </c>
      <c r="F3310" s="31" t="str">
        <f t="shared" si="103"/>
        <v>A6.01.02</v>
      </c>
      <c r="G3310" s="34">
        <f t="shared" si="102"/>
        <v>1.7</v>
      </c>
    </row>
    <row r="3311" spans="2:7" ht="13.8" customHeight="1" x14ac:dyDescent="0.25">
      <c r="B3311" s="29" t="s">
        <v>56</v>
      </c>
      <c r="C3311" s="29">
        <v>2772966</v>
      </c>
      <c r="D3311" s="29">
        <v>2.71</v>
      </c>
      <c r="E3311" s="29" t="s">
        <v>274</v>
      </c>
      <c r="F3311" s="31" t="str">
        <f t="shared" si="103"/>
        <v>A3.01.02</v>
      </c>
      <c r="G3311" s="34">
        <f t="shared" si="102"/>
        <v>2.71</v>
      </c>
    </row>
    <row r="3312" spans="2:7" ht="13.8" customHeight="1" x14ac:dyDescent="0.25">
      <c r="B3312" s="29" t="s">
        <v>56</v>
      </c>
      <c r="C3312" s="29">
        <v>2772976</v>
      </c>
      <c r="D3312" s="29">
        <v>1.7</v>
      </c>
      <c r="E3312" s="29" t="s">
        <v>274</v>
      </c>
      <c r="F3312" s="31" t="str">
        <f t="shared" si="103"/>
        <v>A3.01.02</v>
      </c>
      <c r="G3312" s="34">
        <f t="shared" si="102"/>
        <v>1.7</v>
      </c>
    </row>
    <row r="3313" spans="2:7" ht="13.8" customHeight="1" x14ac:dyDescent="0.25">
      <c r="B3313" s="29" t="s">
        <v>56</v>
      </c>
      <c r="C3313" s="29">
        <v>2772979</v>
      </c>
      <c r="D3313" s="29">
        <v>1.55</v>
      </c>
      <c r="E3313" s="29" t="s">
        <v>274</v>
      </c>
      <c r="F3313" s="31" t="str">
        <f t="shared" si="103"/>
        <v>A3.01.02</v>
      </c>
      <c r="G3313" s="34">
        <f t="shared" si="102"/>
        <v>1.55</v>
      </c>
    </row>
    <row r="3314" spans="2:7" ht="13.8" customHeight="1" x14ac:dyDescent="0.25">
      <c r="B3314" s="29" t="s">
        <v>56</v>
      </c>
      <c r="C3314" s="29">
        <v>2772196</v>
      </c>
      <c r="D3314" s="29">
        <v>4.76</v>
      </c>
      <c r="E3314" s="29" t="s">
        <v>275</v>
      </c>
      <c r="F3314" s="31" t="str">
        <f t="shared" si="103"/>
        <v>A3.01.01</v>
      </c>
      <c r="G3314" s="34">
        <f t="shared" si="102"/>
        <v>4.76</v>
      </c>
    </row>
    <row r="3315" spans="2:7" ht="13.8" customHeight="1" x14ac:dyDescent="0.25">
      <c r="B3315" s="29" t="s">
        <v>56</v>
      </c>
      <c r="C3315" s="29">
        <v>2772199</v>
      </c>
      <c r="D3315" s="29">
        <v>2.71</v>
      </c>
      <c r="E3315" s="29" t="s">
        <v>275</v>
      </c>
      <c r="F3315" s="31" t="str">
        <f t="shared" si="103"/>
        <v>A3.01.01</v>
      </c>
      <c r="G3315" s="34">
        <f t="shared" si="102"/>
        <v>2.71</v>
      </c>
    </row>
    <row r="3316" spans="2:7" ht="13.8" customHeight="1" x14ac:dyDescent="0.25">
      <c r="B3316" s="29" t="s">
        <v>56</v>
      </c>
      <c r="C3316" s="29">
        <v>2773148</v>
      </c>
      <c r="D3316" s="29">
        <v>6.6</v>
      </c>
      <c r="E3316" s="29" t="s">
        <v>295</v>
      </c>
      <c r="F3316" s="31" t="str">
        <f t="shared" si="103"/>
        <v>C1.01.03</v>
      </c>
      <c r="G3316" s="34">
        <f t="shared" si="102"/>
        <v>6.6</v>
      </c>
    </row>
    <row r="3317" spans="2:7" ht="13.8" customHeight="1" x14ac:dyDescent="0.25">
      <c r="B3317" s="29" t="s">
        <v>56</v>
      </c>
      <c r="C3317" s="29">
        <v>2773087</v>
      </c>
      <c r="D3317" s="29">
        <v>8.18</v>
      </c>
      <c r="E3317" s="29" t="s">
        <v>297</v>
      </c>
      <c r="F3317" s="31" t="str">
        <f t="shared" si="103"/>
        <v>C1.01.05</v>
      </c>
      <c r="G3317" s="34">
        <f t="shared" si="102"/>
        <v>8.18</v>
      </c>
    </row>
    <row r="3318" spans="2:7" ht="13.8" customHeight="1" x14ac:dyDescent="0.25">
      <c r="B3318" s="29" t="s">
        <v>56</v>
      </c>
      <c r="C3318" s="29">
        <v>2773209</v>
      </c>
      <c r="D3318" s="29">
        <v>4.2699999999999996</v>
      </c>
      <c r="E3318" s="29" t="s">
        <v>298</v>
      </c>
      <c r="F3318" s="31" t="str">
        <f t="shared" si="103"/>
        <v>C1.01.06</v>
      </c>
      <c r="G3318" s="34">
        <f t="shared" si="102"/>
        <v>4.2699999999999996</v>
      </c>
    </row>
    <row r="3319" spans="2:7" ht="13.8" customHeight="1" x14ac:dyDescent="0.25">
      <c r="B3319" s="29" t="s">
        <v>56</v>
      </c>
      <c r="C3319" s="29">
        <v>2773211</v>
      </c>
      <c r="D3319" s="29">
        <v>1.9</v>
      </c>
      <c r="E3319" s="29" t="s">
        <v>298</v>
      </c>
      <c r="F3319" s="31" t="str">
        <f t="shared" si="103"/>
        <v>C1.01.06</v>
      </c>
      <c r="G3319" s="34">
        <f t="shared" si="102"/>
        <v>1.9</v>
      </c>
    </row>
    <row r="3320" spans="2:7" ht="13.8" customHeight="1" x14ac:dyDescent="0.25">
      <c r="B3320" s="29" t="s">
        <v>56</v>
      </c>
      <c r="C3320" s="29">
        <v>2773213</v>
      </c>
      <c r="D3320" s="29">
        <v>2.5</v>
      </c>
      <c r="E3320" s="29" t="s">
        <v>298</v>
      </c>
      <c r="F3320" s="31" t="str">
        <f t="shared" si="103"/>
        <v>C1.01.06</v>
      </c>
      <c r="G3320" s="34">
        <f t="shared" si="102"/>
        <v>2.5</v>
      </c>
    </row>
    <row r="3321" spans="2:7" ht="13.8" customHeight="1" x14ac:dyDescent="0.25">
      <c r="B3321" s="29" t="s">
        <v>22</v>
      </c>
      <c r="C3321" s="29">
        <v>2765525</v>
      </c>
      <c r="D3321" s="29">
        <v>2.5</v>
      </c>
      <c r="E3321" s="29" t="s">
        <v>205</v>
      </c>
      <c r="F3321" s="31" t="str">
        <f t="shared" si="103"/>
        <v>E2.01.04</v>
      </c>
      <c r="G3321" s="34">
        <f t="shared" ref="G3321:G3384" si="104">D3321</f>
        <v>2.5</v>
      </c>
    </row>
    <row r="3322" spans="2:7" ht="13.8" customHeight="1" x14ac:dyDescent="0.25">
      <c r="B3322" s="29" t="s">
        <v>22</v>
      </c>
      <c r="C3322" s="29">
        <v>2765596</v>
      </c>
      <c r="D3322" s="29">
        <v>2.5</v>
      </c>
      <c r="E3322" s="29" t="s">
        <v>206</v>
      </c>
      <c r="F3322" s="31" t="str">
        <f t="shared" si="103"/>
        <v>E2.01.03</v>
      </c>
      <c r="G3322" s="34">
        <f t="shared" si="104"/>
        <v>2.5</v>
      </c>
    </row>
    <row r="3323" spans="2:7" ht="13.8" customHeight="1" x14ac:dyDescent="0.25">
      <c r="B3323" s="29" t="s">
        <v>22</v>
      </c>
      <c r="C3323" s="29">
        <v>2765796</v>
      </c>
      <c r="D3323" s="29">
        <v>2.5</v>
      </c>
      <c r="E3323" s="29" t="s">
        <v>209</v>
      </c>
      <c r="F3323" s="31" t="str">
        <f t="shared" si="103"/>
        <v>E2.15.02</v>
      </c>
      <c r="G3323" s="34">
        <f t="shared" si="104"/>
        <v>2.5</v>
      </c>
    </row>
    <row r="3324" spans="2:7" ht="13.8" customHeight="1" x14ac:dyDescent="0.25">
      <c r="B3324" s="29" t="s">
        <v>22</v>
      </c>
      <c r="C3324" s="29">
        <v>2765956</v>
      </c>
      <c r="D3324" s="29">
        <v>2.5</v>
      </c>
      <c r="E3324" s="29" t="s">
        <v>211</v>
      </c>
      <c r="F3324" s="31" t="str">
        <f t="shared" si="103"/>
        <v>E2.15.01</v>
      </c>
      <c r="G3324" s="34">
        <f t="shared" si="104"/>
        <v>2.5</v>
      </c>
    </row>
    <row r="3325" spans="2:7" ht="13.8" customHeight="1" x14ac:dyDescent="0.25">
      <c r="B3325" s="29" t="s">
        <v>22</v>
      </c>
      <c r="C3325" s="29">
        <v>2766033</v>
      </c>
      <c r="D3325" s="29">
        <v>2.5</v>
      </c>
      <c r="E3325" s="29" t="s">
        <v>212</v>
      </c>
      <c r="F3325" s="31" t="str">
        <f t="shared" si="103"/>
        <v>E2.15.06</v>
      </c>
      <c r="G3325" s="34">
        <f t="shared" si="104"/>
        <v>2.5</v>
      </c>
    </row>
    <row r="3326" spans="2:7" ht="13.8" customHeight="1" x14ac:dyDescent="0.25">
      <c r="B3326" s="29" t="s">
        <v>22</v>
      </c>
      <c r="C3326" s="29">
        <v>2766115</v>
      </c>
      <c r="D3326" s="29">
        <v>2.5</v>
      </c>
      <c r="E3326" s="29" t="s">
        <v>213</v>
      </c>
      <c r="F3326" s="31" t="str">
        <f t="shared" si="103"/>
        <v>E2.15.05</v>
      </c>
      <c r="G3326" s="34">
        <f t="shared" si="104"/>
        <v>2.5</v>
      </c>
    </row>
    <row r="3327" spans="2:7" ht="13.8" customHeight="1" x14ac:dyDescent="0.25">
      <c r="B3327" s="29" t="s">
        <v>22</v>
      </c>
      <c r="C3327" s="29">
        <v>2766344</v>
      </c>
      <c r="D3327" s="29">
        <v>2.5</v>
      </c>
      <c r="E3327" s="29" t="s">
        <v>216</v>
      </c>
      <c r="F3327" s="31" t="str">
        <f t="shared" si="103"/>
        <v>E2.34.05</v>
      </c>
      <c r="G3327" s="34">
        <f t="shared" si="104"/>
        <v>2.5</v>
      </c>
    </row>
    <row r="3328" spans="2:7" ht="13.8" customHeight="1" x14ac:dyDescent="0.25">
      <c r="B3328" s="29" t="s">
        <v>22</v>
      </c>
      <c r="C3328" s="29">
        <v>2766496</v>
      </c>
      <c r="D3328" s="29">
        <v>2.5</v>
      </c>
      <c r="E3328" s="29" t="s">
        <v>218</v>
      </c>
      <c r="F3328" s="31" t="str">
        <f t="shared" si="103"/>
        <v>E2.34.04</v>
      </c>
      <c r="G3328" s="34">
        <f t="shared" si="104"/>
        <v>2.5</v>
      </c>
    </row>
    <row r="3329" spans="2:7" ht="13.8" customHeight="1" x14ac:dyDescent="0.25">
      <c r="B3329" s="29" t="s">
        <v>22</v>
      </c>
      <c r="C3329" s="29">
        <v>2766567</v>
      </c>
      <c r="D3329" s="29">
        <v>2.5</v>
      </c>
      <c r="E3329" s="29" t="s">
        <v>219</v>
      </c>
      <c r="F3329" s="31" t="str">
        <f t="shared" si="103"/>
        <v>E2.34.01</v>
      </c>
      <c r="G3329" s="34">
        <f t="shared" si="104"/>
        <v>2.5</v>
      </c>
    </row>
    <row r="3330" spans="2:7" ht="13.8" customHeight="1" x14ac:dyDescent="0.25">
      <c r="B3330" s="29" t="s">
        <v>22</v>
      </c>
      <c r="C3330" s="29">
        <v>2766651</v>
      </c>
      <c r="D3330" s="29">
        <v>2.5</v>
      </c>
      <c r="E3330" s="29" t="s">
        <v>220</v>
      </c>
      <c r="F3330" s="31" t="str">
        <f t="shared" si="103"/>
        <v>E2.34.02</v>
      </c>
      <c r="G3330" s="34">
        <f t="shared" si="104"/>
        <v>2.5</v>
      </c>
    </row>
    <row r="3331" spans="2:7" ht="13.8" customHeight="1" x14ac:dyDescent="0.25">
      <c r="B3331" s="29" t="s">
        <v>22</v>
      </c>
      <c r="C3331" s="29">
        <v>2766805</v>
      </c>
      <c r="D3331" s="29">
        <v>2.7</v>
      </c>
      <c r="E3331" s="29" t="s">
        <v>222</v>
      </c>
      <c r="F3331" s="31" t="str">
        <f t="shared" si="103"/>
        <v>D1.09.02</v>
      </c>
      <c r="G3331" s="34">
        <f t="shared" si="104"/>
        <v>2.7</v>
      </c>
    </row>
    <row r="3332" spans="2:7" ht="13.8" customHeight="1" x14ac:dyDescent="0.25">
      <c r="B3332" s="29" t="s">
        <v>22</v>
      </c>
      <c r="C3332" s="29">
        <v>2766866</v>
      </c>
      <c r="D3332" s="29">
        <v>2.7</v>
      </c>
      <c r="E3332" s="29" t="s">
        <v>223</v>
      </c>
      <c r="F3332" s="31" t="str">
        <f t="shared" si="103"/>
        <v>D1.09.03</v>
      </c>
      <c r="G3332" s="34">
        <f t="shared" si="104"/>
        <v>2.7</v>
      </c>
    </row>
    <row r="3333" spans="2:7" ht="13.8" customHeight="1" x14ac:dyDescent="0.25">
      <c r="B3333" s="29" t="s">
        <v>22</v>
      </c>
      <c r="C3333" s="29">
        <v>2767148</v>
      </c>
      <c r="D3333" s="29">
        <v>2.7</v>
      </c>
      <c r="E3333" s="29" t="s">
        <v>228</v>
      </c>
      <c r="F3333" s="31" t="str">
        <f t="shared" si="103"/>
        <v>D1.08.02</v>
      </c>
      <c r="G3333" s="34">
        <f t="shared" si="104"/>
        <v>2.7</v>
      </c>
    </row>
    <row r="3334" spans="2:7" ht="13.8" customHeight="1" x14ac:dyDescent="0.25">
      <c r="B3334" s="29" t="s">
        <v>22</v>
      </c>
      <c r="C3334" s="29">
        <v>2767254</v>
      </c>
      <c r="D3334" s="29">
        <v>2.7</v>
      </c>
      <c r="E3334" s="29" t="s">
        <v>230</v>
      </c>
      <c r="F3334" s="31" t="str">
        <f t="shared" si="103"/>
        <v>D1.08.03</v>
      </c>
      <c r="G3334" s="34">
        <f t="shared" si="104"/>
        <v>2.7</v>
      </c>
    </row>
    <row r="3335" spans="2:7" ht="13.8" customHeight="1" x14ac:dyDescent="0.25">
      <c r="B3335" s="29" t="s">
        <v>22</v>
      </c>
      <c r="C3335" s="29">
        <v>2767334</v>
      </c>
      <c r="D3335" s="29">
        <v>2.7</v>
      </c>
      <c r="E3335" s="29" t="s">
        <v>231</v>
      </c>
      <c r="F3335" s="31" t="str">
        <f t="shared" si="103"/>
        <v>B1.11.01</v>
      </c>
      <c r="G3335" s="34">
        <f t="shared" si="104"/>
        <v>2.7</v>
      </c>
    </row>
    <row r="3336" spans="2:7" ht="13.8" customHeight="1" x14ac:dyDescent="0.25">
      <c r="B3336" s="29" t="s">
        <v>22</v>
      </c>
      <c r="C3336" s="29">
        <v>2768112</v>
      </c>
      <c r="D3336" s="29">
        <v>2.5</v>
      </c>
      <c r="E3336" s="29" t="s">
        <v>245</v>
      </c>
      <c r="F3336" s="31" t="str">
        <f t="shared" ref="F3336:F3399" si="105">LEFT(E3336,8)</f>
        <v>A3.07.05</v>
      </c>
      <c r="G3336" s="34">
        <f t="shared" si="104"/>
        <v>2.5</v>
      </c>
    </row>
    <row r="3337" spans="2:7" ht="13.8" customHeight="1" x14ac:dyDescent="0.25">
      <c r="B3337" s="29" t="s">
        <v>22</v>
      </c>
      <c r="C3337" s="29">
        <v>2768264</v>
      </c>
      <c r="D3337" s="29">
        <v>2.5</v>
      </c>
      <c r="E3337" s="29" t="s">
        <v>247</v>
      </c>
      <c r="F3337" s="31" t="str">
        <f t="shared" si="105"/>
        <v>A3.07.08</v>
      </c>
      <c r="G3337" s="34">
        <f t="shared" si="104"/>
        <v>2.5</v>
      </c>
    </row>
    <row r="3338" spans="2:7" ht="13.8" customHeight="1" x14ac:dyDescent="0.25">
      <c r="B3338" s="29" t="s">
        <v>22</v>
      </c>
      <c r="C3338" s="29">
        <v>2768484</v>
      </c>
      <c r="D3338" s="29">
        <v>2.5</v>
      </c>
      <c r="E3338" s="29" t="s">
        <v>250</v>
      </c>
      <c r="F3338" s="31" t="str">
        <f t="shared" si="105"/>
        <v>A3.07.07</v>
      </c>
      <c r="G3338" s="34">
        <f t="shared" si="104"/>
        <v>2.5</v>
      </c>
    </row>
    <row r="3339" spans="2:7" ht="13.8" customHeight="1" x14ac:dyDescent="0.25">
      <c r="B3339" s="29" t="s">
        <v>22</v>
      </c>
      <c r="C3339" s="29">
        <v>2768613</v>
      </c>
      <c r="D3339" s="29">
        <v>2.5</v>
      </c>
      <c r="E3339" s="29" t="s">
        <v>252</v>
      </c>
      <c r="F3339" s="31" t="str">
        <f t="shared" si="105"/>
        <v>A3.07.06</v>
      </c>
      <c r="G3339" s="34">
        <f t="shared" si="104"/>
        <v>2.5</v>
      </c>
    </row>
    <row r="3340" spans="2:7" ht="13.8" customHeight="1" x14ac:dyDescent="0.25">
      <c r="B3340" s="29" t="s">
        <v>22</v>
      </c>
      <c r="C3340" s="29">
        <v>2769855</v>
      </c>
      <c r="D3340" s="29">
        <v>2.7</v>
      </c>
      <c r="E3340" s="29" t="s">
        <v>267</v>
      </c>
      <c r="F3340" s="31" t="str">
        <f t="shared" si="105"/>
        <v>D1.02.02</v>
      </c>
      <c r="G3340" s="34">
        <f t="shared" si="104"/>
        <v>2.7</v>
      </c>
    </row>
    <row r="3341" spans="2:7" ht="13.8" customHeight="1" x14ac:dyDescent="0.25">
      <c r="B3341" s="29" t="s">
        <v>22</v>
      </c>
      <c r="C3341" s="29">
        <v>2769904</v>
      </c>
      <c r="D3341" s="29">
        <v>2.7</v>
      </c>
      <c r="E3341" s="29" t="s">
        <v>268</v>
      </c>
      <c r="F3341" s="31" t="str">
        <f t="shared" si="105"/>
        <v>D1.02.01</v>
      </c>
      <c r="G3341" s="34">
        <f t="shared" si="104"/>
        <v>2.7</v>
      </c>
    </row>
    <row r="3342" spans="2:7" ht="13.8" customHeight="1" x14ac:dyDescent="0.25">
      <c r="B3342" s="29" t="s">
        <v>22</v>
      </c>
      <c r="C3342" s="29">
        <v>2770014</v>
      </c>
      <c r="D3342" s="29">
        <v>2.7</v>
      </c>
      <c r="E3342" s="29" t="s">
        <v>270</v>
      </c>
      <c r="F3342" s="31" t="str">
        <f t="shared" si="105"/>
        <v>D1.02.03</v>
      </c>
      <c r="G3342" s="34">
        <f t="shared" si="104"/>
        <v>2.7</v>
      </c>
    </row>
    <row r="3343" spans="2:7" ht="13.8" customHeight="1" x14ac:dyDescent="0.25">
      <c r="B3343" s="29" t="s">
        <v>22</v>
      </c>
      <c r="C3343" s="29">
        <v>2773170</v>
      </c>
      <c r="D3343" s="29">
        <v>2.5</v>
      </c>
      <c r="E3343" s="29" t="s">
        <v>299</v>
      </c>
      <c r="F3343" s="31" t="str">
        <f t="shared" si="105"/>
        <v>C1.01.01</v>
      </c>
      <c r="G3343" s="34">
        <f t="shared" si="104"/>
        <v>2.5</v>
      </c>
    </row>
    <row r="3344" spans="2:7" ht="13.8" customHeight="1" x14ac:dyDescent="0.25">
      <c r="B3344" s="29" t="s">
        <v>57</v>
      </c>
      <c r="C3344" s="29">
        <v>2773219</v>
      </c>
      <c r="D3344" s="29">
        <v>1.86</v>
      </c>
      <c r="E3344" s="29" t="s">
        <v>205</v>
      </c>
      <c r="F3344" s="31" t="str">
        <f t="shared" si="105"/>
        <v>E2.01.04</v>
      </c>
      <c r="G3344" s="34">
        <f t="shared" si="104"/>
        <v>1.86</v>
      </c>
    </row>
    <row r="3345" spans="2:7" ht="13.8" customHeight="1" x14ac:dyDescent="0.25">
      <c r="B3345" s="29" t="s">
        <v>57</v>
      </c>
      <c r="C3345" s="29">
        <v>2773636</v>
      </c>
      <c r="D3345" s="29">
        <v>2.52</v>
      </c>
      <c r="E3345" s="29" t="s">
        <v>205</v>
      </c>
      <c r="F3345" s="31" t="str">
        <f t="shared" si="105"/>
        <v>E2.01.04</v>
      </c>
      <c r="G3345" s="34">
        <f t="shared" si="104"/>
        <v>2.52</v>
      </c>
    </row>
    <row r="3346" spans="2:7" ht="13.8" customHeight="1" x14ac:dyDescent="0.25">
      <c r="B3346" s="29" t="s">
        <v>57</v>
      </c>
      <c r="C3346" s="29">
        <v>2773236</v>
      </c>
      <c r="D3346" s="29">
        <v>1.49</v>
      </c>
      <c r="E3346" s="29" t="s">
        <v>206</v>
      </c>
      <c r="F3346" s="31" t="str">
        <f t="shared" si="105"/>
        <v>E2.01.03</v>
      </c>
      <c r="G3346" s="34">
        <f t="shared" si="104"/>
        <v>1.49</v>
      </c>
    </row>
    <row r="3347" spans="2:7" ht="13.8" customHeight="1" x14ac:dyDescent="0.25">
      <c r="B3347" s="29" t="s">
        <v>57</v>
      </c>
      <c r="C3347" s="29">
        <v>2773280</v>
      </c>
      <c r="D3347" s="29">
        <v>3.89</v>
      </c>
      <c r="E3347" s="29" t="s">
        <v>206</v>
      </c>
      <c r="F3347" s="31" t="str">
        <f t="shared" si="105"/>
        <v>E2.01.03</v>
      </c>
      <c r="G3347" s="34">
        <f t="shared" si="104"/>
        <v>3.89</v>
      </c>
    </row>
    <row r="3348" spans="2:7" ht="13.8" customHeight="1" x14ac:dyDescent="0.25">
      <c r="B3348" s="29" t="s">
        <v>57</v>
      </c>
      <c r="C3348" s="29">
        <v>2773266</v>
      </c>
      <c r="D3348" s="29">
        <v>4.2300000000000004</v>
      </c>
      <c r="E3348" s="29" t="s">
        <v>207</v>
      </c>
      <c r="F3348" s="31" t="str">
        <f t="shared" si="105"/>
        <v>E2.01.01</v>
      </c>
      <c r="G3348" s="34">
        <f t="shared" si="104"/>
        <v>4.2300000000000004</v>
      </c>
    </row>
    <row r="3349" spans="2:7" ht="13.8" customHeight="1" x14ac:dyDescent="0.25">
      <c r="B3349" s="29" t="s">
        <v>57</v>
      </c>
      <c r="C3349" s="29">
        <v>2773243</v>
      </c>
      <c r="D3349" s="29">
        <v>1.85</v>
      </c>
      <c r="E3349" s="29" t="s">
        <v>208</v>
      </c>
      <c r="F3349" s="31" t="str">
        <f t="shared" si="105"/>
        <v>E2.01.02</v>
      </c>
      <c r="G3349" s="34">
        <f t="shared" si="104"/>
        <v>1.85</v>
      </c>
    </row>
    <row r="3350" spans="2:7" ht="13.8" customHeight="1" x14ac:dyDescent="0.25">
      <c r="B3350" s="29" t="s">
        <v>57</v>
      </c>
      <c r="C3350" s="29">
        <v>2773306</v>
      </c>
      <c r="D3350" s="29">
        <v>7.71</v>
      </c>
      <c r="E3350" s="29" t="s">
        <v>208</v>
      </c>
      <c r="F3350" s="31" t="str">
        <f t="shared" si="105"/>
        <v>E2.01.02</v>
      </c>
      <c r="G3350" s="34">
        <f t="shared" si="104"/>
        <v>7.71</v>
      </c>
    </row>
    <row r="3351" spans="2:7" ht="13.8" customHeight="1" x14ac:dyDescent="0.25">
      <c r="B3351" s="29" t="s">
        <v>57</v>
      </c>
      <c r="C3351" s="29">
        <v>2773355</v>
      </c>
      <c r="D3351" s="29">
        <v>7.57</v>
      </c>
      <c r="E3351" s="29" t="s">
        <v>265</v>
      </c>
      <c r="F3351" s="31" t="str">
        <f t="shared" si="105"/>
        <v>B1.02.01</v>
      </c>
      <c r="G3351" s="34">
        <f t="shared" si="104"/>
        <v>7.57</v>
      </c>
    </row>
    <row r="3352" spans="2:7" ht="13.8" customHeight="1" x14ac:dyDescent="0.25">
      <c r="B3352" s="29" t="s">
        <v>57</v>
      </c>
      <c r="C3352" s="29">
        <v>2773358</v>
      </c>
      <c r="D3352" s="29">
        <v>6.6</v>
      </c>
      <c r="E3352" s="29" t="s">
        <v>265</v>
      </c>
      <c r="F3352" s="31" t="str">
        <f t="shared" si="105"/>
        <v>B1.02.01</v>
      </c>
      <c r="G3352" s="34">
        <f t="shared" si="104"/>
        <v>6.6</v>
      </c>
    </row>
    <row r="3353" spans="2:7" ht="13.8" customHeight="1" x14ac:dyDescent="0.25">
      <c r="B3353" s="29" t="s">
        <v>57</v>
      </c>
      <c r="C3353" s="29">
        <v>2773360</v>
      </c>
      <c r="D3353" s="29">
        <v>6.6</v>
      </c>
      <c r="E3353" s="29" t="s">
        <v>265</v>
      </c>
      <c r="F3353" s="31" t="str">
        <f t="shared" si="105"/>
        <v>B1.02.01</v>
      </c>
      <c r="G3353" s="34">
        <f t="shared" si="104"/>
        <v>6.6</v>
      </c>
    </row>
    <row r="3354" spans="2:7" ht="13.8" customHeight="1" x14ac:dyDescent="0.25">
      <c r="B3354" s="29" t="s">
        <v>57</v>
      </c>
      <c r="C3354" s="29">
        <v>2773346</v>
      </c>
      <c r="D3354" s="29">
        <v>9.16</v>
      </c>
      <c r="E3354" s="29" t="s">
        <v>266</v>
      </c>
      <c r="F3354" s="31" t="str">
        <f t="shared" si="105"/>
        <v>B1.02.02</v>
      </c>
      <c r="G3354" s="34">
        <f t="shared" si="104"/>
        <v>9.16</v>
      </c>
    </row>
    <row r="3355" spans="2:7" ht="13.8" customHeight="1" x14ac:dyDescent="0.25">
      <c r="B3355" s="29" t="s">
        <v>57</v>
      </c>
      <c r="C3355" s="29">
        <v>2773349</v>
      </c>
      <c r="D3355" s="29">
        <v>1</v>
      </c>
      <c r="E3355" s="29" t="s">
        <v>266</v>
      </c>
      <c r="F3355" s="31" t="str">
        <f t="shared" si="105"/>
        <v>B1.02.02</v>
      </c>
      <c r="G3355" s="34">
        <f t="shared" si="104"/>
        <v>1</v>
      </c>
    </row>
    <row r="3356" spans="2:7" ht="13.8" customHeight="1" x14ac:dyDescent="0.25">
      <c r="B3356" s="29" t="s">
        <v>57</v>
      </c>
      <c r="C3356" s="29">
        <v>2773351</v>
      </c>
      <c r="D3356" s="29">
        <v>6.6</v>
      </c>
      <c r="E3356" s="29" t="s">
        <v>266</v>
      </c>
      <c r="F3356" s="31" t="str">
        <f t="shared" si="105"/>
        <v>B1.02.02</v>
      </c>
      <c r="G3356" s="34">
        <f t="shared" si="104"/>
        <v>6.6</v>
      </c>
    </row>
    <row r="3357" spans="2:7" ht="13.8" customHeight="1" x14ac:dyDescent="0.25">
      <c r="B3357" s="29" t="s">
        <v>57</v>
      </c>
      <c r="C3357" s="29">
        <v>2773353</v>
      </c>
      <c r="D3357" s="29">
        <v>1.36</v>
      </c>
      <c r="E3357" s="29" t="s">
        <v>266</v>
      </c>
      <c r="F3357" s="31" t="str">
        <f t="shared" si="105"/>
        <v>B1.02.02</v>
      </c>
      <c r="G3357" s="34">
        <f t="shared" si="104"/>
        <v>1.36</v>
      </c>
    </row>
    <row r="3358" spans="2:7" ht="13.8" customHeight="1" x14ac:dyDescent="0.25">
      <c r="B3358" s="29" t="s">
        <v>57</v>
      </c>
      <c r="C3358" s="29">
        <v>2773411</v>
      </c>
      <c r="D3358" s="29">
        <v>4.32</v>
      </c>
      <c r="E3358" s="29" t="s">
        <v>268</v>
      </c>
      <c r="F3358" s="31" t="str">
        <f t="shared" si="105"/>
        <v>D1.02.01</v>
      </c>
      <c r="G3358" s="34">
        <f t="shared" si="104"/>
        <v>4.32</v>
      </c>
    </row>
    <row r="3359" spans="2:7" ht="13.8" customHeight="1" x14ac:dyDescent="0.25">
      <c r="B3359" s="29" t="s">
        <v>57</v>
      </c>
      <c r="C3359" s="29">
        <v>2773611</v>
      </c>
      <c r="D3359" s="29">
        <v>0.64</v>
      </c>
      <c r="E3359" s="29" t="s">
        <v>269</v>
      </c>
      <c r="F3359" s="31" t="str">
        <f t="shared" si="105"/>
        <v>D1.02.04</v>
      </c>
      <c r="G3359" s="34">
        <f t="shared" si="104"/>
        <v>0.64</v>
      </c>
    </row>
    <row r="3360" spans="2:7" ht="13.8" customHeight="1" x14ac:dyDescent="0.25">
      <c r="B3360" s="29" t="s">
        <v>57</v>
      </c>
      <c r="C3360" s="29">
        <v>2773364</v>
      </c>
      <c r="D3360" s="29">
        <v>10.27</v>
      </c>
      <c r="E3360" s="29" t="s">
        <v>271</v>
      </c>
      <c r="F3360" s="31" t="str">
        <f t="shared" si="105"/>
        <v>D1.02.05</v>
      </c>
      <c r="G3360" s="34">
        <f t="shared" si="104"/>
        <v>10.27</v>
      </c>
    </row>
    <row r="3361" spans="2:7" ht="13.8" customHeight="1" x14ac:dyDescent="0.25">
      <c r="B3361" s="29" t="s">
        <v>57</v>
      </c>
      <c r="C3361" s="29">
        <v>2772143</v>
      </c>
      <c r="D3361" s="29">
        <v>0</v>
      </c>
      <c r="E3361" s="29" t="s">
        <v>273</v>
      </c>
      <c r="F3361" s="31" t="str">
        <f t="shared" si="105"/>
        <v>A6.01.02</v>
      </c>
      <c r="G3361" s="34">
        <f t="shared" si="104"/>
        <v>0</v>
      </c>
    </row>
    <row r="3362" spans="2:7" ht="13.8" customHeight="1" x14ac:dyDescent="0.25">
      <c r="B3362" s="29" t="s">
        <v>57</v>
      </c>
      <c r="C3362" s="29">
        <v>2772149</v>
      </c>
      <c r="D3362" s="29">
        <v>2.71</v>
      </c>
      <c r="E3362" s="29" t="s">
        <v>273</v>
      </c>
      <c r="F3362" s="31" t="str">
        <f t="shared" si="105"/>
        <v>A6.01.02</v>
      </c>
      <c r="G3362" s="34">
        <f t="shared" si="104"/>
        <v>2.71</v>
      </c>
    </row>
    <row r="3363" spans="2:7" ht="13.8" customHeight="1" x14ac:dyDescent="0.25">
      <c r="B3363" s="29" t="s">
        <v>57</v>
      </c>
      <c r="C3363" s="29">
        <v>2772974</v>
      </c>
      <c r="D3363" s="29">
        <v>0.48</v>
      </c>
      <c r="E3363" s="29" t="s">
        <v>274</v>
      </c>
      <c r="F3363" s="31" t="str">
        <f t="shared" si="105"/>
        <v>A3.01.02</v>
      </c>
      <c r="G3363" s="34">
        <f t="shared" si="104"/>
        <v>0.48</v>
      </c>
    </row>
    <row r="3364" spans="2:7" ht="13.8" customHeight="1" x14ac:dyDescent="0.25">
      <c r="B3364" s="29" t="s">
        <v>57</v>
      </c>
      <c r="C3364" s="29">
        <v>2772189</v>
      </c>
      <c r="D3364" s="29">
        <v>2.71</v>
      </c>
      <c r="E3364" s="29" t="s">
        <v>275</v>
      </c>
      <c r="F3364" s="31" t="str">
        <f t="shared" si="105"/>
        <v>A3.01.01</v>
      </c>
      <c r="G3364" s="34">
        <f t="shared" si="104"/>
        <v>2.71</v>
      </c>
    </row>
    <row r="3365" spans="2:7" ht="13.8" customHeight="1" x14ac:dyDescent="0.25">
      <c r="B3365" s="29" t="s">
        <v>57</v>
      </c>
      <c r="C3365" s="29">
        <v>2773159</v>
      </c>
      <c r="D3365" s="29">
        <v>0.28999999999999998</v>
      </c>
      <c r="E3365" s="29" t="s">
        <v>294</v>
      </c>
      <c r="F3365" s="31" t="str">
        <f t="shared" si="105"/>
        <v>C1.01.02</v>
      </c>
      <c r="G3365" s="34">
        <f t="shared" si="104"/>
        <v>0.28999999999999998</v>
      </c>
    </row>
    <row r="3366" spans="2:7" ht="13.8" customHeight="1" x14ac:dyDescent="0.25">
      <c r="B3366" s="29" t="s">
        <v>57</v>
      </c>
      <c r="C3366" s="29">
        <v>2773162</v>
      </c>
      <c r="D3366" s="29">
        <v>1.59</v>
      </c>
      <c r="E3366" s="29" t="s">
        <v>294</v>
      </c>
      <c r="F3366" s="31" t="str">
        <f t="shared" si="105"/>
        <v>C1.01.02</v>
      </c>
      <c r="G3366" s="34">
        <f t="shared" si="104"/>
        <v>1.59</v>
      </c>
    </row>
    <row r="3367" spans="2:7" ht="13.8" customHeight="1" x14ac:dyDescent="0.25">
      <c r="B3367" s="29" t="s">
        <v>57</v>
      </c>
      <c r="C3367" s="29">
        <v>2773149</v>
      </c>
      <c r="D3367" s="29">
        <v>4.2699999999999996</v>
      </c>
      <c r="E3367" s="29" t="s">
        <v>295</v>
      </c>
      <c r="F3367" s="31" t="str">
        <f t="shared" si="105"/>
        <v>C1.01.03</v>
      </c>
      <c r="G3367" s="34">
        <f t="shared" si="104"/>
        <v>4.2699999999999996</v>
      </c>
    </row>
    <row r="3368" spans="2:7" ht="13.8" customHeight="1" x14ac:dyDescent="0.25">
      <c r="B3368" s="29" t="s">
        <v>57</v>
      </c>
      <c r="C3368" s="29">
        <v>2773154</v>
      </c>
      <c r="D3368" s="29">
        <v>6.6</v>
      </c>
      <c r="E3368" s="29" t="s">
        <v>295</v>
      </c>
      <c r="F3368" s="31" t="str">
        <f t="shared" si="105"/>
        <v>C1.01.03</v>
      </c>
      <c r="G3368" s="34">
        <f t="shared" si="104"/>
        <v>6.6</v>
      </c>
    </row>
    <row r="3369" spans="2:7" ht="13.8" customHeight="1" x14ac:dyDescent="0.25">
      <c r="B3369" s="29" t="s">
        <v>57</v>
      </c>
      <c r="C3369" s="29">
        <v>2773106</v>
      </c>
      <c r="D3369" s="29">
        <v>6.6</v>
      </c>
      <c r="E3369" s="29" t="s">
        <v>296</v>
      </c>
      <c r="F3369" s="31" t="str">
        <f t="shared" si="105"/>
        <v>C1.01.04</v>
      </c>
      <c r="G3369" s="34">
        <f t="shared" si="104"/>
        <v>6.6</v>
      </c>
    </row>
    <row r="3370" spans="2:7" ht="13.8" customHeight="1" x14ac:dyDescent="0.25">
      <c r="B3370" s="29" t="s">
        <v>57</v>
      </c>
      <c r="C3370" s="29">
        <v>2773104</v>
      </c>
      <c r="D3370" s="29">
        <v>6.6</v>
      </c>
      <c r="E3370" s="29" t="s">
        <v>296</v>
      </c>
      <c r="F3370" s="31" t="str">
        <f t="shared" si="105"/>
        <v>C1.01.04</v>
      </c>
      <c r="G3370" s="34">
        <f t="shared" si="104"/>
        <v>6.6</v>
      </c>
    </row>
    <row r="3371" spans="2:7" ht="13.8" customHeight="1" x14ac:dyDescent="0.25">
      <c r="B3371" s="29" t="s">
        <v>57</v>
      </c>
      <c r="C3371" s="29">
        <v>2773101</v>
      </c>
      <c r="D3371" s="29">
        <v>7.62</v>
      </c>
      <c r="E3371" s="29" t="s">
        <v>296</v>
      </c>
      <c r="F3371" s="31" t="str">
        <f t="shared" si="105"/>
        <v>C1.01.04</v>
      </c>
      <c r="G3371" s="34">
        <f t="shared" si="104"/>
        <v>7.62</v>
      </c>
    </row>
    <row r="3372" spans="2:7" ht="13.8" customHeight="1" x14ac:dyDescent="0.25">
      <c r="B3372" s="29" t="s">
        <v>57</v>
      </c>
      <c r="C3372" s="29">
        <v>2773089</v>
      </c>
      <c r="D3372" s="29">
        <v>4.3600000000000003</v>
      </c>
      <c r="E3372" s="29" t="s">
        <v>297</v>
      </c>
      <c r="F3372" s="31" t="str">
        <f t="shared" si="105"/>
        <v>C1.01.05</v>
      </c>
      <c r="G3372" s="34">
        <f t="shared" si="104"/>
        <v>4.3600000000000003</v>
      </c>
    </row>
    <row r="3373" spans="2:7" ht="13.8" customHeight="1" x14ac:dyDescent="0.25">
      <c r="B3373" s="29" t="s">
        <v>57</v>
      </c>
      <c r="C3373" s="29">
        <v>2773099</v>
      </c>
      <c r="D3373" s="29">
        <v>6.6</v>
      </c>
      <c r="E3373" s="29" t="s">
        <v>297</v>
      </c>
      <c r="F3373" s="31" t="str">
        <f t="shared" si="105"/>
        <v>C1.01.05</v>
      </c>
      <c r="G3373" s="34">
        <f t="shared" si="104"/>
        <v>6.6</v>
      </c>
    </row>
    <row r="3374" spans="2:7" ht="13.8" customHeight="1" x14ac:dyDescent="0.25">
      <c r="B3374" s="29" t="s">
        <v>57</v>
      </c>
      <c r="C3374" s="29">
        <v>2773203</v>
      </c>
      <c r="D3374" s="29">
        <v>6.77</v>
      </c>
      <c r="E3374" s="29" t="s">
        <v>298</v>
      </c>
      <c r="F3374" s="31" t="str">
        <f t="shared" si="105"/>
        <v>C1.01.06</v>
      </c>
      <c r="G3374" s="34">
        <f t="shared" si="104"/>
        <v>6.77</v>
      </c>
    </row>
    <row r="3375" spans="2:7" ht="13.8" customHeight="1" x14ac:dyDescent="0.25">
      <c r="B3375" s="29" t="s">
        <v>57</v>
      </c>
      <c r="C3375" s="29">
        <v>2773173</v>
      </c>
      <c r="D3375" s="29">
        <v>0.16</v>
      </c>
      <c r="E3375" s="29" t="s">
        <v>299</v>
      </c>
      <c r="F3375" s="31" t="str">
        <f t="shared" si="105"/>
        <v>C1.01.01</v>
      </c>
      <c r="G3375" s="34">
        <f t="shared" si="104"/>
        <v>0.16</v>
      </c>
    </row>
    <row r="3376" spans="2:7" ht="13.8" customHeight="1" x14ac:dyDescent="0.25">
      <c r="B3376" s="29" t="s">
        <v>57</v>
      </c>
      <c r="C3376" s="29">
        <v>2773179</v>
      </c>
      <c r="D3376" s="29">
        <v>3.73</v>
      </c>
      <c r="E3376" s="29" t="s">
        <v>299</v>
      </c>
      <c r="F3376" s="31" t="str">
        <f t="shared" si="105"/>
        <v>C1.01.01</v>
      </c>
      <c r="G3376" s="34">
        <f t="shared" si="104"/>
        <v>3.73</v>
      </c>
    </row>
    <row r="3377" spans="2:7" ht="13.8" customHeight="1" x14ac:dyDescent="0.25">
      <c r="B3377" s="29" t="s">
        <v>57</v>
      </c>
      <c r="C3377" s="29">
        <v>2773176</v>
      </c>
      <c r="D3377" s="29">
        <v>6.6</v>
      </c>
      <c r="E3377" s="29" t="s">
        <v>299</v>
      </c>
      <c r="F3377" s="31" t="str">
        <f t="shared" si="105"/>
        <v>C1.01.01</v>
      </c>
      <c r="G3377" s="34">
        <f t="shared" si="104"/>
        <v>6.6</v>
      </c>
    </row>
    <row r="3378" spans="2:7" ht="13.8" customHeight="1" x14ac:dyDescent="0.25">
      <c r="B3378" s="29" t="s">
        <v>57</v>
      </c>
      <c r="C3378" s="29">
        <v>2773184</v>
      </c>
      <c r="D3378" s="29">
        <v>1.25</v>
      </c>
      <c r="E3378" s="29" t="s">
        <v>299</v>
      </c>
      <c r="F3378" s="31" t="str">
        <f t="shared" si="105"/>
        <v>C1.01.01</v>
      </c>
      <c r="G3378" s="34">
        <f t="shared" si="104"/>
        <v>1.25</v>
      </c>
    </row>
    <row r="3379" spans="2:7" ht="13.8" customHeight="1" x14ac:dyDescent="0.25">
      <c r="B3379" s="29" t="s">
        <v>57</v>
      </c>
      <c r="C3379" s="29">
        <v>2773187</v>
      </c>
      <c r="D3379" s="29">
        <v>0</v>
      </c>
      <c r="E3379" s="29" t="s">
        <v>299</v>
      </c>
      <c r="F3379" s="31" t="str">
        <f t="shared" si="105"/>
        <v>C1.01.01</v>
      </c>
      <c r="G3379" s="34">
        <f t="shared" si="104"/>
        <v>0</v>
      </c>
    </row>
    <row r="3380" spans="2:7" ht="13.8" customHeight="1" x14ac:dyDescent="0.25">
      <c r="B3380" s="29" t="s">
        <v>26</v>
      </c>
      <c r="C3380" s="29">
        <v>2773224</v>
      </c>
      <c r="D3380" s="29">
        <v>2.0699999999999998</v>
      </c>
      <c r="E3380" s="29" t="s">
        <v>205</v>
      </c>
      <c r="F3380" s="31" t="str">
        <f t="shared" si="105"/>
        <v>E2.01.04</v>
      </c>
      <c r="G3380" s="34">
        <f t="shared" si="104"/>
        <v>2.0699999999999998</v>
      </c>
    </row>
    <row r="3381" spans="2:7" ht="13.8" customHeight="1" x14ac:dyDescent="0.25">
      <c r="B3381" s="29" t="s">
        <v>26</v>
      </c>
      <c r="C3381" s="29">
        <v>2773227</v>
      </c>
      <c r="D3381" s="29">
        <v>0.18</v>
      </c>
      <c r="E3381" s="29" t="s">
        <v>205</v>
      </c>
      <c r="F3381" s="31" t="str">
        <f t="shared" si="105"/>
        <v>E2.01.04</v>
      </c>
      <c r="G3381" s="34">
        <f t="shared" si="104"/>
        <v>0.18</v>
      </c>
    </row>
    <row r="3382" spans="2:7" ht="13.8" customHeight="1" x14ac:dyDescent="0.25">
      <c r="B3382" s="29" t="s">
        <v>26</v>
      </c>
      <c r="C3382" s="29">
        <v>2773229</v>
      </c>
      <c r="D3382" s="29">
        <v>1.34</v>
      </c>
      <c r="E3382" s="29" t="s">
        <v>205</v>
      </c>
      <c r="F3382" s="31" t="str">
        <f t="shared" si="105"/>
        <v>E2.01.04</v>
      </c>
      <c r="G3382" s="34">
        <f t="shared" si="104"/>
        <v>1.34</v>
      </c>
    </row>
    <row r="3383" spans="2:7" ht="13.8" customHeight="1" x14ac:dyDescent="0.25">
      <c r="B3383" s="29" t="s">
        <v>26</v>
      </c>
      <c r="C3383" s="29">
        <v>2773222</v>
      </c>
      <c r="D3383" s="29">
        <v>7.5</v>
      </c>
      <c r="E3383" s="29" t="s">
        <v>205</v>
      </c>
      <c r="F3383" s="31" t="str">
        <f t="shared" si="105"/>
        <v>E2.01.04</v>
      </c>
      <c r="G3383" s="34">
        <f t="shared" si="104"/>
        <v>7.5</v>
      </c>
    </row>
    <row r="3384" spans="2:7" ht="13.8" customHeight="1" x14ac:dyDescent="0.25">
      <c r="B3384" s="29" t="s">
        <v>26</v>
      </c>
      <c r="C3384" s="29">
        <v>2773231</v>
      </c>
      <c r="D3384" s="29">
        <v>1.32</v>
      </c>
      <c r="E3384" s="29" t="s">
        <v>205</v>
      </c>
      <c r="F3384" s="31" t="str">
        <f t="shared" si="105"/>
        <v>E2.01.04</v>
      </c>
      <c r="G3384" s="34">
        <f t="shared" si="104"/>
        <v>1.32</v>
      </c>
    </row>
    <row r="3385" spans="2:7" ht="13.8" customHeight="1" x14ac:dyDescent="0.25">
      <c r="B3385" s="29" t="s">
        <v>26</v>
      </c>
      <c r="C3385" s="29">
        <v>2773632</v>
      </c>
      <c r="D3385" s="29">
        <v>4.2</v>
      </c>
      <c r="E3385" s="29" t="s">
        <v>205</v>
      </c>
      <c r="F3385" s="31" t="str">
        <f t="shared" si="105"/>
        <v>E2.01.04</v>
      </c>
      <c r="G3385" s="34">
        <f t="shared" ref="G3385:G3415" si="106">D3385</f>
        <v>4.2</v>
      </c>
    </row>
    <row r="3386" spans="2:7" ht="13.8" customHeight="1" x14ac:dyDescent="0.25">
      <c r="B3386" s="29" t="s">
        <v>26</v>
      </c>
      <c r="C3386" s="29">
        <v>2773239</v>
      </c>
      <c r="D3386" s="29">
        <v>3.96</v>
      </c>
      <c r="E3386" s="29" t="s">
        <v>206</v>
      </c>
      <c r="F3386" s="31" t="str">
        <f t="shared" si="105"/>
        <v>E2.01.03</v>
      </c>
      <c r="G3386" s="34">
        <f t="shared" si="106"/>
        <v>3.96</v>
      </c>
    </row>
    <row r="3387" spans="2:7" ht="13.8" customHeight="1" x14ac:dyDescent="0.25">
      <c r="B3387" s="29" t="s">
        <v>26</v>
      </c>
      <c r="C3387" s="29">
        <v>2773241</v>
      </c>
      <c r="D3387" s="29">
        <v>1.92</v>
      </c>
      <c r="E3387" s="29" t="s">
        <v>206</v>
      </c>
      <c r="F3387" s="31" t="str">
        <f t="shared" si="105"/>
        <v>E2.01.03</v>
      </c>
      <c r="G3387" s="34">
        <f t="shared" si="106"/>
        <v>1.92</v>
      </c>
    </row>
    <row r="3388" spans="2:7" ht="13.8" customHeight="1" x14ac:dyDescent="0.25">
      <c r="B3388" s="29" t="s">
        <v>26</v>
      </c>
      <c r="C3388" s="29">
        <v>2773262</v>
      </c>
      <c r="D3388" s="29">
        <v>0.4</v>
      </c>
      <c r="E3388" s="29" t="s">
        <v>207</v>
      </c>
      <c r="F3388" s="31" t="str">
        <f t="shared" si="105"/>
        <v>E2.01.01</v>
      </c>
      <c r="G3388" s="34">
        <f t="shared" si="106"/>
        <v>0.4</v>
      </c>
    </row>
    <row r="3389" spans="2:7" ht="13.8" customHeight="1" x14ac:dyDescent="0.25">
      <c r="B3389" s="29" t="s">
        <v>26</v>
      </c>
      <c r="C3389" s="29">
        <v>2773264</v>
      </c>
      <c r="D3389" s="29">
        <v>2.8</v>
      </c>
      <c r="E3389" s="29" t="s">
        <v>207</v>
      </c>
      <c r="F3389" s="31" t="str">
        <f t="shared" si="105"/>
        <v>E2.01.01</v>
      </c>
      <c r="G3389" s="34">
        <f t="shared" si="106"/>
        <v>2.8</v>
      </c>
    </row>
    <row r="3390" spans="2:7" ht="13.8" customHeight="1" x14ac:dyDescent="0.25">
      <c r="B3390" s="29" t="s">
        <v>26</v>
      </c>
      <c r="C3390" s="29">
        <v>2773259</v>
      </c>
      <c r="D3390" s="29">
        <v>4.0599999999999996</v>
      </c>
      <c r="E3390" s="29" t="s">
        <v>207</v>
      </c>
      <c r="F3390" s="31" t="str">
        <f t="shared" si="105"/>
        <v>E2.01.01</v>
      </c>
      <c r="G3390" s="34">
        <f t="shared" si="106"/>
        <v>4.0599999999999996</v>
      </c>
    </row>
    <row r="3391" spans="2:7" ht="13.8" customHeight="1" x14ac:dyDescent="0.25">
      <c r="B3391" s="29" t="s">
        <v>26</v>
      </c>
      <c r="C3391" s="29">
        <v>2773246</v>
      </c>
      <c r="D3391" s="29">
        <v>3.96</v>
      </c>
      <c r="E3391" s="29" t="s">
        <v>208</v>
      </c>
      <c r="F3391" s="31" t="str">
        <f t="shared" si="105"/>
        <v>E2.01.02</v>
      </c>
      <c r="G3391" s="34">
        <f t="shared" si="106"/>
        <v>3.96</v>
      </c>
    </row>
    <row r="3392" spans="2:7" ht="13.8" customHeight="1" x14ac:dyDescent="0.25">
      <c r="B3392" s="29" t="s">
        <v>26</v>
      </c>
      <c r="C3392" s="29">
        <v>2773248</v>
      </c>
      <c r="D3392" s="29">
        <v>3.16</v>
      </c>
      <c r="E3392" s="29" t="s">
        <v>208</v>
      </c>
      <c r="F3392" s="31" t="str">
        <f t="shared" si="105"/>
        <v>E2.01.02</v>
      </c>
      <c r="G3392" s="34">
        <f t="shared" si="106"/>
        <v>3.16</v>
      </c>
    </row>
    <row r="3393" spans="2:7" ht="13.8" customHeight="1" x14ac:dyDescent="0.25">
      <c r="B3393" s="29" t="s">
        <v>26</v>
      </c>
      <c r="C3393" s="29">
        <v>2773253</v>
      </c>
      <c r="D3393" s="29">
        <v>3.7</v>
      </c>
      <c r="E3393" s="29" t="s">
        <v>208</v>
      </c>
      <c r="F3393" s="31" t="str">
        <f t="shared" si="105"/>
        <v>E2.01.02</v>
      </c>
      <c r="G3393" s="34">
        <f t="shared" si="106"/>
        <v>3.7</v>
      </c>
    </row>
    <row r="3394" spans="2:7" ht="13.8" customHeight="1" x14ac:dyDescent="0.25">
      <c r="B3394" s="29" t="s">
        <v>26</v>
      </c>
      <c r="C3394" s="29">
        <v>2773251</v>
      </c>
      <c r="D3394" s="29">
        <v>0.4</v>
      </c>
      <c r="E3394" s="29" t="s">
        <v>208</v>
      </c>
      <c r="F3394" s="31" t="str">
        <f t="shared" si="105"/>
        <v>E2.01.02</v>
      </c>
      <c r="G3394" s="34">
        <f t="shared" si="106"/>
        <v>0.4</v>
      </c>
    </row>
    <row r="3395" spans="2:7" ht="13.8" customHeight="1" x14ac:dyDescent="0.25">
      <c r="B3395" s="29" t="s">
        <v>26</v>
      </c>
      <c r="C3395" s="29">
        <v>2773397</v>
      </c>
      <c r="D3395" s="29">
        <v>6.6</v>
      </c>
      <c r="E3395" s="29" t="s">
        <v>267</v>
      </c>
      <c r="F3395" s="31" t="str">
        <f t="shared" si="105"/>
        <v>D1.02.02</v>
      </c>
      <c r="G3395" s="34">
        <f t="shared" si="106"/>
        <v>6.6</v>
      </c>
    </row>
    <row r="3396" spans="2:7" ht="13.8" customHeight="1" x14ac:dyDescent="0.25">
      <c r="B3396" s="29" t="s">
        <v>26</v>
      </c>
      <c r="C3396" s="29">
        <v>2773400</v>
      </c>
      <c r="D3396" s="29">
        <v>12.49</v>
      </c>
      <c r="E3396" s="29" t="s">
        <v>267</v>
      </c>
      <c r="F3396" s="31" t="str">
        <f t="shared" si="105"/>
        <v>D1.02.02</v>
      </c>
      <c r="G3396" s="34">
        <f t="shared" si="106"/>
        <v>12.49</v>
      </c>
    </row>
    <row r="3397" spans="2:7" ht="13.8" customHeight="1" x14ac:dyDescent="0.25">
      <c r="B3397" s="29" t="s">
        <v>26</v>
      </c>
      <c r="C3397" s="29">
        <v>2773403</v>
      </c>
      <c r="D3397" s="29">
        <v>7.57</v>
      </c>
      <c r="E3397" s="29" t="s">
        <v>268</v>
      </c>
      <c r="F3397" s="31" t="str">
        <f t="shared" si="105"/>
        <v>D1.02.01</v>
      </c>
      <c r="G3397" s="34">
        <f t="shared" si="106"/>
        <v>7.57</v>
      </c>
    </row>
    <row r="3398" spans="2:7" ht="13.8" customHeight="1" x14ac:dyDescent="0.25">
      <c r="B3398" s="29" t="s">
        <v>26</v>
      </c>
      <c r="C3398" s="29">
        <v>2773406</v>
      </c>
      <c r="D3398" s="29">
        <v>6.6</v>
      </c>
      <c r="E3398" s="29" t="s">
        <v>268</v>
      </c>
      <c r="F3398" s="31" t="str">
        <f t="shared" si="105"/>
        <v>D1.02.01</v>
      </c>
      <c r="G3398" s="34">
        <f t="shared" si="106"/>
        <v>6.6</v>
      </c>
    </row>
    <row r="3399" spans="2:7" ht="13.8" customHeight="1" x14ac:dyDescent="0.25">
      <c r="B3399" s="29" t="s">
        <v>26</v>
      </c>
      <c r="C3399" s="29">
        <v>2773382</v>
      </c>
      <c r="D3399" s="29">
        <v>6.6</v>
      </c>
      <c r="E3399" s="29" t="s">
        <v>269</v>
      </c>
      <c r="F3399" s="31" t="str">
        <f t="shared" si="105"/>
        <v>D1.02.04</v>
      </c>
      <c r="G3399" s="34">
        <f t="shared" si="106"/>
        <v>6.6</v>
      </c>
    </row>
    <row r="3400" spans="2:7" ht="13.8" customHeight="1" x14ac:dyDescent="0.25">
      <c r="B3400" s="29" t="s">
        <v>26</v>
      </c>
      <c r="C3400" s="29">
        <v>2773376</v>
      </c>
      <c r="D3400" s="29">
        <v>7.27</v>
      </c>
      <c r="E3400" s="29" t="s">
        <v>269</v>
      </c>
      <c r="F3400" s="31" t="str">
        <f t="shared" ref="F3400:F3415" si="107">LEFT(E3400,8)</f>
        <v>D1.02.04</v>
      </c>
      <c r="G3400" s="34">
        <f t="shared" si="106"/>
        <v>7.27</v>
      </c>
    </row>
    <row r="3401" spans="2:7" ht="13.8" customHeight="1" x14ac:dyDescent="0.25">
      <c r="B3401" s="29" t="s">
        <v>26</v>
      </c>
      <c r="C3401" s="29">
        <v>2773373</v>
      </c>
      <c r="D3401" s="29">
        <v>6.6</v>
      </c>
      <c r="E3401" s="29" t="s">
        <v>269</v>
      </c>
      <c r="F3401" s="31" t="str">
        <f t="shared" si="107"/>
        <v>D1.02.04</v>
      </c>
      <c r="G3401" s="34">
        <f t="shared" si="106"/>
        <v>6.6</v>
      </c>
    </row>
    <row r="3402" spans="2:7" ht="13.8" customHeight="1" x14ac:dyDescent="0.25">
      <c r="B3402" s="29" t="s">
        <v>26</v>
      </c>
      <c r="C3402" s="29">
        <v>2773378</v>
      </c>
      <c r="D3402" s="29">
        <v>2.02</v>
      </c>
      <c r="E3402" s="29" t="s">
        <v>269</v>
      </c>
      <c r="F3402" s="31" t="str">
        <f t="shared" si="107"/>
        <v>D1.02.04</v>
      </c>
      <c r="G3402" s="34">
        <f t="shared" si="106"/>
        <v>2.02</v>
      </c>
    </row>
    <row r="3403" spans="2:7" ht="13.8" customHeight="1" x14ac:dyDescent="0.25">
      <c r="B3403" s="29" t="s">
        <v>26</v>
      </c>
      <c r="C3403" s="29">
        <v>2773380</v>
      </c>
      <c r="D3403" s="29">
        <v>1.86</v>
      </c>
      <c r="E3403" s="29" t="s">
        <v>269</v>
      </c>
      <c r="F3403" s="31" t="str">
        <f t="shared" si="107"/>
        <v>D1.02.04</v>
      </c>
      <c r="G3403" s="34">
        <f t="shared" si="106"/>
        <v>1.86</v>
      </c>
    </row>
    <row r="3404" spans="2:7" ht="13.8" customHeight="1" x14ac:dyDescent="0.25">
      <c r="B3404" s="29" t="s">
        <v>26</v>
      </c>
      <c r="C3404" s="29">
        <v>2773389</v>
      </c>
      <c r="D3404" s="29">
        <v>1.86</v>
      </c>
      <c r="E3404" s="29" t="s">
        <v>270</v>
      </c>
      <c r="F3404" s="31" t="str">
        <f t="shared" si="107"/>
        <v>D1.02.03</v>
      </c>
      <c r="G3404" s="34">
        <f t="shared" si="106"/>
        <v>1.86</v>
      </c>
    </row>
    <row r="3405" spans="2:7" ht="13.8" customHeight="1" x14ac:dyDescent="0.25">
      <c r="B3405" s="29" t="s">
        <v>26</v>
      </c>
      <c r="C3405" s="29">
        <v>2773393</v>
      </c>
      <c r="D3405" s="29">
        <v>6.24</v>
      </c>
      <c r="E3405" s="29" t="s">
        <v>270</v>
      </c>
      <c r="F3405" s="31" t="str">
        <f t="shared" si="107"/>
        <v>D1.02.03</v>
      </c>
      <c r="G3405" s="34">
        <f t="shared" si="106"/>
        <v>6.24</v>
      </c>
    </row>
    <row r="3406" spans="2:7" ht="13.8" customHeight="1" x14ac:dyDescent="0.25">
      <c r="B3406" s="29" t="s">
        <v>26</v>
      </c>
      <c r="C3406" s="29">
        <v>2773391</v>
      </c>
      <c r="D3406" s="29">
        <v>6.6</v>
      </c>
      <c r="E3406" s="29" t="s">
        <v>270</v>
      </c>
      <c r="F3406" s="31" t="str">
        <f t="shared" si="107"/>
        <v>D1.02.03</v>
      </c>
      <c r="G3406" s="34">
        <f t="shared" si="106"/>
        <v>6.6</v>
      </c>
    </row>
    <row r="3407" spans="2:7" ht="13.8" customHeight="1" x14ac:dyDescent="0.25">
      <c r="B3407" s="29" t="s">
        <v>26</v>
      </c>
      <c r="C3407" s="29">
        <v>2773386</v>
      </c>
      <c r="D3407" s="29">
        <v>5.03</v>
      </c>
      <c r="E3407" s="29" t="s">
        <v>270</v>
      </c>
      <c r="F3407" s="31" t="str">
        <f t="shared" si="107"/>
        <v>D1.02.03</v>
      </c>
      <c r="G3407" s="34">
        <f t="shared" si="106"/>
        <v>5.03</v>
      </c>
    </row>
    <row r="3408" spans="2:7" ht="13.8" customHeight="1" x14ac:dyDescent="0.25">
      <c r="B3408" s="29" t="s">
        <v>26</v>
      </c>
      <c r="C3408" s="29">
        <v>2773369</v>
      </c>
      <c r="D3408" s="29">
        <v>6.6</v>
      </c>
      <c r="E3408" s="29" t="s">
        <v>271</v>
      </c>
      <c r="F3408" s="31" t="str">
        <f t="shared" si="107"/>
        <v>D1.02.05</v>
      </c>
      <c r="G3408" s="34">
        <f t="shared" si="106"/>
        <v>6.6</v>
      </c>
    </row>
    <row r="3409" spans="2:7" ht="13.8" customHeight="1" x14ac:dyDescent="0.25">
      <c r="B3409" s="29" t="s">
        <v>26</v>
      </c>
      <c r="C3409" s="29">
        <v>2773367</v>
      </c>
      <c r="D3409" s="29">
        <v>6.6</v>
      </c>
      <c r="E3409" s="29" t="s">
        <v>271</v>
      </c>
      <c r="F3409" s="31" t="str">
        <f t="shared" si="107"/>
        <v>D1.02.05</v>
      </c>
      <c r="G3409" s="34">
        <f t="shared" si="106"/>
        <v>6.6</v>
      </c>
    </row>
    <row r="3410" spans="2:7" ht="13.8" customHeight="1" x14ac:dyDescent="0.25">
      <c r="B3410" s="29" t="s">
        <v>26</v>
      </c>
      <c r="C3410" s="29">
        <v>2773166</v>
      </c>
      <c r="D3410" s="29">
        <v>6.6</v>
      </c>
      <c r="E3410" s="29" t="s">
        <v>294</v>
      </c>
      <c r="F3410" s="31" t="str">
        <f t="shared" si="107"/>
        <v>C1.01.02</v>
      </c>
      <c r="G3410" s="34">
        <f t="shared" si="106"/>
        <v>6.6</v>
      </c>
    </row>
    <row r="3411" spans="2:7" ht="13.8" customHeight="1" x14ac:dyDescent="0.25">
      <c r="B3411" s="29" t="s">
        <v>26</v>
      </c>
      <c r="C3411" s="29">
        <v>2773164</v>
      </c>
      <c r="D3411" s="29">
        <v>8.32</v>
      </c>
      <c r="E3411" s="29" t="s">
        <v>294</v>
      </c>
      <c r="F3411" s="31" t="str">
        <f t="shared" si="107"/>
        <v>C1.01.02</v>
      </c>
      <c r="G3411" s="34">
        <f t="shared" si="106"/>
        <v>8.32</v>
      </c>
    </row>
    <row r="3412" spans="2:7" ht="13.8" customHeight="1" x14ac:dyDescent="0.25">
      <c r="B3412" s="29" t="s">
        <v>26</v>
      </c>
      <c r="C3412" s="29">
        <v>2773152</v>
      </c>
      <c r="D3412" s="29">
        <v>6.6</v>
      </c>
      <c r="E3412" s="29" t="s">
        <v>295</v>
      </c>
      <c r="F3412" s="31" t="str">
        <f t="shared" si="107"/>
        <v>C1.01.03</v>
      </c>
      <c r="G3412" s="34">
        <f t="shared" si="106"/>
        <v>6.6</v>
      </c>
    </row>
    <row r="3413" spans="2:7" ht="13.8" customHeight="1" x14ac:dyDescent="0.25">
      <c r="B3413" s="29" t="s">
        <v>26</v>
      </c>
      <c r="C3413" s="29">
        <v>2773091</v>
      </c>
      <c r="D3413" s="29">
        <v>5.85</v>
      </c>
      <c r="E3413" s="29" t="s">
        <v>297</v>
      </c>
      <c r="F3413" s="31" t="str">
        <f t="shared" si="107"/>
        <v>C1.01.05</v>
      </c>
      <c r="G3413" s="34">
        <f t="shared" si="106"/>
        <v>5.85</v>
      </c>
    </row>
    <row r="3414" spans="2:7" ht="13.8" customHeight="1" x14ac:dyDescent="0.25">
      <c r="B3414" s="29" t="s">
        <v>26</v>
      </c>
      <c r="C3414" s="29">
        <v>2773197</v>
      </c>
      <c r="D3414" s="29">
        <v>5.85</v>
      </c>
      <c r="E3414" s="29" t="s">
        <v>298</v>
      </c>
      <c r="F3414" s="31" t="str">
        <f t="shared" si="107"/>
        <v>C1.01.06</v>
      </c>
      <c r="G3414" s="34">
        <f t="shared" si="106"/>
        <v>5.85</v>
      </c>
    </row>
    <row r="3415" spans="2:7" ht="13.8" customHeight="1" x14ac:dyDescent="0.25">
      <c r="B3415" s="29" t="s">
        <v>26</v>
      </c>
      <c r="C3415" s="29">
        <v>2773181</v>
      </c>
      <c r="D3415" s="29">
        <v>8.32</v>
      </c>
      <c r="E3415" s="29" t="s">
        <v>299</v>
      </c>
      <c r="F3415" s="31" t="str">
        <f t="shared" si="107"/>
        <v>C1.01.01</v>
      </c>
      <c r="G3415" s="34">
        <f t="shared" si="106"/>
        <v>8.32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Thermal Bridges</vt:lpstr>
      <vt:lpstr>Pasted Bridges</vt:lpstr>
      <vt:lpstr>XMLCodeStart</vt:lpstr>
      <vt:lpstr>XMLImportMarker</vt:lpstr>
      <vt:lpstr>XMLPathStart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Thompson, Ross</dc:creator>
  <cp:lastModifiedBy>Thompson, Ross</cp:lastModifiedBy>
  <cp:lastPrinted>2025-03-01T17:52:49Z</cp:lastPrinted>
  <dcterms:created xsi:type="dcterms:W3CDTF">2023-09-24T15:48:57Z</dcterms:created>
  <dcterms:modified xsi:type="dcterms:W3CDTF">2026-05-15T11:10:00Z</dcterms:modified>
</cp:coreProperties>
</file>